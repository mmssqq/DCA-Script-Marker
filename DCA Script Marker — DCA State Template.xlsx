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3.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2db9a1e0e7c544ce" /></Relationships>
</file>

<file path=xl/workbook.xml><?xml version="1.0" encoding="utf-8"?>
<x:workbook xmlns:x="http://schemas.openxmlformats.org/spreadsheetml/2006/main">
  <x:sheets>
    <x:sheet xmlns:r="http://schemas.openxmlformats.org/officeDocument/2006/relationships" name="How to use" sheetId="1" r:id="Rf905cc2af8bf49f1"/>
    <x:sheet xmlns:r="http://schemas.openxmlformats.org/officeDocument/2006/relationships" name="Character List" sheetId="2" r:id="Rb101a4c2b0b34a57"/>
    <x:sheet xmlns:r="http://schemas.openxmlformats.org/officeDocument/2006/relationships" name="DCA States" sheetId="3" r:id="Rd1a9699b7a2d492e"/>
  </x:sheets>
  <x:definedNames>
    <x:definedName name="DCANameList">'Character List'!$D$3:$D$2328</x:definedName>
  </x:definedNames>
</x:workbook>
</file>

<file path=xl/comments1.xml><?xml version="1.0" encoding="utf-8"?>
<x:comments xmlns:x="http://schemas.openxmlformats.org/spreadsheetml/2006/main">
  <x:authors>
    <x:author>tc={21E3A37A-1AEB-4F0F-BCE5-D6D5AEC21FF2}</x:author>
  </x:authors>
  <x:commentList>
    <x:comment ref="O2" authorId="0">
      <x:text>
        <x:r>
          <x:t>[Threaded comment]
Your version of Excel allows you to read this threaded comment; however, any edits to it will get removed if the file is opened in a newer version of Excel. Learn more: https://go.microsoft.com/fwlink/?linkid=870924
Comment:
    Dropdown maintenance: ROWS minus COUNTBLANK counts actual role labels and excludes unused helper formulas returning empty text. DCANameList points to live formulas in D3:D2328, covering all prepared Character List rows. COUNTBLANK includes formula blanks: https://support.microsoft.com/en-us/excel/ways-to-count-values-in-a-worksheet
Standard named-range validation: https://support.microsoft.com/en-us/excel/more-on-data-validation</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2">
    <x:font>
      <x:sz val="11"/>
      <x:name val="Carlito"/>
    </x:font>
    <x:font>
      <x:b/>
      <x:sz val="16"/>
      <x:color rgb="FFFFFFFF"/>
      <x:name val="Carlito"/>
    </x:font>
    <x:font>
      <x:b/>
      <x:sz val="11"/>
      <x:color rgb="FF102A43"/>
      <x:name val="Carlito"/>
    </x:font>
    <x:font>
      <x:sz val="11"/>
      <x:name val="Carlito"/>
    </x:font>
    <x:font>
      <x:sz val="11"/>
      <x:color rgb="FF102A43"/>
      <x:name val="Carlito"/>
    </x:font>
    <x:font>
      <x:b/>
      <x:sz val="12"/>
      <x:color rgb="FFFFFFFF"/>
      <x:name val="Carlito"/>
    </x:font>
    <x:font>
      <x:b/>
      <x:i/>
      <x:sz val="11"/>
      <x:color rgb="FF16324A"/>
      <x:name val="Carlito"/>
    </x:font>
    <x:font>
      <x:sz val="11"/>
      <x:color rgb="FF000000"/>
      <x:name val="Carlito"/>
    </x:font>
    <x:font>
      <x:sz val="11"/>
      <x:name val="Calibri"/>
    </x:font>
    <x:font>
      <x:i/>
      <x:sz val="11"/>
      <x:color rgb="FF29475F"/>
      <x:name val="Carlito"/>
    </x:font>
    <x:font>
      <x:b/>
      <x:sz val="11"/>
      <x:name val="Carlito"/>
    </x:font>
    <x:font>
      <x:sz val="11"/>
      <x:color rgb="FF365F78"/>
      <x:name val="Carlito"/>
    </x:font>
  </x:fonts>
  <x:fills count="10">
    <x:fill>
      <x:patternFill patternType="none"/>
    </x:fill>
    <x:fill>
      <x:patternFill patternType="gray125"/>
    </x:fill>
    <x:fill>
      <x:patternFill patternType="solid">
        <x:fgColor rgb="FF2F5E86"/>
      </x:patternFill>
    </x:fill>
    <x:fill>
      <x:patternFill patternType="solid">
        <x:fgColor rgb="FF8FAFC8"/>
      </x:patternFill>
    </x:fill>
    <x:fill>
      <x:patternFill patternType="solid">
        <x:fgColor rgb="FFF4F8FB"/>
      </x:patternFill>
    </x:fill>
    <x:fill>
      <x:patternFill patternType="solid">
        <x:fgColor rgb="FFFFFFFF"/>
      </x:patternFill>
    </x:fill>
    <x:fill>
      <x:patternFill patternType="solid">
        <x:fgColor rgb="FF2F648B"/>
      </x:patternFill>
    </x:fill>
    <x:fill>
      <x:patternFill patternType="solid">
        <x:fgColor rgb="FF93B4CC"/>
      </x:patternFill>
    </x:fill>
    <x:fill>
      <x:patternFill patternType="solid">
        <x:fgColor rgb="FFFFFDF5"/>
      </x:patternFill>
    </x:fill>
    <x:fill>
      <x:patternFill patternType="solid">
        <x:fgColor rgb="FFE8F1F8"/>
      </x:patternFill>
    </x:fill>
  </x:fills>
  <x:borders count="9">
    <x:border/>
    <x:border>
      <x:left style="thin">
        <x:color rgb="FFC4D4E2"/>
      </x:left>
      <x:right style="thin">
        <x:color rgb="FFC4D4E2"/>
      </x:right>
      <x:top style="thin">
        <x:color rgb="FFC4D4E2"/>
      </x:top>
      <x:bottom style="thin">
        <x:color rgb="FFC4D4E2"/>
      </x:bottom>
    </x:border>
    <x:border>
      <x:left style="thin">
        <x:color rgb="FFD9E2EC"/>
      </x:left>
      <x:right style="thin">
        <x:color rgb="FFD9E2EC"/>
      </x:right>
      <x:top style="thin">
        <x:color rgb="FFD9E2EC"/>
      </x:top>
      <x:bottom style="thin">
        <x:color rgb="FFD9E2EC"/>
      </x:bottom>
    </x:border>
    <x:border>
      <x:top style="thin">
        <x:color rgb="FFD9E2EC"/>
      </x:top>
      <x:bottom style="thin">
        <x:color rgb="FFD9E2EC"/>
      </x:bottom>
    </x:border>
    <x:border>
      <x:right style="thin">
        <x:color rgb="FFD9E2EC"/>
      </x:right>
      <x:top style="thin">
        <x:color rgb="FFD9E2EC"/>
      </x:top>
      <x:bottom style="thin">
        <x:color rgb="FFD9E2EC"/>
      </x:bottom>
    </x:border>
    <x:border>
      <x:left style="medium">
        <x:color rgb="FFD6E2EB"/>
      </x:left>
      <x:right style="medium">
        <x:color rgb="FFD6E2EB"/>
      </x:right>
      <x:top style="medium">
        <x:color rgb="FFD6E2EB"/>
      </x:top>
    </x:border>
    <x:border>
      <x:top style="medium">
        <x:color rgb="FFD6E2EB"/>
      </x:top>
    </x:border>
    <x:border>
      <x:right style="medium">
        <x:color rgb="FFD6E2EB"/>
      </x:right>
      <x:top style="medium">
        <x:color rgb="FFD6E2EB"/>
      </x:top>
    </x:border>
    <x:border>
      <x:left style="thin">
        <x:color rgb="FFD2E0EA"/>
      </x:left>
      <x:right style="thin">
        <x:color rgb="FFD2E0EA"/>
      </x:right>
      <x:top style="thin">
        <x:color rgb="FFD2E0EA"/>
      </x:top>
      <x:bottom style="thin">
        <x:color rgb="FFD2E0EA"/>
      </x:bottom>
    </x:border>
  </x:borders>
  <x:cellStyleXfs count="1">
    <x:xf numFmtId="0" fontId="0" fillId="0" borderId="0"/>
  </x:cellStyleXfs>
  <x:cellXfs count="11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0"/>
    </x:xf>
    <x:xf numFmtId="0" fontId="1" fillId="2" borderId="0" xfId="0" applyNumberFormat="1" applyFont="1" applyFill="1" applyBorder="1" applyAlignment="1">
      <x:alignment horizontal="center" wrapText="0"/>
    </x:xf>
    <x:xf numFmtId="0" fontId="1" fillId="2" borderId="0" xfId="0" applyNumberFormat="1" applyFont="1" applyFill="1" applyBorder="1" applyAlignment="1">
      <x:alignment horizontal="center" vertical="center" wrapText="0"/>
    </x:xf>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0"/>
    </x:xf>
    <x:xf numFmtId="0" fontId="2" fillId="3" borderId="1" xfId="0" applyNumberFormat="1" applyFont="1" applyFill="1" applyBorder="1" applyAlignment="1">
      <x:alignment horizontal="center" wrapText="0"/>
    </x:xf>
    <x:xf numFmtId="0" fontId="2" fillId="3" borderId="1" xfId="0" applyNumberFormat="1" applyFont="1" applyFill="1" applyBorder="1" applyAlignment="1">
      <x:alignment horizontal="center" vertical="center" wrapText="0"/>
    </x:xf>
    <x:xf numFmtId="0" fontId="3" fillId="0" borderId="0" xfId="0" applyNumberFormat="1" applyFont="1" applyFill="1" applyBorder="1"/>
    <x:xf numFmtId="0" fontId="3" fillId="0" borderId="2" xfId="0" applyNumberFormat="1" applyFont="1" applyFill="1" applyBorder="1"/>
    <x:xf numFmtId="0" fontId="3" fillId="0" borderId="2" xfId="0" applyNumberFormat="1" applyFont="1" applyFill="1" applyBorder="1" applyAlignment="1">
      <x:alignment wrapText="1"/>
    </x:xf>
    <x:xf numFmtId="0" fontId="3" fillId="0" borderId="2" xfId="0" applyNumberFormat="1" applyFont="1" applyFill="1" applyBorder="1" applyAlignment="1">
      <x:alignment horizontal="general" wrapText="1"/>
    </x:xf>
    <x:xf numFmtId="0" fontId="3" fillId="0" borderId="2" xfId="0" applyNumberFormat="1" applyFont="1" applyFill="1" applyBorder="1" applyAlignment="1">
      <x:alignment horizontal="general" vertical="top" wrapText="1"/>
    </x:xf>
    <x:xf numFmtId="0" fontId="0" fillId="4" borderId="0" xfId="0" applyNumberFormat="1" applyFont="1" applyFill="1" applyBorder="1"/>
    <x:xf numFmtId="0" fontId="2" fillId="4" borderId="0" xfId="0" applyNumberFormat="1" applyFont="1" applyFill="1" applyBorder="1"/>
    <x:xf numFmtId="0" fontId="2" fillId="4" borderId="2" xfId="0" applyNumberFormat="1" applyFont="1" applyFill="1" applyBorder="1"/>
    <x:xf numFmtId="0" fontId="2" fillId="4" borderId="2" xfId="0" applyNumberFormat="1" applyFont="1" applyFill="1" applyBorder="1" applyAlignment="1">
      <x:alignment wrapText="1"/>
    </x:xf>
    <x:xf numFmtId="0" fontId="2" fillId="4" borderId="2" xfId="0" applyNumberFormat="1" applyFont="1" applyFill="1" applyBorder="1" applyAlignment="1">
      <x:alignment horizontal="center" wrapText="1"/>
    </x:xf>
    <x:xf numFmtId="0" fontId="2" fillId="4" borderId="2" xfId="0" applyNumberFormat="1" applyFont="1" applyFill="1" applyBorder="1" applyAlignment="1">
      <x:alignment horizontal="center" vertical="center" wrapText="1"/>
    </x:xf>
    <x:xf numFmtId="0" fontId="1" fillId="2" borderId="2" xfId="0" applyNumberFormat="1" applyFont="1" applyFill="1" applyBorder="1"/>
    <x:xf numFmtId="0" fontId="1" fillId="2" borderId="2"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3" fillId="0" borderId="3" xfId="0" applyNumberFormat="1" applyFont="1" applyFill="1" applyBorder="1"/>
    <x:xf numFmtId="0" fontId="3" fillId="0" borderId="3" xfId="0" applyNumberFormat="1" applyFont="1" applyFill="1" applyBorder="1" applyAlignment="1">
      <x:alignment wrapText="0"/>
    </x:xf>
    <x:xf numFmtId="0" fontId="3" fillId="0" borderId="3" xfId="0" applyNumberFormat="1" applyFont="1" applyFill="1" applyBorder="1" applyAlignment="1">
      <x:alignment horizontal="general" wrapText="0"/>
    </x:xf>
    <x:xf numFmtId="0" fontId="3" fillId="0" borderId="3" xfId="0" applyNumberFormat="1" applyFont="1" applyFill="1" applyBorder="1" applyAlignment="1">
      <x:alignment horizontal="general" vertical="bottom" wrapText="0"/>
    </x:xf>
    <x:xf numFmtId="0" fontId="3" fillId="0" borderId="4" xfId="0" applyNumberFormat="1" applyFont="1" applyFill="1" applyBorder="1"/>
    <x:xf numFmtId="0" fontId="3" fillId="0" borderId="4" xfId="0" applyNumberFormat="1" applyFont="1" applyFill="1" applyBorder="1" applyAlignment="1">
      <x:alignment wrapText="0"/>
    </x:xf>
    <x:xf numFmtId="0" fontId="3" fillId="0" borderId="4" xfId="0" applyNumberFormat="1" applyFont="1" applyFill="1" applyBorder="1" applyAlignment="1">
      <x:alignment horizontal="general" wrapText="0"/>
    </x:xf>
    <x:xf numFmtId="0" fontId="3" fillId="0" borderId="4" xfId="0" applyNumberFormat="1" applyFont="1" applyFill="1" applyBorder="1" applyAlignment="1">
      <x:alignment horizontal="general" vertical="bottom" wrapText="0"/>
    </x:xf>
    <x:xf numFmtId="0" fontId="2" fillId="3" borderId="2" xfId="0" applyNumberFormat="1" applyFont="1" applyFill="1" applyBorder="1"/>
    <x:xf numFmtId="0" fontId="2" fillId="3" borderId="2" xfId="0" applyNumberFormat="1" applyFont="1" applyFill="1" applyBorder="1" applyAlignment="1">
      <x:alignment wrapText="1"/>
    </x:xf>
    <x:xf numFmtId="0" fontId="2" fillId="3" borderId="2" xfId="0" applyNumberFormat="1" applyFont="1" applyFill="1" applyBorder="1" applyAlignment="1">
      <x:alignment horizontal="center" wrapText="1"/>
    </x:xf>
    <x:xf numFmtId="0" fontId="2" fillId="3" borderId="2" xfId="0" applyNumberFormat="1" applyFont="1" applyFill="1" applyBorder="1" applyAlignment="1">
      <x:alignment horizontal="center" vertical="center" wrapText="1"/>
    </x:xf>
    <x:xf numFmtId="0" fontId="2" fillId="4" borderId="2" xfId="0" applyNumberFormat="1" applyFont="1" applyFill="1" applyBorder="1" applyAlignment="1">
      <x:alignment horizontal="left" wrapText="1"/>
    </x:xf>
    <x:xf numFmtId="0" fontId="2" fillId="4" borderId="2" xfId="0" applyNumberFormat="1" applyFont="1" applyFill="1" applyBorder="1" applyAlignment="1">
      <x:alignment horizontal="left" vertical="top" wrapText="1"/>
    </x:xf>
    <x:xf numFmtId="0" fontId="0" fillId="5" borderId="0" xfId="0" applyNumberFormat="1" applyFont="1" applyFill="1" applyBorder="1"/>
    <x:xf numFmtId="0" fontId="4" fillId="5" borderId="0" xfId="0" applyNumberFormat="1" applyFont="1" applyFill="1" applyBorder="1"/>
    <x:xf numFmtId="0" fontId="4" fillId="5" borderId="2" xfId="0" applyNumberFormat="1" applyFont="1" applyFill="1" applyBorder="1"/>
    <x:xf numFmtId="0" fontId="4" fillId="5" borderId="2" xfId="0" applyNumberFormat="1" applyFont="1" applyFill="1" applyBorder="1" applyAlignment="1">
      <x:alignment wrapText="1"/>
    </x:xf>
    <x:xf numFmtId="0" fontId="4" fillId="5" borderId="2" xfId="0" applyNumberFormat="1" applyFont="1" applyFill="1" applyBorder="1" applyAlignment="1">
      <x:alignment horizontal="left" wrapText="1"/>
    </x:xf>
    <x:xf numFmtId="0" fontId="4" fillId="5" borderId="2" xfId="0" applyNumberFormat="1" applyFont="1" applyFill="1" applyBorder="1" applyAlignment="1">
      <x:alignment horizontal="left" vertical="top" wrapText="1"/>
    </x:xf>
    <x:xf numFmtId="0" fontId="0" fillId="6" borderId="0" xfId="0" applyNumberFormat="1" applyFont="1" applyFill="1" applyBorder="1"/>
    <x:xf numFmtId="0" fontId="5" fillId="6" borderId="0" xfId="0" applyNumberFormat="1" applyFont="1" applyFill="1" applyBorder="1"/>
    <x:xf numFmtId="0" fontId="5" fillId="6" borderId="5" xfId="0" applyNumberFormat="1" applyFont="1" applyFill="1" applyBorder="1"/>
    <x:xf numFmtId="0" fontId="5" fillId="6" borderId="5" xfId="0" applyNumberFormat="1" applyFont="1" applyFill="1" applyBorder="1" applyAlignment="1">
      <x:alignment wrapText="0"/>
    </x:xf>
    <x:xf numFmtId="0" fontId="5" fillId="6" borderId="5" xfId="0" applyNumberFormat="1" applyFont="1" applyFill="1" applyBorder="1" applyAlignment="1">
      <x:alignment horizontal="center" wrapText="0"/>
    </x:xf>
    <x:xf numFmtId="0" fontId="5" fillId="6" borderId="5" xfId="0" applyNumberFormat="1" applyFont="1" applyFill="1" applyBorder="1" applyAlignment="1">
      <x:alignment horizontal="center" vertical="center" wrapText="0"/>
    </x:xf>
    <x:xf numFmtId="0" fontId="3" fillId="0" borderId="6" xfId="0" applyNumberFormat="1" applyFont="1" applyFill="1" applyBorder="1"/>
    <x:xf numFmtId="0" fontId="3" fillId="0" borderId="6" xfId="0" applyNumberFormat="1" applyFont="1" applyFill="1" applyBorder="1" applyAlignment="1">
      <x:alignment wrapText="0"/>
    </x:xf>
    <x:xf numFmtId="0" fontId="3" fillId="0" borderId="6" xfId="0" applyNumberFormat="1" applyFont="1" applyFill="1" applyBorder="1" applyAlignment="1">
      <x:alignment horizontal="general" wrapText="0"/>
    </x:xf>
    <x:xf numFmtId="0" fontId="3" fillId="0" borderId="6" xfId="0" applyNumberFormat="1" applyFont="1" applyFill="1" applyBorder="1" applyAlignment="1">
      <x:alignment horizontal="general" vertical="bottom" wrapText="0"/>
    </x:xf>
    <x:xf numFmtId="0" fontId="3" fillId="0" borderId="7" xfId="0" applyNumberFormat="1" applyFont="1" applyFill="1" applyBorder="1"/>
    <x:xf numFmtId="0" fontId="3" fillId="0" borderId="7" xfId="0" applyNumberFormat="1" applyFont="1" applyFill="1" applyBorder="1" applyAlignment="1">
      <x:alignment wrapText="0"/>
    </x:xf>
    <x:xf numFmtId="0" fontId="3" fillId="0" borderId="7" xfId="0" applyNumberFormat="1" applyFont="1" applyFill="1" applyBorder="1" applyAlignment="1">
      <x:alignment horizontal="general" wrapText="0"/>
    </x:xf>
    <x:xf numFmtId="0" fontId="3" fillId="0" borderId="7" xfId="0" applyNumberFormat="1" applyFont="1" applyFill="1" applyBorder="1" applyAlignment="1">
      <x:alignment horizontal="general" vertical="bottom" wrapText="0"/>
    </x:xf>
    <x:xf numFmtId="0" fontId="0" fillId="7" borderId="0" xfId="0" applyNumberFormat="1" applyFont="1" applyFill="1" applyBorder="1"/>
    <x:xf numFmtId="0" fontId="6" fillId="7" borderId="0" xfId="0" applyNumberFormat="1" applyFont="1" applyFill="1" applyBorder="1"/>
    <x:xf numFmtId="0" fontId="6" fillId="7" borderId="8" xfId="0" applyNumberFormat="1" applyFont="1" applyFill="1" applyBorder="1"/>
    <x:xf numFmtId="0" fontId="6" fillId="7" borderId="8" xfId="0" applyNumberFormat="1" applyFont="1" applyFill="1" applyBorder="1" applyAlignment="1">
      <x:alignment wrapText="1"/>
    </x:xf>
    <x:xf numFmtId="0" fontId="6" fillId="7" borderId="8" xfId="0" applyNumberFormat="1" applyFont="1" applyFill="1" applyBorder="1" applyAlignment="1">
      <x:alignment horizontal="center" wrapText="1"/>
    </x:xf>
    <x:xf numFmtId="0" fontId="6" fillId="7" borderId="8" xfId="0" applyNumberFormat="1" applyFont="1" applyFill="1" applyBorder="1" applyAlignment="1">
      <x:alignment horizontal="center" vertical="center" wrapText="1"/>
    </x:xf>
    <x:xf numFmtId="0" fontId="7" fillId="4" borderId="0" xfId="0" applyNumberFormat="1" applyFont="1" applyFill="1" applyBorder="1"/>
    <x:xf numFmtId="0" fontId="7" fillId="4" borderId="2" xfId="0" applyNumberFormat="1" applyFont="1" applyFill="1" applyBorder="1"/>
    <x:xf numFmtId="0" fontId="7" fillId="4" borderId="2" xfId="0" applyNumberFormat="1" applyFont="1" applyFill="1" applyBorder="1" applyAlignment="1">
      <x:alignment wrapText="1"/>
    </x:xf>
    <x:xf numFmtId="0" fontId="7" fillId="4" borderId="2" xfId="0" applyNumberFormat="1" applyFont="1" applyFill="1" applyBorder="1" applyAlignment="1">
      <x:alignment horizontal="general" wrapText="1"/>
    </x:xf>
    <x:xf numFmtId="0" fontId="7" fillId="4" borderId="2" xfId="0" applyNumberFormat="1" applyFont="1" applyFill="1" applyBorder="1" applyAlignment="1">
      <x:alignment horizontal="general" vertical="center" wrapText="1"/>
    </x:xf>
    <x:xf numFmtId="0" fontId="0" fillId="8" borderId="0" xfId="0" applyNumberFormat="1" applyFont="1" applyFill="1" applyBorder="1"/>
    <x:xf numFmtId="0" fontId="7" fillId="8" borderId="0" xfId="0" applyNumberFormat="1" applyFont="1" applyFill="1" applyBorder="1"/>
    <x:xf numFmtId="0" fontId="7" fillId="8" borderId="4" xfId="0" applyNumberFormat="1" applyFont="1" applyFill="1" applyBorder="1"/>
    <x:xf numFmtId="0" fontId="7" fillId="8" borderId="4" xfId="0" applyNumberFormat="1" applyFont="1" applyFill="1" applyBorder="1" applyAlignment="1">
      <x:alignment wrapText="1"/>
    </x:xf>
    <x:xf numFmtId="0" fontId="7" fillId="8" borderId="4" xfId="0" applyNumberFormat="1" applyFont="1" applyFill="1" applyBorder="1" applyAlignment="1">
      <x:alignment horizontal="general" wrapText="1"/>
    </x:xf>
    <x:xf numFmtId="0" fontId="7" fillId="8" borderId="4" xfId="0" applyNumberFormat="1" applyFont="1" applyFill="1" applyBorder="1" applyAlignment="1">
      <x:alignment horizontal="general" vertical="center" wrapText="1"/>
    </x:xf>
    <x:xf numFmtId="0" fontId="8" fillId="0" borderId="0" xfId="0" applyNumberFormat="1" applyFont="1" applyFill="1" applyBorder="1"/>
    <x:xf numFmtId="0" fontId="8" fillId="0" borderId="0" xfId="0" applyNumberFormat="1" applyFont="1" applyFill="1" applyBorder="1" applyAlignment="1">
      <x:alignment wrapText="0"/>
    </x:xf>
    <x:xf numFmtId="0" fontId="8" fillId="0" borderId="0" xfId="0" applyNumberFormat="1" applyFont="1" applyFill="1" applyBorder="1" applyAlignment="1">
      <x:alignment horizontal="general" wrapText="0"/>
    </x:xf>
    <x:xf numFmtId="0" fontId="8" fillId="0" borderId="0" xfId="0" applyNumberFormat="1" applyFont="1" applyFill="1" applyBorder="1" applyAlignment="1">
      <x:alignment horizontal="general" vertical="bottom" wrapText="0"/>
    </x:xf>
    <x:xf numFmtId="0" fontId="0" fillId="9" borderId="0" xfId="0" applyNumberFormat="1" applyFont="1" applyFill="1" applyBorder="1"/>
    <x:xf numFmtId="0" fontId="9" fillId="9" borderId="0" xfId="0" applyNumberFormat="1" applyFont="1" applyFill="1" applyBorder="1"/>
    <x:xf numFmtId="0" fontId="9" fillId="9" borderId="0" xfId="0" applyNumberFormat="1" applyFont="1" applyFill="1" applyBorder="1" applyAlignment="1">
      <x:alignment wrapText="1"/>
    </x:xf>
    <x:xf numFmtId="0" fontId="9" fillId="9" borderId="0" xfId="0" applyNumberFormat="1" applyFont="1" applyFill="1" applyBorder="1" applyAlignment="1">
      <x:alignment horizontal="center" wrapText="1"/>
    </x:xf>
    <x:xf numFmtId="0" fontId="9" fillId="9" borderId="0" xfId="0" applyNumberFormat="1" applyFont="1" applyFill="1" applyBorder="1" applyAlignment="1">
      <x:alignment horizontal="center" vertical="center" wrapText="1"/>
    </x:xf>
    <x:xf numFmtId="0" fontId="2" fillId="3" borderId="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10" fillId="4" borderId="0" xfId="0" applyNumberFormat="1" applyFont="1" applyFill="1" applyBorder="1"/>
    <x:xf numFmtId="0" fontId="10" fillId="4" borderId="2" xfId="0" applyNumberFormat="1" applyFont="1" applyFill="1" applyBorder="1"/>
    <x:xf numFmtId="0" fontId="10" fillId="4" borderId="2" xfId="0" applyNumberFormat="1" applyFont="1" applyFill="1" applyBorder="1" applyAlignment="1">
      <x:alignment wrapText="1"/>
    </x:xf>
    <x:xf numFmtId="0" fontId="10" fillId="4" borderId="2" xfId="0" applyNumberFormat="1" applyFont="1" applyFill="1" applyBorder="1" applyAlignment="1">
      <x:alignment horizontal="center" wrapText="1"/>
    </x:xf>
    <x:xf numFmtId="0" fontId="10" fillId="4" borderId="2" xfId="0" applyNumberFormat="1" applyFont="1" applyFill="1" applyBorder="1" applyAlignment="1">
      <x:alignment horizontal="center" vertical="center" wrapText="1"/>
    </x:xf>
    <x:xf numFmtId="0" fontId="3" fillId="4" borderId="0" xfId="0" applyNumberFormat="1" applyFont="1" applyFill="1" applyBorder="1"/>
    <x:xf numFmtId="0" fontId="3" fillId="4" borderId="2" xfId="0" applyNumberFormat="1" applyFont="1" applyFill="1" applyBorder="1"/>
    <x:xf numFmtId="0" fontId="3" fillId="4" borderId="2" xfId="0" applyNumberFormat="1" applyFont="1" applyFill="1" applyBorder="1" applyAlignment="1">
      <x:alignment wrapText="1"/>
    </x:xf>
    <x:xf numFmtId="0" fontId="3" fillId="4" borderId="2" xfId="0" applyNumberFormat="1" applyFont="1" applyFill="1" applyBorder="1" applyAlignment="1">
      <x:alignment horizontal="general" wrapText="1"/>
    </x:xf>
    <x:xf numFmtId="0" fontId="3" fillId="4" borderId="2" xfId="0" applyNumberFormat="1" applyFont="1" applyFill="1" applyBorder="1" applyAlignment="1">
      <x:alignment horizontal="general" vertical="center" wrapText="1"/>
    </x:xf>
    <x:xf numFmtId="0" fontId="3" fillId="4" borderId="2" xfId="0" applyNumberFormat="1" applyFont="1" applyFill="1" applyBorder="1" applyAlignment="1">
      <x:alignment horizontal="center" wrapText="1"/>
    </x:xf>
    <x:xf numFmtId="0" fontId="3" fillId="4" borderId="2" xfId="0" applyNumberFormat="1" applyFont="1" applyFill="1" applyBorder="1" applyAlignment="1">
      <x:alignment horizontal="center" vertical="center" wrapText="1"/>
    </x:xf>
    <x:xf numFmtId="0" fontId="3" fillId="8" borderId="0" xfId="0" applyNumberFormat="1" applyFont="1" applyFill="1" applyBorder="1"/>
    <x:xf numFmtId="0" fontId="3" fillId="8" borderId="2" xfId="0" applyNumberFormat="1" applyFont="1" applyFill="1" applyBorder="1"/>
    <x:xf numFmtId="0" fontId="3" fillId="8" borderId="2" xfId="0" applyNumberFormat="1" applyFont="1" applyFill="1" applyBorder="1" applyAlignment="1">
      <x:alignment wrapText="1"/>
    </x:xf>
    <x:xf numFmtId="0" fontId="3" fillId="8" borderId="2" xfId="0" applyNumberFormat="1" applyFont="1" applyFill="1" applyBorder="1" applyAlignment="1">
      <x:alignment horizontal="general" wrapText="1"/>
    </x:xf>
    <x:xf numFmtId="0" fontId="3" fillId="8" borderId="2" xfId="0" applyNumberFormat="1" applyFont="1" applyFill="1" applyBorder="1" applyAlignment="1">
      <x:alignment horizontal="general" vertical="center" wrapText="1"/>
    </x:xf>
    <x:xf numFmtId="0" fontId="11" fillId="8" borderId="0" xfId="0" applyNumberFormat="1" applyFont="1" applyFill="1" applyBorder="1"/>
    <x:xf numFmtId="0" fontId="11" fillId="8" borderId="2" xfId="0" applyNumberFormat="1" applyFont="1" applyFill="1" applyBorder="1"/>
    <x:xf numFmtId="0" fontId="11" fillId="8" borderId="2" xfId="0" applyNumberFormat="1" applyFont="1" applyFill="1" applyBorder="1" applyAlignment="1">
      <x:alignment wrapText="1"/>
    </x:xf>
    <x:xf numFmtId="0" fontId="11" fillId="8" borderId="2" xfId="0" applyNumberFormat="1" applyFont="1" applyFill="1" applyBorder="1" applyAlignment="1">
      <x:alignment horizontal="general" wrapText="1"/>
    </x:xf>
    <x:xf numFmtId="0" fontId="11" fillId="8" borderId="2" xfId="0" applyNumberFormat="1" applyFont="1" applyFill="1" applyBorder="1" applyAlignment="1">
      <x:alignment horizontal="general"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bbd198239264760" /><Relationship Type="http://schemas.openxmlformats.org/officeDocument/2006/relationships/theme" Target="/xl/theme/theme1.xml" Id="Rcfd056c2f41c47c5" /><Relationship Type="http://schemas.openxmlformats.org/officeDocument/2006/relationships/sharedStrings" Target="/xl/sharedStrings.xml" Id="Rb6564e7dfbb24154" /><Relationship Type="http://schemas.openxmlformats.org/officeDocument/2006/relationships/worksheet" Target="/xl/worksheets/sheet1.xml" Id="Rf905cc2af8bf49f1" /><Relationship Type="http://schemas.openxmlformats.org/officeDocument/2006/relationships/worksheet" Target="/xl/worksheets/sheet2.xml" Id="Rb101a4c2b0b34a57" /><Relationship Type="http://schemas.openxmlformats.org/officeDocument/2006/relationships/worksheet" Target="/xl/worksheets/sheet3.xml" Id="Rd1a9699b7a2d492e" /><Relationship Type="http://schemas.microsoft.com/office/2017/10/relationships/person" Target="/xl/persons/person.xml" Id="R1e05f7039f804221" /></Relationships>
</file>

<file path=xl/persons/person.xml><?xml version="1.0" encoding="utf-8"?>
<xltc:personList xmlns:xltc="http://schemas.microsoft.com/office/spreadsheetml/2018/threadedcomments">
  <xltc:person displayName="User" id="{96838345-B04E-4EA7-BED5-EE585886C8A6}"/>
</xltc: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O2" dT="2026-09-02T07:28:49.617" personId="{96838345-B04E-4EA7-BED5-EE585886C8A6}" id="{21E3A37A-1AEB-4F0F-BCE5-D6D5AEC21FF2}">
    <xltc:text>Dropdown maintenance: ROWS minus COUNTBLANK counts actual role labels and excludes unused helper formulas returning empty text. DCANameList points to live formulas in D3:D2328, covering all prepared Character List rows. COUNTBLANK includes formula blanks: https://support.microsoft.com/en-us/excel/ways-to-count-values-in-a-worksheet
Standard named-range validation: https://support.microsoft.com/en-us/excel/more-on-data-validation</xltc:text>
  </xltc:threadedComment>
</xltc:ThreadedComments>
</file>

<file path=xl/worksheets/_rels/sheet2.xml.rels>&#65279;<?xml version="1.0" encoding="utf-8"?><Relationships xmlns="http://schemas.openxmlformats.org/package/2006/relationships"><Relationship Type="http://schemas.openxmlformats.org/officeDocument/2006/relationships/comments" Target="/xl/comments1.xml" Id="R06cf6013b73c4eb7" /><Relationship Type="http://schemas.openxmlformats.org/officeDocument/2006/relationships/vmlDrawing" Target="/xl/drawings/vmldrawing.vml" Id="R3625c4468ea04d97" /><Relationship Type="http://schemas.microsoft.com/office/2017/10/relationships/threadedComment" Target="/xl/threadedcomments/threadedcomment.xml" Id="Rbc118195ddef425f" /></Relationships>
</file>

<file path=xl/worksheets/sheet1.xml><?xml version="1.0" encoding="utf-8"?>
<x:worksheet xmlns:x="http://schemas.openxmlformats.org/spreadsheetml/2006/main">
  <x:sheetViews>
    <x:sheetView showGridLines="0" workbookViewId="0"/>
  </x:sheetViews>
  <x:sheetFormatPr defaultRowHeight="15"/>
  <x:cols>
    <x:col min="1" max="1" width="22" hidden="0" customWidth="1"/>
    <x:col min="2" max="2" width="86" hidden="0" customWidth="1"/>
    <x:col min="3" max="3" width="132.6640625" hidden="0" customWidth="1"/>
  </x:cols>
  <x:sheetData>
    <x:row r="1" ht="30" customHeight="1">
      <x:c r="A1" s="5" t="inlineStr">
        <x:is>
          <x:t xml:space="preserve">How to complete this sheet</x:t>
        </x:is>
      </x:c>
      <x:c r="B1"/>
      <x:c r="C1"/>
    </x:row>
    <x:row r="2" ht="15" customHeight="1">
      <x:c r="A2" s="11"/>
      <x:c r="B2" s="11"/>
      <x:c r="C2" s="11" t="inlineStr">
        <x:is>
          <x:t xml:space="preserve">Note</x:t>
        </x:is>
      </x:c>
    </x:row>
    <x:row r="3" ht="150" customHeight="1">
      <x:c r="A3" s="22" t="inlineStr">
        <x:is>
          <x:t xml:space="preserve">STEP 1</x:t>
        </x:is>
      </x:c>
      <x:c r="B3" s="16" t="str">
        <x:v>Use Character List for DCA Names and optional performer / role mapping. Complete DCA States to choose when each assignment starts. An ensemble label such as MALE ENSEMBLE is simply an ordinary DCA Name; no member list is needed.
在 Character List 中填写 DCA Name，并按需添加演员／角色对应关系。在 DCA States 中设置各状态的开始位置和分配。MALE ENSEMBLE（男声合唱）等名称直接作为普通 DCA Name 使用，无需填写成员列表。</x:v>
      </x:c>
      <x:c r="C3" s="16"/>
    </x:row>
    <x:row r="4" ht="45" customHeight="1">
      <x:c r="A4" s="22" t="inlineStr">
        <x:is>
          <x:t xml:space="preserve">STEP 2</x:t>
        </x:is>
      </x:c>
      <x:c r="B4" s="16" t="inlineStr">
        <x:is>
          <x:t xml:space="preserve">Complete the DCA States sheet.
完成 DCA States 工作表。</x:t>
        </x:is>
      </x:c>
      <x:c r="C4" s="16"/>
    </x:row>
    <x:row r="5" ht="45" customHeight="1">
      <x:c r="A5" s="22" t="inlineStr">
        <x:is>
          <x:t xml:space="preserve">STEP 3</x:t>
        </x:is>
      </x:c>
      <x:c r="B5" s="16" t="inlineStr">
        <x:is>
          <x:t xml:space="preserve">Save the completed workbook, then select it in DCA Script Marker.
保存完成的工作簿，然后在 DCA Script Marker 中选择该文件。</x:t>
        </x:is>
      </x:c>
      <x:c r="C5" s="16"/>
    </x:row>
    <x:row r="6" ht="45" customHeight="1">
      <x:c r="A6" s="22" t="inlineStr">
        <x:is>
          <x:t xml:space="preserve">STEP 4</x:t>
        </x:is>
      </x:c>
      <x:c r="B6" s="16" t="inlineStr">
        <x:is>
          <x:t xml:space="preserve">Review the marked script carefully.
请仔细检查生成的标注剧本。</x:t>
        </x:is>
      </x:c>
      <x:c r="C6"/>
    </x:row>
    <x:row r="7" ht="30" customHeight="1">
      <x:c r="A7"/>
      <x:c r="B7"/>
      <x:c r="C7"/>
    </x:row>
    <x:row r="8" ht="42" customHeight="1">
      <x:c r="A8" s="5" t="inlineStr">
        <x:is>
          <x:t xml:space="preserve">How to complete the Character List</x:t>
        </x:is>
      </x:c>
      <x:c r="B8"/>
      <x:c r="C8"/>
    </x:row>
    <x:row r="9" ht="42" customHeight="1">
      <x:c r="A9" s="11" t="inlineStr">
        <x:is>
          <x:t xml:space="preserve">What to enter</x:t>
        </x:is>
      </x:c>
      <x:c r="B9" s="11" t="inlineStr">
        <x:is>
          <x:t xml:space="preserve">How to write it</x:t>
        </x:is>
      </x:c>
      <x:c r="C9" s="11" t="inlineStr">
        <x:is>
          <x:t xml:space="preserve">Note</x:t>
        </x:is>
      </x:c>
    </x:row>
    <x:row r="10" ht="325" customHeight="1">
      <x:c r="A10" s="22" t="inlineStr">
        <x:is>
          <x:t xml:space="preserve">DCA Name</x:t>
        </x:is>
      </x:c>
      <x:c r="B10" s="16" t="str">
        <x:v>Enter the performer, mic, role, or printed label used in DCA States — one DCA Name per row.
Example:
TOM
JERRY
APPLE
ALL THREE
These are four ordinary, independent DCA Names. ALL THREE is simply another DCA Name. MALE ENSEMBLE can also be a DCA Name; leave Other Script Characters Played blank unless it plays another named role.
填写在 DCA States 中使用的演员、话筒、角色或剧本标签，每行一个 DCA Name。
示例：TOM、JERRY、APPLE、ALL THREE 分别填写在四行中。它们是四个普通、互相独立的 DCA Name。MALE ENSEMBLE 也可以直接作为 DCA Name；没有额外饰演角色时，将 Other Script Characters Played 留空。</x:v>
      </x:c>
      <x:c r="C10" s="16" t="inlineStr">
        <x:is>
          <x:t xml:space="preserve">This is the name you select in every DCA State.
这是在每个 DCA State 中选择的名称。</x:t>
        </x:is>
      </x:c>
    </x:row>
    <x:row r="11" ht="150" customHeight="1">
      <x:c r="A11" s="22" t="inlineStr">
        <x:is>
          <x:t xml:space="preserve">Other Script Characters Played</x:t>
        </x:is>
      </x:c>
      <x:c r="B11" s="16" t="inlineStr">
        <x:is>
          <x:t xml:space="preserve">Optional. Use Other Script Characters Played only when one DCA Name performs additional, differently named script characters. Enter one additional script character per line. Leave this column blank when no such mapping is needed.
可选。只有当一个 DCA Name 还扮演其他名称不同的剧本角色时，才使用 Other Script Characters Played；每行填写一个额外剧本角色。不需要此类映射时，请将本列留空。</x:t>
        </x:is>
      </x:c>
      <x:c r="C11" s="16" t="str">
        <x:v>One DCA Name can play several roles. Example: Jack plays Student and Teacher. Enter Student and Teacher on separate lines in column B. Both roles use Jack’s DCA assignment.
一个 DCA Name 可以饰演多个角色。例如 Jack 饰演 Student 和 Teacher，在 B 列内分行填写这两个角色。两个角色都使用 Jack 的 DCA 分配。</x:v>
      </x:c>
    </x:row>
    <x:row r="12" ht="30" customHeight="1">
      <x:c r="A12"/>
      <x:c r="B12"/>
      <x:c r="C12"/>
    </x:row>
    <x:row r="13" ht="42" customHeight="1">
      <x:c r="A13" s="5" t="inlineStr">
        <x:is>
          <x:t xml:space="preserve">How to complete the DCA States</x:t>
        </x:is>
      </x:c>
      <x:c r="B13"/>
      <x:c r="C13"/>
    </x:row>
    <x:row r="14" ht="42" customHeight="1">
      <x:c r="A14" s="11" t="inlineStr">
        <x:is>
          <x:t xml:space="preserve">What to enter</x:t>
        </x:is>
      </x:c>
      <x:c r="B14" s="11" t="inlineStr">
        <x:is>
          <x:t xml:space="preserve">How to write it</x:t>
        </x:is>
      </x:c>
      <x:c r="C14" s="11" t="inlineStr">
        <x:is>
          <x:t xml:space="preserve">Note</x:t>
        </x:is>
      </x:c>
    </x:row>
    <x:row r="15" ht="42" customHeight="1">
      <x:c r="A15" s="22" t="inlineStr">
        <x:is>
          <x:t xml:space="preserve">DCA State</x:t>
        </x:is>
      </x:c>
      <x:c r="B15" s="16" t="inlineStr">
        <x:is>
          <x:t xml:space="preserve">Enter your own state, snapshot, scene, or song label—for example, S1, Act 1 Scene 3, or Snapshot 20.
填写自定义的状态、快照、场景或歌曲名称，例如 S1、Act 1 Scene 3 或 Snapshot 20。</x:t>
        </x:is>
      </x:c>
      <x:c r="C15" s="16"/>
    </x:row>
    <x:row r="16" ht="42" customHeight="1">
      <x:c r="A16" s="22" t="inlineStr">
        <x:is>
          <x:t xml:space="preserve">Start Line Character</x:t>
        </x:is>
      </x:c>
      <x:c r="B16" s="16" t="inlineStr">
        <x:is>
          <x:t xml:space="preserve">Who is going to say the line?
这段台词是哪位角色说的？</x:t>
        </x:is>
      </x:c>
      <x:c r="C16" s="16" t="inlineStr">
        <x:is>
          <x:t xml:space="preserve">Fill in this cell when the same Start Line Text is spoken by more than one character, so the app can identify the correct DCA State.
当同一段 Start Line Text 可能由多个角色说出时，请填写此栏，以便软件识别正确的 DCA State。</x:t>
        </x:is>
      </x:c>
    </x:row>
    <x:row r="17" ht="42" customHeight="1">
      <x:c r="A17" s="22" t="inlineStr">
        <x:is>
          <x:t xml:space="preserve">Start Line Text</x:t>
        </x:is>
      </x:c>
      <x:c r="B17" s="16" t="inlineStr">
        <x:is>
          <x:t xml:space="preserve">Enter the exact script phrase—including punctuation—that tells the app where a new DCA State begins.
准确填写一段剧本文字（包括标点符号），让软件知道新的 DCA 状态从哪里开始。</x:t>
        </x:is>
      </x:c>
      <x:c r="C17" s="16" t="inlineStr">
        <x:is>
          <x:t xml:space="preserve">Copy and paste the text directly from the script when possible.
可以直接从剧本复制粘贴。</x:t>
        </x:is>
      </x:c>
    </x:row>
    <x:row r="18" ht="42" customHeight="1">
      <x:c r="A18" s="22" t="inlineStr">
        <x:is>
          <x:t xml:space="preserve">State Start Position</x:t>
        </x:is>
      </x:c>
      <x:c r="B18" s="16" t="inlineStr">
        <x:is>
          <x:t xml:space="preserve">Choose Before or After to tell the app whether the new DCA State begins before or after the cue text.
选择 Before 或 After，告诉软件新的 DCA 状态是在提示文字之前还是之后开始。</x:t>
        </x:is>
      </x:c>
      <x:c r="C18" s="16"/>
    </x:row>
    <x:row r="19" ht="105" customHeight="1">
      <x:c r="A19" s="22" t="inlineStr">
        <x:is>
          <x:t xml:space="preserve">Page Hint</x:t>
        </x:is>
      </x:c>
      <x:c r="B19" s="16" t="inlineStr">
        <x:is>
          <x:t xml:space="preserve">Optional. Use when the same cue text appears more than once.
可选。同一提示文字重复出现时使用。</x:t>
        </x:is>
      </x:c>
      <x:c r="C19" s="16" t="inlineStr">
        <x:is>
          <x:t xml:space="preserve">Use the page number printed inside the script. If none is printed, use the sequential PDF page position shown by the viewer (cover = PDF page 1). Do not confuse this with the app's selected-page range, which always uses PDF page positions.
填写剧本页面内印刷的页码；如果没有印刷页码，再填写 PDF 阅读器显示的顺序页码（封面 = PDF 第 1 页）。不要与软件中的指定页码范围混用；该范围始终使用 PDF 顺序页码。</x:t>
        </x:is>
      </x:c>
    </x:row>
    <x:row r="20" ht="250" customHeight="1">
      <x:c r="A20" s="22" t="inlineStr">
        <x:is>
          <x:t xml:space="preserve">DCA cells</x:t>
        </x:is>
      </x:c>
      <x:c r="B20" s="16" t="str">
        <x:v>Choose DCA Names from the dropdown, or type them manually. Put one name on each new line if one DCA has multiple names. For alternate printed names used only in this state, put square brackets after the main name, for example: Ben [B., Young Ben]. An ensemble label such as MALE ENSEMBLE works just like any other DCA Name.
从下拉列表中选择 DCA Name，也可以手动输入。如果一个 DCA 包含多个名称，请在同一单元格内每行填写一个名称。如需添加仅在本状态使用的不同印刷名称，请在主要名称后用方括号填写，例如：Ben [B., Young Ben]。MALE ENSEMBLE 等合唱名称与其他普通 DCA Name 的用法相同。</x:v>
      </x:c>
      <x:c r="C20" s="16" t="inlineStr">
        <x:is>
          <x:t xml:space="preserve">Special example — one DCA Name in multiple DCA columns:
DCA 1 = TOM
        ALL THREE
DCA 2 = JERRY
        ALL THREE
DCA 3 = APPLE
        ALL THREE
Result: the script cue labelled ALL THREE is marked with 1/2/3. The app may show a duplicate-assignment reminder; if this setup is intentional, confirm or ignore the reminder.
特别示例——同一个 DCA Name 出现在多个 DCA 栏：
DCA 1 = TOM
        ALL THREE
DCA 2 = JERRY
        ALL THREE
DCA 3 = APPLE
        ALL THREE
结果：剧本中标为 ALL THREE 的台词会标注 1/2/3。软件可能会显示重复分配提醒；如果这是有意设置，请确认或忽略该提醒。</x:t>
        </x:is>
      </x:c>
    </x:row>
    <x:row r="21">
      <x:c r="A21"/>
      <x:c r="B21"/>
      <x:c r="C21"/>
    </x:row>
    <x:row r="22" ht="28" customHeight="1">
      <x:c r="A22" s="26" t="str">
        <x:v>Find a DCA Name by its script role / 按剧本角色选择 DCA Name</x:v>
      </x:c>
      <x:c r="B22" s="30"/>
      <x:c r="C22" s="34"/>
    </x:row>
    <x:row r="23" ht="32" customHeight="1">
      <x:c r="A23" s="38" t="str">
        <x:v>Character List / 角色列表</x:v>
      </x:c>
      <x:c r="B23" s="38" t="str">
        <x:v>Excel dropdown and cell / Excel 下拉选项与单元格</x:v>
      </x:c>
      <x:c r="C23" s="38"/>
    </x:row>
    <x:row r="24" ht="160" customHeight="1">
      <x:c r="A24" s="40" t="str">
        <x:v>DCA Name:
Jack
Other Script Characters Played:
Student
Teacher</x:v>
      </x:c>
      <x:c r="B24" s="46" t="str">
        <x:v>The dropdown offers Jack [Student] and Jack [Teacher]. Choosing either keeps that label in the cell and assigns Jack, including both roles in Character List, to this DCA. This works in a normal .xlsx file, without macros.
下拉列表包含 Jack [Student] 和 Jack [Teacher]。选择任一选项，单元格会保留该文字，并将 Jack 及其在 Character List 中对应的两个角色分配至此 DCA。普通 .xlsx 即可使用，无需宏。</x:v>
      </x:c>
      <x:c r="C24" s="46"/>
    </x:row>
    <x:row r="25" ht="110" customHeight="1">
      <x:c r="A25" s="40" t="str">
        <x:v>Keep the mapping
保留角色对应关系</x:v>
      </x:c>
      <x:c r="B25" s="46" t="str">
        <x:v>Add DCA Names in Character List, column A (rows 3–168). Put each additional script role on a new line in column B. With Excel calculation set to Automatic, the dropdown updates after you finish the edit: DCA Names first, then role choices such as Jack [Student] and Jack [Teacher]. Blank rows do not stop the list. If it looks out of date, recalculate the workbook. Review already-filled DCA cells after renaming a character or role; existing cell text is not rewritten.
在 Character List 的 A 列（第 3–168 行）添加 DCA Name；在 B 列内分行填写额外饰演的剧本角色。Excel 设为自动计算时，完成编辑后下拉选项会更新：先显示 DCA Name，再显示 Jack [Student]、Jack [Teacher] 等角色选项。中间的空行不会截断列表。如选项未更新，请重新计算工作簿。更改名称后，请检查已填写的 DCA 单元格；已有文字不会自动改写。</x:v>
      </x:c>
      <x:c r="C25" s="46"/>
    </x:row>
  </x:sheetData>
  <x:mergeCells>
    <x:mergeCell ref="A1:C1"/>
    <x:mergeCell ref="A13:C13"/>
    <x:mergeCell ref="A8:C8"/>
    <x:mergeCell ref="A22:C22"/>
    <x:mergeCell ref="B23:C23"/>
    <x:mergeCell ref="B24:C24"/>
    <x:mergeCell ref="B25:C25"/>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32" hidden="0" customWidth="1"/>
    <x:col min="2" max="2" width="46" hidden="0" customWidth="1"/>
    <x:col min="3" max="3" width="42" hidden="0" customWidth="1"/>
    <x:col min="4" max="4" width="0.10999999940395355" hidden="0" customWidth="1"/>
    <x:col min="5" max="5" width="0.10999999940395355" hidden="0" customWidth="1"/>
    <x:col min="6" max="6" width="0.10999999940395355" hidden="0" customWidth="1"/>
    <x:col min="7" max="7" width="0.10999999940395355" hidden="0" customWidth="1"/>
    <x:col min="8" max="8" width="0.10999999940395355" hidden="0" customWidth="1"/>
    <x:col min="9" max="9" width="0.10999999940395355" hidden="0" customWidth="1"/>
    <x:col min="10" max="10" width="0.10999999940395355" hidden="0" customWidth="1"/>
    <x:col min="11" max="11" width="0.10999999940395355" hidden="0" customWidth="1"/>
    <x:col min="12" max="12" width="0.10999999940395355" hidden="0" customWidth="1"/>
    <x:col min="13" max="13" width="0.10999999940395355" hidden="0" customWidth="1"/>
    <x:col min="14" max="14" width="0.10999999940395355" hidden="0" customWidth="1"/>
    <x:col min="15" max="15" width="0.10999999940395355" hidden="0" customWidth="1"/>
  </x:cols>
  <x:sheetData>
    <x:row r="1" ht="28" customHeight="1">
      <x:c r="A1" s="52" t="inlineStr">
        <x:is>
          <x:t xml:space="preserve">Character / Performer Role Mapping — 角色 / 演员映射</x:t>
        </x:is>
      </x:c>
      <x:c r="B1" s="56"/>
      <x:c r="C1" s="60"/>
      <x:c r="D1"/>
      <x:c r="E1"/>
      <x:c r="F1"/>
      <x:c r="G1"/>
      <x:c r="H1"/>
      <x:c r="I1"/>
      <x:c r="J1"/>
      <x:c r="K1"/>
      <x:c r="L1"/>
      <x:c r="M1"/>
      <x:c r="N1"/>
      <x:c r="O1" t="n">
        <x:f>COUNTIF($A$3:$A$168,"&lt;&gt;")</x:f>
        <x:v>0</x:v>
      </x:c>
    </x:row>
    <x:row r="2" ht="30" customHeight="1">
      <x:c r="A2" s="66" t="inlineStr">
        <x:is>
          <x:t xml:space="preserve">DCA Name </x:t>
        </x:is>
      </x:c>
      <x:c r="B2" s="66" t="inlineStr">
        <x:is>
          <x:t xml:space="preserve">Other Script Characters Played</x:t>
        </x:is>
      </x:c>
      <x:c r="C2" s="66" t="inlineStr">
        <x:is>
          <x:t xml:space="preserve">Notes</x:t>
        </x:is>
      </x:c>
      <x:c r="D2"/>
      <x:c r="E2"/>
      <x:c r="F2"/>
      <x:c r="G2"/>
      <x:c r="H2"/>
      <x:c r="I2"/>
      <x:c r="J2"/>
      <x:c r="K2"/>
      <x:c r="L2"/>
      <x:c r="M2"/>
      <x:c r="N2"/>
      <x:c r="O2" t="n">
        <x:f>ROWS($F$3:$F$1994)-COUNTBLANK($F$3:$F$1994)</x:f>
        <x:v>0</x:v>
      </x:c>
    </x:row>
    <x:row r="3">
      <x:c r="A3" s="71"/>
      <x:c r="B3" s="77"/>
      <x:c r="C3" s="71"/>
      <x:c r="D3" t="str">
        <x:f>IFERROR(IF(1&lt;=$O$1,INDEX($A$3:$A$168,MATCH(1,$I$3:$I$168,0)),IF(1&lt;=$O$1+$O$2,INDEX($F$3:$F$1994,MATCH(1-$O$1,$G$3:$G$1994,0)),"")),"")</x:f>
      </x:c>
      <x:c r="E3" t="str">
        <x:f>IF(K3="","",IF(N3&lt;=M3,"",TRIM(CLEAN(MID(INDEX($B$3:$B$168,K3),M3,N3-M3)))))</x:f>
      </x:c>
      <x:c r="F3" t="str">
        <x:f>IF(E3="","",IF(E3=TRIM(INDEX($A$3:$A$168,K3)),"",IF(RIGHT(TRIM(INDEX($A$3:$A$168,K3)),1)="]",LEFT(TRIM(INDEX($A$3:$A$168,K3)),LEN(TRIM(INDEX($A$3:$A$168,K3)))-1)&amp;", "&amp;SUBSTITUTE(SUBSTITUTE(SUBSTITUTE(E3," [",", "),"[",", "),"]","")&amp;"]",TRIM(INDEX($A$3:$A$168,K3))&amp;" ["&amp;SUBSTITUTE(SUBSTITUTE(SUBSTITUTE(E3," [",", "),"[",", "),"]","")&amp;"]")))</x:f>
      </x:c>
      <x:c r="G3" t="str">
        <x:f>IF(F3&lt;&gt;"",ROWS($F$3:F3)-COUNTBLANK($F$3:F3),"")</x:f>
      </x:c>
      <x:c r="H3" t="n">
        <x:f>SUM($J$3:J3)-J3</x:f>
        <x:v>0</x:v>
      </x:c>
      <x:c r="I3" t="str">
        <x:f>IF(A3&lt;&gt;"",COUNTIF($A$3:A3,"&lt;&gt;"),"")</x:f>
      </x:c>
      <x:c r="J3" t="n">
        <x:f>IF(AND(A3&lt;&gt;"",TRIM(B3)&lt;&gt;""),LEN(B3)-LEN(SUBSTITUTE(B3,CHAR(10),""))+1,0)</x:f>
        <x:v>0</x:v>
      </x:c>
      <x:c r="K3" t="str">
        <x:f>IF(ROW()-ROW($K$2)&lt;=SUM($J$3:$J$168),COUNTIF($H$3:$H$168,"&lt;"&amp;(ROW()-ROW($K$2))),"")</x:f>
      </x:c>
      <x:c r="L3" t="str">
        <x:f>IF(K3="","",ROW()-ROW($L$2)-INDEX($H$3:$H$168,K3))</x:f>
      </x:c>
      <x:c r="M3" t="str">
        <x:f>IF(K3="","",IF(L3=1,1,FIND(CHAR(1),SUBSTITUTE(INDEX($B$3:$B$168,K3),CHAR(10),CHAR(1),L3-1))+1))</x:f>
      </x:c>
      <x:c r="N3" t="str">
        <x:f>IF(K3="","",IFERROR(FIND(CHAR(1),SUBSTITUTE(INDEX($B$3:$B$168,K3),CHAR(10),CHAR(1),L3)),LEN(INDEX($B$3:$B$168,K3))+1))</x:f>
      </x:c>
    </x:row>
    <x:row r="4">
      <x:c r="A4" s="71"/>
      <x:c r="B4" s="77"/>
      <x:c r="C4" s="71"/>
      <x:c r="D4" t="str">
        <x:f>IFERROR(IF(2&lt;=$O$1,INDEX($A$3:$A$168,MATCH(2,$I$3:$I$168,0)),IF(2&lt;=$O$1+$O$2,INDEX($F$3:$F$1994,MATCH(2-$O$1,$G$3:$G$1994,0)),"")),"")</x:f>
      </x:c>
      <x:c r="E4" t="str">
        <x:f>IF(K4="","",IF(N4&lt;=M4,"",TRIM(CLEAN(MID(INDEX($B$3:$B$168,K4),M4,N4-M4)))))</x:f>
      </x:c>
      <x:c r="F4" t="str">
        <x:f>IF(E4="","",IF(E4=TRIM(INDEX($A$3:$A$168,K4)),"",IF(RIGHT(TRIM(INDEX($A$3:$A$168,K4)),1)="]",LEFT(TRIM(INDEX($A$3:$A$168,K4)),LEN(TRIM(INDEX($A$3:$A$168,K4)))-1)&amp;", "&amp;SUBSTITUTE(SUBSTITUTE(SUBSTITUTE(E4," [",", "),"[",", "),"]","")&amp;"]",TRIM(INDEX($A$3:$A$168,K4))&amp;" ["&amp;SUBSTITUTE(SUBSTITUTE(SUBSTITUTE(E4," [",", "),"[",", "),"]","")&amp;"]")))</x:f>
      </x:c>
      <x:c r="G4" t="str">
        <x:f>IF(F4&lt;&gt;"",ROWS($F$3:F4)-COUNTBLANK($F$3:F4),"")</x:f>
      </x:c>
      <x:c r="H4" t="n">
        <x:f>SUM($J$3:J4)-J4</x:f>
        <x:v>0</x:v>
      </x:c>
      <x:c r="I4" t="str">
        <x:f>IF(A4&lt;&gt;"",COUNTIF($A$3:A4,"&lt;&gt;"),"")</x:f>
      </x:c>
      <x:c r="J4" t="n">
        <x:f>IF(AND(A4&lt;&gt;"",TRIM(B4)&lt;&gt;""),LEN(B4)-LEN(SUBSTITUTE(B4,CHAR(10),""))+1,0)</x:f>
        <x:v>0</x:v>
      </x:c>
      <x:c r="K4" t="str">
        <x:f>IF(ROW()-ROW($K$2)&lt;=SUM($J$3:$J$168),COUNTIF($H$3:$H$168,"&lt;"&amp;(ROW()-ROW($K$2))),"")</x:f>
      </x:c>
      <x:c r="L4" t="str">
        <x:f>IF(K4="","",ROW()-ROW($L$2)-INDEX($H$3:$H$168,K4))</x:f>
      </x:c>
      <x:c r="M4" t="str">
        <x:f>IF(K4="","",IF(L4=1,1,FIND(CHAR(1),SUBSTITUTE(INDEX($B$3:$B$168,K4),CHAR(10),CHAR(1),L4-1))+1))</x:f>
      </x:c>
      <x:c r="N4" t="str">
        <x:f>IF(K4="","",IFERROR(FIND(CHAR(1),SUBSTITUTE(INDEX($B$3:$B$168,K4),CHAR(10),CHAR(1),L4)),LEN(INDEX($B$3:$B$168,K4))+1))</x:f>
      </x:c>
    </x:row>
    <x:row r="5">
      <x:c r="A5" s="71"/>
      <x:c r="B5" s="77"/>
      <x:c r="C5" s="71"/>
      <x:c r="D5" t="str">
        <x:f>IFERROR(IF(3&lt;=$O$1,INDEX($A$3:$A$168,MATCH(3,$I$3:$I$168,0)),IF(3&lt;=$O$1+$O$2,INDEX($F$3:$F$1994,MATCH(3-$O$1,$G$3:$G$1994,0)),"")),"")</x:f>
      </x:c>
      <x:c r="E5" t="str">
        <x:f>IF(K5="","",IF(N5&lt;=M5,"",TRIM(CLEAN(MID(INDEX($B$3:$B$168,K5),M5,N5-M5)))))</x:f>
      </x:c>
      <x:c r="F5" t="str">
        <x:f>IF(E5="","",IF(E5=TRIM(INDEX($A$3:$A$168,K5)),"",IF(RIGHT(TRIM(INDEX($A$3:$A$168,K5)),1)="]",LEFT(TRIM(INDEX($A$3:$A$168,K5)),LEN(TRIM(INDEX($A$3:$A$168,K5)))-1)&amp;", "&amp;SUBSTITUTE(SUBSTITUTE(SUBSTITUTE(E5," [",", "),"[",", "),"]","")&amp;"]",TRIM(INDEX($A$3:$A$168,K5))&amp;" ["&amp;SUBSTITUTE(SUBSTITUTE(SUBSTITUTE(E5," [",", "),"[",", "),"]","")&amp;"]")))</x:f>
      </x:c>
      <x:c r="G5" t="str">
        <x:f>IF(F5&lt;&gt;"",ROWS($F$3:F5)-COUNTBLANK($F$3:F5),"")</x:f>
      </x:c>
      <x:c r="H5" t="n">
        <x:f>SUM($J$3:J5)-J5</x:f>
        <x:v>0</x:v>
      </x:c>
      <x:c r="I5" t="str">
        <x:f>IF(A5&lt;&gt;"",COUNTIF($A$3:A5,"&lt;&gt;"),"")</x:f>
      </x:c>
      <x:c r="J5" t="n">
        <x:f>IF(AND(A5&lt;&gt;"",TRIM(B5)&lt;&gt;""),LEN(B5)-LEN(SUBSTITUTE(B5,CHAR(10),""))+1,0)</x:f>
        <x:v>0</x:v>
      </x:c>
      <x:c r="K5" t="str">
        <x:f>IF(ROW()-ROW($K$2)&lt;=SUM($J$3:$J$168),COUNTIF($H$3:$H$168,"&lt;"&amp;(ROW()-ROW($K$2))),"")</x:f>
      </x:c>
      <x:c r="L5" t="str">
        <x:f>IF(K5="","",ROW()-ROW($L$2)-INDEX($H$3:$H$168,K5))</x:f>
      </x:c>
      <x:c r="M5" t="str">
        <x:f>IF(K5="","",IF(L5=1,1,FIND(CHAR(1),SUBSTITUTE(INDEX($B$3:$B$168,K5),CHAR(10),CHAR(1),L5-1))+1))</x:f>
      </x:c>
      <x:c r="N5" t="str">
        <x:f>IF(K5="","",IFERROR(FIND(CHAR(1),SUBSTITUTE(INDEX($B$3:$B$168,K5),CHAR(10),CHAR(1),L5)),LEN(INDEX($B$3:$B$168,K5))+1))</x:f>
      </x:c>
    </x:row>
    <x:row r="6">
      <x:c r="A6" s="71"/>
      <x:c r="B6" s="77"/>
      <x:c r="C6" s="71"/>
      <x:c r="D6" t="str">
        <x:f>IFERROR(IF(4&lt;=$O$1,INDEX($A$3:$A$168,MATCH(4,$I$3:$I$168,0)),IF(4&lt;=$O$1+$O$2,INDEX($F$3:$F$1994,MATCH(4-$O$1,$G$3:$G$1994,0)),"")),"")</x:f>
      </x:c>
      <x:c r="E6" t="str">
        <x:f>IF(K6="","",IF(N6&lt;=M6,"",TRIM(CLEAN(MID(INDEX($B$3:$B$168,K6),M6,N6-M6)))))</x:f>
      </x:c>
      <x:c r="F6" t="str">
        <x:f>IF(E6="","",IF(E6=TRIM(INDEX($A$3:$A$168,K6)),"",IF(RIGHT(TRIM(INDEX($A$3:$A$168,K6)),1)="]",LEFT(TRIM(INDEX($A$3:$A$168,K6)),LEN(TRIM(INDEX($A$3:$A$168,K6)))-1)&amp;", "&amp;SUBSTITUTE(SUBSTITUTE(SUBSTITUTE(E6," [",", "),"[",", "),"]","")&amp;"]",TRIM(INDEX($A$3:$A$168,K6))&amp;" ["&amp;SUBSTITUTE(SUBSTITUTE(SUBSTITUTE(E6," [",", "),"[",", "),"]","")&amp;"]")))</x:f>
      </x:c>
      <x:c r="G6" t="str">
        <x:f>IF(F6&lt;&gt;"",ROWS($F$3:F6)-COUNTBLANK($F$3:F6),"")</x:f>
      </x:c>
      <x:c r="H6" t="n">
        <x:f>SUM($J$3:J6)-J6</x:f>
        <x:v>0</x:v>
      </x:c>
      <x:c r="I6" t="str">
        <x:f>IF(A6&lt;&gt;"",COUNTIF($A$3:A6,"&lt;&gt;"),"")</x:f>
      </x:c>
      <x:c r="J6" t="n">
        <x:f>IF(AND(A6&lt;&gt;"",TRIM(B6)&lt;&gt;""),LEN(B6)-LEN(SUBSTITUTE(B6,CHAR(10),""))+1,0)</x:f>
        <x:v>0</x:v>
      </x:c>
      <x:c r="K6" t="str">
        <x:f>IF(ROW()-ROW($K$2)&lt;=SUM($J$3:$J$168),COUNTIF($H$3:$H$168,"&lt;"&amp;(ROW()-ROW($K$2))),"")</x:f>
      </x:c>
      <x:c r="L6" t="str">
        <x:f>IF(K6="","",ROW()-ROW($L$2)-INDEX($H$3:$H$168,K6))</x:f>
      </x:c>
      <x:c r="M6" t="str">
        <x:f>IF(K6="","",IF(L6=1,1,FIND(CHAR(1),SUBSTITUTE(INDEX($B$3:$B$168,K6),CHAR(10),CHAR(1),L6-1))+1))</x:f>
      </x:c>
      <x:c r="N6" t="str">
        <x:f>IF(K6="","",IFERROR(FIND(CHAR(1),SUBSTITUTE(INDEX($B$3:$B$168,K6),CHAR(10),CHAR(1),L6)),LEN(INDEX($B$3:$B$168,K6))+1))</x:f>
      </x:c>
    </x:row>
    <x:row r="7">
      <x:c r="A7" s="71"/>
      <x:c r="B7" s="77"/>
      <x:c r="C7" s="71"/>
      <x:c r="D7" t="str">
        <x:f>IFERROR(IF(5&lt;=$O$1,INDEX($A$3:$A$168,MATCH(5,$I$3:$I$168,0)),IF(5&lt;=$O$1+$O$2,INDEX($F$3:$F$1994,MATCH(5-$O$1,$G$3:$G$1994,0)),"")),"")</x:f>
      </x:c>
      <x:c r="E7" t="str">
        <x:f>IF(K7="","",IF(N7&lt;=M7,"",TRIM(CLEAN(MID(INDEX($B$3:$B$168,K7),M7,N7-M7)))))</x:f>
      </x:c>
      <x:c r="F7" t="str">
        <x:f>IF(E7="","",IF(E7=TRIM(INDEX($A$3:$A$168,K7)),"",IF(RIGHT(TRIM(INDEX($A$3:$A$168,K7)),1)="]",LEFT(TRIM(INDEX($A$3:$A$168,K7)),LEN(TRIM(INDEX($A$3:$A$168,K7)))-1)&amp;", "&amp;SUBSTITUTE(SUBSTITUTE(SUBSTITUTE(E7," [",", "),"[",", "),"]","")&amp;"]",TRIM(INDEX($A$3:$A$168,K7))&amp;" ["&amp;SUBSTITUTE(SUBSTITUTE(SUBSTITUTE(E7," [",", "),"[",", "),"]","")&amp;"]")))</x:f>
      </x:c>
      <x:c r="G7" t="str">
        <x:f>IF(F7&lt;&gt;"",ROWS($F$3:F7)-COUNTBLANK($F$3:F7),"")</x:f>
      </x:c>
      <x:c r="H7" t="n">
        <x:f>SUM($J$3:J7)-J7</x:f>
        <x:v>0</x:v>
      </x:c>
      <x:c r="I7" t="str">
        <x:f>IF(A7&lt;&gt;"",COUNTIF($A$3:A7,"&lt;&gt;"),"")</x:f>
      </x:c>
      <x:c r="J7" t="n">
        <x:f>IF(AND(A7&lt;&gt;"",TRIM(B7)&lt;&gt;""),LEN(B7)-LEN(SUBSTITUTE(B7,CHAR(10),""))+1,0)</x:f>
        <x:v>0</x:v>
      </x:c>
      <x:c r="K7" t="str">
        <x:f>IF(ROW()-ROW($K$2)&lt;=SUM($J$3:$J$168),COUNTIF($H$3:$H$168,"&lt;"&amp;(ROW()-ROW($K$2))),"")</x:f>
      </x:c>
      <x:c r="L7" t="str">
        <x:f>IF(K7="","",ROW()-ROW($L$2)-INDEX($H$3:$H$168,K7))</x:f>
      </x:c>
      <x:c r="M7" t="str">
        <x:f>IF(K7="","",IF(L7=1,1,FIND(CHAR(1),SUBSTITUTE(INDEX($B$3:$B$168,K7),CHAR(10),CHAR(1),L7-1))+1))</x:f>
      </x:c>
      <x:c r="N7" t="str">
        <x:f>IF(K7="","",IFERROR(FIND(CHAR(1),SUBSTITUTE(INDEX($B$3:$B$168,K7),CHAR(10),CHAR(1),L7)),LEN(INDEX($B$3:$B$168,K7))+1))</x:f>
      </x:c>
    </x:row>
    <x:row r="8">
      <x:c r="A8" s="71"/>
      <x:c r="B8" s="77"/>
      <x:c r="C8" s="71"/>
      <x:c r="D8" t="str">
        <x:f>IFERROR(IF(6&lt;=$O$1,INDEX($A$3:$A$168,MATCH(6,$I$3:$I$168,0)),IF(6&lt;=$O$1+$O$2,INDEX($F$3:$F$1994,MATCH(6-$O$1,$G$3:$G$1994,0)),"")),"")</x:f>
      </x:c>
      <x:c r="E8" t="str">
        <x:f>IF(K8="","",IF(N8&lt;=M8,"",TRIM(CLEAN(MID(INDEX($B$3:$B$168,K8),M8,N8-M8)))))</x:f>
      </x:c>
      <x:c r="F8" t="str">
        <x:f>IF(E8="","",IF(E8=TRIM(INDEX($A$3:$A$168,K8)),"",IF(RIGHT(TRIM(INDEX($A$3:$A$168,K8)),1)="]",LEFT(TRIM(INDEX($A$3:$A$168,K8)),LEN(TRIM(INDEX($A$3:$A$168,K8)))-1)&amp;", "&amp;SUBSTITUTE(SUBSTITUTE(SUBSTITUTE(E8," [",", "),"[",", "),"]","")&amp;"]",TRIM(INDEX($A$3:$A$168,K8))&amp;" ["&amp;SUBSTITUTE(SUBSTITUTE(SUBSTITUTE(E8," [",", "),"[",", "),"]","")&amp;"]")))</x:f>
      </x:c>
      <x:c r="G8" t="str">
        <x:f>IF(F8&lt;&gt;"",ROWS($F$3:F8)-COUNTBLANK($F$3:F8),"")</x:f>
      </x:c>
      <x:c r="H8" t="n">
        <x:f>SUM($J$3:J8)-J8</x:f>
        <x:v>0</x:v>
      </x:c>
      <x:c r="I8" t="str">
        <x:f>IF(A8&lt;&gt;"",COUNTIF($A$3:A8,"&lt;&gt;"),"")</x:f>
      </x:c>
      <x:c r="J8" t="n">
        <x:f>IF(AND(A8&lt;&gt;"",TRIM(B8)&lt;&gt;""),LEN(B8)-LEN(SUBSTITUTE(B8,CHAR(10),""))+1,0)</x:f>
        <x:v>0</x:v>
      </x:c>
      <x:c r="K8" t="str">
        <x:f>IF(ROW()-ROW($K$2)&lt;=SUM($J$3:$J$168),COUNTIF($H$3:$H$168,"&lt;"&amp;(ROW()-ROW($K$2))),"")</x:f>
      </x:c>
      <x:c r="L8" t="str">
        <x:f>IF(K8="","",ROW()-ROW($L$2)-INDEX($H$3:$H$168,K8))</x:f>
      </x:c>
      <x:c r="M8" t="str">
        <x:f>IF(K8="","",IF(L8=1,1,FIND(CHAR(1),SUBSTITUTE(INDEX($B$3:$B$168,K8),CHAR(10),CHAR(1),L8-1))+1))</x:f>
      </x:c>
      <x:c r="N8" t="str">
        <x:f>IF(K8="","",IFERROR(FIND(CHAR(1),SUBSTITUTE(INDEX($B$3:$B$168,K8),CHAR(10),CHAR(1),L8)),LEN(INDEX($B$3:$B$168,K8))+1))</x:f>
      </x:c>
    </x:row>
    <x:row r="9">
      <x:c r="A9" s="71"/>
      <x:c r="B9" s="77"/>
      <x:c r="C9" s="71"/>
      <x:c r="D9" t="str">
        <x:f>IFERROR(IF(7&lt;=$O$1,INDEX($A$3:$A$168,MATCH(7,$I$3:$I$168,0)),IF(7&lt;=$O$1+$O$2,INDEX($F$3:$F$1994,MATCH(7-$O$1,$G$3:$G$1994,0)),"")),"")</x:f>
      </x:c>
      <x:c r="E9" t="str">
        <x:f>IF(K9="","",IF(N9&lt;=M9,"",TRIM(CLEAN(MID(INDEX($B$3:$B$168,K9),M9,N9-M9)))))</x:f>
      </x:c>
      <x:c r="F9" t="str">
        <x:f>IF(E9="","",IF(E9=TRIM(INDEX($A$3:$A$168,K9)),"",IF(RIGHT(TRIM(INDEX($A$3:$A$168,K9)),1)="]",LEFT(TRIM(INDEX($A$3:$A$168,K9)),LEN(TRIM(INDEX($A$3:$A$168,K9)))-1)&amp;", "&amp;SUBSTITUTE(SUBSTITUTE(SUBSTITUTE(E9," [",", "),"[",", "),"]","")&amp;"]",TRIM(INDEX($A$3:$A$168,K9))&amp;" ["&amp;SUBSTITUTE(SUBSTITUTE(SUBSTITUTE(E9," [",", "),"[",", "),"]","")&amp;"]")))</x:f>
      </x:c>
      <x:c r="G9" t="str">
        <x:f>IF(F9&lt;&gt;"",ROWS($F$3:F9)-COUNTBLANK($F$3:F9),"")</x:f>
      </x:c>
      <x:c r="H9" t="n">
        <x:f>SUM($J$3:J9)-J9</x:f>
        <x:v>0</x:v>
      </x:c>
      <x:c r="I9" t="str">
        <x:f>IF(A9&lt;&gt;"",COUNTIF($A$3:A9,"&lt;&gt;"),"")</x:f>
      </x:c>
      <x:c r="J9" t="n">
        <x:f>IF(AND(A9&lt;&gt;"",TRIM(B9)&lt;&gt;""),LEN(B9)-LEN(SUBSTITUTE(B9,CHAR(10),""))+1,0)</x:f>
        <x:v>0</x:v>
      </x:c>
      <x:c r="K9" t="str">
        <x:f>IF(ROW()-ROW($K$2)&lt;=SUM($J$3:$J$168),COUNTIF($H$3:$H$168,"&lt;"&amp;(ROW()-ROW($K$2))),"")</x:f>
      </x:c>
      <x:c r="L9" t="str">
        <x:f>IF(K9="","",ROW()-ROW($L$2)-INDEX($H$3:$H$168,K9))</x:f>
      </x:c>
      <x:c r="M9" t="str">
        <x:f>IF(K9="","",IF(L9=1,1,FIND(CHAR(1),SUBSTITUTE(INDEX($B$3:$B$168,K9),CHAR(10),CHAR(1),L9-1))+1))</x:f>
      </x:c>
      <x:c r="N9" t="str">
        <x:f>IF(K9="","",IFERROR(FIND(CHAR(1),SUBSTITUTE(INDEX($B$3:$B$168,K9),CHAR(10),CHAR(1),L9)),LEN(INDEX($B$3:$B$168,K9))+1))</x:f>
      </x:c>
    </x:row>
    <x:row r="10">
      <x:c r="A10" s="71"/>
      <x:c r="B10" s="77"/>
      <x:c r="C10" s="71"/>
      <x:c r="D10" t="str">
        <x:f>IFERROR(IF(8&lt;=$O$1,INDEX($A$3:$A$168,MATCH(8,$I$3:$I$168,0)),IF(8&lt;=$O$1+$O$2,INDEX($F$3:$F$1994,MATCH(8-$O$1,$G$3:$G$1994,0)),"")),"")</x:f>
      </x:c>
      <x:c r="E10" t="str">
        <x:f>IF(K10="","",IF(N10&lt;=M10,"",TRIM(CLEAN(MID(INDEX($B$3:$B$168,K10),M10,N10-M10)))))</x:f>
      </x:c>
      <x:c r="F10" t="str">
        <x:f>IF(E10="","",IF(E10=TRIM(INDEX($A$3:$A$168,K10)),"",IF(RIGHT(TRIM(INDEX($A$3:$A$168,K10)),1)="]",LEFT(TRIM(INDEX($A$3:$A$168,K10)),LEN(TRIM(INDEX($A$3:$A$168,K10)))-1)&amp;", "&amp;SUBSTITUTE(SUBSTITUTE(SUBSTITUTE(E10," [",", "),"[",", "),"]","")&amp;"]",TRIM(INDEX($A$3:$A$168,K10))&amp;" ["&amp;SUBSTITUTE(SUBSTITUTE(SUBSTITUTE(E10," [",", "),"[",", "),"]","")&amp;"]")))</x:f>
      </x:c>
      <x:c r="G10" t="str">
        <x:f>IF(F10&lt;&gt;"",ROWS($F$3:F10)-COUNTBLANK($F$3:F10),"")</x:f>
      </x:c>
      <x:c r="H10" t="n">
        <x:f>SUM($J$3:J10)-J10</x:f>
        <x:v>0</x:v>
      </x:c>
      <x:c r="I10" t="str">
        <x:f>IF(A10&lt;&gt;"",COUNTIF($A$3:A10,"&lt;&gt;"),"")</x:f>
      </x:c>
      <x:c r="J10" t="n">
        <x:f>IF(AND(A10&lt;&gt;"",TRIM(B10)&lt;&gt;""),LEN(B10)-LEN(SUBSTITUTE(B10,CHAR(10),""))+1,0)</x:f>
        <x:v>0</x:v>
      </x:c>
      <x:c r="K10" t="str">
        <x:f>IF(ROW()-ROW($K$2)&lt;=SUM($J$3:$J$168),COUNTIF($H$3:$H$168,"&lt;"&amp;(ROW()-ROW($K$2))),"")</x:f>
      </x:c>
      <x:c r="L10" t="str">
        <x:f>IF(K10="","",ROW()-ROW($L$2)-INDEX($H$3:$H$168,K10))</x:f>
      </x:c>
      <x:c r="M10" t="str">
        <x:f>IF(K10="","",IF(L10=1,1,FIND(CHAR(1),SUBSTITUTE(INDEX($B$3:$B$168,K10),CHAR(10),CHAR(1),L10-1))+1))</x:f>
      </x:c>
      <x:c r="N10" t="str">
        <x:f>IF(K10="","",IFERROR(FIND(CHAR(1),SUBSTITUTE(INDEX($B$3:$B$168,K10),CHAR(10),CHAR(1),L10)),LEN(INDEX($B$3:$B$168,K10))+1))</x:f>
      </x:c>
    </x:row>
    <x:row r="11">
      <x:c r="A11" s="71"/>
      <x:c r="B11" s="77"/>
      <x:c r="C11" s="71"/>
      <x:c r="D11" t="str">
        <x:f>IFERROR(IF(9&lt;=$O$1,INDEX($A$3:$A$168,MATCH(9,$I$3:$I$168,0)),IF(9&lt;=$O$1+$O$2,INDEX($F$3:$F$1994,MATCH(9-$O$1,$G$3:$G$1994,0)),"")),"")</x:f>
      </x:c>
      <x:c r="E11" t="str">
        <x:f>IF(K11="","",IF(N11&lt;=M11,"",TRIM(CLEAN(MID(INDEX($B$3:$B$168,K11),M11,N11-M11)))))</x:f>
      </x:c>
      <x:c r="F11" t="str">
        <x:f>IF(E11="","",IF(E11=TRIM(INDEX($A$3:$A$168,K11)),"",IF(RIGHT(TRIM(INDEX($A$3:$A$168,K11)),1)="]",LEFT(TRIM(INDEX($A$3:$A$168,K11)),LEN(TRIM(INDEX($A$3:$A$168,K11)))-1)&amp;", "&amp;SUBSTITUTE(SUBSTITUTE(SUBSTITUTE(E11," [",", "),"[",", "),"]","")&amp;"]",TRIM(INDEX($A$3:$A$168,K11))&amp;" ["&amp;SUBSTITUTE(SUBSTITUTE(SUBSTITUTE(E11," [",", "),"[",", "),"]","")&amp;"]")))</x:f>
      </x:c>
      <x:c r="G11" t="str">
        <x:f>IF(F11&lt;&gt;"",ROWS($F$3:F11)-COUNTBLANK($F$3:F11),"")</x:f>
      </x:c>
      <x:c r="H11" t="n">
        <x:f>SUM($J$3:J11)-J11</x:f>
        <x:v>0</x:v>
      </x:c>
      <x:c r="I11" t="str">
        <x:f>IF(A11&lt;&gt;"",COUNTIF($A$3:A11,"&lt;&gt;"),"")</x:f>
      </x:c>
      <x:c r="J11" t="n">
        <x:f>IF(AND(A11&lt;&gt;"",TRIM(B11)&lt;&gt;""),LEN(B11)-LEN(SUBSTITUTE(B11,CHAR(10),""))+1,0)</x:f>
        <x:v>0</x:v>
      </x:c>
      <x:c r="K11" t="str">
        <x:f>IF(ROW()-ROW($K$2)&lt;=SUM($J$3:$J$168),COUNTIF($H$3:$H$168,"&lt;"&amp;(ROW()-ROW($K$2))),"")</x:f>
      </x:c>
      <x:c r="L11" t="str">
        <x:f>IF(K11="","",ROW()-ROW($L$2)-INDEX($H$3:$H$168,K11))</x:f>
      </x:c>
      <x:c r="M11" t="str">
        <x:f>IF(K11="","",IF(L11=1,1,FIND(CHAR(1),SUBSTITUTE(INDEX($B$3:$B$168,K11),CHAR(10),CHAR(1),L11-1))+1))</x:f>
      </x:c>
      <x:c r="N11" t="str">
        <x:f>IF(K11="","",IFERROR(FIND(CHAR(1),SUBSTITUTE(INDEX($B$3:$B$168,K11),CHAR(10),CHAR(1),L11)),LEN(INDEX($B$3:$B$168,K11))+1))</x:f>
      </x:c>
    </x:row>
    <x:row r="12">
      <x:c r="A12" s="71"/>
      <x:c r="B12" s="77"/>
      <x:c r="C12" s="71"/>
      <x:c r="D12" t="str">
        <x:f>IFERROR(IF(10&lt;=$O$1,INDEX($A$3:$A$168,MATCH(10,$I$3:$I$168,0)),IF(10&lt;=$O$1+$O$2,INDEX($F$3:$F$1994,MATCH(10-$O$1,$G$3:$G$1994,0)),"")),"")</x:f>
      </x:c>
      <x:c r="E12" t="str">
        <x:f>IF(K12="","",IF(N12&lt;=M12,"",TRIM(CLEAN(MID(INDEX($B$3:$B$168,K12),M12,N12-M12)))))</x:f>
      </x:c>
      <x:c r="F12" t="str">
        <x:f>IF(E12="","",IF(E12=TRIM(INDEX($A$3:$A$168,K12)),"",IF(RIGHT(TRIM(INDEX($A$3:$A$168,K12)),1)="]",LEFT(TRIM(INDEX($A$3:$A$168,K12)),LEN(TRIM(INDEX($A$3:$A$168,K12)))-1)&amp;", "&amp;SUBSTITUTE(SUBSTITUTE(SUBSTITUTE(E12," [",", "),"[",", "),"]","")&amp;"]",TRIM(INDEX($A$3:$A$168,K12))&amp;" ["&amp;SUBSTITUTE(SUBSTITUTE(SUBSTITUTE(E12," [",", "),"[",", "),"]","")&amp;"]")))</x:f>
      </x:c>
      <x:c r="G12" t="str">
        <x:f>IF(F12&lt;&gt;"",ROWS($F$3:F12)-COUNTBLANK($F$3:F12),"")</x:f>
      </x:c>
      <x:c r="H12" t="n">
        <x:f>SUM($J$3:J12)-J12</x:f>
        <x:v>0</x:v>
      </x:c>
      <x:c r="I12" t="str">
        <x:f>IF(A12&lt;&gt;"",COUNTIF($A$3:A12,"&lt;&gt;"),"")</x:f>
      </x:c>
      <x:c r="J12" t="n">
        <x:f>IF(AND(A12&lt;&gt;"",TRIM(B12)&lt;&gt;""),LEN(B12)-LEN(SUBSTITUTE(B12,CHAR(10),""))+1,0)</x:f>
        <x:v>0</x:v>
      </x:c>
      <x:c r="K12" t="str">
        <x:f>IF(ROW()-ROW($K$2)&lt;=SUM($J$3:$J$168),COUNTIF($H$3:$H$168,"&lt;"&amp;(ROW()-ROW($K$2))),"")</x:f>
      </x:c>
      <x:c r="L12" t="str">
        <x:f>IF(K12="","",ROW()-ROW($L$2)-INDEX($H$3:$H$168,K12))</x:f>
      </x:c>
      <x:c r="M12" t="str">
        <x:f>IF(K12="","",IF(L12=1,1,FIND(CHAR(1),SUBSTITUTE(INDEX($B$3:$B$168,K12),CHAR(10),CHAR(1),L12-1))+1))</x:f>
      </x:c>
      <x:c r="N12" t="str">
        <x:f>IF(K12="","",IFERROR(FIND(CHAR(1),SUBSTITUTE(INDEX($B$3:$B$168,K12),CHAR(10),CHAR(1),L12)),LEN(INDEX($B$3:$B$168,K12))+1))</x:f>
      </x:c>
    </x:row>
    <x:row r="13">
      <x:c r="A13" s="71"/>
      <x:c r="B13" s="77"/>
      <x:c r="C13" s="71"/>
      <x:c r="D13" t="str">
        <x:f>IFERROR(IF(11&lt;=$O$1,INDEX($A$3:$A$168,MATCH(11,$I$3:$I$168,0)),IF(11&lt;=$O$1+$O$2,INDEX($F$3:$F$1994,MATCH(11-$O$1,$G$3:$G$1994,0)),"")),"")</x:f>
      </x:c>
      <x:c r="E13" t="str">
        <x:f>IF(K13="","",IF(N13&lt;=M13,"",TRIM(CLEAN(MID(INDEX($B$3:$B$168,K13),M13,N13-M13)))))</x:f>
      </x:c>
      <x:c r="F13" t="str">
        <x:f>IF(E13="","",IF(E13=TRIM(INDEX($A$3:$A$168,K13)),"",IF(RIGHT(TRIM(INDEX($A$3:$A$168,K13)),1)="]",LEFT(TRIM(INDEX($A$3:$A$168,K13)),LEN(TRIM(INDEX($A$3:$A$168,K13)))-1)&amp;", "&amp;SUBSTITUTE(SUBSTITUTE(SUBSTITUTE(E13," [",", "),"[",", "),"]","")&amp;"]",TRIM(INDEX($A$3:$A$168,K13))&amp;" ["&amp;SUBSTITUTE(SUBSTITUTE(SUBSTITUTE(E13," [",", "),"[",", "),"]","")&amp;"]")))</x:f>
      </x:c>
      <x:c r="G13" t="str">
        <x:f>IF(F13&lt;&gt;"",ROWS($F$3:F13)-COUNTBLANK($F$3:F13),"")</x:f>
      </x:c>
      <x:c r="H13" t="n">
        <x:f>SUM($J$3:J13)-J13</x:f>
        <x:v>0</x:v>
      </x:c>
      <x:c r="I13" t="str">
        <x:f>IF(A13&lt;&gt;"",COUNTIF($A$3:A13,"&lt;&gt;"),"")</x:f>
      </x:c>
      <x:c r="J13" t="n">
        <x:f>IF(AND(A13&lt;&gt;"",TRIM(B13)&lt;&gt;""),LEN(B13)-LEN(SUBSTITUTE(B13,CHAR(10),""))+1,0)</x:f>
        <x:v>0</x:v>
      </x:c>
      <x:c r="K13" t="str">
        <x:f>IF(ROW()-ROW($K$2)&lt;=SUM($J$3:$J$168),COUNTIF($H$3:$H$168,"&lt;"&amp;(ROW()-ROW($K$2))),"")</x:f>
      </x:c>
      <x:c r="L13" t="str">
        <x:f>IF(K13="","",ROW()-ROW($L$2)-INDEX($H$3:$H$168,K13))</x:f>
      </x:c>
      <x:c r="M13" t="str">
        <x:f>IF(K13="","",IF(L13=1,1,FIND(CHAR(1),SUBSTITUTE(INDEX($B$3:$B$168,K13),CHAR(10),CHAR(1),L13-1))+1))</x:f>
      </x:c>
      <x:c r="N13" t="str">
        <x:f>IF(K13="","",IFERROR(FIND(CHAR(1),SUBSTITUTE(INDEX($B$3:$B$168,K13),CHAR(10),CHAR(1),L13)),LEN(INDEX($B$3:$B$168,K13))+1))</x:f>
      </x:c>
    </x:row>
    <x:row r="14">
      <x:c r="A14" s="71"/>
      <x:c r="B14" s="77"/>
      <x:c r="C14" s="71"/>
      <x:c r="D14" t="str">
        <x:f>IFERROR(IF(12&lt;=$O$1,INDEX($A$3:$A$168,MATCH(12,$I$3:$I$168,0)),IF(12&lt;=$O$1+$O$2,INDEX($F$3:$F$1994,MATCH(12-$O$1,$G$3:$G$1994,0)),"")),"")</x:f>
      </x:c>
      <x:c r="E14" t="str">
        <x:f>IF(K14="","",IF(N14&lt;=M14,"",TRIM(CLEAN(MID(INDEX($B$3:$B$168,K14),M14,N14-M14)))))</x:f>
      </x:c>
      <x:c r="F14" t="str">
        <x:f>IF(E14="","",IF(E14=TRIM(INDEX($A$3:$A$168,K14)),"",IF(RIGHT(TRIM(INDEX($A$3:$A$168,K14)),1)="]",LEFT(TRIM(INDEX($A$3:$A$168,K14)),LEN(TRIM(INDEX($A$3:$A$168,K14)))-1)&amp;", "&amp;SUBSTITUTE(SUBSTITUTE(SUBSTITUTE(E14," [",", "),"[",", "),"]","")&amp;"]",TRIM(INDEX($A$3:$A$168,K14))&amp;" ["&amp;SUBSTITUTE(SUBSTITUTE(SUBSTITUTE(E14," [",", "),"[",", "),"]","")&amp;"]")))</x:f>
      </x:c>
      <x:c r="G14" t="str">
        <x:f>IF(F14&lt;&gt;"",ROWS($F$3:F14)-COUNTBLANK($F$3:F14),"")</x:f>
      </x:c>
      <x:c r="H14" t="n">
        <x:f>SUM($J$3:J14)-J14</x:f>
        <x:v>0</x:v>
      </x:c>
      <x:c r="I14" t="str">
        <x:f>IF(A14&lt;&gt;"",COUNTIF($A$3:A14,"&lt;&gt;"),"")</x:f>
      </x:c>
      <x:c r="J14" t="n">
        <x:f>IF(AND(A14&lt;&gt;"",TRIM(B14)&lt;&gt;""),LEN(B14)-LEN(SUBSTITUTE(B14,CHAR(10),""))+1,0)</x:f>
        <x:v>0</x:v>
      </x:c>
      <x:c r="K14" t="str">
        <x:f>IF(ROW()-ROW($K$2)&lt;=SUM($J$3:$J$168),COUNTIF($H$3:$H$168,"&lt;"&amp;(ROW()-ROW($K$2))),"")</x:f>
      </x:c>
      <x:c r="L14" t="str">
        <x:f>IF(K14="","",ROW()-ROW($L$2)-INDEX($H$3:$H$168,K14))</x:f>
      </x:c>
      <x:c r="M14" t="str">
        <x:f>IF(K14="","",IF(L14=1,1,FIND(CHAR(1),SUBSTITUTE(INDEX($B$3:$B$168,K14),CHAR(10),CHAR(1),L14-1))+1))</x:f>
      </x:c>
      <x:c r="N14" t="str">
        <x:f>IF(K14="","",IFERROR(FIND(CHAR(1),SUBSTITUTE(INDEX($B$3:$B$168,K14),CHAR(10),CHAR(1),L14)),LEN(INDEX($B$3:$B$168,K14))+1))</x:f>
      </x:c>
    </x:row>
    <x:row r="15">
      <x:c r="A15" s="71"/>
      <x:c r="B15" s="77"/>
      <x:c r="C15" s="71"/>
      <x:c r="D15" t="str">
        <x:f>IFERROR(IF(13&lt;=$O$1,INDEX($A$3:$A$168,MATCH(13,$I$3:$I$168,0)),IF(13&lt;=$O$1+$O$2,INDEX($F$3:$F$1994,MATCH(13-$O$1,$G$3:$G$1994,0)),"")),"")</x:f>
      </x:c>
      <x:c r="E15" t="str">
        <x:f>IF(K15="","",IF(N15&lt;=M15,"",TRIM(CLEAN(MID(INDEX($B$3:$B$168,K15),M15,N15-M15)))))</x:f>
      </x:c>
      <x:c r="F15" t="str">
        <x:f>IF(E15="","",IF(E15=TRIM(INDEX($A$3:$A$168,K15)),"",IF(RIGHT(TRIM(INDEX($A$3:$A$168,K15)),1)="]",LEFT(TRIM(INDEX($A$3:$A$168,K15)),LEN(TRIM(INDEX($A$3:$A$168,K15)))-1)&amp;", "&amp;SUBSTITUTE(SUBSTITUTE(SUBSTITUTE(E15," [",", "),"[",", "),"]","")&amp;"]",TRIM(INDEX($A$3:$A$168,K15))&amp;" ["&amp;SUBSTITUTE(SUBSTITUTE(SUBSTITUTE(E15," [",", "),"[",", "),"]","")&amp;"]")))</x:f>
      </x:c>
      <x:c r="G15" t="str">
        <x:f>IF(F15&lt;&gt;"",ROWS($F$3:F15)-COUNTBLANK($F$3:F15),"")</x:f>
      </x:c>
      <x:c r="H15" t="n">
        <x:f>SUM($J$3:J15)-J15</x:f>
        <x:v>0</x:v>
      </x:c>
      <x:c r="I15" t="str">
        <x:f>IF(A15&lt;&gt;"",COUNTIF($A$3:A15,"&lt;&gt;"),"")</x:f>
      </x:c>
      <x:c r="J15" t="n">
        <x:f>IF(AND(A15&lt;&gt;"",TRIM(B15)&lt;&gt;""),LEN(B15)-LEN(SUBSTITUTE(B15,CHAR(10),""))+1,0)</x:f>
        <x:v>0</x:v>
      </x:c>
      <x:c r="K15" t="str">
        <x:f>IF(ROW()-ROW($K$2)&lt;=SUM($J$3:$J$168),COUNTIF($H$3:$H$168,"&lt;"&amp;(ROW()-ROW($K$2))),"")</x:f>
      </x:c>
      <x:c r="L15" t="str">
        <x:f>IF(K15="","",ROW()-ROW($L$2)-INDEX($H$3:$H$168,K15))</x:f>
      </x:c>
      <x:c r="M15" t="str">
        <x:f>IF(K15="","",IF(L15=1,1,FIND(CHAR(1),SUBSTITUTE(INDEX($B$3:$B$168,K15),CHAR(10),CHAR(1),L15-1))+1))</x:f>
      </x:c>
      <x:c r="N15" t="str">
        <x:f>IF(K15="","",IFERROR(FIND(CHAR(1),SUBSTITUTE(INDEX($B$3:$B$168,K15),CHAR(10),CHAR(1),L15)),LEN(INDEX($B$3:$B$168,K15))+1))</x:f>
      </x:c>
    </x:row>
    <x:row r="16">
      <x:c r="A16" s="71"/>
      <x:c r="B16" s="77"/>
      <x:c r="C16" s="71"/>
      <x:c r="D16" t="str">
        <x:f>IFERROR(IF(14&lt;=$O$1,INDEX($A$3:$A$168,MATCH(14,$I$3:$I$168,0)),IF(14&lt;=$O$1+$O$2,INDEX($F$3:$F$1994,MATCH(14-$O$1,$G$3:$G$1994,0)),"")),"")</x:f>
      </x:c>
      <x:c r="E16" t="str">
        <x:f>IF(K16="","",IF(N16&lt;=M16,"",TRIM(CLEAN(MID(INDEX($B$3:$B$168,K16),M16,N16-M16)))))</x:f>
      </x:c>
      <x:c r="F16" t="str">
        <x:f>IF(E16="","",IF(E16=TRIM(INDEX($A$3:$A$168,K16)),"",IF(RIGHT(TRIM(INDEX($A$3:$A$168,K16)),1)="]",LEFT(TRIM(INDEX($A$3:$A$168,K16)),LEN(TRIM(INDEX($A$3:$A$168,K16)))-1)&amp;", "&amp;SUBSTITUTE(SUBSTITUTE(SUBSTITUTE(E16," [",", "),"[",", "),"]","")&amp;"]",TRIM(INDEX($A$3:$A$168,K16))&amp;" ["&amp;SUBSTITUTE(SUBSTITUTE(SUBSTITUTE(E16," [",", "),"[",", "),"]","")&amp;"]")))</x:f>
      </x:c>
      <x:c r="G16" t="str">
        <x:f>IF(F16&lt;&gt;"",ROWS($F$3:F16)-COUNTBLANK($F$3:F16),"")</x:f>
      </x:c>
      <x:c r="H16" t="n">
        <x:f>SUM($J$3:J16)-J16</x:f>
        <x:v>0</x:v>
      </x:c>
      <x:c r="I16" t="str">
        <x:f>IF(A16&lt;&gt;"",COUNTIF($A$3:A16,"&lt;&gt;"),"")</x:f>
      </x:c>
      <x:c r="J16" t="n">
        <x:f>IF(AND(A16&lt;&gt;"",TRIM(B16)&lt;&gt;""),LEN(B16)-LEN(SUBSTITUTE(B16,CHAR(10),""))+1,0)</x:f>
        <x:v>0</x:v>
      </x:c>
      <x:c r="K16" t="str">
        <x:f>IF(ROW()-ROW($K$2)&lt;=SUM($J$3:$J$168),COUNTIF($H$3:$H$168,"&lt;"&amp;(ROW()-ROW($K$2))),"")</x:f>
      </x:c>
      <x:c r="L16" t="str">
        <x:f>IF(K16="","",ROW()-ROW($L$2)-INDEX($H$3:$H$168,K16))</x:f>
      </x:c>
      <x:c r="M16" t="str">
        <x:f>IF(K16="","",IF(L16=1,1,FIND(CHAR(1),SUBSTITUTE(INDEX($B$3:$B$168,K16),CHAR(10),CHAR(1),L16-1))+1))</x:f>
      </x:c>
      <x:c r="N16" t="str">
        <x:f>IF(K16="","",IFERROR(FIND(CHAR(1),SUBSTITUTE(INDEX($B$3:$B$168,K16),CHAR(10),CHAR(1),L16)),LEN(INDEX($B$3:$B$168,K16))+1))</x:f>
      </x:c>
    </x:row>
    <x:row r="17">
      <x:c r="A17" s="71"/>
      <x:c r="B17" s="77"/>
      <x:c r="C17" s="71"/>
      <x:c r="D17" t="str">
        <x:f>IFERROR(IF(15&lt;=$O$1,INDEX($A$3:$A$168,MATCH(15,$I$3:$I$168,0)),IF(15&lt;=$O$1+$O$2,INDEX($F$3:$F$1994,MATCH(15-$O$1,$G$3:$G$1994,0)),"")),"")</x:f>
      </x:c>
      <x:c r="E17" t="str">
        <x:f>IF(K17="","",IF(N17&lt;=M17,"",TRIM(CLEAN(MID(INDEX($B$3:$B$168,K17),M17,N17-M17)))))</x:f>
      </x:c>
      <x:c r="F17" t="str">
        <x:f>IF(E17="","",IF(E17=TRIM(INDEX($A$3:$A$168,K17)),"",IF(RIGHT(TRIM(INDEX($A$3:$A$168,K17)),1)="]",LEFT(TRIM(INDEX($A$3:$A$168,K17)),LEN(TRIM(INDEX($A$3:$A$168,K17)))-1)&amp;", "&amp;SUBSTITUTE(SUBSTITUTE(SUBSTITUTE(E17," [",", "),"[",", "),"]","")&amp;"]",TRIM(INDEX($A$3:$A$168,K17))&amp;" ["&amp;SUBSTITUTE(SUBSTITUTE(SUBSTITUTE(E17," [",", "),"[",", "),"]","")&amp;"]")))</x:f>
      </x:c>
      <x:c r="G17" t="str">
        <x:f>IF(F17&lt;&gt;"",ROWS($F$3:F17)-COUNTBLANK($F$3:F17),"")</x:f>
      </x:c>
      <x:c r="H17" t="n">
        <x:f>SUM($J$3:J17)-J17</x:f>
        <x:v>0</x:v>
      </x:c>
      <x:c r="I17" t="str">
        <x:f>IF(A17&lt;&gt;"",COUNTIF($A$3:A17,"&lt;&gt;"),"")</x:f>
      </x:c>
      <x:c r="J17" t="n">
        <x:f>IF(AND(A17&lt;&gt;"",TRIM(B17)&lt;&gt;""),LEN(B17)-LEN(SUBSTITUTE(B17,CHAR(10),""))+1,0)</x:f>
        <x:v>0</x:v>
      </x:c>
      <x:c r="K17" t="str">
        <x:f>IF(ROW()-ROW($K$2)&lt;=SUM($J$3:$J$168),COUNTIF($H$3:$H$168,"&lt;"&amp;(ROW()-ROW($K$2))),"")</x:f>
      </x:c>
      <x:c r="L17" t="str">
        <x:f>IF(K17="","",ROW()-ROW($L$2)-INDEX($H$3:$H$168,K17))</x:f>
      </x:c>
      <x:c r="M17" t="str">
        <x:f>IF(K17="","",IF(L17=1,1,FIND(CHAR(1),SUBSTITUTE(INDEX($B$3:$B$168,K17),CHAR(10),CHAR(1),L17-1))+1))</x:f>
      </x:c>
      <x:c r="N17" t="str">
        <x:f>IF(K17="","",IFERROR(FIND(CHAR(1),SUBSTITUTE(INDEX($B$3:$B$168,K17),CHAR(10),CHAR(1),L17)),LEN(INDEX($B$3:$B$168,K17))+1))</x:f>
      </x:c>
    </x:row>
    <x:row r="18">
      <x:c r="A18" s="71"/>
      <x:c r="B18" s="77"/>
      <x:c r="C18" s="71"/>
      <x:c r="D18" t="str">
        <x:f>IFERROR(IF(16&lt;=$O$1,INDEX($A$3:$A$168,MATCH(16,$I$3:$I$168,0)),IF(16&lt;=$O$1+$O$2,INDEX($F$3:$F$1994,MATCH(16-$O$1,$G$3:$G$1994,0)),"")),"")</x:f>
      </x:c>
      <x:c r="E18" t="str">
        <x:f>IF(K18="","",IF(N18&lt;=M18,"",TRIM(CLEAN(MID(INDEX($B$3:$B$168,K18),M18,N18-M18)))))</x:f>
      </x:c>
      <x:c r="F18" t="str">
        <x:f>IF(E18="","",IF(E18=TRIM(INDEX($A$3:$A$168,K18)),"",IF(RIGHT(TRIM(INDEX($A$3:$A$168,K18)),1)="]",LEFT(TRIM(INDEX($A$3:$A$168,K18)),LEN(TRIM(INDEX($A$3:$A$168,K18)))-1)&amp;", "&amp;SUBSTITUTE(SUBSTITUTE(SUBSTITUTE(E18," [",", "),"[",", "),"]","")&amp;"]",TRIM(INDEX($A$3:$A$168,K18))&amp;" ["&amp;SUBSTITUTE(SUBSTITUTE(SUBSTITUTE(E18," [",", "),"[",", "),"]","")&amp;"]")))</x:f>
      </x:c>
      <x:c r="G18" t="str">
        <x:f>IF(F18&lt;&gt;"",ROWS($F$3:F18)-COUNTBLANK($F$3:F18),"")</x:f>
      </x:c>
      <x:c r="H18" t="n">
        <x:f>SUM($J$3:J18)-J18</x:f>
        <x:v>0</x:v>
      </x:c>
      <x:c r="I18" t="str">
        <x:f>IF(A18&lt;&gt;"",COUNTIF($A$3:A18,"&lt;&gt;"),"")</x:f>
      </x:c>
      <x:c r="J18" t="n">
        <x:f>IF(AND(A18&lt;&gt;"",TRIM(B18)&lt;&gt;""),LEN(B18)-LEN(SUBSTITUTE(B18,CHAR(10),""))+1,0)</x:f>
        <x:v>0</x:v>
      </x:c>
      <x:c r="K18" t="str">
        <x:f>IF(ROW()-ROW($K$2)&lt;=SUM($J$3:$J$168),COUNTIF($H$3:$H$168,"&lt;"&amp;(ROW()-ROW($K$2))),"")</x:f>
      </x:c>
      <x:c r="L18" t="str">
        <x:f>IF(K18="","",ROW()-ROW($L$2)-INDEX($H$3:$H$168,K18))</x:f>
      </x:c>
      <x:c r="M18" t="str">
        <x:f>IF(K18="","",IF(L18=1,1,FIND(CHAR(1),SUBSTITUTE(INDEX($B$3:$B$168,K18),CHAR(10),CHAR(1),L18-1))+1))</x:f>
      </x:c>
      <x:c r="N18" t="str">
        <x:f>IF(K18="","",IFERROR(FIND(CHAR(1),SUBSTITUTE(INDEX($B$3:$B$168,K18),CHAR(10),CHAR(1),L18)),LEN(INDEX($B$3:$B$168,K18))+1))</x:f>
      </x:c>
    </x:row>
    <x:row r="19">
      <x:c r="A19" s="71"/>
      <x:c r="B19" s="77"/>
      <x:c r="C19" s="71"/>
      <x:c r="D19" t="str">
        <x:f>IFERROR(IF(17&lt;=$O$1,INDEX($A$3:$A$168,MATCH(17,$I$3:$I$168,0)),IF(17&lt;=$O$1+$O$2,INDEX($F$3:$F$1994,MATCH(17-$O$1,$G$3:$G$1994,0)),"")),"")</x:f>
      </x:c>
      <x:c r="E19" t="str">
        <x:f>IF(K19="","",IF(N19&lt;=M19,"",TRIM(CLEAN(MID(INDEX($B$3:$B$168,K19),M19,N19-M19)))))</x:f>
      </x:c>
      <x:c r="F19" t="str">
        <x:f>IF(E19="","",IF(E19=TRIM(INDEX($A$3:$A$168,K19)),"",IF(RIGHT(TRIM(INDEX($A$3:$A$168,K19)),1)="]",LEFT(TRIM(INDEX($A$3:$A$168,K19)),LEN(TRIM(INDEX($A$3:$A$168,K19)))-1)&amp;", "&amp;SUBSTITUTE(SUBSTITUTE(SUBSTITUTE(E19," [",", "),"[",", "),"]","")&amp;"]",TRIM(INDEX($A$3:$A$168,K19))&amp;" ["&amp;SUBSTITUTE(SUBSTITUTE(SUBSTITUTE(E19," [",", "),"[",", "),"]","")&amp;"]")))</x:f>
      </x:c>
      <x:c r="G19" t="str">
        <x:f>IF(F19&lt;&gt;"",ROWS($F$3:F19)-COUNTBLANK($F$3:F19),"")</x:f>
      </x:c>
      <x:c r="H19" t="n">
        <x:f>SUM($J$3:J19)-J19</x:f>
        <x:v>0</x:v>
      </x:c>
      <x:c r="I19" t="str">
        <x:f>IF(A19&lt;&gt;"",COUNTIF($A$3:A19,"&lt;&gt;"),"")</x:f>
      </x:c>
      <x:c r="J19" t="n">
        <x:f>IF(AND(A19&lt;&gt;"",TRIM(B19)&lt;&gt;""),LEN(B19)-LEN(SUBSTITUTE(B19,CHAR(10),""))+1,0)</x:f>
        <x:v>0</x:v>
      </x:c>
      <x:c r="K19" t="str">
        <x:f>IF(ROW()-ROW($K$2)&lt;=SUM($J$3:$J$168),COUNTIF($H$3:$H$168,"&lt;"&amp;(ROW()-ROW($K$2))),"")</x:f>
      </x:c>
      <x:c r="L19" t="str">
        <x:f>IF(K19="","",ROW()-ROW($L$2)-INDEX($H$3:$H$168,K19))</x:f>
      </x:c>
      <x:c r="M19" t="str">
        <x:f>IF(K19="","",IF(L19=1,1,FIND(CHAR(1),SUBSTITUTE(INDEX($B$3:$B$168,K19),CHAR(10),CHAR(1),L19-1))+1))</x:f>
      </x:c>
      <x:c r="N19" t="str">
        <x:f>IF(K19="","",IFERROR(FIND(CHAR(1),SUBSTITUTE(INDEX($B$3:$B$168,K19),CHAR(10),CHAR(1),L19)),LEN(INDEX($B$3:$B$168,K19))+1))</x:f>
      </x:c>
    </x:row>
    <x:row r="20">
      <x:c r="A20" s="71"/>
      <x:c r="B20" s="77"/>
      <x:c r="C20" s="71"/>
      <x:c r="D20" t="str">
        <x:f>IFERROR(IF(18&lt;=$O$1,INDEX($A$3:$A$168,MATCH(18,$I$3:$I$168,0)),IF(18&lt;=$O$1+$O$2,INDEX($F$3:$F$1994,MATCH(18-$O$1,$G$3:$G$1994,0)),"")),"")</x:f>
      </x:c>
      <x:c r="E20" t="str">
        <x:f>IF(K20="","",IF(N20&lt;=M20,"",TRIM(CLEAN(MID(INDEX($B$3:$B$168,K20),M20,N20-M20)))))</x:f>
      </x:c>
      <x:c r="F20" t="str">
        <x:f>IF(E20="","",IF(E20=TRIM(INDEX($A$3:$A$168,K20)),"",IF(RIGHT(TRIM(INDEX($A$3:$A$168,K20)),1)="]",LEFT(TRIM(INDEX($A$3:$A$168,K20)),LEN(TRIM(INDEX($A$3:$A$168,K20)))-1)&amp;", "&amp;SUBSTITUTE(SUBSTITUTE(SUBSTITUTE(E20," [",", "),"[",", "),"]","")&amp;"]",TRIM(INDEX($A$3:$A$168,K20))&amp;" ["&amp;SUBSTITUTE(SUBSTITUTE(SUBSTITUTE(E20," [",", "),"[",", "),"]","")&amp;"]")))</x:f>
      </x:c>
      <x:c r="G20" t="str">
        <x:f>IF(F20&lt;&gt;"",ROWS($F$3:F20)-COUNTBLANK($F$3:F20),"")</x:f>
      </x:c>
      <x:c r="H20" t="n">
        <x:f>SUM($J$3:J20)-J20</x:f>
        <x:v>0</x:v>
      </x:c>
      <x:c r="I20" t="str">
        <x:f>IF(A20&lt;&gt;"",COUNTIF($A$3:A20,"&lt;&gt;"),"")</x:f>
      </x:c>
      <x:c r="J20" t="n">
        <x:f>IF(AND(A20&lt;&gt;"",TRIM(B20)&lt;&gt;""),LEN(B20)-LEN(SUBSTITUTE(B20,CHAR(10),""))+1,0)</x:f>
        <x:v>0</x:v>
      </x:c>
      <x:c r="K20" t="str">
        <x:f>IF(ROW()-ROW($K$2)&lt;=SUM($J$3:$J$168),COUNTIF($H$3:$H$168,"&lt;"&amp;(ROW()-ROW($K$2))),"")</x:f>
      </x:c>
      <x:c r="L20" t="str">
        <x:f>IF(K20="","",ROW()-ROW($L$2)-INDEX($H$3:$H$168,K20))</x:f>
      </x:c>
      <x:c r="M20" t="str">
        <x:f>IF(K20="","",IF(L20=1,1,FIND(CHAR(1),SUBSTITUTE(INDEX($B$3:$B$168,K20),CHAR(10),CHAR(1),L20-1))+1))</x:f>
      </x:c>
      <x:c r="N20" t="str">
        <x:f>IF(K20="","",IFERROR(FIND(CHAR(1),SUBSTITUTE(INDEX($B$3:$B$168,K20),CHAR(10),CHAR(1),L20)),LEN(INDEX($B$3:$B$168,K20))+1))</x:f>
      </x:c>
    </x:row>
    <x:row r="21">
      <x:c r="A21" s="71"/>
      <x:c r="B21" s="77"/>
      <x:c r="C21" s="71"/>
      <x:c r="D21" t="str">
        <x:f>IFERROR(IF(19&lt;=$O$1,INDEX($A$3:$A$168,MATCH(19,$I$3:$I$168,0)),IF(19&lt;=$O$1+$O$2,INDEX($F$3:$F$1994,MATCH(19-$O$1,$G$3:$G$1994,0)),"")),"")</x:f>
      </x:c>
      <x:c r="E21" t="str">
        <x:f>IF(K21="","",IF(N21&lt;=M21,"",TRIM(CLEAN(MID(INDEX($B$3:$B$168,K21),M21,N21-M21)))))</x:f>
      </x:c>
      <x:c r="F21" t="str">
        <x:f>IF(E21="","",IF(E21=TRIM(INDEX($A$3:$A$168,K21)),"",IF(RIGHT(TRIM(INDEX($A$3:$A$168,K21)),1)="]",LEFT(TRIM(INDEX($A$3:$A$168,K21)),LEN(TRIM(INDEX($A$3:$A$168,K21)))-1)&amp;", "&amp;SUBSTITUTE(SUBSTITUTE(SUBSTITUTE(E21," [",", "),"[",", "),"]","")&amp;"]",TRIM(INDEX($A$3:$A$168,K21))&amp;" ["&amp;SUBSTITUTE(SUBSTITUTE(SUBSTITUTE(E21," [",", "),"[",", "),"]","")&amp;"]")))</x:f>
      </x:c>
      <x:c r="G21" t="str">
        <x:f>IF(F21&lt;&gt;"",ROWS($F$3:F21)-COUNTBLANK($F$3:F21),"")</x:f>
      </x:c>
      <x:c r="H21" t="n">
        <x:f>SUM($J$3:J21)-J21</x:f>
        <x:v>0</x:v>
      </x:c>
      <x:c r="I21" t="str">
        <x:f>IF(A21&lt;&gt;"",COUNTIF($A$3:A21,"&lt;&gt;"),"")</x:f>
      </x:c>
      <x:c r="J21" t="n">
        <x:f>IF(AND(A21&lt;&gt;"",TRIM(B21)&lt;&gt;""),LEN(B21)-LEN(SUBSTITUTE(B21,CHAR(10),""))+1,0)</x:f>
        <x:v>0</x:v>
      </x:c>
      <x:c r="K21" t="str">
        <x:f>IF(ROW()-ROW($K$2)&lt;=SUM($J$3:$J$168),COUNTIF($H$3:$H$168,"&lt;"&amp;(ROW()-ROW($K$2))),"")</x:f>
      </x:c>
      <x:c r="L21" t="str">
        <x:f>IF(K21="","",ROW()-ROW($L$2)-INDEX($H$3:$H$168,K21))</x:f>
      </x:c>
      <x:c r="M21" t="str">
        <x:f>IF(K21="","",IF(L21=1,1,FIND(CHAR(1),SUBSTITUTE(INDEX($B$3:$B$168,K21),CHAR(10),CHAR(1),L21-1))+1))</x:f>
      </x:c>
      <x:c r="N21" t="str">
        <x:f>IF(K21="","",IFERROR(FIND(CHAR(1),SUBSTITUTE(INDEX($B$3:$B$168,K21),CHAR(10),CHAR(1),L21)),LEN(INDEX($B$3:$B$168,K21))+1))</x:f>
      </x:c>
    </x:row>
    <x:row r="22">
      <x:c r="A22" s="71"/>
      <x:c r="B22" s="77"/>
      <x:c r="C22" s="71"/>
      <x:c r="D22" t="str">
        <x:f>IFERROR(IF(20&lt;=$O$1,INDEX($A$3:$A$168,MATCH(20,$I$3:$I$168,0)),IF(20&lt;=$O$1+$O$2,INDEX($F$3:$F$1994,MATCH(20-$O$1,$G$3:$G$1994,0)),"")),"")</x:f>
      </x:c>
      <x:c r="E22" t="str">
        <x:f>IF(K22="","",IF(N22&lt;=M22,"",TRIM(CLEAN(MID(INDEX($B$3:$B$168,K22),M22,N22-M22)))))</x:f>
      </x:c>
      <x:c r="F22" t="str">
        <x:f>IF(E22="","",IF(E22=TRIM(INDEX($A$3:$A$168,K22)),"",IF(RIGHT(TRIM(INDEX($A$3:$A$168,K22)),1)="]",LEFT(TRIM(INDEX($A$3:$A$168,K22)),LEN(TRIM(INDEX($A$3:$A$168,K22)))-1)&amp;", "&amp;SUBSTITUTE(SUBSTITUTE(SUBSTITUTE(E22," [",", "),"[",", "),"]","")&amp;"]",TRIM(INDEX($A$3:$A$168,K22))&amp;" ["&amp;SUBSTITUTE(SUBSTITUTE(SUBSTITUTE(E22," [",", "),"[",", "),"]","")&amp;"]")))</x:f>
      </x:c>
      <x:c r="G22" t="str">
        <x:f>IF(F22&lt;&gt;"",ROWS($F$3:F22)-COUNTBLANK($F$3:F22),"")</x:f>
      </x:c>
      <x:c r="H22" t="n">
        <x:f>SUM($J$3:J22)-J22</x:f>
        <x:v>0</x:v>
      </x:c>
      <x:c r="I22" t="str">
        <x:f>IF(A22&lt;&gt;"",COUNTIF($A$3:A22,"&lt;&gt;"),"")</x:f>
      </x:c>
      <x:c r="J22" t="n">
        <x:f>IF(AND(A22&lt;&gt;"",TRIM(B22)&lt;&gt;""),LEN(B22)-LEN(SUBSTITUTE(B22,CHAR(10),""))+1,0)</x:f>
        <x:v>0</x:v>
      </x:c>
      <x:c r="K22" t="str">
        <x:f>IF(ROW()-ROW($K$2)&lt;=SUM($J$3:$J$168),COUNTIF($H$3:$H$168,"&lt;"&amp;(ROW()-ROW($K$2))),"")</x:f>
      </x:c>
      <x:c r="L22" t="str">
        <x:f>IF(K22="","",ROW()-ROW($L$2)-INDEX($H$3:$H$168,K22))</x:f>
      </x:c>
      <x:c r="M22" t="str">
        <x:f>IF(K22="","",IF(L22=1,1,FIND(CHAR(1),SUBSTITUTE(INDEX($B$3:$B$168,K22),CHAR(10),CHAR(1),L22-1))+1))</x:f>
      </x:c>
      <x:c r="N22" t="str">
        <x:f>IF(K22="","",IFERROR(FIND(CHAR(1),SUBSTITUTE(INDEX($B$3:$B$168,K22),CHAR(10),CHAR(1),L22)),LEN(INDEX($B$3:$B$168,K22))+1))</x:f>
      </x:c>
    </x:row>
    <x:row r="23">
      <x:c r="A23" s="71"/>
      <x:c r="B23" s="77"/>
      <x:c r="C23" s="71"/>
      <x:c r="D23" t="str">
        <x:f>IFERROR(IF(21&lt;=$O$1,INDEX($A$3:$A$168,MATCH(21,$I$3:$I$168,0)),IF(21&lt;=$O$1+$O$2,INDEX($F$3:$F$1994,MATCH(21-$O$1,$G$3:$G$1994,0)),"")),"")</x:f>
      </x:c>
      <x:c r="E23" t="str">
        <x:f>IF(K23="","",IF(N23&lt;=M23,"",TRIM(CLEAN(MID(INDEX($B$3:$B$168,K23),M23,N23-M23)))))</x:f>
      </x:c>
      <x:c r="F23" t="str">
        <x:f>IF(E23="","",IF(E23=TRIM(INDEX($A$3:$A$168,K23)),"",IF(RIGHT(TRIM(INDEX($A$3:$A$168,K23)),1)="]",LEFT(TRIM(INDEX($A$3:$A$168,K23)),LEN(TRIM(INDEX($A$3:$A$168,K23)))-1)&amp;", "&amp;SUBSTITUTE(SUBSTITUTE(SUBSTITUTE(E23," [",", "),"[",", "),"]","")&amp;"]",TRIM(INDEX($A$3:$A$168,K23))&amp;" ["&amp;SUBSTITUTE(SUBSTITUTE(SUBSTITUTE(E23," [",", "),"[",", "),"]","")&amp;"]")))</x:f>
      </x:c>
      <x:c r="G23" t="str">
        <x:f>IF(F23&lt;&gt;"",ROWS($F$3:F23)-COUNTBLANK($F$3:F23),"")</x:f>
      </x:c>
      <x:c r="H23" t="n">
        <x:f>SUM($J$3:J23)-J23</x:f>
        <x:v>0</x:v>
      </x:c>
      <x:c r="I23" t="str">
        <x:f>IF(A23&lt;&gt;"",COUNTIF($A$3:A23,"&lt;&gt;"),"")</x:f>
      </x:c>
      <x:c r="J23" t="n">
        <x:f>IF(AND(A23&lt;&gt;"",TRIM(B23)&lt;&gt;""),LEN(B23)-LEN(SUBSTITUTE(B23,CHAR(10),""))+1,0)</x:f>
        <x:v>0</x:v>
      </x:c>
      <x:c r="K23" t="str">
        <x:f>IF(ROW()-ROW($K$2)&lt;=SUM($J$3:$J$168),COUNTIF($H$3:$H$168,"&lt;"&amp;(ROW()-ROW($K$2))),"")</x:f>
      </x:c>
      <x:c r="L23" t="str">
        <x:f>IF(K23="","",ROW()-ROW($L$2)-INDEX($H$3:$H$168,K23))</x:f>
      </x:c>
      <x:c r="M23" t="str">
        <x:f>IF(K23="","",IF(L23=1,1,FIND(CHAR(1),SUBSTITUTE(INDEX($B$3:$B$168,K23),CHAR(10),CHAR(1),L23-1))+1))</x:f>
      </x:c>
      <x:c r="N23" t="str">
        <x:f>IF(K23="","",IFERROR(FIND(CHAR(1),SUBSTITUTE(INDEX($B$3:$B$168,K23),CHAR(10),CHAR(1),L23)),LEN(INDEX($B$3:$B$168,K23))+1))</x:f>
      </x:c>
    </x:row>
    <x:row r="24">
      <x:c r="A24" s="71"/>
      <x:c r="B24" s="77"/>
      <x:c r="C24" s="71"/>
      <x:c r="D24" t="str">
        <x:f>IFERROR(IF(22&lt;=$O$1,INDEX($A$3:$A$168,MATCH(22,$I$3:$I$168,0)),IF(22&lt;=$O$1+$O$2,INDEX($F$3:$F$1994,MATCH(22-$O$1,$G$3:$G$1994,0)),"")),"")</x:f>
      </x:c>
      <x:c r="E24" t="str">
        <x:f>IF(K24="","",IF(N24&lt;=M24,"",TRIM(CLEAN(MID(INDEX($B$3:$B$168,K24),M24,N24-M24)))))</x:f>
      </x:c>
      <x:c r="F24" t="str">
        <x:f>IF(E24="","",IF(E24=TRIM(INDEX($A$3:$A$168,K24)),"",IF(RIGHT(TRIM(INDEX($A$3:$A$168,K24)),1)="]",LEFT(TRIM(INDEX($A$3:$A$168,K24)),LEN(TRIM(INDEX($A$3:$A$168,K24)))-1)&amp;", "&amp;SUBSTITUTE(SUBSTITUTE(SUBSTITUTE(E24," [",", "),"[",", "),"]","")&amp;"]",TRIM(INDEX($A$3:$A$168,K24))&amp;" ["&amp;SUBSTITUTE(SUBSTITUTE(SUBSTITUTE(E24," [",", "),"[",", "),"]","")&amp;"]")))</x:f>
      </x:c>
      <x:c r="G24" t="str">
        <x:f>IF(F24&lt;&gt;"",ROWS($F$3:F24)-COUNTBLANK($F$3:F24),"")</x:f>
      </x:c>
      <x:c r="H24" t="n">
        <x:f>SUM($J$3:J24)-J24</x:f>
        <x:v>0</x:v>
      </x:c>
      <x:c r="I24" t="str">
        <x:f>IF(A24&lt;&gt;"",COUNTIF($A$3:A24,"&lt;&gt;"),"")</x:f>
      </x:c>
      <x:c r="J24" t="n">
        <x:f>IF(AND(A24&lt;&gt;"",TRIM(B24)&lt;&gt;""),LEN(B24)-LEN(SUBSTITUTE(B24,CHAR(10),""))+1,0)</x:f>
        <x:v>0</x:v>
      </x:c>
      <x:c r="K24" t="str">
        <x:f>IF(ROW()-ROW($K$2)&lt;=SUM($J$3:$J$168),COUNTIF($H$3:$H$168,"&lt;"&amp;(ROW()-ROW($K$2))),"")</x:f>
      </x:c>
      <x:c r="L24" t="str">
        <x:f>IF(K24="","",ROW()-ROW($L$2)-INDEX($H$3:$H$168,K24))</x:f>
      </x:c>
      <x:c r="M24" t="str">
        <x:f>IF(K24="","",IF(L24=1,1,FIND(CHAR(1),SUBSTITUTE(INDEX($B$3:$B$168,K24),CHAR(10),CHAR(1),L24-1))+1))</x:f>
      </x:c>
      <x:c r="N24" t="str">
        <x:f>IF(K24="","",IFERROR(FIND(CHAR(1),SUBSTITUTE(INDEX($B$3:$B$168,K24),CHAR(10),CHAR(1),L24)),LEN(INDEX($B$3:$B$168,K24))+1))</x:f>
      </x:c>
    </x:row>
    <x:row r="25">
      <x:c r="A25" s="71"/>
      <x:c r="B25" s="77"/>
      <x:c r="C25" s="71"/>
      <x:c r="D25" t="str">
        <x:f>IFERROR(IF(23&lt;=$O$1,INDEX($A$3:$A$168,MATCH(23,$I$3:$I$168,0)),IF(23&lt;=$O$1+$O$2,INDEX($F$3:$F$1994,MATCH(23-$O$1,$G$3:$G$1994,0)),"")),"")</x:f>
      </x:c>
      <x:c r="E25" t="str">
        <x:f>IF(K25="","",IF(N25&lt;=M25,"",TRIM(CLEAN(MID(INDEX($B$3:$B$168,K25),M25,N25-M25)))))</x:f>
      </x:c>
      <x:c r="F25" t="str">
        <x:f>IF(E25="","",IF(E25=TRIM(INDEX($A$3:$A$168,K25)),"",IF(RIGHT(TRIM(INDEX($A$3:$A$168,K25)),1)="]",LEFT(TRIM(INDEX($A$3:$A$168,K25)),LEN(TRIM(INDEX($A$3:$A$168,K25)))-1)&amp;", "&amp;SUBSTITUTE(SUBSTITUTE(SUBSTITUTE(E25," [",", "),"[",", "),"]","")&amp;"]",TRIM(INDEX($A$3:$A$168,K25))&amp;" ["&amp;SUBSTITUTE(SUBSTITUTE(SUBSTITUTE(E25," [",", "),"[",", "),"]","")&amp;"]")))</x:f>
      </x:c>
      <x:c r="G25" t="str">
        <x:f>IF(F25&lt;&gt;"",ROWS($F$3:F25)-COUNTBLANK($F$3:F25),"")</x:f>
      </x:c>
      <x:c r="H25" t="n">
        <x:f>SUM($J$3:J25)-J25</x:f>
        <x:v>0</x:v>
      </x:c>
      <x:c r="I25" t="str">
        <x:f>IF(A25&lt;&gt;"",COUNTIF($A$3:A25,"&lt;&gt;"),"")</x:f>
      </x:c>
      <x:c r="J25" t="n">
        <x:f>IF(AND(A25&lt;&gt;"",TRIM(B25)&lt;&gt;""),LEN(B25)-LEN(SUBSTITUTE(B25,CHAR(10),""))+1,0)</x:f>
        <x:v>0</x:v>
      </x:c>
      <x:c r="K25" t="str">
        <x:f>IF(ROW()-ROW($K$2)&lt;=SUM($J$3:$J$168),COUNTIF($H$3:$H$168,"&lt;"&amp;(ROW()-ROW($K$2))),"")</x:f>
      </x:c>
      <x:c r="L25" t="str">
        <x:f>IF(K25="","",ROW()-ROW($L$2)-INDEX($H$3:$H$168,K25))</x:f>
      </x:c>
      <x:c r="M25" t="str">
        <x:f>IF(K25="","",IF(L25=1,1,FIND(CHAR(1),SUBSTITUTE(INDEX($B$3:$B$168,K25),CHAR(10),CHAR(1),L25-1))+1))</x:f>
      </x:c>
      <x:c r="N25" t="str">
        <x:f>IF(K25="","",IFERROR(FIND(CHAR(1),SUBSTITUTE(INDEX($B$3:$B$168,K25),CHAR(10),CHAR(1),L25)),LEN(INDEX($B$3:$B$168,K25))+1))</x:f>
      </x:c>
    </x:row>
    <x:row r="26">
      <x:c r="A26" s="71"/>
      <x:c r="B26" s="77"/>
      <x:c r="C26" s="71"/>
      <x:c r="D26" t="str">
        <x:f>IFERROR(IF(24&lt;=$O$1,INDEX($A$3:$A$168,MATCH(24,$I$3:$I$168,0)),IF(24&lt;=$O$1+$O$2,INDEX($F$3:$F$1994,MATCH(24-$O$1,$G$3:$G$1994,0)),"")),"")</x:f>
      </x:c>
      <x:c r="E26" t="str">
        <x:f>IF(K26="","",IF(N26&lt;=M26,"",TRIM(CLEAN(MID(INDEX($B$3:$B$168,K26),M26,N26-M26)))))</x:f>
      </x:c>
      <x:c r="F26" t="str">
        <x:f>IF(E26="","",IF(E26=TRIM(INDEX($A$3:$A$168,K26)),"",IF(RIGHT(TRIM(INDEX($A$3:$A$168,K26)),1)="]",LEFT(TRIM(INDEX($A$3:$A$168,K26)),LEN(TRIM(INDEX($A$3:$A$168,K26)))-1)&amp;", "&amp;SUBSTITUTE(SUBSTITUTE(SUBSTITUTE(E26," [",", "),"[",", "),"]","")&amp;"]",TRIM(INDEX($A$3:$A$168,K26))&amp;" ["&amp;SUBSTITUTE(SUBSTITUTE(SUBSTITUTE(E26," [",", "),"[",", "),"]","")&amp;"]")))</x:f>
      </x:c>
      <x:c r="G26" t="str">
        <x:f>IF(F26&lt;&gt;"",ROWS($F$3:F26)-COUNTBLANK($F$3:F26),"")</x:f>
      </x:c>
      <x:c r="H26" t="n">
        <x:f>SUM($J$3:J26)-J26</x:f>
        <x:v>0</x:v>
      </x:c>
      <x:c r="I26" t="str">
        <x:f>IF(A26&lt;&gt;"",COUNTIF($A$3:A26,"&lt;&gt;"),"")</x:f>
      </x:c>
      <x:c r="J26" t="n">
        <x:f>IF(AND(A26&lt;&gt;"",TRIM(B26)&lt;&gt;""),LEN(B26)-LEN(SUBSTITUTE(B26,CHAR(10),""))+1,0)</x:f>
        <x:v>0</x:v>
      </x:c>
      <x:c r="K26" t="str">
        <x:f>IF(ROW()-ROW($K$2)&lt;=SUM($J$3:$J$168),COUNTIF($H$3:$H$168,"&lt;"&amp;(ROW()-ROW($K$2))),"")</x:f>
      </x:c>
      <x:c r="L26" t="str">
        <x:f>IF(K26="","",ROW()-ROW($L$2)-INDEX($H$3:$H$168,K26))</x:f>
      </x:c>
      <x:c r="M26" t="str">
        <x:f>IF(K26="","",IF(L26=1,1,FIND(CHAR(1),SUBSTITUTE(INDEX($B$3:$B$168,K26),CHAR(10),CHAR(1),L26-1))+1))</x:f>
      </x:c>
      <x:c r="N26" t="str">
        <x:f>IF(K26="","",IFERROR(FIND(CHAR(1),SUBSTITUTE(INDEX($B$3:$B$168,K26),CHAR(10),CHAR(1),L26)),LEN(INDEX($B$3:$B$168,K26))+1))</x:f>
      </x:c>
    </x:row>
    <x:row r="27">
      <x:c r="A27" s="71"/>
      <x:c r="B27" s="77"/>
      <x:c r="C27" s="71"/>
      <x:c r="D27" t="str">
        <x:f>IFERROR(IF(25&lt;=$O$1,INDEX($A$3:$A$168,MATCH(25,$I$3:$I$168,0)),IF(25&lt;=$O$1+$O$2,INDEX($F$3:$F$1994,MATCH(25-$O$1,$G$3:$G$1994,0)),"")),"")</x:f>
      </x:c>
      <x:c r="E27" t="str">
        <x:f>IF(K27="","",IF(N27&lt;=M27,"",TRIM(CLEAN(MID(INDEX($B$3:$B$168,K27),M27,N27-M27)))))</x:f>
      </x:c>
      <x:c r="F27" t="str">
        <x:f>IF(E27="","",IF(E27=TRIM(INDEX($A$3:$A$168,K27)),"",IF(RIGHT(TRIM(INDEX($A$3:$A$168,K27)),1)="]",LEFT(TRIM(INDEX($A$3:$A$168,K27)),LEN(TRIM(INDEX($A$3:$A$168,K27)))-1)&amp;", "&amp;SUBSTITUTE(SUBSTITUTE(SUBSTITUTE(E27," [",", "),"[",", "),"]","")&amp;"]",TRIM(INDEX($A$3:$A$168,K27))&amp;" ["&amp;SUBSTITUTE(SUBSTITUTE(SUBSTITUTE(E27," [",", "),"[",", "),"]","")&amp;"]")))</x:f>
      </x:c>
      <x:c r="G27" t="str">
        <x:f>IF(F27&lt;&gt;"",ROWS($F$3:F27)-COUNTBLANK($F$3:F27),"")</x:f>
      </x:c>
      <x:c r="H27" t="n">
        <x:f>SUM($J$3:J27)-J27</x:f>
        <x:v>0</x:v>
      </x:c>
      <x:c r="I27" t="str">
        <x:f>IF(A27&lt;&gt;"",COUNTIF($A$3:A27,"&lt;&gt;"),"")</x:f>
      </x:c>
      <x:c r="J27" t="n">
        <x:f>IF(AND(A27&lt;&gt;"",TRIM(B27)&lt;&gt;""),LEN(B27)-LEN(SUBSTITUTE(B27,CHAR(10),""))+1,0)</x:f>
        <x:v>0</x:v>
      </x:c>
      <x:c r="K27" t="str">
        <x:f>IF(ROW()-ROW($K$2)&lt;=SUM($J$3:$J$168),COUNTIF($H$3:$H$168,"&lt;"&amp;(ROW()-ROW($K$2))),"")</x:f>
      </x:c>
      <x:c r="L27" t="str">
        <x:f>IF(K27="","",ROW()-ROW($L$2)-INDEX($H$3:$H$168,K27))</x:f>
      </x:c>
      <x:c r="M27" t="str">
        <x:f>IF(K27="","",IF(L27=1,1,FIND(CHAR(1),SUBSTITUTE(INDEX($B$3:$B$168,K27),CHAR(10),CHAR(1),L27-1))+1))</x:f>
      </x:c>
      <x:c r="N27" t="str">
        <x:f>IF(K27="","",IFERROR(FIND(CHAR(1),SUBSTITUTE(INDEX($B$3:$B$168,K27),CHAR(10),CHAR(1),L27)),LEN(INDEX($B$3:$B$168,K27))+1))</x:f>
      </x:c>
    </x:row>
    <x:row r="28">
      <x:c r="A28" s="71"/>
      <x:c r="B28" s="77"/>
      <x:c r="C28" s="71"/>
      <x:c r="D28" t="str">
        <x:f>IFERROR(IF(26&lt;=$O$1,INDEX($A$3:$A$168,MATCH(26,$I$3:$I$168,0)),IF(26&lt;=$O$1+$O$2,INDEX($F$3:$F$1994,MATCH(26-$O$1,$G$3:$G$1994,0)),"")),"")</x:f>
      </x:c>
      <x:c r="E28" t="str">
        <x:f>IF(K28="","",IF(N28&lt;=M28,"",TRIM(CLEAN(MID(INDEX($B$3:$B$168,K28),M28,N28-M28)))))</x:f>
      </x:c>
      <x:c r="F28" t="str">
        <x:f>IF(E28="","",IF(E28=TRIM(INDEX($A$3:$A$168,K28)),"",IF(RIGHT(TRIM(INDEX($A$3:$A$168,K28)),1)="]",LEFT(TRIM(INDEX($A$3:$A$168,K28)),LEN(TRIM(INDEX($A$3:$A$168,K28)))-1)&amp;", "&amp;SUBSTITUTE(SUBSTITUTE(SUBSTITUTE(E28," [",", "),"[",", "),"]","")&amp;"]",TRIM(INDEX($A$3:$A$168,K28))&amp;" ["&amp;SUBSTITUTE(SUBSTITUTE(SUBSTITUTE(E28," [",", "),"[",", "),"]","")&amp;"]")))</x:f>
      </x:c>
      <x:c r="G28" t="str">
        <x:f>IF(F28&lt;&gt;"",ROWS($F$3:F28)-COUNTBLANK($F$3:F28),"")</x:f>
      </x:c>
      <x:c r="H28" t="n">
        <x:f>SUM($J$3:J28)-J28</x:f>
        <x:v>0</x:v>
      </x:c>
      <x:c r="I28" t="str">
        <x:f>IF(A28&lt;&gt;"",COUNTIF($A$3:A28,"&lt;&gt;"),"")</x:f>
      </x:c>
      <x:c r="J28" t="n">
        <x:f>IF(AND(A28&lt;&gt;"",TRIM(B28)&lt;&gt;""),LEN(B28)-LEN(SUBSTITUTE(B28,CHAR(10),""))+1,0)</x:f>
        <x:v>0</x:v>
      </x:c>
      <x:c r="K28" t="str">
        <x:f>IF(ROW()-ROW($K$2)&lt;=SUM($J$3:$J$168),COUNTIF($H$3:$H$168,"&lt;"&amp;(ROW()-ROW($K$2))),"")</x:f>
      </x:c>
      <x:c r="L28" t="str">
        <x:f>IF(K28="","",ROW()-ROW($L$2)-INDEX($H$3:$H$168,K28))</x:f>
      </x:c>
      <x:c r="M28" t="str">
        <x:f>IF(K28="","",IF(L28=1,1,FIND(CHAR(1),SUBSTITUTE(INDEX($B$3:$B$168,K28),CHAR(10),CHAR(1),L28-1))+1))</x:f>
      </x:c>
      <x:c r="N28" t="str">
        <x:f>IF(K28="","",IFERROR(FIND(CHAR(1),SUBSTITUTE(INDEX($B$3:$B$168,K28),CHAR(10),CHAR(1),L28)),LEN(INDEX($B$3:$B$168,K28))+1))</x:f>
      </x:c>
    </x:row>
    <x:row r="29">
      <x:c r="A29" s="71"/>
      <x:c r="B29" s="77"/>
      <x:c r="C29" s="71"/>
      <x:c r="D29" t="str">
        <x:f>IFERROR(IF(27&lt;=$O$1,INDEX($A$3:$A$168,MATCH(27,$I$3:$I$168,0)),IF(27&lt;=$O$1+$O$2,INDEX($F$3:$F$1994,MATCH(27-$O$1,$G$3:$G$1994,0)),"")),"")</x:f>
      </x:c>
      <x:c r="E29" t="str">
        <x:f>IF(K29="","",IF(N29&lt;=M29,"",TRIM(CLEAN(MID(INDEX($B$3:$B$168,K29),M29,N29-M29)))))</x:f>
      </x:c>
      <x:c r="F29" t="str">
        <x:f>IF(E29="","",IF(E29=TRIM(INDEX($A$3:$A$168,K29)),"",IF(RIGHT(TRIM(INDEX($A$3:$A$168,K29)),1)="]",LEFT(TRIM(INDEX($A$3:$A$168,K29)),LEN(TRIM(INDEX($A$3:$A$168,K29)))-1)&amp;", "&amp;SUBSTITUTE(SUBSTITUTE(SUBSTITUTE(E29," [",", "),"[",", "),"]","")&amp;"]",TRIM(INDEX($A$3:$A$168,K29))&amp;" ["&amp;SUBSTITUTE(SUBSTITUTE(SUBSTITUTE(E29," [",", "),"[",", "),"]","")&amp;"]")))</x:f>
      </x:c>
      <x:c r="G29" t="str">
        <x:f>IF(F29&lt;&gt;"",ROWS($F$3:F29)-COUNTBLANK($F$3:F29),"")</x:f>
      </x:c>
      <x:c r="H29" t="n">
        <x:f>SUM($J$3:J29)-J29</x:f>
        <x:v>0</x:v>
      </x:c>
      <x:c r="I29" t="str">
        <x:f>IF(A29&lt;&gt;"",COUNTIF($A$3:A29,"&lt;&gt;"),"")</x:f>
      </x:c>
      <x:c r="J29" t="n">
        <x:f>IF(AND(A29&lt;&gt;"",TRIM(B29)&lt;&gt;""),LEN(B29)-LEN(SUBSTITUTE(B29,CHAR(10),""))+1,0)</x:f>
        <x:v>0</x:v>
      </x:c>
      <x:c r="K29" t="str">
        <x:f>IF(ROW()-ROW($K$2)&lt;=SUM($J$3:$J$168),COUNTIF($H$3:$H$168,"&lt;"&amp;(ROW()-ROW($K$2))),"")</x:f>
      </x:c>
      <x:c r="L29" t="str">
        <x:f>IF(K29="","",ROW()-ROW($L$2)-INDEX($H$3:$H$168,K29))</x:f>
      </x:c>
      <x:c r="M29" t="str">
        <x:f>IF(K29="","",IF(L29=1,1,FIND(CHAR(1),SUBSTITUTE(INDEX($B$3:$B$168,K29),CHAR(10),CHAR(1),L29-1))+1))</x:f>
      </x:c>
      <x:c r="N29" t="str">
        <x:f>IF(K29="","",IFERROR(FIND(CHAR(1),SUBSTITUTE(INDEX($B$3:$B$168,K29),CHAR(10),CHAR(1),L29)),LEN(INDEX($B$3:$B$168,K29))+1))</x:f>
      </x:c>
    </x:row>
    <x:row r="30">
      <x:c r="A30" s="71"/>
      <x:c r="B30" s="77"/>
      <x:c r="C30" s="71"/>
      <x:c r="D30" t="str">
        <x:f>IFERROR(IF(28&lt;=$O$1,INDEX($A$3:$A$168,MATCH(28,$I$3:$I$168,0)),IF(28&lt;=$O$1+$O$2,INDEX($F$3:$F$1994,MATCH(28-$O$1,$G$3:$G$1994,0)),"")),"")</x:f>
      </x:c>
      <x:c r="E30" t="str">
        <x:f>IF(K30="","",IF(N30&lt;=M30,"",TRIM(CLEAN(MID(INDEX($B$3:$B$168,K30),M30,N30-M30)))))</x:f>
      </x:c>
      <x:c r="F30" t="str">
        <x:f>IF(E30="","",IF(E30=TRIM(INDEX($A$3:$A$168,K30)),"",IF(RIGHT(TRIM(INDEX($A$3:$A$168,K30)),1)="]",LEFT(TRIM(INDEX($A$3:$A$168,K30)),LEN(TRIM(INDEX($A$3:$A$168,K30)))-1)&amp;", "&amp;SUBSTITUTE(SUBSTITUTE(SUBSTITUTE(E30," [",", "),"[",", "),"]","")&amp;"]",TRIM(INDEX($A$3:$A$168,K30))&amp;" ["&amp;SUBSTITUTE(SUBSTITUTE(SUBSTITUTE(E30," [",", "),"[",", "),"]","")&amp;"]")))</x:f>
      </x:c>
      <x:c r="G30" t="str">
        <x:f>IF(F30&lt;&gt;"",ROWS($F$3:F30)-COUNTBLANK($F$3:F30),"")</x:f>
      </x:c>
      <x:c r="H30" t="n">
        <x:f>SUM($J$3:J30)-J30</x:f>
        <x:v>0</x:v>
      </x:c>
      <x:c r="I30" t="str">
        <x:f>IF(A30&lt;&gt;"",COUNTIF($A$3:A30,"&lt;&gt;"),"")</x:f>
      </x:c>
      <x:c r="J30" t="n">
        <x:f>IF(AND(A30&lt;&gt;"",TRIM(B30)&lt;&gt;""),LEN(B30)-LEN(SUBSTITUTE(B30,CHAR(10),""))+1,0)</x:f>
        <x:v>0</x:v>
      </x:c>
      <x:c r="K30" t="str">
        <x:f>IF(ROW()-ROW($K$2)&lt;=SUM($J$3:$J$168),COUNTIF($H$3:$H$168,"&lt;"&amp;(ROW()-ROW($K$2))),"")</x:f>
      </x:c>
      <x:c r="L30" t="str">
        <x:f>IF(K30="","",ROW()-ROW($L$2)-INDEX($H$3:$H$168,K30))</x:f>
      </x:c>
      <x:c r="M30" t="str">
        <x:f>IF(K30="","",IF(L30=1,1,FIND(CHAR(1),SUBSTITUTE(INDEX($B$3:$B$168,K30),CHAR(10),CHAR(1),L30-1))+1))</x:f>
      </x:c>
      <x:c r="N30" t="str">
        <x:f>IF(K30="","",IFERROR(FIND(CHAR(1),SUBSTITUTE(INDEX($B$3:$B$168,K30),CHAR(10),CHAR(1),L30)),LEN(INDEX($B$3:$B$168,K30))+1))</x:f>
      </x:c>
    </x:row>
    <x:row r="31">
      <x:c r="A31" s="71"/>
      <x:c r="B31" s="77"/>
      <x:c r="C31" s="71"/>
      <x:c r="D31" t="str">
        <x:f>IFERROR(IF(29&lt;=$O$1,INDEX($A$3:$A$168,MATCH(29,$I$3:$I$168,0)),IF(29&lt;=$O$1+$O$2,INDEX($F$3:$F$1994,MATCH(29-$O$1,$G$3:$G$1994,0)),"")),"")</x:f>
      </x:c>
      <x:c r="E31" t="str">
        <x:f>IF(K31="","",IF(N31&lt;=M31,"",TRIM(CLEAN(MID(INDEX($B$3:$B$168,K31),M31,N31-M31)))))</x:f>
      </x:c>
      <x:c r="F31" t="str">
        <x:f>IF(E31="","",IF(E31=TRIM(INDEX($A$3:$A$168,K31)),"",IF(RIGHT(TRIM(INDEX($A$3:$A$168,K31)),1)="]",LEFT(TRIM(INDEX($A$3:$A$168,K31)),LEN(TRIM(INDEX($A$3:$A$168,K31)))-1)&amp;", "&amp;SUBSTITUTE(SUBSTITUTE(SUBSTITUTE(E31," [",", "),"[",", "),"]","")&amp;"]",TRIM(INDEX($A$3:$A$168,K31))&amp;" ["&amp;SUBSTITUTE(SUBSTITUTE(SUBSTITUTE(E31," [",", "),"[",", "),"]","")&amp;"]")))</x:f>
      </x:c>
      <x:c r="G31" t="str">
        <x:f>IF(F31&lt;&gt;"",ROWS($F$3:F31)-COUNTBLANK($F$3:F31),"")</x:f>
      </x:c>
      <x:c r="H31" t="n">
        <x:f>SUM($J$3:J31)-J31</x:f>
        <x:v>0</x:v>
      </x:c>
      <x:c r="I31" t="str">
        <x:f>IF(A31&lt;&gt;"",COUNTIF($A$3:A31,"&lt;&gt;"),"")</x:f>
      </x:c>
      <x:c r="J31" t="n">
        <x:f>IF(AND(A31&lt;&gt;"",TRIM(B31)&lt;&gt;""),LEN(B31)-LEN(SUBSTITUTE(B31,CHAR(10),""))+1,0)</x:f>
        <x:v>0</x:v>
      </x:c>
      <x:c r="K31" t="str">
        <x:f>IF(ROW()-ROW($K$2)&lt;=SUM($J$3:$J$168),COUNTIF($H$3:$H$168,"&lt;"&amp;(ROW()-ROW($K$2))),"")</x:f>
      </x:c>
      <x:c r="L31" t="str">
        <x:f>IF(K31="","",ROW()-ROW($L$2)-INDEX($H$3:$H$168,K31))</x:f>
      </x:c>
      <x:c r="M31" t="str">
        <x:f>IF(K31="","",IF(L31=1,1,FIND(CHAR(1),SUBSTITUTE(INDEX($B$3:$B$168,K31),CHAR(10),CHAR(1),L31-1))+1))</x:f>
      </x:c>
      <x:c r="N31" t="str">
        <x:f>IF(K31="","",IFERROR(FIND(CHAR(1),SUBSTITUTE(INDEX($B$3:$B$168,K31),CHAR(10),CHAR(1),L31)),LEN(INDEX($B$3:$B$168,K31))+1))</x:f>
      </x:c>
    </x:row>
    <x:row r="32">
      <x:c r="A32" s="71"/>
      <x:c r="B32" s="77"/>
      <x:c r="C32" s="71"/>
      <x:c r="D32" t="str">
        <x:f>IFERROR(IF(30&lt;=$O$1,INDEX($A$3:$A$168,MATCH(30,$I$3:$I$168,0)),IF(30&lt;=$O$1+$O$2,INDEX($F$3:$F$1994,MATCH(30-$O$1,$G$3:$G$1994,0)),"")),"")</x:f>
      </x:c>
      <x:c r="E32" t="str">
        <x:f>IF(K32="","",IF(N32&lt;=M32,"",TRIM(CLEAN(MID(INDEX($B$3:$B$168,K32),M32,N32-M32)))))</x:f>
      </x:c>
      <x:c r="F32" t="str">
        <x:f>IF(E32="","",IF(E32=TRIM(INDEX($A$3:$A$168,K32)),"",IF(RIGHT(TRIM(INDEX($A$3:$A$168,K32)),1)="]",LEFT(TRIM(INDEX($A$3:$A$168,K32)),LEN(TRIM(INDEX($A$3:$A$168,K32)))-1)&amp;", "&amp;SUBSTITUTE(SUBSTITUTE(SUBSTITUTE(E32," [",", "),"[",", "),"]","")&amp;"]",TRIM(INDEX($A$3:$A$168,K32))&amp;" ["&amp;SUBSTITUTE(SUBSTITUTE(SUBSTITUTE(E32," [",", "),"[",", "),"]","")&amp;"]")))</x:f>
      </x:c>
      <x:c r="G32" t="str">
        <x:f>IF(F32&lt;&gt;"",ROWS($F$3:F32)-COUNTBLANK($F$3:F32),"")</x:f>
      </x:c>
      <x:c r="H32" t="n">
        <x:f>SUM($J$3:J32)-J32</x:f>
        <x:v>0</x:v>
      </x:c>
      <x:c r="I32" t="str">
        <x:f>IF(A32&lt;&gt;"",COUNTIF($A$3:A32,"&lt;&gt;"),"")</x:f>
      </x:c>
      <x:c r="J32" t="n">
        <x:f>IF(AND(A32&lt;&gt;"",TRIM(B32)&lt;&gt;""),LEN(B32)-LEN(SUBSTITUTE(B32,CHAR(10),""))+1,0)</x:f>
        <x:v>0</x:v>
      </x:c>
      <x:c r="K32" t="str">
        <x:f>IF(ROW()-ROW($K$2)&lt;=SUM($J$3:$J$168),COUNTIF($H$3:$H$168,"&lt;"&amp;(ROW()-ROW($K$2))),"")</x:f>
      </x:c>
      <x:c r="L32" t="str">
        <x:f>IF(K32="","",ROW()-ROW($L$2)-INDEX($H$3:$H$168,K32))</x:f>
      </x:c>
      <x:c r="M32" t="str">
        <x:f>IF(K32="","",IF(L32=1,1,FIND(CHAR(1),SUBSTITUTE(INDEX($B$3:$B$168,K32),CHAR(10),CHAR(1),L32-1))+1))</x:f>
      </x:c>
      <x:c r="N32" t="str">
        <x:f>IF(K32="","",IFERROR(FIND(CHAR(1),SUBSTITUTE(INDEX($B$3:$B$168,K32),CHAR(10),CHAR(1),L32)),LEN(INDEX($B$3:$B$168,K32))+1))</x:f>
      </x:c>
    </x:row>
    <x:row r="33">
      <x:c r="A33" s="71"/>
      <x:c r="B33" s="77"/>
      <x:c r="C33" s="71"/>
      <x:c r="D33" t="str">
        <x:f>IFERROR(IF(31&lt;=$O$1,INDEX($A$3:$A$168,MATCH(31,$I$3:$I$168,0)),IF(31&lt;=$O$1+$O$2,INDEX($F$3:$F$1994,MATCH(31-$O$1,$G$3:$G$1994,0)),"")),"")</x:f>
      </x:c>
      <x:c r="E33" t="str">
        <x:f>IF(K33="","",IF(N33&lt;=M33,"",TRIM(CLEAN(MID(INDEX($B$3:$B$168,K33),M33,N33-M33)))))</x:f>
      </x:c>
      <x:c r="F33" t="str">
        <x:f>IF(E33="","",IF(E33=TRIM(INDEX($A$3:$A$168,K33)),"",IF(RIGHT(TRIM(INDEX($A$3:$A$168,K33)),1)="]",LEFT(TRIM(INDEX($A$3:$A$168,K33)),LEN(TRIM(INDEX($A$3:$A$168,K33)))-1)&amp;", "&amp;SUBSTITUTE(SUBSTITUTE(SUBSTITUTE(E33," [",", "),"[",", "),"]","")&amp;"]",TRIM(INDEX($A$3:$A$168,K33))&amp;" ["&amp;SUBSTITUTE(SUBSTITUTE(SUBSTITUTE(E33," [",", "),"[",", "),"]","")&amp;"]")))</x:f>
      </x:c>
      <x:c r="G33" t="str">
        <x:f>IF(F33&lt;&gt;"",ROWS($F$3:F33)-COUNTBLANK($F$3:F33),"")</x:f>
      </x:c>
      <x:c r="H33" t="n">
        <x:f>SUM($J$3:J33)-J33</x:f>
        <x:v>0</x:v>
      </x:c>
      <x:c r="I33" t="str">
        <x:f>IF(A33&lt;&gt;"",COUNTIF($A$3:A33,"&lt;&gt;"),"")</x:f>
      </x:c>
      <x:c r="J33" t="n">
        <x:f>IF(AND(A33&lt;&gt;"",TRIM(B33)&lt;&gt;""),LEN(B33)-LEN(SUBSTITUTE(B33,CHAR(10),""))+1,0)</x:f>
        <x:v>0</x:v>
      </x:c>
      <x:c r="K33" t="str">
        <x:f>IF(ROW()-ROW($K$2)&lt;=SUM($J$3:$J$168),COUNTIF($H$3:$H$168,"&lt;"&amp;(ROW()-ROW($K$2))),"")</x:f>
      </x:c>
      <x:c r="L33" t="str">
        <x:f>IF(K33="","",ROW()-ROW($L$2)-INDEX($H$3:$H$168,K33))</x:f>
      </x:c>
      <x:c r="M33" t="str">
        <x:f>IF(K33="","",IF(L33=1,1,FIND(CHAR(1),SUBSTITUTE(INDEX($B$3:$B$168,K33),CHAR(10),CHAR(1),L33-1))+1))</x:f>
      </x:c>
      <x:c r="N33" t="str">
        <x:f>IF(K33="","",IFERROR(FIND(CHAR(1),SUBSTITUTE(INDEX($B$3:$B$168,K33),CHAR(10),CHAR(1),L33)),LEN(INDEX($B$3:$B$168,K33))+1))</x:f>
      </x:c>
    </x:row>
    <x:row r="34">
      <x:c r="A34" s="71"/>
      <x:c r="B34" s="77"/>
      <x:c r="C34" s="71"/>
      <x:c r="D34" t="str">
        <x:f>IFERROR(IF(32&lt;=$O$1,INDEX($A$3:$A$168,MATCH(32,$I$3:$I$168,0)),IF(32&lt;=$O$1+$O$2,INDEX($F$3:$F$1994,MATCH(32-$O$1,$G$3:$G$1994,0)),"")),"")</x:f>
      </x:c>
      <x:c r="E34" t="str">
        <x:f>IF(K34="","",IF(N34&lt;=M34,"",TRIM(CLEAN(MID(INDEX($B$3:$B$168,K34),M34,N34-M34)))))</x:f>
      </x:c>
      <x:c r="F34" t="str">
        <x:f>IF(E34="","",IF(E34=TRIM(INDEX($A$3:$A$168,K34)),"",IF(RIGHT(TRIM(INDEX($A$3:$A$168,K34)),1)="]",LEFT(TRIM(INDEX($A$3:$A$168,K34)),LEN(TRIM(INDEX($A$3:$A$168,K34)))-1)&amp;", "&amp;SUBSTITUTE(SUBSTITUTE(SUBSTITUTE(E34," [",", "),"[",", "),"]","")&amp;"]",TRIM(INDEX($A$3:$A$168,K34))&amp;" ["&amp;SUBSTITUTE(SUBSTITUTE(SUBSTITUTE(E34," [",", "),"[",", "),"]","")&amp;"]")))</x:f>
      </x:c>
      <x:c r="G34" t="str">
        <x:f>IF(F34&lt;&gt;"",ROWS($F$3:F34)-COUNTBLANK($F$3:F34),"")</x:f>
      </x:c>
      <x:c r="H34" t="n">
        <x:f>SUM($J$3:J34)-J34</x:f>
        <x:v>0</x:v>
      </x:c>
      <x:c r="I34" t="str">
        <x:f>IF(A34&lt;&gt;"",COUNTIF($A$3:A34,"&lt;&gt;"),"")</x:f>
      </x:c>
      <x:c r="J34" t="n">
        <x:f>IF(AND(A34&lt;&gt;"",TRIM(B34)&lt;&gt;""),LEN(B34)-LEN(SUBSTITUTE(B34,CHAR(10),""))+1,0)</x:f>
        <x:v>0</x:v>
      </x:c>
      <x:c r="K34" t="str">
        <x:f>IF(ROW()-ROW($K$2)&lt;=SUM($J$3:$J$168),COUNTIF($H$3:$H$168,"&lt;"&amp;(ROW()-ROW($K$2))),"")</x:f>
      </x:c>
      <x:c r="L34" t="str">
        <x:f>IF(K34="","",ROW()-ROW($L$2)-INDEX($H$3:$H$168,K34))</x:f>
      </x:c>
      <x:c r="M34" t="str">
        <x:f>IF(K34="","",IF(L34=1,1,FIND(CHAR(1),SUBSTITUTE(INDEX($B$3:$B$168,K34),CHAR(10),CHAR(1),L34-1))+1))</x:f>
      </x:c>
      <x:c r="N34" t="str">
        <x:f>IF(K34="","",IFERROR(FIND(CHAR(1),SUBSTITUTE(INDEX($B$3:$B$168,K34),CHAR(10),CHAR(1),L34)),LEN(INDEX($B$3:$B$168,K34))+1))</x:f>
      </x:c>
    </x:row>
    <x:row r="35">
      <x:c r="A35" s="71"/>
      <x:c r="B35" s="77"/>
      <x:c r="C35" s="71"/>
      <x:c r="D35" t="str">
        <x:f>IFERROR(IF(33&lt;=$O$1,INDEX($A$3:$A$168,MATCH(33,$I$3:$I$168,0)),IF(33&lt;=$O$1+$O$2,INDEX($F$3:$F$1994,MATCH(33-$O$1,$G$3:$G$1994,0)),"")),"")</x:f>
      </x:c>
      <x:c r="E35" t="str">
        <x:f>IF(K35="","",IF(N35&lt;=M35,"",TRIM(CLEAN(MID(INDEX($B$3:$B$168,K35),M35,N35-M35)))))</x:f>
      </x:c>
      <x:c r="F35" t="str">
        <x:f>IF(E35="","",IF(E35=TRIM(INDEX($A$3:$A$168,K35)),"",IF(RIGHT(TRIM(INDEX($A$3:$A$168,K35)),1)="]",LEFT(TRIM(INDEX($A$3:$A$168,K35)),LEN(TRIM(INDEX($A$3:$A$168,K35)))-1)&amp;", "&amp;SUBSTITUTE(SUBSTITUTE(SUBSTITUTE(E35," [",", "),"[",", "),"]","")&amp;"]",TRIM(INDEX($A$3:$A$168,K35))&amp;" ["&amp;SUBSTITUTE(SUBSTITUTE(SUBSTITUTE(E35," [",", "),"[",", "),"]","")&amp;"]")))</x:f>
      </x:c>
      <x:c r="G35" t="str">
        <x:f>IF(F35&lt;&gt;"",ROWS($F$3:F35)-COUNTBLANK($F$3:F35),"")</x:f>
      </x:c>
      <x:c r="H35" t="n">
        <x:f>SUM($J$3:J35)-J35</x:f>
        <x:v>0</x:v>
      </x:c>
      <x:c r="I35" t="str">
        <x:f>IF(A35&lt;&gt;"",COUNTIF($A$3:A35,"&lt;&gt;"),"")</x:f>
      </x:c>
      <x:c r="J35" t="n">
        <x:f>IF(AND(A35&lt;&gt;"",TRIM(B35)&lt;&gt;""),LEN(B35)-LEN(SUBSTITUTE(B35,CHAR(10),""))+1,0)</x:f>
        <x:v>0</x:v>
      </x:c>
      <x:c r="K35" t="str">
        <x:f>IF(ROW()-ROW($K$2)&lt;=SUM($J$3:$J$168),COUNTIF($H$3:$H$168,"&lt;"&amp;(ROW()-ROW($K$2))),"")</x:f>
      </x:c>
      <x:c r="L35" t="str">
        <x:f>IF(K35="","",ROW()-ROW($L$2)-INDEX($H$3:$H$168,K35))</x:f>
      </x:c>
      <x:c r="M35" t="str">
        <x:f>IF(K35="","",IF(L35=1,1,FIND(CHAR(1),SUBSTITUTE(INDEX($B$3:$B$168,K35),CHAR(10),CHAR(1),L35-1))+1))</x:f>
      </x:c>
      <x:c r="N35" t="str">
        <x:f>IF(K35="","",IFERROR(FIND(CHAR(1),SUBSTITUTE(INDEX($B$3:$B$168,K35),CHAR(10),CHAR(1),L35)),LEN(INDEX($B$3:$B$168,K35))+1))</x:f>
      </x:c>
    </x:row>
    <x:row r="36">
      <x:c r="A36" s="71"/>
      <x:c r="B36" s="77"/>
      <x:c r="C36" s="71"/>
      <x:c r="D36" t="str">
        <x:f>IFERROR(IF(34&lt;=$O$1,INDEX($A$3:$A$168,MATCH(34,$I$3:$I$168,0)),IF(34&lt;=$O$1+$O$2,INDEX($F$3:$F$1994,MATCH(34-$O$1,$G$3:$G$1994,0)),"")),"")</x:f>
      </x:c>
      <x:c r="E36" t="str">
        <x:f>IF(K36="","",IF(N36&lt;=M36,"",TRIM(CLEAN(MID(INDEX($B$3:$B$168,K36),M36,N36-M36)))))</x:f>
      </x:c>
      <x:c r="F36" t="str">
        <x:f>IF(E36="","",IF(E36=TRIM(INDEX($A$3:$A$168,K36)),"",IF(RIGHT(TRIM(INDEX($A$3:$A$168,K36)),1)="]",LEFT(TRIM(INDEX($A$3:$A$168,K36)),LEN(TRIM(INDEX($A$3:$A$168,K36)))-1)&amp;", "&amp;SUBSTITUTE(SUBSTITUTE(SUBSTITUTE(E36," [",", "),"[",", "),"]","")&amp;"]",TRIM(INDEX($A$3:$A$168,K36))&amp;" ["&amp;SUBSTITUTE(SUBSTITUTE(SUBSTITUTE(E36," [",", "),"[",", "),"]","")&amp;"]")))</x:f>
      </x:c>
      <x:c r="G36" t="str">
        <x:f>IF(F36&lt;&gt;"",ROWS($F$3:F36)-COUNTBLANK($F$3:F36),"")</x:f>
      </x:c>
      <x:c r="H36" t="n">
        <x:f>SUM($J$3:J36)-J36</x:f>
        <x:v>0</x:v>
      </x:c>
      <x:c r="I36" t="str">
        <x:f>IF(A36&lt;&gt;"",COUNTIF($A$3:A36,"&lt;&gt;"),"")</x:f>
      </x:c>
      <x:c r="J36" t="n">
        <x:f>IF(AND(A36&lt;&gt;"",TRIM(B36)&lt;&gt;""),LEN(B36)-LEN(SUBSTITUTE(B36,CHAR(10),""))+1,0)</x:f>
        <x:v>0</x:v>
      </x:c>
      <x:c r="K36" t="str">
        <x:f>IF(ROW()-ROW($K$2)&lt;=SUM($J$3:$J$168),COUNTIF($H$3:$H$168,"&lt;"&amp;(ROW()-ROW($K$2))),"")</x:f>
      </x:c>
      <x:c r="L36" t="str">
        <x:f>IF(K36="","",ROW()-ROW($L$2)-INDEX($H$3:$H$168,K36))</x:f>
      </x:c>
      <x:c r="M36" t="str">
        <x:f>IF(K36="","",IF(L36=1,1,FIND(CHAR(1),SUBSTITUTE(INDEX($B$3:$B$168,K36),CHAR(10),CHAR(1),L36-1))+1))</x:f>
      </x:c>
      <x:c r="N36" t="str">
        <x:f>IF(K36="","",IFERROR(FIND(CHAR(1),SUBSTITUTE(INDEX($B$3:$B$168,K36),CHAR(10),CHAR(1),L36)),LEN(INDEX($B$3:$B$168,K36))+1))</x:f>
      </x:c>
    </x:row>
    <x:row r="37">
      <x:c r="A37" s="71"/>
      <x:c r="B37" s="77"/>
      <x:c r="C37" s="71"/>
      <x:c r="D37" t="str">
        <x:f>IFERROR(IF(35&lt;=$O$1,INDEX($A$3:$A$168,MATCH(35,$I$3:$I$168,0)),IF(35&lt;=$O$1+$O$2,INDEX($F$3:$F$1994,MATCH(35-$O$1,$G$3:$G$1994,0)),"")),"")</x:f>
      </x:c>
      <x:c r="E37" t="str">
        <x:f>IF(K37="","",IF(N37&lt;=M37,"",TRIM(CLEAN(MID(INDEX($B$3:$B$168,K37),M37,N37-M37)))))</x:f>
      </x:c>
      <x:c r="F37" t="str">
        <x:f>IF(E37="","",IF(E37=TRIM(INDEX($A$3:$A$168,K37)),"",IF(RIGHT(TRIM(INDEX($A$3:$A$168,K37)),1)="]",LEFT(TRIM(INDEX($A$3:$A$168,K37)),LEN(TRIM(INDEX($A$3:$A$168,K37)))-1)&amp;", "&amp;SUBSTITUTE(SUBSTITUTE(SUBSTITUTE(E37," [",", "),"[",", "),"]","")&amp;"]",TRIM(INDEX($A$3:$A$168,K37))&amp;" ["&amp;SUBSTITUTE(SUBSTITUTE(SUBSTITUTE(E37," [",", "),"[",", "),"]","")&amp;"]")))</x:f>
      </x:c>
      <x:c r="G37" t="str">
        <x:f>IF(F37&lt;&gt;"",ROWS($F$3:F37)-COUNTBLANK($F$3:F37),"")</x:f>
      </x:c>
      <x:c r="H37" t="n">
        <x:f>SUM($J$3:J37)-J37</x:f>
        <x:v>0</x:v>
      </x:c>
      <x:c r="I37" t="str">
        <x:f>IF(A37&lt;&gt;"",COUNTIF($A$3:A37,"&lt;&gt;"),"")</x:f>
      </x:c>
      <x:c r="J37" t="n">
        <x:f>IF(AND(A37&lt;&gt;"",TRIM(B37)&lt;&gt;""),LEN(B37)-LEN(SUBSTITUTE(B37,CHAR(10),""))+1,0)</x:f>
        <x:v>0</x:v>
      </x:c>
      <x:c r="K37" t="str">
        <x:f>IF(ROW()-ROW($K$2)&lt;=SUM($J$3:$J$168),COUNTIF($H$3:$H$168,"&lt;"&amp;(ROW()-ROW($K$2))),"")</x:f>
      </x:c>
      <x:c r="L37" t="str">
        <x:f>IF(K37="","",ROW()-ROW($L$2)-INDEX($H$3:$H$168,K37))</x:f>
      </x:c>
      <x:c r="M37" t="str">
        <x:f>IF(K37="","",IF(L37=1,1,FIND(CHAR(1),SUBSTITUTE(INDEX($B$3:$B$168,K37),CHAR(10),CHAR(1),L37-1))+1))</x:f>
      </x:c>
      <x:c r="N37" t="str">
        <x:f>IF(K37="","",IFERROR(FIND(CHAR(1),SUBSTITUTE(INDEX($B$3:$B$168,K37),CHAR(10),CHAR(1),L37)),LEN(INDEX($B$3:$B$168,K37))+1))</x:f>
      </x:c>
    </x:row>
    <x:row r="38">
      <x:c r="A38" s="71"/>
      <x:c r="B38" s="77"/>
      <x:c r="C38" s="71"/>
      <x:c r="D38" t="str">
        <x:f>IFERROR(IF(36&lt;=$O$1,INDEX($A$3:$A$168,MATCH(36,$I$3:$I$168,0)),IF(36&lt;=$O$1+$O$2,INDEX($F$3:$F$1994,MATCH(36-$O$1,$G$3:$G$1994,0)),"")),"")</x:f>
      </x:c>
      <x:c r="E38" t="str">
        <x:f>IF(K38="","",IF(N38&lt;=M38,"",TRIM(CLEAN(MID(INDEX($B$3:$B$168,K38),M38,N38-M38)))))</x:f>
      </x:c>
      <x:c r="F38" t="str">
        <x:f>IF(E38="","",IF(E38=TRIM(INDEX($A$3:$A$168,K38)),"",IF(RIGHT(TRIM(INDEX($A$3:$A$168,K38)),1)="]",LEFT(TRIM(INDEX($A$3:$A$168,K38)),LEN(TRIM(INDEX($A$3:$A$168,K38)))-1)&amp;", "&amp;SUBSTITUTE(SUBSTITUTE(SUBSTITUTE(E38," [",", "),"[",", "),"]","")&amp;"]",TRIM(INDEX($A$3:$A$168,K38))&amp;" ["&amp;SUBSTITUTE(SUBSTITUTE(SUBSTITUTE(E38," [",", "),"[",", "),"]","")&amp;"]")))</x:f>
      </x:c>
      <x:c r="G38" t="str">
        <x:f>IF(F38&lt;&gt;"",ROWS($F$3:F38)-COUNTBLANK($F$3:F38),"")</x:f>
      </x:c>
      <x:c r="H38" t="n">
        <x:f>SUM($J$3:J38)-J38</x:f>
        <x:v>0</x:v>
      </x:c>
      <x:c r="I38" t="str">
        <x:f>IF(A38&lt;&gt;"",COUNTIF($A$3:A38,"&lt;&gt;"),"")</x:f>
      </x:c>
      <x:c r="J38" t="n">
        <x:f>IF(AND(A38&lt;&gt;"",TRIM(B38)&lt;&gt;""),LEN(B38)-LEN(SUBSTITUTE(B38,CHAR(10),""))+1,0)</x:f>
        <x:v>0</x:v>
      </x:c>
      <x:c r="K38" t="str">
        <x:f>IF(ROW()-ROW($K$2)&lt;=SUM($J$3:$J$168),COUNTIF($H$3:$H$168,"&lt;"&amp;(ROW()-ROW($K$2))),"")</x:f>
      </x:c>
      <x:c r="L38" t="str">
        <x:f>IF(K38="","",ROW()-ROW($L$2)-INDEX($H$3:$H$168,K38))</x:f>
      </x:c>
      <x:c r="M38" t="str">
        <x:f>IF(K38="","",IF(L38=1,1,FIND(CHAR(1),SUBSTITUTE(INDEX($B$3:$B$168,K38),CHAR(10),CHAR(1),L38-1))+1))</x:f>
      </x:c>
      <x:c r="N38" t="str">
        <x:f>IF(K38="","",IFERROR(FIND(CHAR(1),SUBSTITUTE(INDEX($B$3:$B$168,K38),CHAR(10),CHAR(1),L38)),LEN(INDEX($B$3:$B$168,K38))+1))</x:f>
      </x:c>
    </x:row>
    <x:row r="39">
      <x:c r="A39" s="71"/>
      <x:c r="B39" s="77"/>
      <x:c r="C39" s="71"/>
      <x:c r="D39" t="str">
        <x:f>IFERROR(IF(37&lt;=$O$1,INDEX($A$3:$A$168,MATCH(37,$I$3:$I$168,0)),IF(37&lt;=$O$1+$O$2,INDEX($F$3:$F$1994,MATCH(37-$O$1,$G$3:$G$1994,0)),"")),"")</x:f>
      </x:c>
      <x:c r="E39" t="str">
        <x:f>IF(K39="","",IF(N39&lt;=M39,"",TRIM(CLEAN(MID(INDEX($B$3:$B$168,K39),M39,N39-M39)))))</x:f>
      </x:c>
      <x:c r="F39" t="str">
        <x:f>IF(E39="","",IF(E39=TRIM(INDEX($A$3:$A$168,K39)),"",IF(RIGHT(TRIM(INDEX($A$3:$A$168,K39)),1)="]",LEFT(TRIM(INDEX($A$3:$A$168,K39)),LEN(TRIM(INDEX($A$3:$A$168,K39)))-1)&amp;", "&amp;SUBSTITUTE(SUBSTITUTE(SUBSTITUTE(E39," [",", "),"[",", "),"]","")&amp;"]",TRIM(INDEX($A$3:$A$168,K39))&amp;" ["&amp;SUBSTITUTE(SUBSTITUTE(SUBSTITUTE(E39," [",", "),"[",", "),"]","")&amp;"]")))</x:f>
      </x:c>
      <x:c r="G39" t="str">
        <x:f>IF(F39&lt;&gt;"",ROWS($F$3:F39)-COUNTBLANK($F$3:F39),"")</x:f>
      </x:c>
      <x:c r="H39" t="n">
        <x:f>SUM($J$3:J39)-J39</x:f>
        <x:v>0</x:v>
      </x:c>
      <x:c r="I39" t="str">
        <x:f>IF(A39&lt;&gt;"",COUNTIF($A$3:A39,"&lt;&gt;"),"")</x:f>
      </x:c>
      <x:c r="J39" t="n">
        <x:f>IF(AND(A39&lt;&gt;"",TRIM(B39)&lt;&gt;""),LEN(B39)-LEN(SUBSTITUTE(B39,CHAR(10),""))+1,0)</x:f>
        <x:v>0</x:v>
      </x:c>
      <x:c r="K39" t="str">
        <x:f>IF(ROW()-ROW($K$2)&lt;=SUM($J$3:$J$168),COUNTIF($H$3:$H$168,"&lt;"&amp;(ROW()-ROW($K$2))),"")</x:f>
      </x:c>
      <x:c r="L39" t="str">
        <x:f>IF(K39="","",ROW()-ROW($L$2)-INDEX($H$3:$H$168,K39))</x:f>
      </x:c>
      <x:c r="M39" t="str">
        <x:f>IF(K39="","",IF(L39=1,1,FIND(CHAR(1),SUBSTITUTE(INDEX($B$3:$B$168,K39),CHAR(10),CHAR(1),L39-1))+1))</x:f>
      </x:c>
      <x:c r="N39" t="str">
        <x:f>IF(K39="","",IFERROR(FIND(CHAR(1),SUBSTITUTE(INDEX($B$3:$B$168,K39),CHAR(10),CHAR(1),L39)),LEN(INDEX($B$3:$B$168,K39))+1))</x:f>
      </x:c>
    </x:row>
    <x:row r="40">
      <x:c r="A40" s="71"/>
      <x:c r="B40" s="77"/>
      <x:c r="C40" s="71"/>
      <x:c r="D40" t="str">
        <x:f>IFERROR(IF(38&lt;=$O$1,INDEX($A$3:$A$168,MATCH(38,$I$3:$I$168,0)),IF(38&lt;=$O$1+$O$2,INDEX($F$3:$F$1994,MATCH(38-$O$1,$G$3:$G$1994,0)),"")),"")</x:f>
      </x:c>
      <x:c r="E40" t="str">
        <x:f>IF(K40="","",IF(N40&lt;=M40,"",TRIM(CLEAN(MID(INDEX($B$3:$B$168,K40),M40,N40-M40)))))</x:f>
      </x:c>
      <x:c r="F40" t="str">
        <x:f>IF(E40="","",IF(E40=TRIM(INDEX($A$3:$A$168,K40)),"",IF(RIGHT(TRIM(INDEX($A$3:$A$168,K40)),1)="]",LEFT(TRIM(INDEX($A$3:$A$168,K40)),LEN(TRIM(INDEX($A$3:$A$168,K40)))-1)&amp;", "&amp;SUBSTITUTE(SUBSTITUTE(SUBSTITUTE(E40," [",", "),"[",", "),"]","")&amp;"]",TRIM(INDEX($A$3:$A$168,K40))&amp;" ["&amp;SUBSTITUTE(SUBSTITUTE(SUBSTITUTE(E40," [",", "),"[",", "),"]","")&amp;"]")))</x:f>
      </x:c>
      <x:c r="G40" t="str">
        <x:f>IF(F40&lt;&gt;"",ROWS($F$3:F40)-COUNTBLANK($F$3:F40),"")</x:f>
      </x:c>
      <x:c r="H40" t="n">
        <x:f>SUM($J$3:J40)-J40</x:f>
        <x:v>0</x:v>
      </x:c>
      <x:c r="I40" t="str">
        <x:f>IF(A40&lt;&gt;"",COUNTIF($A$3:A40,"&lt;&gt;"),"")</x:f>
      </x:c>
      <x:c r="J40" t="n">
        <x:f>IF(AND(A40&lt;&gt;"",TRIM(B40)&lt;&gt;""),LEN(B40)-LEN(SUBSTITUTE(B40,CHAR(10),""))+1,0)</x:f>
        <x:v>0</x:v>
      </x:c>
      <x:c r="K40" t="str">
        <x:f>IF(ROW()-ROW($K$2)&lt;=SUM($J$3:$J$168),COUNTIF($H$3:$H$168,"&lt;"&amp;(ROW()-ROW($K$2))),"")</x:f>
      </x:c>
      <x:c r="L40" t="str">
        <x:f>IF(K40="","",ROW()-ROW($L$2)-INDEX($H$3:$H$168,K40))</x:f>
      </x:c>
      <x:c r="M40" t="str">
        <x:f>IF(K40="","",IF(L40=1,1,FIND(CHAR(1),SUBSTITUTE(INDEX($B$3:$B$168,K40),CHAR(10),CHAR(1),L40-1))+1))</x:f>
      </x:c>
      <x:c r="N40" t="str">
        <x:f>IF(K40="","",IFERROR(FIND(CHAR(1),SUBSTITUTE(INDEX($B$3:$B$168,K40),CHAR(10),CHAR(1),L40)),LEN(INDEX($B$3:$B$168,K40))+1))</x:f>
      </x:c>
    </x:row>
    <x:row r="41">
      <x:c r="A41" s="71"/>
      <x:c r="B41" s="77"/>
      <x:c r="C41" s="71"/>
      <x:c r="D41" t="str">
        <x:f>IFERROR(IF(39&lt;=$O$1,INDEX($A$3:$A$168,MATCH(39,$I$3:$I$168,0)),IF(39&lt;=$O$1+$O$2,INDEX($F$3:$F$1994,MATCH(39-$O$1,$G$3:$G$1994,0)),"")),"")</x:f>
      </x:c>
      <x:c r="E41" t="str">
        <x:f>IF(K41="","",IF(N41&lt;=M41,"",TRIM(CLEAN(MID(INDEX($B$3:$B$168,K41),M41,N41-M41)))))</x:f>
      </x:c>
      <x:c r="F41" t="str">
        <x:f>IF(E41="","",IF(E41=TRIM(INDEX($A$3:$A$168,K41)),"",IF(RIGHT(TRIM(INDEX($A$3:$A$168,K41)),1)="]",LEFT(TRIM(INDEX($A$3:$A$168,K41)),LEN(TRIM(INDEX($A$3:$A$168,K41)))-1)&amp;", "&amp;SUBSTITUTE(SUBSTITUTE(SUBSTITUTE(E41," [",", "),"[",", "),"]","")&amp;"]",TRIM(INDEX($A$3:$A$168,K41))&amp;" ["&amp;SUBSTITUTE(SUBSTITUTE(SUBSTITUTE(E41," [",", "),"[",", "),"]","")&amp;"]")))</x:f>
      </x:c>
      <x:c r="G41" t="str">
        <x:f>IF(F41&lt;&gt;"",ROWS($F$3:F41)-COUNTBLANK($F$3:F41),"")</x:f>
      </x:c>
      <x:c r="H41" t="n">
        <x:f>SUM($J$3:J41)-J41</x:f>
        <x:v>0</x:v>
      </x:c>
      <x:c r="I41" t="str">
        <x:f>IF(A41&lt;&gt;"",COUNTIF($A$3:A41,"&lt;&gt;"),"")</x:f>
      </x:c>
      <x:c r="J41" t="n">
        <x:f>IF(AND(A41&lt;&gt;"",TRIM(B41)&lt;&gt;""),LEN(B41)-LEN(SUBSTITUTE(B41,CHAR(10),""))+1,0)</x:f>
        <x:v>0</x:v>
      </x:c>
      <x:c r="K41" t="str">
        <x:f>IF(ROW()-ROW($K$2)&lt;=SUM($J$3:$J$168),COUNTIF($H$3:$H$168,"&lt;"&amp;(ROW()-ROW($K$2))),"")</x:f>
      </x:c>
      <x:c r="L41" t="str">
        <x:f>IF(K41="","",ROW()-ROW($L$2)-INDEX($H$3:$H$168,K41))</x:f>
      </x:c>
      <x:c r="M41" t="str">
        <x:f>IF(K41="","",IF(L41=1,1,FIND(CHAR(1),SUBSTITUTE(INDEX($B$3:$B$168,K41),CHAR(10),CHAR(1),L41-1))+1))</x:f>
      </x:c>
      <x:c r="N41" t="str">
        <x:f>IF(K41="","",IFERROR(FIND(CHAR(1),SUBSTITUTE(INDEX($B$3:$B$168,K41),CHAR(10),CHAR(1),L41)),LEN(INDEX($B$3:$B$168,K41))+1))</x:f>
      </x:c>
    </x:row>
    <x:row r="42">
      <x:c r="A42" s="71"/>
      <x:c r="B42" s="77"/>
      <x:c r="C42" s="71"/>
      <x:c r="D42" t="str">
        <x:f>IFERROR(IF(40&lt;=$O$1,INDEX($A$3:$A$168,MATCH(40,$I$3:$I$168,0)),IF(40&lt;=$O$1+$O$2,INDEX($F$3:$F$1994,MATCH(40-$O$1,$G$3:$G$1994,0)),"")),"")</x:f>
      </x:c>
      <x:c r="E42" t="str">
        <x:f>IF(K42="","",IF(N42&lt;=M42,"",TRIM(CLEAN(MID(INDEX($B$3:$B$168,K42),M42,N42-M42)))))</x:f>
      </x:c>
      <x:c r="F42" t="str">
        <x:f>IF(E42="","",IF(E42=TRIM(INDEX($A$3:$A$168,K42)),"",IF(RIGHT(TRIM(INDEX($A$3:$A$168,K42)),1)="]",LEFT(TRIM(INDEX($A$3:$A$168,K42)),LEN(TRIM(INDEX($A$3:$A$168,K42)))-1)&amp;", "&amp;SUBSTITUTE(SUBSTITUTE(SUBSTITUTE(E42," [",", "),"[",", "),"]","")&amp;"]",TRIM(INDEX($A$3:$A$168,K42))&amp;" ["&amp;SUBSTITUTE(SUBSTITUTE(SUBSTITUTE(E42," [",", "),"[",", "),"]","")&amp;"]")))</x:f>
      </x:c>
      <x:c r="G42" t="str">
        <x:f>IF(F42&lt;&gt;"",ROWS($F$3:F42)-COUNTBLANK($F$3:F42),"")</x:f>
      </x:c>
      <x:c r="H42" t="n">
        <x:f>SUM($J$3:J42)-J42</x:f>
        <x:v>0</x:v>
      </x:c>
      <x:c r="I42" t="str">
        <x:f>IF(A42&lt;&gt;"",COUNTIF($A$3:A42,"&lt;&gt;"),"")</x:f>
      </x:c>
      <x:c r="J42" t="n">
        <x:f>IF(AND(A42&lt;&gt;"",TRIM(B42)&lt;&gt;""),LEN(B42)-LEN(SUBSTITUTE(B42,CHAR(10),""))+1,0)</x:f>
        <x:v>0</x:v>
      </x:c>
      <x:c r="K42" t="str">
        <x:f>IF(ROW()-ROW($K$2)&lt;=SUM($J$3:$J$168),COUNTIF($H$3:$H$168,"&lt;"&amp;(ROW()-ROW($K$2))),"")</x:f>
      </x:c>
      <x:c r="L42" t="str">
        <x:f>IF(K42="","",ROW()-ROW($L$2)-INDEX($H$3:$H$168,K42))</x:f>
      </x:c>
      <x:c r="M42" t="str">
        <x:f>IF(K42="","",IF(L42=1,1,FIND(CHAR(1),SUBSTITUTE(INDEX($B$3:$B$168,K42),CHAR(10),CHAR(1),L42-1))+1))</x:f>
      </x:c>
      <x:c r="N42" t="str">
        <x:f>IF(K42="","",IFERROR(FIND(CHAR(1),SUBSTITUTE(INDEX($B$3:$B$168,K42),CHAR(10),CHAR(1),L42)),LEN(INDEX($B$3:$B$168,K42))+1))</x:f>
      </x:c>
    </x:row>
    <x:row r="43">
      <x:c r="A43" s="71"/>
      <x:c r="B43" s="77"/>
      <x:c r="C43" s="71"/>
      <x:c r="D43" t="str">
        <x:f>IFERROR(IF(41&lt;=$O$1,INDEX($A$3:$A$168,MATCH(41,$I$3:$I$168,0)),IF(41&lt;=$O$1+$O$2,INDEX($F$3:$F$1994,MATCH(41-$O$1,$G$3:$G$1994,0)),"")),"")</x:f>
      </x:c>
      <x:c r="E43" t="str">
        <x:f>IF(K43="","",IF(N43&lt;=M43,"",TRIM(CLEAN(MID(INDEX($B$3:$B$168,K43),M43,N43-M43)))))</x:f>
      </x:c>
      <x:c r="F43" t="str">
        <x:f>IF(E43="","",IF(E43=TRIM(INDEX($A$3:$A$168,K43)),"",IF(RIGHT(TRIM(INDEX($A$3:$A$168,K43)),1)="]",LEFT(TRIM(INDEX($A$3:$A$168,K43)),LEN(TRIM(INDEX($A$3:$A$168,K43)))-1)&amp;", "&amp;SUBSTITUTE(SUBSTITUTE(SUBSTITUTE(E43," [",", "),"[",", "),"]","")&amp;"]",TRIM(INDEX($A$3:$A$168,K43))&amp;" ["&amp;SUBSTITUTE(SUBSTITUTE(SUBSTITUTE(E43," [",", "),"[",", "),"]","")&amp;"]")))</x:f>
      </x:c>
      <x:c r="G43" t="str">
        <x:f>IF(F43&lt;&gt;"",ROWS($F$3:F43)-COUNTBLANK($F$3:F43),"")</x:f>
      </x:c>
      <x:c r="H43" t="n">
        <x:f>SUM($J$3:J43)-J43</x:f>
        <x:v>0</x:v>
      </x:c>
      <x:c r="I43" t="str">
        <x:f>IF(A43&lt;&gt;"",COUNTIF($A$3:A43,"&lt;&gt;"),"")</x:f>
      </x:c>
      <x:c r="J43" t="n">
        <x:f>IF(AND(A43&lt;&gt;"",TRIM(B43)&lt;&gt;""),LEN(B43)-LEN(SUBSTITUTE(B43,CHAR(10),""))+1,0)</x:f>
        <x:v>0</x:v>
      </x:c>
      <x:c r="K43" t="str">
        <x:f>IF(ROW()-ROW($K$2)&lt;=SUM($J$3:$J$168),COUNTIF($H$3:$H$168,"&lt;"&amp;(ROW()-ROW($K$2))),"")</x:f>
      </x:c>
      <x:c r="L43" t="str">
        <x:f>IF(K43="","",ROW()-ROW($L$2)-INDEX($H$3:$H$168,K43))</x:f>
      </x:c>
      <x:c r="M43" t="str">
        <x:f>IF(K43="","",IF(L43=1,1,FIND(CHAR(1),SUBSTITUTE(INDEX($B$3:$B$168,K43),CHAR(10),CHAR(1),L43-1))+1))</x:f>
      </x:c>
      <x:c r="N43" t="str">
        <x:f>IF(K43="","",IFERROR(FIND(CHAR(1),SUBSTITUTE(INDEX($B$3:$B$168,K43),CHAR(10),CHAR(1),L43)),LEN(INDEX($B$3:$B$168,K43))+1))</x:f>
      </x:c>
    </x:row>
    <x:row r="44">
      <x:c r="A44" s="71"/>
      <x:c r="B44" s="77"/>
      <x:c r="C44" s="71"/>
      <x:c r="D44" t="str">
        <x:f>IFERROR(IF(42&lt;=$O$1,INDEX($A$3:$A$168,MATCH(42,$I$3:$I$168,0)),IF(42&lt;=$O$1+$O$2,INDEX($F$3:$F$1994,MATCH(42-$O$1,$G$3:$G$1994,0)),"")),"")</x:f>
      </x:c>
      <x:c r="E44" t="str">
        <x:f>IF(K44="","",IF(N44&lt;=M44,"",TRIM(CLEAN(MID(INDEX($B$3:$B$168,K44),M44,N44-M44)))))</x:f>
      </x:c>
      <x:c r="F44" t="str">
        <x:f>IF(E44="","",IF(E44=TRIM(INDEX($A$3:$A$168,K44)),"",IF(RIGHT(TRIM(INDEX($A$3:$A$168,K44)),1)="]",LEFT(TRIM(INDEX($A$3:$A$168,K44)),LEN(TRIM(INDEX($A$3:$A$168,K44)))-1)&amp;", "&amp;SUBSTITUTE(SUBSTITUTE(SUBSTITUTE(E44," [",", "),"[",", "),"]","")&amp;"]",TRIM(INDEX($A$3:$A$168,K44))&amp;" ["&amp;SUBSTITUTE(SUBSTITUTE(SUBSTITUTE(E44," [",", "),"[",", "),"]","")&amp;"]")))</x:f>
      </x:c>
      <x:c r="G44" t="str">
        <x:f>IF(F44&lt;&gt;"",ROWS($F$3:F44)-COUNTBLANK($F$3:F44),"")</x:f>
      </x:c>
      <x:c r="H44" t="n">
        <x:f>SUM($J$3:J44)-J44</x:f>
        <x:v>0</x:v>
      </x:c>
      <x:c r="I44" t="str">
        <x:f>IF(A44&lt;&gt;"",COUNTIF($A$3:A44,"&lt;&gt;"),"")</x:f>
      </x:c>
      <x:c r="J44" t="n">
        <x:f>IF(AND(A44&lt;&gt;"",TRIM(B44)&lt;&gt;""),LEN(B44)-LEN(SUBSTITUTE(B44,CHAR(10),""))+1,0)</x:f>
        <x:v>0</x:v>
      </x:c>
      <x:c r="K44" t="str">
        <x:f>IF(ROW()-ROW($K$2)&lt;=SUM($J$3:$J$168),COUNTIF($H$3:$H$168,"&lt;"&amp;(ROW()-ROW($K$2))),"")</x:f>
      </x:c>
      <x:c r="L44" t="str">
        <x:f>IF(K44="","",ROW()-ROW($L$2)-INDEX($H$3:$H$168,K44))</x:f>
      </x:c>
      <x:c r="M44" t="str">
        <x:f>IF(K44="","",IF(L44=1,1,FIND(CHAR(1),SUBSTITUTE(INDEX($B$3:$B$168,K44),CHAR(10),CHAR(1),L44-1))+1))</x:f>
      </x:c>
      <x:c r="N44" t="str">
        <x:f>IF(K44="","",IFERROR(FIND(CHAR(1),SUBSTITUTE(INDEX($B$3:$B$168,K44),CHAR(10),CHAR(1),L44)),LEN(INDEX($B$3:$B$168,K44))+1))</x:f>
      </x:c>
    </x:row>
    <x:row r="45">
      <x:c r="A45" s="71"/>
      <x:c r="B45" s="77"/>
      <x:c r="C45" s="71"/>
      <x:c r="D45" t="str">
        <x:f>IFERROR(IF(43&lt;=$O$1,INDEX($A$3:$A$168,MATCH(43,$I$3:$I$168,0)),IF(43&lt;=$O$1+$O$2,INDEX($F$3:$F$1994,MATCH(43-$O$1,$G$3:$G$1994,0)),"")),"")</x:f>
      </x:c>
      <x:c r="E45" t="str">
        <x:f>IF(K45="","",IF(N45&lt;=M45,"",TRIM(CLEAN(MID(INDEX($B$3:$B$168,K45),M45,N45-M45)))))</x:f>
      </x:c>
      <x:c r="F45" t="str">
        <x:f>IF(E45="","",IF(E45=TRIM(INDEX($A$3:$A$168,K45)),"",IF(RIGHT(TRIM(INDEX($A$3:$A$168,K45)),1)="]",LEFT(TRIM(INDEX($A$3:$A$168,K45)),LEN(TRIM(INDEX($A$3:$A$168,K45)))-1)&amp;", "&amp;SUBSTITUTE(SUBSTITUTE(SUBSTITUTE(E45," [",", "),"[",", "),"]","")&amp;"]",TRIM(INDEX($A$3:$A$168,K45))&amp;" ["&amp;SUBSTITUTE(SUBSTITUTE(SUBSTITUTE(E45," [",", "),"[",", "),"]","")&amp;"]")))</x:f>
      </x:c>
      <x:c r="G45" t="str">
        <x:f>IF(F45&lt;&gt;"",ROWS($F$3:F45)-COUNTBLANK($F$3:F45),"")</x:f>
      </x:c>
      <x:c r="H45" t="n">
        <x:f>SUM($J$3:J45)-J45</x:f>
        <x:v>0</x:v>
      </x:c>
      <x:c r="I45" t="str">
        <x:f>IF(A45&lt;&gt;"",COUNTIF($A$3:A45,"&lt;&gt;"),"")</x:f>
      </x:c>
      <x:c r="J45" t="n">
        <x:f>IF(AND(A45&lt;&gt;"",TRIM(B45)&lt;&gt;""),LEN(B45)-LEN(SUBSTITUTE(B45,CHAR(10),""))+1,0)</x:f>
        <x:v>0</x:v>
      </x:c>
      <x:c r="K45" t="str">
        <x:f>IF(ROW()-ROW($K$2)&lt;=SUM($J$3:$J$168),COUNTIF($H$3:$H$168,"&lt;"&amp;(ROW()-ROW($K$2))),"")</x:f>
      </x:c>
      <x:c r="L45" t="str">
        <x:f>IF(K45="","",ROW()-ROW($L$2)-INDEX($H$3:$H$168,K45))</x:f>
      </x:c>
      <x:c r="M45" t="str">
        <x:f>IF(K45="","",IF(L45=1,1,FIND(CHAR(1),SUBSTITUTE(INDEX($B$3:$B$168,K45),CHAR(10),CHAR(1),L45-1))+1))</x:f>
      </x:c>
      <x:c r="N45" t="str">
        <x:f>IF(K45="","",IFERROR(FIND(CHAR(1),SUBSTITUTE(INDEX($B$3:$B$168,K45),CHAR(10),CHAR(1),L45)),LEN(INDEX($B$3:$B$168,K45))+1))</x:f>
      </x:c>
    </x:row>
    <x:row r="46">
      <x:c r="A46" s="71"/>
      <x:c r="B46" s="77"/>
      <x:c r="C46" s="71"/>
      <x:c r="D46" t="str">
        <x:f>IFERROR(IF(44&lt;=$O$1,INDEX($A$3:$A$168,MATCH(44,$I$3:$I$168,0)),IF(44&lt;=$O$1+$O$2,INDEX($F$3:$F$1994,MATCH(44-$O$1,$G$3:$G$1994,0)),"")),"")</x:f>
      </x:c>
      <x:c r="E46" t="str">
        <x:f>IF(K46="","",IF(N46&lt;=M46,"",TRIM(CLEAN(MID(INDEX($B$3:$B$168,K46),M46,N46-M46)))))</x:f>
      </x:c>
      <x:c r="F46" t="str">
        <x:f>IF(E46="","",IF(E46=TRIM(INDEX($A$3:$A$168,K46)),"",IF(RIGHT(TRIM(INDEX($A$3:$A$168,K46)),1)="]",LEFT(TRIM(INDEX($A$3:$A$168,K46)),LEN(TRIM(INDEX($A$3:$A$168,K46)))-1)&amp;", "&amp;SUBSTITUTE(SUBSTITUTE(SUBSTITUTE(E46," [",", "),"[",", "),"]","")&amp;"]",TRIM(INDEX($A$3:$A$168,K46))&amp;" ["&amp;SUBSTITUTE(SUBSTITUTE(SUBSTITUTE(E46," [",", "),"[",", "),"]","")&amp;"]")))</x:f>
      </x:c>
      <x:c r="G46" t="str">
        <x:f>IF(F46&lt;&gt;"",ROWS($F$3:F46)-COUNTBLANK($F$3:F46),"")</x:f>
      </x:c>
      <x:c r="H46" t="n">
        <x:f>SUM($J$3:J46)-J46</x:f>
        <x:v>0</x:v>
      </x:c>
      <x:c r="I46" t="str">
        <x:f>IF(A46&lt;&gt;"",COUNTIF($A$3:A46,"&lt;&gt;"),"")</x:f>
      </x:c>
      <x:c r="J46" t="n">
        <x:f>IF(AND(A46&lt;&gt;"",TRIM(B46)&lt;&gt;""),LEN(B46)-LEN(SUBSTITUTE(B46,CHAR(10),""))+1,0)</x:f>
        <x:v>0</x:v>
      </x:c>
      <x:c r="K46" t="str">
        <x:f>IF(ROW()-ROW($K$2)&lt;=SUM($J$3:$J$168),COUNTIF($H$3:$H$168,"&lt;"&amp;(ROW()-ROW($K$2))),"")</x:f>
      </x:c>
      <x:c r="L46" t="str">
        <x:f>IF(K46="","",ROW()-ROW($L$2)-INDEX($H$3:$H$168,K46))</x:f>
      </x:c>
      <x:c r="M46" t="str">
        <x:f>IF(K46="","",IF(L46=1,1,FIND(CHAR(1),SUBSTITUTE(INDEX($B$3:$B$168,K46),CHAR(10),CHAR(1),L46-1))+1))</x:f>
      </x:c>
      <x:c r="N46" t="str">
        <x:f>IF(K46="","",IFERROR(FIND(CHAR(1),SUBSTITUTE(INDEX($B$3:$B$168,K46),CHAR(10),CHAR(1),L46)),LEN(INDEX($B$3:$B$168,K46))+1))</x:f>
      </x:c>
    </x:row>
    <x:row r="47">
      <x:c r="A47" s="71"/>
      <x:c r="B47" s="77"/>
      <x:c r="C47" s="71"/>
      <x:c r="D47" t="str">
        <x:f>IFERROR(IF(45&lt;=$O$1,INDEX($A$3:$A$168,MATCH(45,$I$3:$I$168,0)),IF(45&lt;=$O$1+$O$2,INDEX($F$3:$F$1994,MATCH(45-$O$1,$G$3:$G$1994,0)),"")),"")</x:f>
      </x:c>
      <x:c r="E47" t="str">
        <x:f>IF(K47="","",IF(N47&lt;=M47,"",TRIM(CLEAN(MID(INDEX($B$3:$B$168,K47),M47,N47-M47)))))</x:f>
      </x:c>
      <x:c r="F47" t="str">
        <x:f>IF(E47="","",IF(E47=TRIM(INDEX($A$3:$A$168,K47)),"",IF(RIGHT(TRIM(INDEX($A$3:$A$168,K47)),1)="]",LEFT(TRIM(INDEX($A$3:$A$168,K47)),LEN(TRIM(INDEX($A$3:$A$168,K47)))-1)&amp;", "&amp;SUBSTITUTE(SUBSTITUTE(SUBSTITUTE(E47," [",", "),"[",", "),"]","")&amp;"]",TRIM(INDEX($A$3:$A$168,K47))&amp;" ["&amp;SUBSTITUTE(SUBSTITUTE(SUBSTITUTE(E47," [",", "),"[",", "),"]","")&amp;"]")))</x:f>
      </x:c>
      <x:c r="G47" t="str">
        <x:f>IF(F47&lt;&gt;"",ROWS($F$3:F47)-COUNTBLANK($F$3:F47),"")</x:f>
      </x:c>
      <x:c r="H47" t="n">
        <x:f>SUM($J$3:J47)-J47</x:f>
        <x:v>0</x:v>
      </x:c>
      <x:c r="I47" t="str">
        <x:f>IF(A47&lt;&gt;"",COUNTIF($A$3:A47,"&lt;&gt;"),"")</x:f>
      </x:c>
      <x:c r="J47" t="n">
        <x:f>IF(AND(A47&lt;&gt;"",TRIM(B47)&lt;&gt;""),LEN(B47)-LEN(SUBSTITUTE(B47,CHAR(10),""))+1,0)</x:f>
        <x:v>0</x:v>
      </x:c>
      <x:c r="K47" t="str">
        <x:f>IF(ROW()-ROW($K$2)&lt;=SUM($J$3:$J$168),COUNTIF($H$3:$H$168,"&lt;"&amp;(ROW()-ROW($K$2))),"")</x:f>
      </x:c>
      <x:c r="L47" t="str">
        <x:f>IF(K47="","",ROW()-ROW($L$2)-INDEX($H$3:$H$168,K47))</x:f>
      </x:c>
      <x:c r="M47" t="str">
        <x:f>IF(K47="","",IF(L47=1,1,FIND(CHAR(1),SUBSTITUTE(INDEX($B$3:$B$168,K47),CHAR(10),CHAR(1),L47-1))+1))</x:f>
      </x:c>
      <x:c r="N47" t="str">
        <x:f>IF(K47="","",IFERROR(FIND(CHAR(1),SUBSTITUTE(INDEX($B$3:$B$168,K47),CHAR(10),CHAR(1),L47)),LEN(INDEX($B$3:$B$168,K47))+1))</x:f>
      </x:c>
    </x:row>
    <x:row r="48">
      <x:c r="A48" s="71"/>
      <x:c r="B48" s="77"/>
      <x:c r="C48" s="71"/>
      <x:c r="D48" t="str">
        <x:f>IFERROR(IF(46&lt;=$O$1,INDEX($A$3:$A$168,MATCH(46,$I$3:$I$168,0)),IF(46&lt;=$O$1+$O$2,INDEX($F$3:$F$1994,MATCH(46-$O$1,$G$3:$G$1994,0)),"")),"")</x:f>
      </x:c>
      <x:c r="E48" t="str">
        <x:f>IF(K48="","",IF(N48&lt;=M48,"",TRIM(CLEAN(MID(INDEX($B$3:$B$168,K48),M48,N48-M48)))))</x:f>
      </x:c>
      <x:c r="F48" t="str">
        <x:f>IF(E48="","",IF(E48=TRIM(INDEX($A$3:$A$168,K48)),"",IF(RIGHT(TRIM(INDEX($A$3:$A$168,K48)),1)="]",LEFT(TRIM(INDEX($A$3:$A$168,K48)),LEN(TRIM(INDEX($A$3:$A$168,K48)))-1)&amp;", "&amp;SUBSTITUTE(SUBSTITUTE(SUBSTITUTE(E48," [",", "),"[",", "),"]","")&amp;"]",TRIM(INDEX($A$3:$A$168,K48))&amp;" ["&amp;SUBSTITUTE(SUBSTITUTE(SUBSTITUTE(E48," [",", "),"[",", "),"]","")&amp;"]")))</x:f>
      </x:c>
      <x:c r="G48" t="str">
        <x:f>IF(F48&lt;&gt;"",ROWS($F$3:F48)-COUNTBLANK($F$3:F48),"")</x:f>
      </x:c>
      <x:c r="H48" t="n">
        <x:f>SUM($J$3:J48)-J48</x:f>
        <x:v>0</x:v>
      </x:c>
      <x:c r="I48" t="str">
        <x:f>IF(A48&lt;&gt;"",COUNTIF($A$3:A48,"&lt;&gt;"),"")</x:f>
      </x:c>
      <x:c r="J48" t="n">
        <x:f>IF(AND(A48&lt;&gt;"",TRIM(B48)&lt;&gt;""),LEN(B48)-LEN(SUBSTITUTE(B48,CHAR(10),""))+1,0)</x:f>
        <x:v>0</x:v>
      </x:c>
      <x:c r="K48" t="str">
        <x:f>IF(ROW()-ROW($K$2)&lt;=SUM($J$3:$J$168),COUNTIF($H$3:$H$168,"&lt;"&amp;(ROW()-ROW($K$2))),"")</x:f>
      </x:c>
      <x:c r="L48" t="str">
        <x:f>IF(K48="","",ROW()-ROW($L$2)-INDEX($H$3:$H$168,K48))</x:f>
      </x:c>
      <x:c r="M48" t="str">
        <x:f>IF(K48="","",IF(L48=1,1,FIND(CHAR(1),SUBSTITUTE(INDEX($B$3:$B$168,K48),CHAR(10),CHAR(1),L48-1))+1))</x:f>
      </x:c>
      <x:c r="N48" t="str">
        <x:f>IF(K48="","",IFERROR(FIND(CHAR(1),SUBSTITUTE(INDEX($B$3:$B$168,K48),CHAR(10),CHAR(1),L48)),LEN(INDEX($B$3:$B$168,K48))+1))</x:f>
      </x:c>
    </x:row>
    <x:row r="49">
      <x:c r="A49" s="71"/>
      <x:c r="B49" s="77"/>
      <x:c r="C49" s="71"/>
      <x:c r="D49" t="str">
        <x:f>IFERROR(IF(47&lt;=$O$1,INDEX($A$3:$A$168,MATCH(47,$I$3:$I$168,0)),IF(47&lt;=$O$1+$O$2,INDEX($F$3:$F$1994,MATCH(47-$O$1,$G$3:$G$1994,0)),"")),"")</x:f>
      </x:c>
      <x:c r="E49" t="str">
        <x:f>IF(K49="","",IF(N49&lt;=M49,"",TRIM(CLEAN(MID(INDEX($B$3:$B$168,K49),M49,N49-M49)))))</x:f>
      </x:c>
      <x:c r="F49" t="str">
        <x:f>IF(E49="","",IF(E49=TRIM(INDEX($A$3:$A$168,K49)),"",IF(RIGHT(TRIM(INDEX($A$3:$A$168,K49)),1)="]",LEFT(TRIM(INDEX($A$3:$A$168,K49)),LEN(TRIM(INDEX($A$3:$A$168,K49)))-1)&amp;", "&amp;SUBSTITUTE(SUBSTITUTE(SUBSTITUTE(E49," [",", "),"[",", "),"]","")&amp;"]",TRIM(INDEX($A$3:$A$168,K49))&amp;" ["&amp;SUBSTITUTE(SUBSTITUTE(SUBSTITUTE(E49," [",", "),"[",", "),"]","")&amp;"]")))</x:f>
      </x:c>
      <x:c r="G49" t="str">
        <x:f>IF(F49&lt;&gt;"",ROWS($F$3:F49)-COUNTBLANK($F$3:F49),"")</x:f>
      </x:c>
      <x:c r="H49" t="n">
        <x:f>SUM($J$3:J49)-J49</x:f>
        <x:v>0</x:v>
      </x:c>
      <x:c r="I49" t="str">
        <x:f>IF(A49&lt;&gt;"",COUNTIF($A$3:A49,"&lt;&gt;"),"")</x:f>
      </x:c>
      <x:c r="J49" t="n">
        <x:f>IF(AND(A49&lt;&gt;"",TRIM(B49)&lt;&gt;""),LEN(B49)-LEN(SUBSTITUTE(B49,CHAR(10),""))+1,0)</x:f>
        <x:v>0</x:v>
      </x:c>
      <x:c r="K49" t="str">
        <x:f>IF(ROW()-ROW($K$2)&lt;=SUM($J$3:$J$168),COUNTIF($H$3:$H$168,"&lt;"&amp;(ROW()-ROW($K$2))),"")</x:f>
      </x:c>
      <x:c r="L49" t="str">
        <x:f>IF(K49="","",ROW()-ROW($L$2)-INDEX($H$3:$H$168,K49))</x:f>
      </x:c>
      <x:c r="M49" t="str">
        <x:f>IF(K49="","",IF(L49=1,1,FIND(CHAR(1),SUBSTITUTE(INDEX($B$3:$B$168,K49),CHAR(10),CHAR(1),L49-1))+1))</x:f>
      </x:c>
      <x:c r="N49" t="str">
        <x:f>IF(K49="","",IFERROR(FIND(CHAR(1),SUBSTITUTE(INDEX($B$3:$B$168,K49),CHAR(10),CHAR(1),L49)),LEN(INDEX($B$3:$B$168,K49))+1))</x:f>
      </x:c>
    </x:row>
    <x:row r="50">
      <x:c r="A50" s="71"/>
      <x:c r="B50" s="77"/>
      <x:c r="C50" s="71"/>
      <x:c r="D50" t="str">
        <x:f>IFERROR(IF(48&lt;=$O$1,INDEX($A$3:$A$168,MATCH(48,$I$3:$I$168,0)),IF(48&lt;=$O$1+$O$2,INDEX($F$3:$F$1994,MATCH(48-$O$1,$G$3:$G$1994,0)),"")),"")</x:f>
      </x:c>
      <x:c r="E50" t="str">
        <x:f>IF(K50="","",IF(N50&lt;=M50,"",TRIM(CLEAN(MID(INDEX($B$3:$B$168,K50),M50,N50-M50)))))</x:f>
      </x:c>
      <x:c r="F50" t="str">
        <x:f>IF(E50="","",IF(E50=TRIM(INDEX($A$3:$A$168,K50)),"",IF(RIGHT(TRIM(INDEX($A$3:$A$168,K50)),1)="]",LEFT(TRIM(INDEX($A$3:$A$168,K50)),LEN(TRIM(INDEX($A$3:$A$168,K50)))-1)&amp;", "&amp;SUBSTITUTE(SUBSTITUTE(SUBSTITUTE(E50," [",", "),"[",", "),"]","")&amp;"]",TRIM(INDEX($A$3:$A$168,K50))&amp;" ["&amp;SUBSTITUTE(SUBSTITUTE(SUBSTITUTE(E50," [",", "),"[",", "),"]","")&amp;"]")))</x:f>
      </x:c>
      <x:c r="G50" t="str">
        <x:f>IF(F50&lt;&gt;"",ROWS($F$3:F50)-COUNTBLANK($F$3:F50),"")</x:f>
      </x:c>
      <x:c r="H50" t="n">
        <x:f>SUM($J$3:J50)-J50</x:f>
        <x:v>0</x:v>
      </x:c>
      <x:c r="I50" t="str">
        <x:f>IF(A50&lt;&gt;"",COUNTIF($A$3:A50,"&lt;&gt;"),"")</x:f>
      </x:c>
      <x:c r="J50" t="n">
        <x:f>IF(AND(A50&lt;&gt;"",TRIM(B50)&lt;&gt;""),LEN(B50)-LEN(SUBSTITUTE(B50,CHAR(10),""))+1,0)</x:f>
        <x:v>0</x:v>
      </x:c>
      <x:c r="K50" t="str">
        <x:f>IF(ROW()-ROW($K$2)&lt;=SUM($J$3:$J$168),COUNTIF($H$3:$H$168,"&lt;"&amp;(ROW()-ROW($K$2))),"")</x:f>
      </x:c>
      <x:c r="L50" t="str">
        <x:f>IF(K50="","",ROW()-ROW($L$2)-INDEX($H$3:$H$168,K50))</x:f>
      </x:c>
      <x:c r="M50" t="str">
        <x:f>IF(K50="","",IF(L50=1,1,FIND(CHAR(1),SUBSTITUTE(INDEX($B$3:$B$168,K50),CHAR(10),CHAR(1),L50-1))+1))</x:f>
      </x:c>
      <x:c r="N50" t="str">
        <x:f>IF(K50="","",IFERROR(FIND(CHAR(1),SUBSTITUTE(INDEX($B$3:$B$168,K50),CHAR(10),CHAR(1),L50)),LEN(INDEX($B$3:$B$168,K50))+1))</x:f>
      </x:c>
    </x:row>
    <x:row r="51">
      <x:c r="A51" s="71"/>
      <x:c r="B51" s="77"/>
      <x:c r="C51" s="71"/>
      <x:c r="D51" t="str">
        <x:f>IFERROR(IF(49&lt;=$O$1,INDEX($A$3:$A$168,MATCH(49,$I$3:$I$168,0)),IF(49&lt;=$O$1+$O$2,INDEX($F$3:$F$1994,MATCH(49-$O$1,$G$3:$G$1994,0)),"")),"")</x:f>
      </x:c>
      <x:c r="E51" t="str">
        <x:f>IF(K51="","",IF(N51&lt;=M51,"",TRIM(CLEAN(MID(INDEX($B$3:$B$168,K51),M51,N51-M51)))))</x:f>
      </x:c>
      <x:c r="F51" t="str">
        <x:f>IF(E51="","",IF(E51=TRIM(INDEX($A$3:$A$168,K51)),"",IF(RIGHT(TRIM(INDEX($A$3:$A$168,K51)),1)="]",LEFT(TRIM(INDEX($A$3:$A$168,K51)),LEN(TRIM(INDEX($A$3:$A$168,K51)))-1)&amp;", "&amp;SUBSTITUTE(SUBSTITUTE(SUBSTITUTE(E51," [",", "),"[",", "),"]","")&amp;"]",TRIM(INDEX($A$3:$A$168,K51))&amp;" ["&amp;SUBSTITUTE(SUBSTITUTE(SUBSTITUTE(E51," [",", "),"[",", "),"]","")&amp;"]")))</x:f>
      </x:c>
      <x:c r="G51" t="str">
        <x:f>IF(F51&lt;&gt;"",ROWS($F$3:F51)-COUNTBLANK($F$3:F51),"")</x:f>
      </x:c>
      <x:c r="H51" t="n">
        <x:f>SUM($J$3:J51)-J51</x:f>
        <x:v>0</x:v>
      </x:c>
      <x:c r="I51" t="str">
        <x:f>IF(A51&lt;&gt;"",COUNTIF($A$3:A51,"&lt;&gt;"),"")</x:f>
      </x:c>
      <x:c r="J51" t="n">
        <x:f>IF(AND(A51&lt;&gt;"",TRIM(B51)&lt;&gt;""),LEN(B51)-LEN(SUBSTITUTE(B51,CHAR(10),""))+1,0)</x:f>
        <x:v>0</x:v>
      </x:c>
      <x:c r="K51" t="str">
        <x:f>IF(ROW()-ROW($K$2)&lt;=SUM($J$3:$J$168),COUNTIF($H$3:$H$168,"&lt;"&amp;(ROW()-ROW($K$2))),"")</x:f>
      </x:c>
      <x:c r="L51" t="str">
        <x:f>IF(K51="","",ROW()-ROW($L$2)-INDEX($H$3:$H$168,K51))</x:f>
      </x:c>
      <x:c r="M51" t="str">
        <x:f>IF(K51="","",IF(L51=1,1,FIND(CHAR(1),SUBSTITUTE(INDEX($B$3:$B$168,K51),CHAR(10),CHAR(1),L51-1))+1))</x:f>
      </x:c>
      <x:c r="N51" t="str">
        <x:f>IF(K51="","",IFERROR(FIND(CHAR(1),SUBSTITUTE(INDEX($B$3:$B$168,K51),CHAR(10),CHAR(1),L51)),LEN(INDEX($B$3:$B$168,K51))+1))</x:f>
      </x:c>
    </x:row>
    <x:row r="52">
      <x:c r="A52" s="71"/>
      <x:c r="B52" s="77"/>
      <x:c r="C52" s="71"/>
      <x:c r="D52" t="str">
        <x:f>IFERROR(IF(50&lt;=$O$1,INDEX($A$3:$A$168,MATCH(50,$I$3:$I$168,0)),IF(50&lt;=$O$1+$O$2,INDEX($F$3:$F$1994,MATCH(50-$O$1,$G$3:$G$1994,0)),"")),"")</x:f>
      </x:c>
      <x:c r="E52" t="str">
        <x:f>IF(K52="","",IF(N52&lt;=M52,"",TRIM(CLEAN(MID(INDEX($B$3:$B$168,K52),M52,N52-M52)))))</x:f>
      </x:c>
      <x:c r="F52" t="str">
        <x:f>IF(E52="","",IF(E52=TRIM(INDEX($A$3:$A$168,K52)),"",IF(RIGHT(TRIM(INDEX($A$3:$A$168,K52)),1)="]",LEFT(TRIM(INDEX($A$3:$A$168,K52)),LEN(TRIM(INDEX($A$3:$A$168,K52)))-1)&amp;", "&amp;SUBSTITUTE(SUBSTITUTE(SUBSTITUTE(E52," [",", "),"[",", "),"]","")&amp;"]",TRIM(INDEX($A$3:$A$168,K52))&amp;" ["&amp;SUBSTITUTE(SUBSTITUTE(SUBSTITUTE(E52," [",", "),"[",", "),"]","")&amp;"]")))</x:f>
      </x:c>
      <x:c r="G52" t="str">
        <x:f>IF(F52&lt;&gt;"",ROWS($F$3:F52)-COUNTBLANK($F$3:F52),"")</x:f>
      </x:c>
      <x:c r="H52" t="n">
        <x:f>SUM($J$3:J52)-J52</x:f>
        <x:v>0</x:v>
      </x:c>
      <x:c r="I52" t="str">
        <x:f>IF(A52&lt;&gt;"",COUNTIF($A$3:A52,"&lt;&gt;"),"")</x:f>
      </x:c>
      <x:c r="J52" t="n">
        <x:f>IF(AND(A52&lt;&gt;"",TRIM(B52)&lt;&gt;""),LEN(B52)-LEN(SUBSTITUTE(B52,CHAR(10),""))+1,0)</x:f>
        <x:v>0</x:v>
      </x:c>
      <x:c r="K52" t="str">
        <x:f>IF(ROW()-ROW($K$2)&lt;=SUM($J$3:$J$168),COUNTIF($H$3:$H$168,"&lt;"&amp;(ROW()-ROW($K$2))),"")</x:f>
      </x:c>
      <x:c r="L52" t="str">
        <x:f>IF(K52="","",ROW()-ROW($L$2)-INDEX($H$3:$H$168,K52))</x:f>
      </x:c>
      <x:c r="M52" t="str">
        <x:f>IF(K52="","",IF(L52=1,1,FIND(CHAR(1),SUBSTITUTE(INDEX($B$3:$B$168,K52),CHAR(10),CHAR(1),L52-1))+1))</x:f>
      </x:c>
      <x:c r="N52" t="str">
        <x:f>IF(K52="","",IFERROR(FIND(CHAR(1),SUBSTITUTE(INDEX($B$3:$B$168,K52),CHAR(10),CHAR(1),L52)),LEN(INDEX($B$3:$B$168,K52))+1))</x:f>
      </x:c>
    </x:row>
    <x:row r="53">
      <x:c r="A53" s="71"/>
      <x:c r="B53" s="77"/>
      <x:c r="C53" s="71"/>
      <x:c r="D53" t="str">
        <x:f>IFERROR(IF(51&lt;=$O$1,INDEX($A$3:$A$168,MATCH(51,$I$3:$I$168,0)),IF(51&lt;=$O$1+$O$2,INDEX($F$3:$F$1994,MATCH(51-$O$1,$G$3:$G$1994,0)),"")),"")</x:f>
      </x:c>
      <x:c r="E53" t="str">
        <x:f>IF(K53="","",IF(N53&lt;=M53,"",TRIM(CLEAN(MID(INDEX($B$3:$B$168,K53),M53,N53-M53)))))</x:f>
      </x:c>
      <x:c r="F53" t="str">
        <x:f>IF(E53="","",IF(E53=TRIM(INDEX($A$3:$A$168,K53)),"",IF(RIGHT(TRIM(INDEX($A$3:$A$168,K53)),1)="]",LEFT(TRIM(INDEX($A$3:$A$168,K53)),LEN(TRIM(INDEX($A$3:$A$168,K53)))-1)&amp;", "&amp;SUBSTITUTE(SUBSTITUTE(SUBSTITUTE(E53," [",", "),"[",", "),"]","")&amp;"]",TRIM(INDEX($A$3:$A$168,K53))&amp;" ["&amp;SUBSTITUTE(SUBSTITUTE(SUBSTITUTE(E53," [",", "),"[",", "),"]","")&amp;"]")))</x:f>
      </x:c>
      <x:c r="G53" t="str">
        <x:f>IF(F53&lt;&gt;"",ROWS($F$3:F53)-COUNTBLANK($F$3:F53),"")</x:f>
      </x:c>
      <x:c r="H53" t="n">
        <x:f>SUM($J$3:J53)-J53</x:f>
        <x:v>0</x:v>
      </x:c>
      <x:c r="I53" t="str">
        <x:f>IF(A53&lt;&gt;"",COUNTIF($A$3:A53,"&lt;&gt;"),"")</x:f>
      </x:c>
      <x:c r="J53" t="n">
        <x:f>IF(AND(A53&lt;&gt;"",TRIM(B53)&lt;&gt;""),LEN(B53)-LEN(SUBSTITUTE(B53,CHAR(10),""))+1,0)</x:f>
        <x:v>0</x:v>
      </x:c>
      <x:c r="K53" t="str">
        <x:f>IF(ROW()-ROW($K$2)&lt;=SUM($J$3:$J$168),COUNTIF($H$3:$H$168,"&lt;"&amp;(ROW()-ROW($K$2))),"")</x:f>
      </x:c>
      <x:c r="L53" t="str">
        <x:f>IF(K53="","",ROW()-ROW($L$2)-INDEX($H$3:$H$168,K53))</x:f>
      </x:c>
      <x:c r="M53" t="str">
        <x:f>IF(K53="","",IF(L53=1,1,FIND(CHAR(1),SUBSTITUTE(INDEX($B$3:$B$168,K53),CHAR(10),CHAR(1),L53-1))+1))</x:f>
      </x:c>
      <x:c r="N53" t="str">
        <x:f>IF(K53="","",IFERROR(FIND(CHAR(1),SUBSTITUTE(INDEX($B$3:$B$168,K53),CHAR(10),CHAR(1),L53)),LEN(INDEX($B$3:$B$168,K53))+1))</x:f>
      </x:c>
    </x:row>
    <x:row r="54">
      <x:c r="A54" s="71"/>
      <x:c r="B54" s="77"/>
      <x:c r="C54" s="71"/>
      <x:c r="D54" t="str">
        <x:f>IFERROR(IF(52&lt;=$O$1,INDEX($A$3:$A$168,MATCH(52,$I$3:$I$168,0)),IF(52&lt;=$O$1+$O$2,INDEX($F$3:$F$1994,MATCH(52-$O$1,$G$3:$G$1994,0)),"")),"")</x:f>
      </x:c>
      <x:c r="E54" t="str">
        <x:f>IF(K54="","",IF(N54&lt;=M54,"",TRIM(CLEAN(MID(INDEX($B$3:$B$168,K54),M54,N54-M54)))))</x:f>
      </x:c>
      <x:c r="F54" t="str">
        <x:f>IF(E54="","",IF(E54=TRIM(INDEX($A$3:$A$168,K54)),"",IF(RIGHT(TRIM(INDEX($A$3:$A$168,K54)),1)="]",LEFT(TRIM(INDEX($A$3:$A$168,K54)),LEN(TRIM(INDEX($A$3:$A$168,K54)))-1)&amp;", "&amp;SUBSTITUTE(SUBSTITUTE(SUBSTITUTE(E54," [",", "),"[",", "),"]","")&amp;"]",TRIM(INDEX($A$3:$A$168,K54))&amp;" ["&amp;SUBSTITUTE(SUBSTITUTE(SUBSTITUTE(E54," [",", "),"[",", "),"]","")&amp;"]")))</x:f>
      </x:c>
      <x:c r="G54" t="str">
        <x:f>IF(F54&lt;&gt;"",ROWS($F$3:F54)-COUNTBLANK($F$3:F54),"")</x:f>
      </x:c>
      <x:c r="H54" t="n">
        <x:f>SUM($J$3:J54)-J54</x:f>
        <x:v>0</x:v>
      </x:c>
      <x:c r="I54" t="str">
        <x:f>IF(A54&lt;&gt;"",COUNTIF($A$3:A54,"&lt;&gt;"),"")</x:f>
      </x:c>
      <x:c r="J54" t="n">
        <x:f>IF(AND(A54&lt;&gt;"",TRIM(B54)&lt;&gt;""),LEN(B54)-LEN(SUBSTITUTE(B54,CHAR(10),""))+1,0)</x:f>
        <x:v>0</x:v>
      </x:c>
      <x:c r="K54" t="str">
        <x:f>IF(ROW()-ROW($K$2)&lt;=SUM($J$3:$J$168),COUNTIF($H$3:$H$168,"&lt;"&amp;(ROW()-ROW($K$2))),"")</x:f>
      </x:c>
      <x:c r="L54" t="str">
        <x:f>IF(K54="","",ROW()-ROW($L$2)-INDEX($H$3:$H$168,K54))</x:f>
      </x:c>
      <x:c r="M54" t="str">
        <x:f>IF(K54="","",IF(L54=1,1,FIND(CHAR(1),SUBSTITUTE(INDEX($B$3:$B$168,K54),CHAR(10),CHAR(1),L54-1))+1))</x:f>
      </x:c>
      <x:c r="N54" t="str">
        <x:f>IF(K54="","",IFERROR(FIND(CHAR(1),SUBSTITUTE(INDEX($B$3:$B$168,K54),CHAR(10),CHAR(1),L54)),LEN(INDEX($B$3:$B$168,K54))+1))</x:f>
      </x:c>
    </x:row>
    <x:row r="55">
      <x:c r="A55" s="71"/>
      <x:c r="B55" s="77"/>
      <x:c r="C55" s="71"/>
      <x:c r="D55" t="str">
        <x:f>IFERROR(IF(53&lt;=$O$1,INDEX($A$3:$A$168,MATCH(53,$I$3:$I$168,0)),IF(53&lt;=$O$1+$O$2,INDEX($F$3:$F$1994,MATCH(53-$O$1,$G$3:$G$1994,0)),"")),"")</x:f>
      </x:c>
      <x:c r="E55" t="str">
        <x:f>IF(K55="","",IF(N55&lt;=M55,"",TRIM(CLEAN(MID(INDEX($B$3:$B$168,K55),M55,N55-M55)))))</x:f>
      </x:c>
      <x:c r="F55" t="str">
        <x:f>IF(E55="","",IF(E55=TRIM(INDEX($A$3:$A$168,K55)),"",IF(RIGHT(TRIM(INDEX($A$3:$A$168,K55)),1)="]",LEFT(TRIM(INDEX($A$3:$A$168,K55)),LEN(TRIM(INDEX($A$3:$A$168,K55)))-1)&amp;", "&amp;SUBSTITUTE(SUBSTITUTE(SUBSTITUTE(E55," [",", "),"[",", "),"]","")&amp;"]",TRIM(INDEX($A$3:$A$168,K55))&amp;" ["&amp;SUBSTITUTE(SUBSTITUTE(SUBSTITUTE(E55," [",", "),"[",", "),"]","")&amp;"]")))</x:f>
      </x:c>
      <x:c r="G55" t="str">
        <x:f>IF(F55&lt;&gt;"",ROWS($F$3:F55)-COUNTBLANK($F$3:F55),"")</x:f>
      </x:c>
      <x:c r="H55" t="n">
        <x:f>SUM($J$3:J55)-J55</x:f>
        <x:v>0</x:v>
      </x:c>
      <x:c r="I55" t="str">
        <x:f>IF(A55&lt;&gt;"",COUNTIF($A$3:A55,"&lt;&gt;"),"")</x:f>
      </x:c>
      <x:c r="J55" t="n">
        <x:f>IF(AND(A55&lt;&gt;"",TRIM(B55)&lt;&gt;""),LEN(B55)-LEN(SUBSTITUTE(B55,CHAR(10),""))+1,0)</x:f>
        <x:v>0</x:v>
      </x:c>
      <x:c r="K55" t="str">
        <x:f>IF(ROW()-ROW($K$2)&lt;=SUM($J$3:$J$168),COUNTIF($H$3:$H$168,"&lt;"&amp;(ROW()-ROW($K$2))),"")</x:f>
      </x:c>
      <x:c r="L55" t="str">
        <x:f>IF(K55="","",ROW()-ROW($L$2)-INDEX($H$3:$H$168,K55))</x:f>
      </x:c>
      <x:c r="M55" t="str">
        <x:f>IF(K55="","",IF(L55=1,1,FIND(CHAR(1),SUBSTITUTE(INDEX($B$3:$B$168,K55),CHAR(10),CHAR(1),L55-1))+1))</x:f>
      </x:c>
      <x:c r="N55" t="str">
        <x:f>IF(K55="","",IFERROR(FIND(CHAR(1),SUBSTITUTE(INDEX($B$3:$B$168,K55),CHAR(10),CHAR(1),L55)),LEN(INDEX($B$3:$B$168,K55))+1))</x:f>
      </x:c>
    </x:row>
    <x:row r="56">
      <x:c r="A56" s="71"/>
      <x:c r="B56" s="77"/>
      <x:c r="C56" s="71"/>
      <x:c r="D56" t="str">
        <x:f>IFERROR(IF(54&lt;=$O$1,INDEX($A$3:$A$168,MATCH(54,$I$3:$I$168,0)),IF(54&lt;=$O$1+$O$2,INDEX($F$3:$F$1994,MATCH(54-$O$1,$G$3:$G$1994,0)),"")),"")</x:f>
      </x:c>
      <x:c r="E56" t="str">
        <x:f>IF(K56="","",IF(N56&lt;=M56,"",TRIM(CLEAN(MID(INDEX($B$3:$B$168,K56),M56,N56-M56)))))</x:f>
      </x:c>
      <x:c r="F56" t="str">
        <x:f>IF(E56="","",IF(E56=TRIM(INDEX($A$3:$A$168,K56)),"",IF(RIGHT(TRIM(INDEX($A$3:$A$168,K56)),1)="]",LEFT(TRIM(INDEX($A$3:$A$168,K56)),LEN(TRIM(INDEX($A$3:$A$168,K56)))-1)&amp;", "&amp;SUBSTITUTE(SUBSTITUTE(SUBSTITUTE(E56," [",", "),"[",", "),"]","")&amp;"]",TRIM(INDEX($A$3:$A$168,K56))&amp;" ["&amp;SUBSTITUTE(SUBSTITUTE(SUBSTITUTE(E56," [",", "),"[",", "),"]","")&amp;"]")))</x:f>
      </x:c>
      <x:c r="G56" t="str">
        <x:f>IF(F56&lt;&gt;"",ROWS($F$3:F56)-COUNTBLANK($F$3:F56),"")</x:f>
      </x:c>
      <x:c r="H56" t="n">
        <x:f>SUM($J$3:J56)-J56</x:f>
        <x:v>0</x:v>
      </x:c>
      <x:c r="I56" t="str">
        <x:f>IF(A56&lt;&gt;"",COUNTIF($A$3:A56,"&lt;&gt;"),"")</x:f>
      </x:c>
      <x:c r="J56" t="n">
        <x:f>IF(AND(A56&lt;&gt;"",TRIM(B56)&lt;&gt;""),LEN(B56)-LEN(SUBSTITUTE(B56,CHAR(10),""))+1,0)</x:f>
        <x:v>0</x:v>
      </x:c>
      <x:c r="K56" t="str">
        <x:f>IF(ROW()-ROW($K$2)&lt;=SUM($J$3:$J$168),COUNTIF($H$3:$H$168,"&lt;"&amp;(ROW()-ROW($K$2))),"")</x:f>
      </x:c>
      <x:c r="L56" t="str">
        <x:f>IF(K56="","",ROW()-ROW($L$2)-INDEX($H$3:$H$168,K56))</x:f>
      </x:c>
      <x:c r="M56" t="str">
        <x:f>IF(K56="","",IF(L56=1,1,FIND(CHAR(1),SUBSTITUTE(INDEX($B$3:$B$168,K56),CHAR(10),CHAR(1),L56-1))+1))</x:f>
      </x:c>
      <x:c r="N56" t="str">
        <x:f>IF(K56="","",IFERROR(FIND(CHAR(1),SUBSTITUTE(INDEX($B$3:$B$168,K56),CHAR(10),CHAR(1),L56)),LEN(INDEX($B$3:$B$168,K56))+1))</x:f>
      </x:c>
    </x:row>
    <x:row r="57">
      <x:c r="A57" s="71"/>
      <x:c r="B57" s="77"/>
      <x:c r="C57" s="71"/>
      <x:c r="D57" t="str">
        <x:f>IFERROR(IF(55&lt;=$O$1,INDEX($A$3:$A$168,MATCH(55,$I$3:$I$168,0)),IF(55&lt;=$O$1+$O$2,INDEX($F$3:$F$1994,MATCH(55-$O$1,$G$3:$G$1994,0)),"")),"")</x:f>
      </x:c>
      <x:c r="E57" t="str">
        <x:f>IF(K57="","",IF(N57&lt;=M57,"",TRIM(CLEAN(MID(INDEX($B$3:$B$168,K57),M57,N57-M57)))))</x:f>
      </x:c>
      <x:c r="F57" t="str">
        <x:f>IF(E57="","",IF(E57=TRIM(INDEX($A$3:$A$168,K57)),"",IF(RIGHT(TRIM(INDEX($A$3:$A$168,K57)),1)="]",LEFT(TRIM(INDEX($A$3:$A$168,K57)),LEN(TRIM(INDEX($A$3:$A$168,K57)))-1)&amp;", "&amp;SUBSTITUTE(SUBSTITUTE(SUBSTITUTE(E57," [",", "),"[",", "),"]","")&amp;"]",TRIM(INDEX($A$3:$A$168,K57))&amp;" ["&amp;SUBSTITUTE(SUBSTITUTE(SUBSTITUTE(E57," [",", "),"[",", "),"]","")&amp;"]")))</x:f>
      </x:c>
      <x:c r="G57" t="str">
        <x:f>IF(F57&lt;&gt;"",ROWS($F$3:F57)-COUNTBLANK($F$3:F57),"")</x:f>
      </x:c>
      <x:c r="H57" t="n">
        <x:f>SUM($J$3:J57)-J57</x:f>
        <x:v>0</x:v>
      </x:c>
      <x:c r="I57" t="str">
        <x:f>IF(A57&lt;&gt;"",COUNTIF($A$3:A57,"&lt;&gt;"),"")</x:f>
      </x:c>
      <x:c r="J57" t="n">
        <x:f>IF(AND(A57&lt;&gt;"",TRIM(B57)&lt;&gt;""),LEN(B57)-LEN(SUBSTITUTE(B57,CHAR(10),""))+1,0)</x:f>
        <x:v>0</x:v>
      </x:c>
      <x:c r="K57" t="str">
        <x:f>IF(ROW()-ROW($K$2)&lt;=SUM($J$3:$J$168),COUNTIF($H$3:$H$168,"&lt;"&amp;(ROW()-ROW($K$2))),"")</x:f>
      </x:c>
      <x:c r="L57" t="str">
        <x:f>IF(K57="","",ROW()-ROW($L$2)-INDEX($H$3:$H$168,K57))</x:f>
      </x:c>
      <x:c r="M57" t="str">
        <x:f>IF(K57="","",IF(L57=1,1,FIND(CHAR(1),SUBSTITUTE(INDEX($B$3:$B$168,K57),CHAR(10),CHAR(1),L57-1))+1))</x:f>
      </x:c>
      <x:c r="N57" t="str">
        <x:f>IF(K57="","",IFERROR(FIND(CHAR(1),SUBSTITUTE(INDEX($B$3:$B$168,K57),CHAR(10),CHAR(1),L57)),LEN(INDEX($B$3:$B$168,K57))+1))</x:f>
      </x:c>
    </x:row>
    <x:row r="58">
      <x:c r="A58" s="71"/>
      <x:c r="B58" s="77"/>
      <x:c r="C58" s="71"/>
      <x:c r="D58" t="str">
        <x:f>IFERROR(IF(56&lt;=$O$1,INDEX($A$3:$A$168,MATCH(56,$I$3:$I$168,0)),IF(56&lt;=$O$1+$O$2,INDEX($F$3:$F$1994,MATCH(56-$O$1,$G$3:$G$1994,0)),"")),"")</x:f>
      </x:c>
      <x:c r="E58" t="str">
        <x:f>IF(K58="","",IF(N58&lt;=M58,"",TRIM(CLEAN(MID(INDEX($B$3:$B$168,K58),M58,N58-M58)))))</x:f>
      </x:c>
      <x:c r="F58" t="str">
        <x:f>IF(E58="","",IF(E58=TRIM(INDEX($A$3:$A$168,K58)),"",IF(RIGHT(TRIM(INDEX($A$3:$A$168,K58)),1)="]",LEFT(TRIM(INDEX($A$3:$A$168,K58)),LEN(TRIM(INDEX($A$3:$A$168,K58)))-1)&amp;", "&amp;SUBSTITUTE(SUBSTITUTE(SUBSTITUTE(E58," [",", "),"[",", "),"]","")&amp;"]",TRIM(INDEX($A$3:$A$168,K58))&amp;" ["&amp;SUBSTITUTE(SUBSTITUTE(SUBSTITUTE(E58," [",", "),"[",", "),"]","")&amp;"]")))</x:f>
      </x:c>
      <x:c r="G58" t="str">
        <x:f>IF(F58&lt;&gt;"",ROWS($F$3:F58)-COUNTBLANK($F$3:F58),"")</x:f>
      </x:c>
      <x:c r="H58" t="n">
        <x:f>SUM($J$3:J58)-J58</x:f>
        <x:v>0</x:v>
      </x:c>
      <x:c r="I58" t="str">
        <x:f>IF(A58&lt;&gt;"",COUNTIF($A$3:A58,"&lt;&gt;"),"")</x:f>
      </x:c>
      <x:c r="J58" t="n">
        <x:f>IF(AND(A58&lt;&gt;"",TRIM(B58)&lt;&gt;""),LEN(B58)-LEN(SUBSTITUTE(B58,CHAR(10),""))+1,0)</x:f>
        <x:v>0</x:v>
      </x:c>
      <x:c r="K58" t="str">
        <x:f>IF(ROW()-ROW($K$2)&lt;=SUM($J$3:$J$168),COUNTIF($H$3:$H$168,"&lt;"&amp;(ROW()-ROW($K$2))),"")</x:f>
      </x:c>
      <x:c r="L58" t="str">
        <x:f>IF(K58="","",ROW()-ROW($L$2)-INDEX($H$3:$H$168,K58))</x:f>
      </x:c>
      <x:c r="M58" t="str">
        <x:f>IF(K58="","",IF(L58=1,1,FIND(CHAR(1),SUBSTITUTE(INDEX($B$3:$B$168,K58),CHAR(10),CHAR(1),L58-1))+1))</x:f>
      </x:c>
      <x:c r="N58" t="str">
        <x:f>IF(K58="","",IFERROR(FIND(CHAR(1),SUBSTITUTE(INDEX($B$3:$B$168,K58),CHAR(10),CHAR(1),L58)),LEN(INDEX($B$3:$B$168,K58))+1))</x:f>
      </x:c>
    </x:row>
    <x:row r="59">
      <x:c r="A59" s="71"/>
      <x:c r="B59" s="77"/>
      <x:c r="C59" s="71"/>
      <x:c r="D59" t="str">
        <x:f>IFERROR(IF(57&lt;=$O$1,INDEX($A$3:$A$168,MATCH(57,$I$3:$I$168,0)),IF(57&lt;=$O$1+$O$2,INDEX($F$3:$F$1994,MATCH(57-$O$1,$G$3:$G$1994,0)),"")),"")</x:f>
      </x:c>
      <x:c r="E59" t="str">
        <x:f>IF(K59="","",IF(N59&lt;=M59,"",TRIM(CLEAN(MID(INDEX($B$3:$B$168,K59),M59,N59-M59)))))</x:f>
      </x:c>
      <x:c r="F59" t="str">
        <x:f>IF(E59="","",IF(E59=TRIM(INDEX($A$3:$A$168,K59)),"",IF(RIGHT(TRIM(INDEX($A$3:$A$168,K59)),1)="]",LEFT(TRIM(INDEX($A$3:$A$168,K59)),LEN(TRIM(INDEX($A$3:$A$168,K59)))-1)&amp;", "&amp;SUBSTITUTE(SUBSTITUTE(SUBSTITUTE(E59," [",", "),"[",", "),"]","")&amp;"]",TRIM(INDEX($A$3:$A$168,K59))&amp;" ["&amp;SUBSTITUTE(SUBSTITUTE(SUBSTITUTE(E59," [",", "),"[",", "),"]","")&amp;"]")))</x:f>
      </x:c>
      <x:c r="G59" t="str">
        <x:f>IF(F59&lt;&gt;"",ROWS($F$3:F59)-COUNTBLANK($F$3:F59),"")</x:f>
      </x:c>
      <x:c r="H59" t="n">
        <x:f>SUM($J$3:J59)-J59</x:f>
        <x:v>0</x:v>
      </x:c>
      <x:c r="I59" t="str">
        <x:f>IF(A59&lt;&gt;"",COUNTIF($A$3:A59,"&lt;&gt;"),"")</x:f>
      </x:c>
      <x:c r="J59" t="n">
        <x:f>IF(AND(A59&lt;&gt;"",TRIM(B59)&lt;&gt;""),LEN(B59)-LEN(SUBSTITUTE(B59,CHAR(10),""))+1,0)</x:f>
        <x:v>0</x:v>
      </x:c>
      <x:c r="K59" t="str">
        <x:f>IF(ROW()-ROW($K$2)&lt;=SUM($J$3:$J$168),COUNTIF($H$3:$H$168,"&lt;"&amp;(ROW()-ROW($K$2))),"")</x:f>
      </x:c>
      <x:c r="L59" t="str">
        <x:f>IF(K59="","",ROW()-ROW($L$2)-INDEX($H$3:$H$168,K59))</x:f>
      </x:c>
      <x:c r="M59" t="str">
        <x:f>IF(K59="","",IF(L59=1,1,FIND(CHAR(1),SUBSTITUTE(INDEX($B$3:$B$168,K59),CHAR(10),CHAR(1),L59-1))+1))</x:f>
      </x:c>
      <x:c r="N59" t="str">
        <x:f>IF(K59="","",IFERROR(FIND(CHAR(1),SUBSTITUTE(INDEX($B$3:$B$168,K59),CHAR(10),CHAR(1),L59)),LEN(INDEX($B$3:$B$168,K59))+1))</x:f>
      </x:c>
    </x:row>
    <x:row r="60">
      <x:c r="A60" s="71"/>
      <x:c r="B60" s="77"/>
      <x:c r="C60" s="71"/>
      <x:c r="D60" t="str">
        <x:f>IFERROR(IF(58&lt;=$O$1,INDEX($A$3:$A$168,MATCH(58,$I$3:$I$168,0)),IF(58&lt;=$O$1+$O$2,INDEX($F$3:$F$1994,MATCH(58-$O$1,$G$3:$G$1994,0)),"")),"")</x:f>
      </x:c>
      <x:c r="E60" t="str">
        <x:f>IF(K60="","",IF(N60&lt;=M60,"",TRIM(CLEAN(MID(INDEX($B$3:$B$168,K60),M60,N60-M60)))))</x:f>
      </x:c>
      <x:c r="F60" t="str">
        <x:f>IF(E60="","",IF(E60=TRIM(INDEX($A$3:$A$168,K60)),"",IF(RIGHT(TRIM(INDEX($A$3:$A$168,K60)),1)="]",LEFT(TRIM(INDEX($A$3:$A$168,K60)),LEN(TRIM(INDEX($A$3:$A$168,K60)))-1)&amp;", "&amp;SUBSTITUTE(SUBSTITUTE(SUBSTITUTE(E60," [",", "),"[",", "),"]","")&amp;"]",TRIM(INDEX($A$3:$A$168,K60))&amp;" ["&amp;SUBSTITUTE(SUBSTITUTE(SUBSTITUTE(E60," [",", "),"[",", "),"]","")&amp;"]")))</x:f>
      </x:c>
      <x:c r="G60" t="str">
        <x:f>IF(F60&lt;&gt;"",ROWS($F$3:F60)-COUNTBLANK($F$3:F60),"")</x:f>
      </x:c>
      <x:c r="H60" t="n">
        <x:f>SUM($J$3:J60)-J60</x:f>
        <x:v>0</x:v>
      </x:c>
      <x:c r="I60" t="str">
        <x:f>IF(A60&lt;&gt;"",COUNTIF($A$3:A60,"&lt;&gt;"),"")</x:f>
      </x:c>
      <x:c r="J60" t="n">
        <x:f>IF(AND(A60&lt;&gt;"",TRIM(B60)&lt;&gt;""),LEN(B60)-LEN(SUBSTITUTE(B60,CHAR(10),""))+1,0)</x:f>
        <x:v>0</x:v>
      </x:c>
      <x:c r="K60" t="str">
        <x:f>IF(ROW()-ROW($K$2)&lt;=SUM($J$3:$J$168),COUNTIF($H$3:$H$168,"&lt;"&amp;(ROW()-ROW($K$2))),"")</x:f>
      </x:c>
      <x:c r="L60" t="str">
        <x:f>IF(K60="","",ROW()-ROW($L$2)-INDEX($H$3:$H$168,K60))</x:f>
      </x:c>
      <x:c r="M60" t="str">
        <x:f>IF(K60="","",IF(L60=1,1,FIND(CHAR(1),SUBSTITUTE(INDEX($B$3:$B$168,K60),CHAR(10),CHAR(1),L60-1))+1))</x:f>
      </x:c>
      <x:c r="N60" t="str">
        <x:f>IF(K60="","",IFERROR(FIND(CHAR(1),SUBSTITUTE(INDEX($B$3:$B$168,K60),CHAR(10),CHAR(1),L60)),LEN(INDEX($B$3:$B$168,K60))+1))</x:f>
      </x:c>
    </x:row>
    <x:row r="61">
      <x:c r="A61" s="71"/>
      <x:c r="B61" s="77"/>
      <x:c r="C61" s="71"/>
      <x:c r="D61" t="str">
        <x:f>IFERROR(IF(59&lt;=$O$1,INDEX($A$3:$A$168,MATCH(59,$I$3:$I$168,0)),IF(59&lt;=$O$1+$O$2,INDEX($F$3:$F$1994,MATCH(59-$O$1,$G$3:$G$1994,0)),"")),"")</x:f>
      </x:c>
      <x:c r="E61" t="str">
        <x:f>IF(K61="","",IF(N61&lt;=M61,"",TRIM(CLEAN(MID(INDEX($B$3:$B$168,K61),M61,N61-M61)))))</x:f>
      </x:c>
      <x:c r="F61" t="str">
        <x:f>IF(E61="","",IF(E61=TRIM(INDEX($A$3:$A$168,K61)),"",IF(RIGHT(TRIM(INDEX($A$3:$A$168,K61)),1)="]",LEFT(TRIM(INDEX($A$3:$A$168,K61)),LEN(TRIM(INDEX($A$3:$A$168,K61)))-1)&amp;", "&amp;SUBSTITUTE(SUBSTITUTE(SUBSTITUTE(E61," [",", "),"[",", "),"]","")&amp;"]",TRIM(INDEX($A$3:$A$168,K61))&amp;" ["&amp;SUBSTITUTE(SUBSTITUTE(SUBSTITUTE(E61," [",", "),"[",", "),"]","")&amp;"]")))</x:f>
      </x:c>
      <x:c r="G61" t="str">
        <x:f>IF(F61&lt;&gt;"",ROWS($F$3:F61)-COUNTBLANK($F$3:F61),"")</x:f>
      </x:c>
      <x:c r="H61" t="n">
        <x:f>SUM($J$3:J61)-J61</x:f>
        <x:v>0</x:v>
      </x:c>
      <x:c r="I61" t="str">
        <x:f>IF(A61&lt;&gt;"",COUNTIF($A$3:A61,"&lt;&gt;"),"")</x:f>
      </x:c>
      <x:c r="J61" t="n">
        <x:f>IF(AND(A61&lt;&gt;"",TRIM(B61)&lt;&gt;""),LEN(B61)-LEN(SUBSTITUTE(B61,CHAR(10),""))+1,0)</x:f>
        <x:v>0</x:v>
      </x:c>
      <x:c r="K61" t="str">
        <x:f>IF(ROW()-ROW($K$2)&lt;=SUM($J$3:$J$168),COUNTIF($H$3:$H$168,"&lt;"&amp;(ROW()-ROW($K$2))),"")</x:f>
      </x:c>
      <x:c r="L61" t="str">
        <x:f>IF(K61="","",ROW()-ROW($L$2)-INDEX($H$3:$H$168,K61))</x:f>
      </x:c>
      <x:c r="M61" t="str">
        <x:f>IF(K61="","",IF(L61=1,1,FIND(CHAR(1),SUBSTITUTE(INDEX($B$3:$B$168,K61),CHAR(10),CHAR(1),L61-1))+1))</x:f>
      </x:c>
      <x:c r="N61" t="str">
        <x:f>IF(K61="","",IFERROR(FIND(CHAR(1),SUBSTITUTE(INDEX($B$3:$B$168,K61),CHAR(10),CHAR(1),L61)),LEN(INDEX($B$3:$B$168,K61))+1))</x:f>
      </x:c>
    </x:row>
    <x:row r="62">
      <x:c r="A62" s="71"/>
      <x:c r="B62" s="77"/>
      <x:c r="C62" s="71"/>
      <x:c r="D62" t="str">
        <x:f>IFERROR(IF(60&lt;=$O$1,INDEX($A$3:$A$168,MATCH(60,$I$3:$I$168,0)),IF(60&lt;=$O$1+$O$2,INDEX($F$3:$F$1994,MATCH(60-$O$1,$G$3:$G$1994,0)),"")),"")</x:f>
      </x:c>
      <x:c r="E62" t="str">
        <x:f>IF(K62="","",IF(N62&lt;=M62,"",TRIM(CLEAN(MID(INDEX($B$3:$B$168,K62),M62,N62-M62)))))</x:f>
      </x:c>
      <x:c r="F62" t="str">
        <x:f>IF(E62="","",IF(E62=TRIM(INDEX($A$3:$A$168,K62)),"",IF(RIGHT(TRIM(INDEX($A$3:$A$168,K62)),1)="]",LEFT(TRIM(INDEX($A$3:$A$168,K62)),LEN(TRIM(INDEX($A$3:$A$168,K62)))-1)&amp;", "&amp;SUBSTITUTE(SUBSTITUTE(SUBSTITUTE(E62," [",", "),"[",", "),"]","")&amp;"]",TRIM(INDEX($A$3:$A$168,K62))&amp;" ["&amp;SUBSTITUTE(SUBSTITUTE(SUBSTITUTE(E62," [",", "),"[",", "),"]","")&amp;"]")))</x:f>
      </x:c>
      <x:c r="G62" t="str">
        <x:f>IF(F62&lt;&gt;"",ROWS($F$3:F62)-COUNTBLANK($F$3:F62),"")</x:f>
      </x:c>
      <x:c r="H62" t="n">
        <x:f>SUM($J$3:J62)-J62</x:f>
        <x:v>0</x:v>
      </x:c>
      <x:c r="I62" t="str">
        <x:f>IF(A62&lt;&gt;"",COUNTIF($A$3:A62,"&lt;&gt;"),"")</x:f>
      </x:c>
      <x:c r="J62" t="n">
        <x:f>IF(AND(A62&lt;&gt;"",TRIM(B62)&lt;&gt;""),LEN(B62)-LEN(SUBSTITUTE(B62,CHAR(10),""))+1,0)</x:f>
        <x:v>0</x:v>
      </x:c>
      <x:c r="K62" t="str">
        <x:f>IF(ROW()-ROW($K$2)&lt;=SUM($J$3:$J$168),COUNTIF($H$3:$H$168,"&lt;"&amp;(ROW()-ROW($K$2))),"")</x:f>
      </x:c>
      <x:c r="L62" t="str">
        <x:f>IF(K62="","",ROW()-ROW($L$2)-INDEX($H$3:$H$168,K62))</x:f>
      </x:c>
      <x:c r="M62" t="str">
        <x:f>IF(K62="","",IF(L62=1,1,FIND(CHAR(1),SUBSTITUTE(INDEX($B$3:$B$168,K62),CHAR(10),CHAR(1),L62-1))+1))</x:f>
      </x:c>
      <x:c r="N62" t="str">
        <x:f>IF(K62="","",IFERROR(FIND(CHAR(1),SUBSTITUTE(INDEX($B$3:$B$168,K62),CHAR(10),CHAR(1),L62)),LEN(INDEX($B$3:$B$168,K62))+1))</x:f>
      </x:c>
    </x:row>
    <x:row r="63">
      <x:c r="A63" s="71"/>
      <x:c r="B63" s="77"/>
      <x:c r="C63" s="71"/>
      <x:c r="D63" t="str">
        <x:f>IFERROR(IF(61&lt;=$O$1,INDEX($A$3:$A$168,MATCH(61,$I$3:$I$168,0)),IF(61&lt;=$O$1+$O$2,INDEX($F$3:$F$1994,MATCH(61-$O$1,$G$3:$G$1994,0)),"")),"")</x:f>
      </x:c>
      <x:c r="E63" t="str">
        <x:f>IF(K63="","",IF(N63&lt;=M63,"",TRIM(CLEAN(MID(INDEX($B$3:$B$168,K63),M63,N63-M63)))))</x:f>
      </x:c>
      <x:c r="F63" t="str">
        <x:f>IF(E63="","",IF(E63=TRIM(INDEX($A$3:$A$168,K63)),"",IF(RIGHT(TRIM(INDEX($A$3:$A$168,K63)),1)="]",LEFT(TRIM(INDEX($A$3:$A$168,K63)),LEN(TRIM(INDEX($A$3:$A$168,K63)))-1)&amp;", "&amp;SUBSTITUTE(SUBSTITUTE(SUBSTITUTE(E63," [",", "),"[",", "),"]","")&amp;"]",TRIM(INDEX($A$3:$A$168,K63))&amp;" ["&amp;SUBSTITUTE(SUBSTITUTE(SUBSTITUTE(E63," [",", "),"[",", "),"]","")&amp;"]")))</x:f>
      </x:c>
      <x:c r="G63" t="str">
        <x:f>IF(F63&lt;&gt;"",ROWS($F$3:F63)-COUNTBLANK($F$3:F63),"")</x:f>
      </x:c>
      <x:c r="H63" t="n">
        <x:f>SUM($J$3:J63)-J63</x:f>
        <x:v>0</x:v>
      </x:c>
      <x:c r="I63" t="str">
        <x:f>IF(A63&lt;&gt;"",COUNTIF($A$3:A63,"&lt;&gt;"),"")</x:f>
      </x:c>
      <x:c r="J63" t="n">
        <x:f>IF(AND(A63&lt;&gt;"",TRIM(B63)&lt;&gt;""),LEN(B63)-LEN(SUBSTITUTE(B63,CHAR(10),""))+1,0)</x:f>
        <x:v>0</x:v>
      </x:c>
      <x:c r="K63" t="str">
        <x:f>IF(ROW()-ROW($K$2)&lt;=SUM($J$3:$J$168),COUNTIF($H$3:$H$168,"&lt;"&amp;(ROW()-ROW($K$2))),"")</x:f>
      </x:c>
      <x:c r="L63" t="str">
        <x:f>IF(K63="","",ROW()-ROW($L$2)-INDEX($H$3:$H$168,K63))</x:f>
      </x:c>
      <x:c r="M63" t="str">
        <x:f>IF(K63="","",IF(L63=1,1,FIND(CHAR(1),SUBSTITUTE(INDEX($B$3:$B$168,K63),CHAR(10),CHAR(1),L63-1))+1))</x:f>
      </x:c>
      <x:c r="N63" t="str">
        <x:f>IF(K63="","",IFERROR(FIND(CHAR(1),SUBSTITUTE(INDEX($B$3:$B$168,K63),CHAR(10),CHAR(1),L63)),LEN(INDEX($B$3:$B$168,K63))+1))</x:f>
      </x:c>
    </x:row>
    <x:row r="64">
      <x:c r="A64" s="71"/>
      <x:c r="B64" s="77"/>
      <x:c r="C64" s="71"/>
      <x:c r="D64" t="str">
        <x:f>IFERROR(IF(62&lt;=$O$1,INDEX($A$3:$A$168,MATCH(62,$I$3:$I$168,0)),IF(62&lt;=$O$1+$O$2,INDEX($F$3:$F$1994,MATCH(62-$O$1,$G$3:$G$1994,0)),"")),"")</x:f>
      </x:c>
      <x:c r="E64" t="str">
        <x:f>IF(K64="","",IF(N64&lt;=M64,"",TRIM(CLEAN(MID(INDEX($B$3:$B$168,K64),M64,N64-M64)))))</x:f>
      </x:c>
      <x:c r="F64" t="str">
        <x:f>IF(E64="","",IF(E64=TRIM(INDEX($A$3:$A$168,K64)),"",IF(RIGHT(TRIM(INDEX($A$3:$A$168,K64)),1)="]",LEFT(TRIM(INDEX($A$3:$A$168,K64)),LEN(TRIM(INDEX($A$3:$A$168,K64)))-1)&amp;", "&amp;SUBSTITUTE(SUBSTITUTE(SUBSTITUTE(E64," [",", "),"[",", "),"]","")&amp;"]",TRIM(INDEX($A$3:$A$168,K64))&amp;" ["&amp;SUBSTITUTE(SUBSTITUTE(SUBSTITUTE(E64," [",", "),"[",", "),"]","")&amp;"]")))</x:f>
      </x:c>
      <x:c r="G64" t="str">
        <x:f>IF(F64&lt;&gt;"",ROWS($F$3:F64)-COUNTBLANK($F$3:F64),"")</x:f>
      </x:c>
      <x:c r="H64" t="n">
        <x:f>SUM($J$3:J64)-J64</x:f>
        <x:v>0</x:v>
      </x:c>
      <x:c r="I64" t="str">
        <x:f>IF(A64&lt;&gt;"",COUNTIF($A$3:A64,"&lt;&gt;"),"")</x:f>
      </x:c>
      <x:c r="J64" t="n">
        <x:f>IF(AND(A64&lt;&gt;"",TRIM(B64)&lt;&gt;""),LEN(B64)-LEN(SUBSTITUTE(B64,CHAR(10),""))+1,0)</x:f>
        <x:v>0</x:v>
      </x:c>
      <x:c r="K64" t="str">
        <x:f>IF(ROW()-ROW($K$2)&lt;=SUM($J$3:$J$168),COUNTIF($H$3:$H$168,"&lt;"&amp;(ROW()-ROW($K$2))),"")</x:f>
      </x:c>
      <x:c r="L64" t="str">
        <x:f>IF(K64="","",ROW()-ROW($L$2)-INDEX($H$3:$H$168,K64))</x:f>
      </x:c>
      <x:c r="M64" t="str">
        <x:f>IF(K64="","",IF(L64=1,1,FIND(CHAR(1),SUBSTITUTE(INDEX($B$3:$B$168,K64),CHAR(10),CHAR(1),L64-1))+1))</x:f>
      </x:c>
      <x:c r="N64" t="str">
        <x:f>IF(K64="","",IFERROR(FIND(CHAR(1),SUBSTITUTE(INDEX($B$3:$B$168,K64),CHAR(10),CHAR(1),L64)),LEN(INDEX($B$3:$B$168,K64))+1))</x:f>
      </x:c>
    </x:row>
    <x:row r="65">
      <x:c r="A65" s="71"/>
      <x:c r="B65" s="77"/>
      <x:c r="C65" s="71"/>
      <x:c r="D65" t="str">
        <x:f>IFERROR(IF(63&lt;=$O$1,INDEX($A$3:$A$168,MATCH(63,$I$3:$I$168,0)),IF(63&lt;=$O$1+$O$2,INDEX($F$3:$F$1994,MATCH(63-$O$1,$G$3:$G$1994,0)),"")),"")</x:f>
      </x:c>
      <x:c r="E65" t="str">
        <x:f>IF(K65="","",IF(N65&lt;=M65,"",TRIM(CLEAN(MID(INDEX($B$3:$B$168,K65),M65,N65-M65)))))</x:f>
      </x:c>
      <x:c r="F65" t="str">
        <x:f>IF(E65="","",IF(E65=TRIM(INDEX($A$3:$A$168,K65)),"",IF(RIGHT(TRIM(INDEX($A$3:$A$168,K65)),1)="]",LEFT(TRIM(INDEX($A$3:$A$168,K65)),LEN(TRIM(INDEX($A$3:$A$168,K65)))-1)&amp;", "&amp;SUBSTITUTE(SUBSTITUTE(SUBSTITUTE(E65," [",", "),"[",", "),"]","")&amp;"]",TRIM(INDEX($A$3:$A$168,K65))&amp;" ["&amp;SUBSTITUTE(SUBSTITUTE(SUBSTITUTE(E65," [",", "),"[",", "),"]","")&amp;"]")))</x:f>
      </x:c>
      <x:c r="G65" t="str">
        <x:f>IF(F65&lt;&gt;"",ROWS($F$3:F65)-COUNTBLANK($F$3:F65),"")</x:f>
      </x:c>
      <x:c r="H65" t="n">
        <x:f>SUM($J$3:J65)-J65</x:f>
        <x:v>0</x:v>
      </x:c>
      <x:c r="I65" t="str">
        <x:f>IF(A65&lt;&gt;"",COUNTIF($A$3:A65,"&lt;&gt;"),"")</x:f>
      </x:c>
      <x:c r="J65" t="n">
        <x:f>IF(AND(A65&lt;&gt;"",TRIM(B65)&lt;&gt;""),LEN(B65)-LEN(SUBSTITUTE(B65,CHAR(10),""))+1,0)</x:f>
        <x:v>0</x:v>
      </x:c>
      <x:c r="K65" t="str">
        <x:f>IF(ROW()-ROW($K$2)&lt;=SUM($J$3:$J$168),COUNTIF($H$3:$H$168,"&lt;"&amp;(ROW()-ROW($K$2))),"")</x:f>
      </x:c>
      <x:c r="L65" t="str">
        <x:f>IF(K65="","",ROW()-ROW($L$2)-INDEX($H$3:$H$168,K65))</x:f>
      </x:c>
      <x:c r="M65" t="str">
        <x:f>IF(K65="","",IF(L65=1,1,FIND(CHAR(1),SUBSTITUTE(INDEX($B$3:$B$168,K65),CHAR(10),CHAR(1),L65-1))+1))</x:f>
      </x:c>
      <x:c r="N65" t="str">
        <x:f>IF(K65="","",IFERROR(FIND(CHAR(1),SUBSTITUTE(INDEX($B$3:$B$168,K65),CHAR(10),CHAR(1),L65)),LEN(INDEX($B$3:$B$168,K65))+1))</x:f>
      </x:c>
    </x:row>
    <x:row r="66">
      <x:c r="A66" s="71"/>
      <x:c r="B66" s="77"/>
      <x:c r="C66" s="71"/>
      <x:c r="D66" t="str">
        <x:f>IFERROR(IF(64&lt;=$O$1,INDEX($A$3:$A$168,MATCH(64,$I$3:$I$168,0)),IF(64&lt;=$O$1+$O$2,INDEX($F$3:$F$1994,MATCH(64-$O$1,$G$3:$G$1994,0)),"")),"")</x:f>
      </x:c>
      <x:c r="E66" t="str">
        <x:f>IF(K66="","",IF(N66&lt;=M66,"",TRIM(CLEAN(MID(INDEX($B$3:$B$168,K66),M66,N66-M66)))))</x:f>
      </x:c>
      <x:c r="F66" t="str">
        <x:f>IF(E66="","",IF(E66=TRIM(INDEX($A$3:$A$168,K66)),"",IF(RIGHT(TRIM(INDEX($A$3:$A$168,K66)),1)="]",LEFT(TRIM(INDEX($A$3:$A$168,K66)),LEN(TRIM(INDEX($A$3:$A$168,K66)))-1)&amp;", "&amp;SUBSTITUTE(SUBSTITUTE(SUBSTITUTE(E66," [",", "),"[",", "),"]","")&amp;"]",TRIM(INDEX($A$3:$A$168,K66))&amp;" ["&amp;SUBSTITUTE(SUBSTITUTE(SUBSTITUTE(E66," [",", "),"[",", "),"]","")&amp;"]")))</x:f>
      </x:c>
      <x:c r="G66" t="str">
        <x:f>IF(F66&lt;&gt;"",ROWS($F$3:F66)-COUNTBLANK($F$3:F66),"")</x:f>
      </x:c>
      <x:c r="H66" t="n">
        <x:f>SUM($J$3:J66)-J66</x:f>
        <x:v>0</x:v>
      </x:c>
      <x:c r="I66" t="str">
        <x:f>IF(A66&lt;&gt;"",COUNTIF($A$3:A66,"&lt;&gt;"),"")</x:f>
      </x:c>
      <x:c r="J66" t="n">
        <x:f>IF(AND(A66&lt;&gt;"",TRIM(B66)&lt;&gt;""),LEN(B66)-LEN(SUBSTITUTE(B66,CHAR(10),""))+1,0)</x:f>
        <x:v>0</x:v>
      </x:c>
      <x:c r="K66" t="str">
        <x:f>IF(ROW()-ROW($K$2)&lt;=SUM($J$3:$J$168),COUNTIF($H$3:$H$168,"&lt;"&amp;(ROW()-ROW($K$2))),"")</x:f>
      </x:c>
      <x:c r="L66" t="str">
        <x:f>IF(K66="","",ROW()-ROW($L$2)-INDEX($H$3:$H$168,K66))</x:f>
      </x:c>
      <x:c r="M66" t="str">
        <x:f>IF(K66="","",IF(L66=1,1,FIND(CHAR(1),SUBSTITUTE(INDEX($B$3:$B$168,K66),CHAR(10),CHAR(1),L66-1))+1))</x:f>
      </x:c>
      <x:c r="N66" t="str">
        <x:f>IF(K66="","",IFERROR(FIND(CHAR(1),SUBSTITUTE(INDEX($B$3:$B$168,K66),CHAR(10),CHAR(1),L66)),LEN(INDEX($B$3:$B$168,K66))+1))</x:f>
      </x:c>
    </x:row>
    <x:row r="67">
      <x:c r="A67" s="71"/>
      <x:c r="B67" s="77"/>
      <x:c r="C67" s="71"/>
      <x:c r="D67" t="str">
        <x:f>IFERROR(IF(65&lt;=$O$1,INDEX($A$3:$A$168,MATCH(65,$I$3:$I$168,0)),IF(65&lt;=$O$1+$O$2,INDEX($F$3:$F$1994,MATCH(65-$O$1,$G$3:$G$1994,0)),"")),"")</x:f>
      </x:c>
      <x:c r="E67" t="str">
        <x:f>IF(K67="","",IF(N67&lt;=M67,"",TRIM(CLEAN(MID(INDEX($B$3:$B$168,K67),M67,N67-M67)))))</x:f>
      </x:c>
      <x:c r="F67" t="str">
        <x:f>IF(E67="","",IF(E67=TRIM(INDEX($A$3:$A$168,K67)),"",IF(RIGHT(TRIM(INDEX($A$3:$A$168,K67)),1)="]",LEFT(TRIM(INDEX($A$3:$A$168,K67)),LEN(TRIM(INDEX($A$3:$A$168,K67)))-1)&amp;", "&amp;SUBSTITUTE(SUBSTITUTE(SUBSTITUTE(E67," [",", "),"[",", "),"]","")&amp;"]",TRIM(INDEX($A$3:$A$168,K67))&amp;" ["&amp;SUBSTITUTE(SUBSTITUTE(SUBSTITUTE(E67," [",", "),"[",", "),"]","")&amp;"]")))</x:f>
      </x:c>
      <x:c r="G67" t="str">
        <x:f>IF(F67&lt;&gt;"",ROWS($F$3:F67)-COUNTBLANK($F$3:F67),"")</x:f>
      </x:c>
      <x:c r="H67" t="n">
        <x:f>SUM($J$3:J67)-J67</x:f>
        <x:v>0</x:v>
      </x:c>
      <x:c r="I67" t="str">
        <x:f>IF(A67&lt;&gt;"",COUNTIF($A$3:A67,"&lt;&gt;"),"")</x:f>
      </x:c>
      <x:c r="J67" t="n">
        <x:f>IF(AND(A67&lt;&gt;"",TRIM(B67)&lt;&gt;""),LEN(B67)-LEN(SUBSTITUTE(B67,CHAR(10),""))+1,0)</x:f>
        <x:v>0</x:v>
      </x:c>
      <x:c r="K67" t="str">
        <x:f>IF(ROW()-ROW($K$2)&lt;=SUM($J$3:$J$168),COUNTIF($H$3:$H$168,"&lt;"&amp;(ROW()-ROW($K$2))),"")</x:f>
      </x:c>
      <x:c r="L67" t="str">
        <x:f>IF(K67="","",ROW()-ROW($L$2)-INDEX($H$3:$H$168,K67))</x:f>
      </x:c>
      <x:c r="M67" t="str">
        <x:f>IF(K67="","",IF(L67=1,1,FIND(CHAR(1),SUBSTITUTE(INDEX($B$3:$B$168,K67),CHAR(10),CHAR(1),L67-1))+1))</x:f>
      </x:c>
      <x:c r="N67" t="str">
        <x:f>IF(K67="","",IFERROR(FIND(CHAR(1),SUBSTITUTE(INDEX($B$3:$B$168,K67),CHAR(10),CHAR(1),L67)),LEN(INDEX($B$3:$B$168,K67))+1))</x:f>
      </x:c>
    </x:row>
    <x:row r="68">
      <x:c r="A68" s="71"/>
      <x:c r="B68" s="77"/>
      <x:c r="C68" s="71"/>
      <x:c r="D68" t="str">
        <x:f>IFERROR(IF(66&lt;=$O$1,INDEX($A$3:$A$168,MATCH(66,$I$3:$I$168,0)),IF(66&lt;=$O$1+$O$2,INDEX($F$3:$F$1994,MATCH(66-$O$1,$G$3:$G$1994,0)),"")),"")</x:f>
      </x:c>
      <x:c r="E68" t="str">
        <x:f>IF(K68="","",IF(N68&lt;=M68,"",TRIM(CLEAN(MID(INDEX($B$3:$B$168,K68),M68,N68-M68)))))</x:f>
      </x:c>
      <x:c r="F68" t="str">
        <x:f>IF(E68="","",IF(E68=TRIM(INDEX($A$3:$A$168,K68)),"",IF(RIGHT(TRIM(INDEX($A$3:$A$168,K68)),1)="]",LEFT(TRIM(INDEX($A$3:$A$168,K68)),LEN(TRIM(INDEX($A$3:$A$168,K68)))-1)&amp;", "&amp;SUBSTITUTE(SUBSTITUTE(SUBSTITUTE(E68," [",", "),"[",", "),"]","")&amp;"]",TRIM(INDEX($A$3:$A$168,K68))&amp;" ["&amp;SUBSTITUTE(SUBSTITUTE(SUBSTITUTE(E68," [",", "),"[",", "),"]","")&amp;"]")))</x:f>
      </x:c>
      <x:c r="G68" t="str">
        <x:f>IF(F68&lt;&gt;"",ROWS($F$3:F68)-COUNTBLANK($F$3:F68),"")</x:f>
      </x:c>
      <x:c r="H68" t="n">
        <x:f>SUM($J$3:J68)-J68</x:f>
        <x:v>0</x:v>
      </x:c>
      <x:c r="I68" t="str">
        <x:f>IF(A68&lt;&gt;"",COUNTIF($A$3:A68,"&lt;&gt;"),"")</x:f>
      </x:c>
      <x:c r="J68" t="n">
        <x:f>IF(AND(A68&lt;&gt;"",TRIM(B68)&lt;&gt;""),LEN(B68)-LEN(SUBSTITUTE(B68,CHAR(10),""))+1,0)</x:f>
        <x:v>0</x:v>
      </x:c>
      <x:c r="K68" t="str">
        <x:f>IF(ROW()-ROW($K$2)&lt;=SUM($J$3:$J$168),COUNTIF($H$3:$H$168,"&lt;"&amp;(ROW()-ROW($K$2))),"")</x:f>
      </x:c>
      <x:c r="L68" t="str">
        <x:f>IF(K68="","",ROW()-ROW($L$2)-INDEX($H$3:$H$168,K68))</x:f>
      </x:c>
      <x:c r="M68" t="str">
        <x:f>IF(K68="","",IF(L68=1,1,FIND(CHAR(1),SUBSTITUTE(INDEX($B$3:$B$168,K68),CHAR(10),CHAR(1),L68-1))+1))</x:f>
      </x:c>
      <x:c r="N68" t="str">
        <x:f>IF(K68="","",IFERROR(FIND(CHAR(1),SUBSTITUTE(INDEX($B$3:$B$168,K68),CHAR(10),CHAR(1),L68)),LEN(INDEX($B$3:$B$168,K68))+1))</x:f>
      </x:c>
    </x:row>
    <x:row r="69">
      <x:c r="A69" s="71"/>
      <x:c r="B69" s="77"/>
      <x:c r="C69" s="71"/>
      <x:c r="D69" t="str">
        <x:f>IFERROR(IF(67&lt;=$O$1,INDEX($A$3:$A$168,MATCH(67,$I$3:$I$168,0)),IF(67&lt;=$O$1+$O$2,INDEX($F$3:$F$1994,MATCH(67-$O$1,$G$3:$G$1994,0)),"")),"")</x:f>
      </x:c>
      <x:c r="E69" t="str">
        <x:f>IF(K69="","",IF(N69&lt;=M69,"",TRIM(CLEAN(MID(INDEX($B$3:$B$168,K69),M69,N69-M69)))))</x:f>
      </x:c>
      <x:c r="F69" t="str">
        <x:f>IF(E69="","",IF(E69=TRIM(INDEX($A$3:$A$168,K69)),"",IF(RIGHT(TRIM(INDEX($A$3:$A$168,K69)),1)="]",LEFT(TRIM(INDEX($A$3:$A$168,K69)),LEN(TRIM(INDEX($A$3:$A$168,K69)))-1)&amp;", "&amp;SUBSTITUTE(SUBSTITUTE(SUBSTITUTE(E69," [",", "),"[",", "),"]","")&amp;"]",TRIM(INDEX($A$3:$A$168,K69))&amp;" ["&amp;SUBSTITUTE(SUBSTITUTE(SUBSTITUTE(E69," [",", "),"[",", "),"]","")&amp;"]")))</x:f>
      </x:c>
      <x:c r="G69" t="str">
        <x:f>IF(F69&lt;&gt;"",ROWS($F$3:F69)-COUNTBLANK($F$3:F69),"")</x:f>
      </x:c>
      <x:c r="H69" t="n">
        <x:f>SUM($J$3:J69)-J69</x:f>
        <x:v>0</x:v>
      </x:c>
      <x:c r="I69" t="str">
        <x:f>IF(A69&lt;&gt;"",COUNTIF($A$3:A69,"&lt;&gt;"),"")</x:f>
      </x:c>
      <x:c r="J69" t="n">
        <x:f>IF(AND(A69&lt;&gt;"",TRIM(B69)&lt;&gt;""),LEN(B69)-LEN(SUBSTITUTE(B69,CHAR(10),""))+1,0)</x:f>
        <x:v>0</x:v>
      </x:c>
      <x:c r="K69" t="str">
        <x:f>IF(ROW()-ROW($K$2)&lt;=SUM($J$3:$J$168),COUNTIF($H$3:$H$168,"&lt;"&amp;(ROW()-ROW($K$2))),"")</x:f>
      </x:c>
      <x:c r="L69" t="str">
        <x:f>IF(K69="","",ROW()-ROW($L$2)-INDEX($H$3:$H$168,K69))</x:f>
      </x:c>
      <x:c r="M69" t="str">
        <x:f>IF(K69="","",IF(L69=1,1,FIND(CHAR(1),SUBSTITUTE(INDEX($B$3:$B$168,K69),CHAR(10),CHAR(1),L69-1))+1))</x:f>
      </x:c>
      <x:c r="N69" t="str">
        <x:f>IF(K69="","",IFERROR(FIND(CHAR(1),SUBSTITUTE(INDEX($B$3:$B$168,K69),CHAR(10),CHAR(1),L69)),LEN(INDEX($B$3:$B$168,K69))+1))</x:f>
      </x:c>
    </x:row>
    <x:row r="70">
      <x:c r="A70" s="71"/>
      <x:c r="B70" s="77"/>
      <x:c r="C70" s="71"/>
      <x:c r="D70" t="str">
        <x:f>IFERROR(IF(68&lt;=$O$1,INDEX($A$3:$A$168,MATCH(68,$I$3:$I$168,0)),IF(68&lt;=$O$1+$O$2,INDEX($F$3:$F$1994,MATCH(68-$O$1,$G$3:$G$1994,0)),"")),"")</x:f>
      </x:c>
      <x:c r="E70" t="str">
        <x:f>IF(K70="","",IF(N70&lt;=M70,"",TRIM(CLEAN(MID(INDEX($B$3:$B$168,K70),M70,N70-M70)))))</x:f>
      </x:c>
      <x:c r="F70" t="str">
        <x:f>IF(E70="","",IF(E70=TRIM(INDEX($A$3:$A$168,K70)),"",IF(RIGHT(TRIM(INDEX($A$3:$A$168,K70)),1)="]",LEFT(TRIM(INDEX($A$3:$A$168,K70)),LEN(TRIM(INDEX($A$3:$A$168,K70)))-1)&amp;", "&amp;SUBSTITUTE(SUBSTITUTE(SUBSTITUTE(E70," [",", "),"[",", "),"]","")&amp;"]",TRIM(INDEX($A$3:$A$168,K70))&amp;" ["&amp;SUBSTITUTE(SUBSTITUTE(SUBSTITUTE(E70," [",", "),"[",", "),"]","")&amp;"]")))</x:f>
      </x:c>
      <x:c r="G70" t="str">
        <x:f>IF(F70&lt;&gt;"",ROWS($F$3:F70)-COUNTBLANK($F$3:F70),"")</x:f>
      </x:c>
      <x:c r="H70" t="n">
        <x:f>SUM($J$3:J70)-J70</x:f>
        <x:v>0</x:v>
      </x:c>
      <x:c r="I70" t="str">
        <x:f>IF(A70&lt;&gt;"",COUNTIF($A$3:A70,"&lt;&gt;"),"")</x:f>
      </x:c>
      <x:c r="J70" t="n">
        <x:f>IF(AND(A70&lt;&gt;"",TRIM(B70)&lt;&gt;""),LEN(B70)-LEN(SUBSTITUTE(B70,CHAR(10),""))+1,0)</x:f>
        <x:v>0</x:v>
      </x:c>
      <x:c r="K70" t="str">
        <x:f>IF(ROW()-ROW($K$2)&lt;=SUM($J$3:$J$168),COUNTIF($H$3:$H$168,"&lt;"&amp;(ROW()-ROW($K$2))),"")</x:f>
      </x:c>
      <x:c r="L70" t="str">
        <x:f>IF(K70="","",ROW()-ROW($L$2)-INDEX($H$3:$H$168,K70))</x:f>
      </x:c>
      <x:c r="M70" t="str">
        <x:f>IF(K70="","",IF(L70=1,1,FIND(CHAR(1),SUBSTITUTE(INDEX($B$3:$B$168,K70),CHAR(10),CHAR(1),L70-1))+1))</x:f>
      </x:c>
      <x:c r="N70" t="str">
        <x:f>IF(K70="","",IFERROR(FIND(CHAR(1),SUBSTITUTE(INDEX($B$3:$B$168,K70),CHAR(10),CHAR(1),L70)),LEN(INDEX($B$3:$B$168,K70))+1))</x:f>
      </x:c>
    </x:row>
    <x:row r="71">
      <x:c r="A71" s="71"/>
      <x:c r="B71" s="77"/>
      <x:c r="C71" s="71"/>
      <x:c r="D71" t="str">
        <x:f>IFERROR(IF(69&lt;=$O$1,INDEX($A$3:$A$168,MATCH(69,$I$3:$I$168,0)),IF(69&lt;=$O$1+$O$2,INDEX($F$3:$F$1994,MATCH(69-$O$1,$G$3:$G$1994,0)),"")),"")</x:f>
      </x:c>
      <x:c r="E71" t="str">
        <x:f>IF(K71="","",IF(N71&lt;=M71,"",TRIM(CLEAN(MID(INDEX($B$3:$B$168,K71),M71,N71-M71)))))</x:f>
      </x:c>
      <x:c r="F71" t="str">
        <x:f>IF(E71="","",IF(E71=TRIM(INDEX($A$3:$A$168,K71)),"",IF(RIGHT(TRIM(INDEX($A$3:$A$168,K71)),1)="]",LEFT(TRIM(INDEX($A$3:$A$168,K71)),LEN(TRIM(INDEX($A$3:$A$168,K71)))-1)&amp;", "&amp;SUBSTITUTE(SUBSTITUTE(SUBSTITUTE(E71," [",", "),"[",", "),"]","")&amp;"]",TRIM(INDEX($A$3:$A$168,K71))&amp;" ["&amp;SUBSTITUTE(SUBSTITUTE(SUBSTITUTE(E71," [",", "),"[",", "),"]","")&amp;"]")))</x:f>
      </x:c>
      <x:c r="G71" t="str">
        <x:f>IF(F71&lt;&gt;"",ROWS($F$3:F71)-COUNTBLANK($F$3:F71),"")</x:f>
      </x:c>
      <x:c r="H71" t="n">
        <x:f>SUM($J$3:J71)-J71</x:f>
        <x:v>0</x:v>
      </x:c>
      <x:c r="I71" t="str">
        <x:f>IF(A71&lt;&gt;"",COUNTIF($A$3:A71,"&lt;&gt;"),"")</x:f>
      </x:c>
      <x:c r="J71" t="n">
        <x:f>IF(AND(A71&lt;&gt;"",TRIM(B71)&lt;&gt;""),LEN(B71)-LEN(SUBSTITUTE(B71,CHAR(10),""))+1,0)</x:f>
        <x:v>0</x:v>
      </x:c>
      <x:c r="K71" t="str">
        <x:f>IF(ROW()-ROW($K$2)&lt;=SUM($J$3:$J$168),COUNTIF($H$3:$H$168,"&lt;"&amp;(ROW()-ROW($K$2))),"")</x:f>
      </x:c>
      <x:c r="L71" t="str">
        <x:f>IF(K71="","",ROW()-ROW($L$2)-INDEX($H$3:$H$168,K71))</x:f>
      </x:c>
      <x:c r="M71" t="str">
        <x:f>IF(K71="","",IF(L71=1,1,FIND(CHAR(1),SUBSTITUTE(INDEX($B$3:$B$168,K71),CHAR(10),CHAR(1),L71-1))+1))</x:f>
      </x:c>
      <x:c r="N71" t="str">
        <x:f>IF(K71="","",IFERROR(FIND(CHAR(1),SUBSTITUTE(INDEX($B$3:$B$168,K71),CHAR(10),CHAR(1),L71)),LEN(INDEX($B$3:$B$168,K71))+1))</x:f>
      </x:c>
    </x:row>
    <x:row r="72">
      <x:c r="A72" s="71"/>
      <x:c r="B72" s="77"/>
      <x:c r="C72" s="71"/>
      <x:c r="D72" t="str">
        <x:f>IFERROR(IF(70&lt;=$O$1,INDEX($A$3:$A$168,MATCH(70,$I$3:$I$168,0)),IF(70&lt;=$O$1+$O$2,INDEX($F$3:$F$1994,MATCH(70-$O$1,$G$3:$G$1994,0)),"")),"")</x:f>
      </x:c>
      <x:c r="E72" t="str">
        <x:f>IF(K72="","",IF(N72&lt;=M72,"",TRIM(CLEAN(MID(INDEX($B$3:$B$168,K72),M72,N72-M72)))))</x:f>
      </x:c>
      <x:c r="F72" t="str">
        <x:f>IF(E72="","",IF(E72=TRIM(INDEX($A$3:$A$168,K72)),"",IF(RIGHT(TRIM(INDEX($A$3:$A$168,K72)),1)="]",LEFT(TRIM(INDEX($A$3:$A$168,K72)),LEN(TRIM(INDEX($A$3:$A$168,K72)))-1)&amp;", "&amp;SUBSTITUTE(SUBSTITUTE(SUBSTITUTE(E72," [",", "),"[",", "),"]","")&amp;"]",TRIM(INDEX($A$3:$A$168,K72))&amp;" ["&amp;SUBSTITUTE(SUBSTITUTE(SUBSTITUTE(E72," [",", "),"[",", "),"]","")&amp;"]")))</x:f>
      </x:c>
      <x:c r="G72" t="str">
        <x:f>IF(F72&lt;&gt;"",ROWS($F$3:F72)-COUNTBLANK($F$3:F72),"")</x:f>
      </x:c>
      <x:c r="H72" t="n">
        <x:f>SUM($J$3:J72)-J72</x:f>
        <x:v>0</x:v>
      </x:c>
      <x:c r="I72" t="str">
        <x:f>IF(A72&lt;&gt;"",COUNTIF($A$3:A72,"&lt;&gt;"),"")</x:f>
      </x:c>
      <x:c r="J72" t="n">
        <x:f>IF(AND(A72&lt;&gt;"",TRIM(B72)&lt;&gt;""),LEN(B72)-LEN(SUBSTITUTE(B72,CHAR(10),""))+1,0)</x:f>
        <x:v>0</x:v>
      </x:c>
      <x:c r="K72" t="str">
        <x:f>IF(ROW()-ROW($K$2)&lt;=SUM($J$3:$J$168),COUNTIF($H$3:$H$168,"&lt;"&amp;(ROW()-ROW($K$2))),"")</x:f>
      </x:c>
      <x:c r="L72" t="str">
        <x:f>IF(K72="","",ROW()-ROW($L$2)-INDEX($H$3:$H$168,K72))</x:f>
      </x:c>
      <x:c r="M72" t="str">
        <x:f>IF(K72="","",IF(L72=1,1,FIND(CHAR(1),SUBSTITUTE(INDEX($B$3:$B$168,K72),CHAR(10),CHAR(1),L72-1))+1))</x:f>
      </x:c>
      <x:c r="N72" t="str">
        <x:f>IF(K72="","",IFERROR(FIND(CHAR(1),SUBSTITUTE(INDEX($B$3:$B$168,K72),CHAR(10),CHAR(1),L72)),LEN(INDEX($B$3:$B$168,K72))+1))</x:f>
      </x:c>
    </x:row>
    <x:row r="73">
      <x:c r="A73" s="71"/>
      <x:c r="B73" s="77"/>
      <x:c r="C73" s="71"/>
      <x:c r="D73" t="str">
        <x:f>IFERROR(IF(71&lt;=$O$1,INDEX($A$3:$A$168,MATCH(71,$I$3:$I$168,0)),IF(71&lt;=$O$1+$O$2,INDEX($F$3:$F$1994,MATCH(71-$O$1,$G$3:$G$1994,0)),"")),"")</x:f>
      </x:c>
      <x:c r="E73" t="str">
        <x:f>IF(K73="","",IF(N73&lt;=M73,"",TRIM(CLEAN(MID(INDEX($B$3:$B$168,K73),M73,N73-M73)))))</x:f>
      </x:c>
      <x:c r="F73" t="str">
        <x:f>IF(E73="","",IF(E73=TRIM(INDEX($A$3:$A$168,K73)),"",IF(RIGHT(TRIM(INDEX($A$3:$A$168,K73)),1)="]",LEFT(TRIM(INDEX($A$3:$A$168,K73)),LEN(TRIM(INDEX($A$3:$A$168,K73)))-1)&amp;", "&amp;SUBSTITUTE(SUBSTITUTE(SUBSTITUTE(E73," [",", "),"[",", "),"]","")&amp;"]",TRIM(INDEX($A$3:$A$168,K73))&amp;" ["&amp;SUBSTITUTE(SUBSTITUTE(SUBSTITUTE(E73," [",", "),"[",", "),"]","")&amp;"]")))</x:f>
      </x:c>
      <x:c r="G73" t="str">
        <x:f>IF(F73&lt;&gt;"",ROWS($F$3:F73)-COUNTBLANK($F$3:F73),"")</x:f>
      </x:c>
      <x:c r="H73" t="n">
        <x:f>SUM($J$3:J73)-J73</x:f>
        <x:v>0</x:v>
      </x:c>
      <x:c r="I73" t="str">
        <x:f>IF(A73&lt;&gt;"",COUNTIF($A$3:A73,"&lt;&gt;"),"")</x:f>
      </x:c>
      <x:c r="J73" t="n">
        <x:f>IF(AND(A73&lt;&gt;"",TRIM(B73)&lt;&gt;""),LEN(B73)-LEN(SUBSTITUTE(B73,CHAR(10),""))+1,0)</x:f>
        <x:v>0</x:v>
      </x:c>
      <x:c r="K73" t="str">
        <x:f>IF(ROW()-ROW($K$2)&lt;=SUM($J$3:$J$168),COUNTIF($H$3:$H$168,"&lt;"&amp;(ROW()-ROW($K$2))),"")</x:f>
      </x:c>
      <x:c r="L73" t="str">
        <x:f>IF(K73="","",ROW()-ROW($L$2)-INDEX($H$3:$H$168,K73))</x:f>
      </x:c>
      <x:c r="M73" t="str">
        <x:f>IF(K73="","",IF(L73=1,1,FIND(CHAR(1),SUBSTITUTE(INDEX($B$3:$B$168,K73),CHAR(10),CHAR(1),L73-1))+1))</x:f>
      </x:c>
      <x:c r="N73" t="str">
        <x:f>IF(K73="","",IFERROR(FIND(CHAR(1),SUBSTITUTE(INDEX($B$3:$B$168,K73),CHAR(10),CHAR(1),L73)),LEN(INDEX($B$3:$B$168,K73))+1))</x:f>
      </x:c>
    </x:row>
    <x:row r="74">
      <x:c r="A74" s="71"/>
      <x:c r="B74" s="77"/>
      <x:c r="C74" s="71"/>
      <x:c r="D74" t="str">
        <x:f>IFERROR(IF(72&lt;=$O$1,INDEX($A$3:$A$168,MATCH(72,$I$3:$I$168,0)),IF(72&lt;=$O$1+$O$2,INDEX($F$3:$F$1994,MATCH(72-$O$1,$G$3:$G$1994,0)),"")),"")</x:f>
      </x:c>
      <x:c r="E74" t="str">
        <x:f>IF(K74="","",IF(N74&lt;=M74,"",TRIM(CLEAN(MID(INDEX($B$3:$B$168,K74),M74,N74-M74)))))</x:f>
      </x:c>
      <x:c r="F74" t="str">
        <x:f>IF(E74="","",IF(E74=TRIM(INDEX($A$3:$A$168,K74)),"",IF(RIGHT(TRIM(INDEX($A$3:$A$168,K74)),1)="]",LEFT(TRIM(INDEX($A$3:$A$168,K74)),LEN(TRIM(INDEX($A$3:$A$168,K74)))-1)&amp;", "&amp;SUBSTITUTE(SUBSTITUTE(SUBSTITUTE(E74," [",", "),"[",", "),"]","")&amp;"]",TRIM(INDEX($A$3:$A$168,K74))&amp;" ["&amp;SUBSTITUTE(SUBSTITUTE(SUBSTITUTE(E74," [",", "),"[",", "),"]","")&amp;"]")))</x:f>
      </x:c>
      <x:c r="G74" t="str">
        <x:f>IF(F74&lt;&gt;"",ROWS($F$3:F74)-COUNTBLANK($F$3:F74),"")</x:f>
      </x:c>
      <x:c r="H74" t="n">
        <x:f>SUM($J$3:J74)-J74</x:f>
        <x:v>0</x:v>
      </x:c>
      <x:c r="I74" t="str">
        <x:f>IF(A74&lt;&gt;"",COUNTIF($A$3:A74,"&lt;&gt;"),"")</x:f>
      </x:c>
      <x:c r="J74" t="n">
        <x:f>IF(AND(A74&lt;&gt;"",TRIM(B74)&lt;&gt;""),LEN(B74)-LEN(SUBSTITUTE(B74,CHAR(10),""))+1,0)</x:f>
        <x:v>0</x:v>
      </x:c>
      <x:c r="K74" t="str">
        <x:f>IF(ROW()-ROW($K$2)&lt;=SUM($J$3:$J$168),COUNTIF($H$3:$H$168,"&lt;"&amp;(ROW()-ROW($K$2))),"")</x:f>
      </x:c>
      <x:c r="L74" t="str">
        <x:f>IF(K74="","",ROW()-ROW($L$2)-INDEX($H$3:$H$168,K74))</x:f>
      </x:c>
      <x:c r="M74" t="str">
        <x:f>IF(K74="","",IF(L74=1,1,FIND(CHAR(1),SUBSTITUTE(INDEX($B$3:$B$168,K74),CHAR(10),CHAR(1),L74-1))+1))</x:f>
      </x:c>
      <x:c r="N74" t="str">
        <x:f>IF(K74="","",IFERROR(FIND(CHAR(1),SUBSTITUTE(INDEX($B$3:$B$168,K74),CHAR(10),CHAR(1),L74)),LEN(INDEX($B$3:$B$168,K74))+1))</x:f>
      </x:c>
    </x:row>
    <x:row r="75">
      <x:c r="A75" s="71"/>
      <x:c r="B75" s="77"/>
      <x:c r="C75" s="71"/>
      <x:c r="D75" t="str">
        <x:f>IFERROR(IF(73&lt;=$O$1,INDEX($A$3:$A$168,MATCH(73,$I$3:$I$168,0)),IF(73&lt;=$O$1+$O$2,INDEX($F$3:$F$1994,MATCH(73-$O$1,$G$3:$G$1994,0)),"")),"")</x:f>
      </x:c>
      <x:c r="E75" t="str">
        <x:f>IF(K75="","",IF(N75&lt;=M75,"",TRIM(CLEAN(MID(INDEX($B$3:$B$168,K75),M75,N75-M75)))))</x:f>
      </x:c>
      <x:c r="F75" t="str">
        <x:f>IF(E75="","",IF(E75=TRIM(INDEX($A$3:$A$168,K75)),"",IF(RIGHT(TRIM(INDEX($A$3:$A$168,K75)),1)="]",LEFT(TRIM(INDEX($A$3:$A$168,K75)),LEN(TRIM(INDEX($A$3:$A$168,K75)))-1)&amp;", "&amp;SUBSTITUTE(SUBSTITUTE(SUBSTITUTE(E75," [",", "),"[",", "),"]","")&amp;"]",TRIM(INDEX($A$3:$A$168,K75))&amp;" ["&amp;SUBSTITUTE(SUBSTITUTE(SUBSTITUTE(E75," [",", "),"[",", "),"]","")&amp;"]")))</x:f>
      </x:c>
      <x:c r="G75" t="str">
        <x:f>IF(F75&lt;&gt;"",ROWS($F$3:F75)-COUNTBLANK($F$3:F75),"")</x:f>
      </x:c>
      <x:c r="H75" t="n">
        <x:f>SUM($J$3:J75)-J75</x:f>
        <x:v>0</x:v>
      </x:c>
      <x:c r="I75" t="str">
        <x:f>IF(A75&lt;&gt;"",COUNTIF($A$3:A75,"&lt;&gt;"),"")</x:f>
      </x:c>
      <x:c r="J75" t="n">
        <x:f>IF(AND(A75&lt;&gt;"",TRIM(B75)&lt;&gt;""),LEN(B75)-LEN(SUBSTITUTE(B75,CHAR(10),""))+1,0)</x:f>
        <x:v>0</x:v>
      </x:c>
      <x:c r="K75" t="str">
        <x:f>IF(ROW()-ROW($K$2)&lt;=SUM($J$3:$J$168),COUNTIF($H$3:$H$168,"&lt;"&amp;(ROW()-ROW($K$2))),"")</x:f>
      </x:c>
      <x:c r="L75" t="str">
        <x:f>IF(K75="","",ROW()-ROW($L$2)-INDEX($H$3:$H$168,K75))</x:f>
      </x:c>
      <x:c r="M75" t="str">
        <x:f>IF(K75="","",IF(L75=1,1,FIND(CHAR(1),SUBSTITUTE(INDEX($B$3:$B$168,K75),CHAR(10),CHAR(1),L75-1))+1))</x:f>
      </x:c>
      <x:c r="N75" t="str">
        <x:f>IF(K75="","",IFERROR(FIND(CHAR(1),SUBSTITUTE(INDEX($B$3:$B$168,K75),CHAR(10),CHAR(1),L75)),LEN(INDEX($B$3:$B$168,K75))+1))</x:f>
      </x:c>
    </x:row>
    <x:row r="76">
      <x:c r="A76" s="71"/>
      <x:c r="B76" s="77"/>
      <x:c r="C76" s="71"/>
      <x:c r="D76" t="str">
        <x:f>IFERROR(IF(74&lt;=$O$1,INDEX($A$3:$A$168,MATCH(74,$I$3:$I$168,0)),IF(74&lt;=$O$1+$O$2,INDEX($F$3:$F$1994,MATCH(74-$O$1,$G$3:$G$1994,0)),"")),"")</x:f>
      </x:c>
      <x:c r="E76" t="str">
        <x:f>IF(K76="","",IF(N76&lt;=M76,"",TRIM(CLEAN(MID(INDEX($B$3:$B$168,K76),M76,N76-M76)))))</x:f>
      </x:c>
      <x:c r="F76" t="str">
        <x:f>IF(E76="","",IF(E76=TRIM(INDEX($A$3:$A$168,K76)),"",IF(RIGHT(TRIM(INDEX($A$3:$A$168,K76)),1)="]",LEFT(TRIM(INDEX($A$3:$A$168,K76)),LEN(TRIM(INDEX($A$3:$A$168,K76)))-1)&amp;", "&amp;SUBSTITUTE(SUBSTITUTE(SUBSTITUTE(E76," [",", "),"[",", "),"]","")&amp;"]",TRIM(INDEX($A$3:$A$168,K76))&amp;" ["&amp;SUBSTITUTE(SUBSTITUTE(SUBSTITUTE(E76," [",", "),"[",", "),"]","")&amp;"]")))</x:f>
      </x:c>
      <x:c r="G76" t="str">
        <x:f>IF(F76&lt;&gt;"",ROWS($F$3:F76)-COUNTBLANK($F$3:F76),"")</x:f>
      </x:c>
      <x:c r="H76" t="n">
        <x:f>SUM($J$3:J76)-J76</x:f>
        <x:v>0</x:v>
      </x:c>
      <x:c r="I76" t="str">
        <x:f>IF(A76&lt;&gt;"",COUNTIF($A$3:A76,"&lt;&gt;"),"")</x:f>
      </x:c>
      <x:c r="J76" t="n">
        <x:f>IF(AND(A76&lt;&gt;"",TRIM(B76)&lt;&gt;""),LEN(B76)-LEN(SUBSTITUTE(B76,CHAR(10),""))+1,0)</x:f>
        <x:v>0</x:v>
      </x:c>
      <x:c r="K76" t="str">
        <x:f>IF(ROW()-ROW($K$2)&lt;=SUM($J$3:$J$168),COUNTIF($H$3:$H$168,"&lt;"&amp;(ROW()-ROW($K$2))),"")</x:f>
      </x:c>
      <x:c r="L76" t="str">
        <x:f>IF(K76="","",ROW()-ROW($L$2)-INDEX($H$3:$H$168,K76))</x:f>
      </x:c>
      <x:c r="M76" t="str">
        <x:f>IF(K76="","",IF(L76=1,1,FIND(CHAR(1),SUBSTITUTE(INDEX($B$3:$B$168,K76),CHAR(10),CHAR(1),L76-1))+1))</x:f>
      </x:c>
      <x:c r="N76" t="str">
        <x:f>IF(K76="","",IFERROR(FIND(CHAR(1),SUBSTITUTE(INDEX($B$3:$B$168,K76),CHAR(10),CHAR(1),L76)),LEN(INDEX($B$3:$B$168,K76))+1))</x:f>
      </x:c>
    </x:row>
    <x:row r="77">
      <x:c r="A77" s="71"/>
      <x:c r="B77" s="77"/>
      <x:c r="C77" s="71"/>
      <x:c r="D77" t="str">
        <x:f>IFERROR(IF(75&lt;=$O$1,INDEX($A$3:$A$168,MATCH(75,$I$3:$I$168,0)),IF(75&lt;=$O$1+$O$2,INDEX($F$3:$F$1994,MATCH(75-$O$1,$G$3:$G$1994,0)),"")),"")</x:f>
      </x:c>
      <x:c r="E77" t="str">
        <x:f>IF(K77="","",IF(N77&lt;=M77,"",TRIM(CLEAN(MID(INDEX($B$3:$B$168,K77),M77,N77-M77)))))</x:f>
      </x:c>
      <x:c r="F77" t="str">
        <x:f>IF(E77="","",IF(E77=TRIM(INDEX($A$3:$A$168,K77)),"",IF(RIGHT(TRIM(INDEX($A$3:$A$168,K77)),1)="]",LEFT(TRIM(INDEX($A$3:$A$168,K77)),LEN(TRIM(INDEX($A$3:$A$168,K77)))-1)&amp;", "&amp;SUBSTITUTE(SUBSTITUTE(SUBSTITUTE(E77," [",", "),"[",", "),"]","")&amp;"]",TRIM(INDEX($A$3:$A$168,K77))&amp;" ["&amp;SUBSTITUTE(SUBSTITUTE(SUBSTITUTE(E77," [",", "),"[",", "),"]","")&amp;"]")))</x:f>
      </x:c>
      <x:c r="G77" t="str">
        <x:f>IF(F77&lt;&gt;"",ROWS($F$3:F77)-COUNTBLANK($F$3:F77),"")</x:f>
      </x:c>
      <x:c r="H77" t="n">
        <x:f>SUM($J$3:J77)-J77</x:f>
        <x:v>0</x:v>
      </x:c>
      <x:c r="I77" t="str">
        <x:f>IF(A77&lt;&gt;"",COUNTIF($A$3:A77,"&lt;&gt;"),"")</x:f>
      </x:c>
      <x:c r="J77" t="n">
        <x:f>IF(AND(A77&lt;&gt;"",TRIM(B77)&lt;&gt;""),LEN(B77)-LEN(SUBSTITUTE(B77,CHAR(10),""))+1,0)</x:f>
        <x:v>0</x:v>
      </x:c>
      <x:c r="K77" t="str">
        <x:f>IF(ROW()-ROW($K$2)&lt;=SUM($J$3:$J$168),COUNTIF($H$3:$H$168,"&lt;"&amp;(ROW()-ROW($K$2))),"")</x:f>
      </x:c>
      <x:c r="L77" t="str">
        <x:f>IF(K77="","",ROW()-ROW($L$2)-INDEX($H$3:$H$168,K77))</x:f>
      </x:c>
      <x:c r="M77" t="str">
        <x:f>IF(K77="","",IF(L77=1,1,FIND(CHAR(1),SUBSTITUTE(INDEX($B$3:$B$168,K77),CHAR(10),CHAR(1),L77-1))+1))</x:f>
      </x:c>
      <x:c r="N77" t="str">
        <x:f>IF(K77="","",IFERROR(FIND(CHAR(1),SUBSTITUTE(INDEX($B$3:$B$168,K77),CHAR(10),CHAR(1),L77)),LEN(INDEX($B$3:$B$168,K77))+1))</x:f>
      </x:c>
    </x:row>
    <x:row r="78">
      <x:c r="A78" s="71"/>
      <x:c r="B78" s="77"/>
      <x:c r="C78" s="71"/>
      <x:c r="D78" t="str">
        <x:f>IFERROR(IF(76&lt;=$O$1,INDEX($A$3:$A$168,MATCH(76,$I$3:$I$168,0)),IF(76&lt;=$O$1+$O$2,INDEX($F$3:$F$1994,MATCH(76-$O$1,$G$3:$G$1994,0)),"")),"")</x:f>
      </x:c>
      <x:c r="E78" t="str">
        <x:f>IF(K78="","",IF(N78&lt;=M78,"",TRIM(CLEAN(MID(INDEX($B$3:$B$168,K78),M78,N78-M78)))))</x:f>
      </x:c>
      <x:c r="F78" t="str">
        <x:f>IF(E78="","",IF(E78=TRIM(INDEX($A$3:$A$168,K78)),"",IF(RIGHT(TRIM(INDEX($A$3:$A$168,K78)),1)="]",LEFT(TRIM(INDEX($A$3:$A$168,K78)),LEN(TRIM(INDEX($A$3:$A$168,K78)))-1)&amp;", "&amp;SUBSTITUTE(SUBSTITUTE(SUBSTITUTE(E78," [",", "),"[",", "),"]","")&amp;"]",TRIM(INDEX($A$3:$A$168,K78))&amp;" ["&amp;SUBSTITUTE(SUBSTITUTE(SUBSTITUTE(E78," [",", "),"[",", "),"]","")&amp;"]")))</x:f>
      </x:c>
      <x:c r="G78" t="str">
        <x:f>IF(F78&lt;&gt;"",ROWS($F$3:F78)-COUNTBLANK($F$3:F78),"")</x:f>
      </x:c>
      <x:c r="H78" t="n">
        <x:f>SUM($J$3:J78)-J78</x:f>
        <x:v>0</x:v>
      </x:c>
      <x:c r="I78" t="str">
        <x:f>IF(A78&lt;&gt;"",COUNTIF($A$3:A78,"&lt;&gt;"),"")</x:f>
      </x:c>
      <x:c r="J78" t="n">
        <x:f>IF(AND(A78&lt;&gt;"",TRIM(B78)&lt;&gt;""),LEN(B78)-LEN(SUBSTITUTE(B78,CHAR(10),""))+1,0)</x:f>
        <x:v>0</x:v>
      </x:c>
      <x:c r="K78" t="str">
        <x:f>IF(ROW()-ROW($K$2)&lt;=SUM($J$3:$J$168),COUNTIF($H$3:$H$168,"&lt;"&amp;(ROW()-ROW($K$2))),"")</x:f>
      </x:c>
      <x:c r="L78" t="str">
        <x:f>IF(K78="","",ROW()-ROW($L$2)-INDEX($H$3:$H$168,K78))</x:f>
      </x:c>
      <x:c r="M78" t="str">
        <x:f>IF(K78="","",IF(L78=1,1,FIND(CHAR(1),SUBSTITUTE(INDEX($B$3:$B$168,K78),CHAR(10),CHAR(1),L78-1))+1))</x:f>
      </x:c>
      <x:c r="N78" t="str">
        <x:f>IF(K78="","",IFERROR(FIND(CHAR(1),SUBSTITUTE(INDEX($B$3:$B$168,K78),CHAR(10),CHAR(1),L78)),LEN(INDEX($B$3:$B$168,K78))+1))</x:f>
      </x:c>
    </x:row>
    <x:row r="79">
      <x:c r="A79" s="71"/>
      <x:c r="B79" s="77"/>
      <x:c r="C79" s="71"/>
      <x:c r="D79" t="str">
        <x:f>IFERROR(IF(77&lt;=$O$1,INDEX($A$3:$A$168,MATCH(77,$I$3:$I$168,0)),IF(77&lt;=$O$1+$O$2,INDEX($F$3:$F$1994,MATCH(77-$O$1,$G$3:$G$1994,0)),"")),"")</x:f>
      </x:c>
      <x:c r="E79" t="str">
        <x:f>IF(K79="","",IF(N79&lt;=M79,"",TRIM(CLEAN(MID(INDEX($B$3:$B$168,K79),M79,N79-M79)))))</x:f>
      </x:c>
      <x:c r="F79" t="str">
        <x:f>IF(E79="","",IF(E79=TRIM(INDEX($A$3:$A$168,K79)),"",IF(RIGHT(TRIM(INDEX($A$3:$A$168,K79)),1)="]",LEFT(TRIM(INDEX($A$3:$A$168,K79)),LEN(TRIM(INDEX($A$3:$A$168,K79)))-1)&amp;", "&amp;SUBSTITUTE(SUBSTITUTE(SUBSTITUTE(E79," [",", "),"[",", "),"]","")&amp;"]",TRIM(INDEX($A$3:$A$168,K79))&amp;" ["&amp;SUBSTITUTE(SUBSTITUTE(SUBSTITUTE(E79," [",", "),"[",", "),"]","")&amp;"]")))</x:f>
      </x:c>
      <x:c r="G79" t="str">
        <x:f>IF(F79&lt;&gt;"",ROWS($F$3:F79)-COUNTBLANK($F$3:F79),"")</x:f>
      </x:c>
      <x:c r="H79" t="n">
        <x:f>SUM($J$3:J79)-J79</x:f>
        <x:v>0</x:v>
      </x:c>
      <x:c r="I79" t="str">
        <x:f>IF(A79&lt;&gt;"",COUNTIF($A$3:A79,"&lt;&gt;"),"")</x:f>
      </x:c>
      <x:c r="J79" t="n">
        <x:f>IF(AND(A79&lt;&gt;"",TRIM(B79)&lt;&gt;""),LEN(B79)-LEN(SUBSTITUTE(B79,CHAR(10),""))+1,0)</x:f>
        <x:v>0</x:v>
      </x:c>
      <x:c r="K79" t="str">
        <x:f>IF(ROW()-ROW($K$2)&lt;=SUM($J$3:$J$168),COUNTIF($H$3:$H$168,"&lt;"&amp;(ROW()-ROW($K$2))),"")</x:f>
      </x:c>
      <x:c r="L79" t="str">
        <x:f>IF(K79="","",ROW()-ROW($L$2)-INDEX($H$3:$H$168,K79))</x:f>
      </x:c>
      <x:c r="M79" t="str">
        <x:f>IF(K79="","",IF(L79=1,1,FIND(CHAR(1),SUBSTITUTE(INDEX($B$3:$B$168,K79),CHAR(10),CHAR(1),L79-1))+1))</x:f>
      </x:c>
      <x:c r="N79" t="str">
        <x:f>IF(K79="","",IFERROR(FIND(CHAR(1),SUBSTITUTE(INDEX($B$3:$B$168,K79),CHAR(10),CHAR(1),L79)),LEN(INDEX($B$3:$B$168,K79))+1))</x:f>
      </x:c>
    </x:row>
    <x:row r="80">
      <x:c r="A80" s="71"/>
      <x:c r="B80" s="77"/>
      <x:c r="C80" s="71"/>
      <x:c r="D80" t="str">
        <x:f>IFERROR(IF(78&lt;=$O$1,INDEX($A$3:$A$168,MATCH(78,$I$3:$I$168,0)),IF(78&lt;=$O$1+$O$2,INDEX($F$3:$F$1994,MATCH(78-$O$1,$G$3:$G$1994,0)),"")),"")</x:f>
      </x:c>
      <x:c r="E80" t="str">
        <x:f>IF(K80="","",IF(N80&lt;=M80,"",TRIM(CLEAN(MID(INDEX($B$3:$B$168,K80),M80,N80-M80)))))</x:f>
      </x:c>
      <x:c r="F80" t="str">
        <x:f>IF(E80="","",IF(E80=TRIM(INDEX($A$3:$A$168,K80)),"",IF(RIGHT(TRIM(INDEX($A$3:$A$168,K80)),1)="]",LEFT(TRIM(INDEX($A$3:$A$168,K80)),LEN(TRIM(INDEX($A$3:$A$168,K80)))-1)&amp;", "&amp;SUBSTITUTE(SUBSTITUTE(SUBSTITUTE(E80," [",", "),"[",", "),"]","")&amp;"]",TRIM(INDEX($A$3:$A$168,K80))&amp;" ["&amp;SUBSTITUTE(SUBSTITUTE(SUBSTITUTE(E80," [",", "),"[",", "),"]","")&amp;"]")))</x:f>
      </x:c>
      <x:c r="G80" t="str">
        <x:f>IF(F80&lt;&gt;"",ROWS($F$3:F80)-COUNTBLANK($F$3:F80),"")</x:f>
      </x:c>
      <x:c r="H80" t="n">
        <x:f>SUM($J$3:J80)-J80</x:f>
        <x:v>0</x:v>
      </x:c>
      <x:c r="I80" t="str">
        <x:f>IF(A80&lt;&gt;"",COUNTIF($A$3:A80,"&lt;&gt;"),"")</x:f>
      </x:c>
      <x:c r="J80" t="n">
        <x:f>IF(AND(A80&lt;&gt;"",TRIM(B80)&lt;&gt;""),LEN(B80)-LEN(SUBSTITUTE(B80,CHAR(10),""))+1,0)</x:f>
        <x:v>0</x:v>
      </x:c>
      <x:c r="K80" t="str">
        <x:f>IF(ROW()-ROW($K$2)&lt;=SUM($J$3:$J$168),COUNTIF($H$3:$H$168,"&lt;"&amp;(ROW()-ROW($K$2))),"")</x:f>
      </x:c>
      <x:c r="L80" t="str">
        <x:f>IF(K80="","",ROW()-ROW($L$2)-INDEX($H$3:$H$168,K80))</x:f>
      </x:c>
      <x:c r="M80" t="str">
        <x:f>IF(K80="","",IF(L80=1,1,FIND(CHAR(1),SUBSTITUTE(INDEX($B$3:$B$168,K80),CHAR(10),CHAR(1),L80-1))+1))</x:f>
      </x:c>
      <x:c r="N80" t="str">
        <x:f>IF(K80="","",IFERROR(FIND(CHAR(1),SUBSTITUTE(INDEX($B$3:$B$168,K80),CHAR(10),CHAR(1),L80)),LEN(INDEX($B$3:$B$168,K80))+1))</x:f>
      </x:c>
    </x:row>
    <x:row r="81">
      <x:c r="A81" s="71"/>
      <x:c r="B81" s="77"/>
      <x:c r="C81" s="71"/>
      <x:c r="D81" t="str">
        <x:f>IFERROR(IF(79&lt;=$O$1,INDEX($A$3:$A$168,MATCH(79,$I$3:$I$168,0)),IF(79&lt;=$O$1+$O$2,INDEX($F$3:$F$1994,MATCH(79-$O$1,$G$3:$G$1994,0)),"")),"")</x:f>
      </x:c>
      <x:c r="E81" t="str">
        <x:f>IF(K81="","",IF(N81&lt;=M81,"",TRIM(CLEAN(MID(INDEX($B$3:$B$168,K81),M81,N81-M81)))))</x:f>
      </x:c>
      <x:c r="F81" t="str">
        <x:f>IF(E81="","",IF(E81=TRIM(INDEX($A$3:$A$168,K81)),"",IF(RIGHT(TRIM(INDEX($A$3:$A$168,K81)),1)="]",LEFT(TRIM(INDEX($A$3:$A$168,K81)),LEN(TRIM(INDEX($A$3:$A$168,K81)))-1)&amp;", "&amp;SUBSTITUTE(SUBSTITUTE(SUBSTITUTE(E81," [",", "),"[",", "),"]","")&amp;"]",TRIM(INDEX($A$3:$A$168,K81))&amp;" ["&amp;SUBSTITUTE(SUBSTITUTE(SUBSTITUTE(E81," [",", "),"[",", "),"]","")&amp;"]")))</x:f>
      </x:c>
      <x:c r="G81" t="str">
        <x:f>IF(F81&lt;&gt;"",ROWS($F$3:F81)-COUNTBLANK($F$3:F81),"")</x:f>
      </x:c>
      <x:c r="H81" t="n">
        <x:f>SUM($J$3:J81)-J81</x:f>
        <x:v>0</x:v>
      </x:c>
      <x:c r="I81" t="str">
        <x:f>IF(A81&lt;&gt;"",COUNTIF($A$3:A81,"&lt;&gt;"),"")</x:f>
      </x:c>
      <x:c r="J81" t="n">
        <x:f>IF(AND(A81&lt;&gt;"",TRIM(B81)&lt;&gt;""),LEN(B81)-LEN(SUBSTITUTE(B81,CHAR(10),""))+1,0)</x:f>
        <x:v>0</x:v>
      </x:c>
      <x:c r="K81" t="str">
        <x:f>IF(ROW()-ROW($K$2)&lt;=SUM($J$3:$J$168),COUNTIF($H$3:$H$168,"&lt;"&amp;(ROW()-ROW($K$2))),"")</x:f>
      </x:c>
      <x:c r="L81" t="str">
        <x:f>IF(K81="","",ROW()-ROW($L$2)-INDEX($H$3:$H$168,K81))</x:f>
      </x:c>
      <x:c r="M81" t="str">
        <x:f>IF(K81="","",IF(L81=1,1,FIND(CHAR(1),SUBSTITUTE(INDEX($B$3:$B$168,K81),CHAR(10),CHAR(1),L81-1))+1))</x:f>
      </x:c>
      <x:c r="N81" t="str">
        <x:f>IF(K81="","",IFERROR(FIND(CHAR(1),SUBSTITUTE(INDEX($B$3:$B$168,K81),CHAR(10),CHAR(1),L81)),LEN(INDEX($B$3:$B$168,K81))+1))</x:f>
      </x:c>
    </x:row>
    <x:row r="82">
      <x:c r="A82" s="71"/>
      <x:c r="B82" s="77"/>
      <x:c r="C82" s="71"/>
      <x:c r="D82" t="str">
        <x:f>IFERROR(IF(80&lt;=$O$1,INDEX($A$3:$A$168,MATCH(80,$I$3:$I$168,0)),IF(80&lt;=$O$1+$O$2,INDEX($F$3:$F$1994,MATCH(80-$O$1,$G$3:$G$1994,0)),"")),"")</x:f>
      </x:c>
      <x:c r="E82" t="str">
        <x:f>IF(K82="","",IF(N82&lt;=M82,"",TRIM(CLEAN(MID(INDEX($B$3:$B$168,K82),M82,N82-M82)))))</x:f>
      </x:c>
      <x:c r="F82" t="str">
        <x:f>IF(E82="","",IF(E82=TRIM(INDEX($A$3:$A$168,K82)),"",IF(RIGHT(TRIM(INDEX($A$3:$A$168,K82)),1)="]",LEFT(TRIM(INDEX($A$3:$A$168,K82)),LEN(TRIM(INDEX($A$3:$A$168,K82)))-1)&amp;", "&amp;SUBSTITUTE(SUBSTITUTE(SUBSTITUTE(E82," [",", "),"[",", "),"]","")&amp;"]",TRIM(INDEX($A$3:$A$168,K82))&amp;" ["&amp;SUBSTITUTE(SUBSTITUTE(SUBSTITUTE(E82," [",", "),"[",", "),"]","")&amp;"]")))</x:f>
      </x:c>
      <x:c r="G82" t="str">
        <x:f>IF(F82&lt;&gt;"",ROWS($F$3:F82)-COUNTBLANK($F$3:F82),"")</x:f>
      </x:c>
      <x:c r="H82" t="n">
        <x:f>SUM($J$3:J82)-J82</x:f>
        <x:v>0</x:v>
      </x:c>
      <x:c r="I82" t="str">
        <x:f>IF(A82&lt;&gt;"",COUNTIF($A$3:A82,"&lt;&gt;"),"")</x:f>
      </x:c>
      <x:c r="J82" t="n">
        <x:f>IF(AND(A82&lt;&gt;"",TRIM(B82)&lt;&gt;""),LEN(B82)-LEN(SUBSTITUTE(B82,CHAR(10),""))+1,0)</x:f>
        <x:v>0</x:v>
      </x:c>
      <x:c r="K82" t="str">
        <x:f>IF(ROW()-ROW($K$2)&lt;=SUM($J$3:$J$168),COUNTIF($H$3:$H$168,"&lt;"&amp;(ROW()-ROW($K$2))),"")</x:f>
      </x:c>
      <x:c r="L82" t="str">
        <x:f>IF(K82="","",ROW()-ROW($L$2)-INDEX($H$3:$H$168,K82))</x:f>
      </x:c>
      <x:c r="M82" t="str">
        <x:f>IF(K82="","",IF(L82=1,1,FIND(CHAR(1),SUBSTITUTE(INDEX($B$3:$B$168,K82),CHAR(10),CHAR(1),L82-1))+1))</x:f>
      </x:c>
      <x:c r="N82" t="str">
        <x:f>IF(K82="","",IFERROR(FIND(CHAR(1),SUBSTITUTE(INDEX($B$3:$B$168,K82),CHAR(10),CHAR(1),L82)),LEN(INDEX($B$3:$B$168,K82))+1))</x:f>
      </x:c>
    </x:row>
    <x:row r="83">
      <x:c r="A83" s="71"/>
      <x:c r="B83" s="77"/>
      <x:c r="C83" s="71"/>
      <x:c r="D83" t="str">
        <x:f>IFERROR(IF(81&lt;=$O$1,INDEX($A$3:$A$168,MATCH(81,$I$3:$I$168,0)),IF(81&lt;=$O$1+$O$2,INDEX($F$3:$F$1994,MATCH(81-$O$1,$G$3:$G$1994,0)),"")),"")</x:f>
      </x:c>
      <x:c r="E83" t="str">
        <x:f>IF(K83="","",IF(N83&lt;=M83,"",TRIM(CLEAN(MID(INDEX($B$3:$B$168,K83),M83,N83-M83)))))</x:f>
      </x:c>
      <x:c r="F83" t="str">
        <x:f>IF(E83="","",IF(E83=TRIM(INDEX($A$3:$A$168,K83)),"",IF(RIGHT(TRIM(INDEX($A$3:$A$168,K83)),1)="]",LEFT(TRIM(INDEX($A$3:$A$168,K83)),LEN(TRIM(INDEX($A$3:$A$168,K83)))-1)&amp;", "&amp;SUBSTITUTE(SUBSTITUTE(SUBSTITUTE(E83," [",", "),"[",", "),"]","")&amp;"]",TRIM(INDEX($A$3:$A$168,K83))&amp;" ["&amp;SUBSTITUTE(SUBSTITUTE(SUBSTITUTE(E83," [",", "),"[",", "),"]","")&amp;"]")))</x:f>
      </x:c>
      <x:c r="G83" t="str">
        <x:f>IF(F83&lt;&gt;"",ROWS($F$3:F83)-COUNTBLANK($F$3:F83),"")</x:f>
      </x:c>
      <x:c r="H83" t="n">
        <x:f>SUM($J$3:J83)-J83</x:f>
        <x:v>0</x:v>
      </x:c>
      <x:c r="I83" t="str">
        <x:f>IF(A83&lt;&gt;"",COUNTIF($A$3:A83,"&lt;&gt;"),"")</x:f>
      </x:c>
      <x:c r="J83" t="n">
        <x:f>IF(AND(A83&lt;&gt;"",TRIM(B83)&lt;&gt;""),LEN(B83)-LEN(SUBSTITUTE(B83,CHAR(10),""))+1,0)</x:f>
        <x:v>0</x:v>
      </x:c>
      <x:c r="K83" t="str">
        <x:f>IF(ROW()-ROW($K$2)&lt;=SUM($J$3:$J$168),COUNTIF($H$3:$H$168,"&lt;"&amp;(ROW()-ROW($K$2))),"")</x:f>
      </x:c>
      <x:c r="L83" t="str">
        <x:f>IF(K83="","",ROW()-ROW($L$2)-INDEX($H$3:$H$168,K83))</x:f>
      </x:c>
      <x:c r="M83" t="str">
        <x:f>IF(K83="","",IF(L83=1,1,FIND(CHAR(1),SUBSTITUTE(INDEX($B$3:$B$168,K83),CHAR(10),CHAR(1),L83-1))+1))</x:f>
      </x:c>
      <x:c r="N83" t="str">
        <x:f>IF(K83="","",IFERROR(FIND(CHAR(1),SUBSTITUTE(INDEX($B$3:$B$168,K83),CHAR(10),CHAR(1),L83)),LEN(INDEX($B$3:$B$168,K83))+1))</x:f>
      </x:c>
    </x:row>
    <x:row r="84">
      <x:c r="A84" s="71"/>
      <x:c r="B84" s="77"/>
      <x:c r="C84" s="71"/>
      <x:c r="D84" t="str">
        <x:f>IFERROR(IF(82&lt;=$O$1,INDEX($A$3:$A$168,MATCH(82,$I$3:$I$168,0)),IF(82&lt;=$O$1+$O$2,INDEX($F$3:$F$1994,MATCH(82-$O$1,$G$3:$G$1994,0)),"")),"")</x:f>
      </x:c>
      <x:c r="E84" t="str">
        <x:f>IF(K84="","",IF(N84&lt;=M84,"",TRIM(CLEAN(MID(INDEX($B$3:$B$168,K84),M84,N84-M84)))))</x:f>
      </x:c>
      <x:c r="F84" t="str">
        <x:f>IF(E84="","",IF(E84=TRIM(INDEX($A$3:$A$168,K84)),"",IF(RIGHT(TRIM(INDEX($A$3:$A$168,K84)),1)="]",LEFT(TRIM(INDEX($A$3:$A$168,K84)),LEN(TRIM(INDEX($A$3:$A$168,K84)))-1)&amp;", "&amp;SUBSTITUTE(SUBSTITUTE(SUBSTITUTE(E84," [",", "),"[",", "),"]","")&amp;"]",TRIM(INDEX($A$3:$A$168,K84))&amp;" ["&amp;SUBSTITUTE(SUBSTITUTE(SUBSTITUTE(E84," [",", "),"[",", "),"]","")&amp;"]")))</x:f>
      </x:c>
      <x:c r="G84" t="str">
        <x:f>IF(F84&lt;&gt;"",ROWS($F$3:F84)-COUNTBLANK($F$3:F84),"")</x:f>
      </x:c>
      <x:c r="H84" t="n">
        <x:f>SUM($J$3:J84)-J84</x:f>
        <x:v>0</x:v>
      </x:c>
      <x:c r="I84" t="str">
        <x:f>IF(A84&lt;&gt;"",COUNTIF($A$3:A84,"&lt;&gt;"),"")</x:f>
      </x:c>
      <x:c r="J84" t="n">
        <x:f>IF(AND(A84&lt;&gt;"",TRIM(B84)&lt;&gt;""),LEN(B84)-LEN(SUBSTITUTE(B84,CHAR(10),""))+1,0)</x:f>
        <x:v>0</x:v>
      </x:c>
      <x:c r="K84" t="str">
        <x:f>IF(ROW()-ROW($K$2)&lt;=SUM($J$3:$J$168),COUNTIF($H$3:$H$168,"&lt;"&amp;(ROW()-ROW($K$2))),"")</x:f>
      </x:c>
      <x:c r="L84" t="str">
        <x:f>IF(K84="","",ROW()-ROW($L$2)-INDEX($H$3:$H$168,K84))</x:f>
      </x:c>
      <x:c r="M84" t="str">
        <x:f>IF(K84="","",IF(L84=1,1,FIND(CHAR(1),SUBSTITUTE(INDEX($B$3:$B$168,K84),CHAR(10),CHAR(1),L84-1))+1))</x:f>
      </x:c>
      <x:c r="N84" t="str">
        <x:f>IF(K84="","",IFERROR(FIND(CHAR(1),SUBSTITUTE(INDEX($B$3:$B$168,K84),CHAR(10),CHAR(1),L84)),LEN(INDEX($B$3:$B$168,K84))+1))</x:f>
      </x:c>
    </x:row>
    <x:row r="85">
      <x:c r="A85" s="71"/>
      <x:c r="B85" s="77"/>
      <x:c r="C85" s="71"/>
      <x:c r="D85" t="str">
        <x:f>IFERROR(IF(83&lt;=$O$1,INDEX($A$3:$A$168,MATCH(83,$I$3:$I$168,0)),IF(83&lt;=$O$1+$O$2,INDEX($F$3:$F$1994,MATCH(83-$O$1,$G$3:$G$1994,0)),"")),"")</x:f>
      </x:c>
      <x:c r="E85" t="str">
        <x:f>IF(K85="","",IF(N85&lt;=M85,"",TRIM(CLEAN(MID(INDEX($B$3:$B$168,K85),M85,N85-M85)))))</x:f>
      </x:c>
      <x:c r="F85" t="str">
        <x:f>IF(E85="","",IF(E85=TRIM(INDEX($A$3:$A$168,K85)),"",IF(RIGHT(TRIM(INDEX($A$3:$A$168,K85)),1)="]",LEFT(TRIM(INDEX($A$3:$A$168,K85)),LEN(TRIM(INDEX($A$3:$A$168,K85)))-1)&amp;", "&amp;SUBSTITUTE(SUBSTITUTE(SUBSTITUTE(E85," [",", "),"[",", "),"]","")&amp;"]",TRIM(INDEX($A$3:$A$168,K85))&amp;" ["&amp;SUBSTITUTE(SUBSTITUTE(SUBSTITUTE(E85," [",", "),"[",", "),"]","")&amp;"]")))</x:f>
      </x:c>
      <x:c r="G85" t="str">
        <x:f>IF(F85&lt;&gt;"",ROWS($F$3:F85)-COUNTBLANK($F$3:F85),"")</x:f>
      </x:c>
      <x:c r="H85" t="n">
        <x:f>SUM($J$3:J85)-J85</x:f>
        <x:v>0</x:v>
      </x:c>
      <x:c r="I85" t="str">
        <x:f>IF(A85&lt;&gt;"",COUNTIF($A$3:A85,"&lt;&gt;"),"")</x:f>
      </x:c>
      <x:c r="J85" t="n">
        <x:f>IF(AND(A85&lt;&gt;"",TRIM(B85)&lt;&gt;""),LEN(B85)-LEN(SUBSTITUTE(B85,CHAR(10),""))+1,0)</x:f>
        <x:v>0</x:v>
      </x:c>
      <x:c r="K85" t="str">
        <x:f>IF(ROW()-ROW($K$2)&lt;=SUM($J$3:$J$168),COUNTIF($H$3:$H$168,"&lt;"&amp;(ROW()-ROW($K$2))),"")</x:f>
      </x:c>
      <x:c r="L85" t="str">
        <x:f>IF(K85="","",ROW()-ROW($L$2)-INDEX($H$3:$H$168,K85))</x:f>
      </x:c>
      <x:c r="M85" t="str">
        <x:f>IF(K85="","",IF(L85=1,1,FIND(CHAR(1),SUBSTITUTE(INDEX($B$3:$B$168,K85),CHAR(10),CHAR(1),L85-1))+1))</x:f>
      </x:c>
      <x:c r="N85" t="str">
        <x:f>IF(K85="","",IFERROR(FIND(CHAR(1),SUBSTITUTE(INDEX($B$3:$B$168,K85),CHAR(10),CHAR(1),L85)),LEN(INDEX($B$3:$B$168,K85))+1))</x:f>
      </x:c>
    </x:row>
    <x:row r="86">
      <x:c r="A86" s="71"/>
      <x:c r="B86" s="77"/>
      <x:c r="C86" s="71"/>
      <x:c r="D86" t="str">
        <x:f>IFERROR(IF(84&lt;=$O$1,INDEX($A$3:$A$168,MATCH(84,$I$3:$I$168,0)),IF(84&lt;=$O$1+$O$2,INDEX($F$3:$F$1994,MATCH(84-$O$1,$G$3:$G$1994,0)),"")),"")</x:f>
      </x:c>
      <x:c r="E86" t="str">
        <x:f>IF(K86="","",IF(N86&lt;=M86,"",TRIM(CLEAN(MID(INDEX($B$3:$B$168,K86),M86,N86-M86)))))</x:f>
      </x:c>
      <x:c r="F86" t="str">
        <x:f>IF(E86="","",IF(E86=TRIM(INDEX($A$3:$A$168,K86)),"",IF(RIGHT(TRIM(INDEX($A$3:$A$168,K86)),1)="]",LEFT(TRIM(INDEX($A$3:$A$168,K86)),LEN(TRIM(INDEX($A$3:$A$168,K86)))-1)&amp;", "&amp;SUBSTITUTE(SUBSTITUTE(SUBSTITUTE(E86," [",", "),"[",", "),"]","")&amp;"]",TRIM(INDEX($A$3:$A$168,K86))&amp;" ["&amp;SUBSTITUTE(SUBSTITUTE(SUBSTITUTE(E86," [",", "),"[",", "),"]","")&amp;"]")))</x:f>
      </x:c>
      <x:c r="G86" t="str">
        <x:f>IF(F86&lt;&gt;"",ROWS($F$3:F86)-COUNTBLANK($F$3:F86),"")</x:f>
      </x:c>
      <x:c r="H86" t="n">
        <x:f>SUM($J$3:J86)-J86</x:f>
        <x:v>0</x:v>
      </x:c>
      <x:c r="I86" t="str">
        <x:f>IF(A86&lt;&gt;"",COUNTIF($A$3:A86,"&lt;&gt;"),"")</x:f>
      </x:c>
      <x:c r="J86" t="n">
        <x:f>IF(AND(A86&lt;&gt;"",TRIM(B86)&lt;&gt;""),LEN(B86)-LEN(SUBSTITUTE(B86,CHAR(10),""))+1,0)</x:f>
        <x:v>0</x:v>
      </x:c>
      <x:c r="K86" t="str">
        <x:f>IF(ROW()-ROW($K$2)&lt;=SUM($J$3:$J$168),COUNTIF($H$3:$H$168,"&lt;"&amp;(ROW()-ROW($K$2))),"")</x:f>
      </x:c>
      <x:c r="L86" t="str">
        <x:f>IF(K86="","",ROW()-ROW($L$2)-INDEX($H$3:$H$168,K86))</x:f>
      </x:c>
      <x:c r="M86" t="str">
        <x:f>IF(K86="","",IF(L86=1,1,FIND(CHAR(1),SUBSTITUTE(INDEX($B$3:$B$168,K86),CHAR(10),CHAR(1),L86-1))+1))</x:f>
      </x:c>
      <x:c r="N86" t="str">
        <x:f>IF(K86="","",IFERROR(FIND(CHAR(1),SUBSTITUTE(INDEX($B$3:$B$168,K86),CHAR(10),CHAR(1),L86)),LEN(INDEX($B$3:$B$168,K86))+1))</x:f>
      </x:c>
    </x:row>
    <x:row r="87">
      <x:c r="A87" s="71"/>
      <x:c r="B87" s="77"/>
      <x:c r="C87" s="71"/>
      <x:c r="D87" t="str">
        <x:f>IFERROR(IF(85&lt;=$O$1,INDEX($A$3:$A$168,MATCH(85,$I$3:$I$168,0)),IF(85&lt;=$O$1+$O$2,INDEX($F$3:$F$1994,MATCH(85-$O$1,$G$3:$G$1994,0)),"")),"")</x:f>
      </x:c>
      <x:c r="E87" t="str">
        <x:f>IF(K87="","",IF(N87&lt;=M87,"",TRIM(CLEAN(MID(INDEX($B$3:$B$168,K87),M87,N87-M87)))))</x:f>
      </x:c>
      <x:c r="F87" t="str">
        <x:f>IF(E87="","",IF(E87=TRIM(INDEX($A$3:$A$168,K87)),"",IF(RIGHT(TRIM(INDEX($A$3:$A$168,K87)),1)="]",LEFT(TRIM(INDEX($A$3:$A$168,K87)),LEN(TRIM(INDEX($A$3:$A$168,K87)))-1)&amp;", "&amp;SUBSTITUTE(SUBSTITUTE(SUBSTITUTE(E87," [",", "),"[",", "),"]","")&amp;"]",TRIM(INDEX($A$3:$A$168,K87))&amp;" ["&amp;SUBSTITUTE(SUBSTITUTE(SUBSTITUTE(E87," [",", "),"[",", "),"]","")&amp;"]")))</x:f>
      </x:c>
      <x:c r="G87" t="str">
        <x:f>IF(F87&lt;&gt;"",ROWS($F$3:F87)-COUNTBLANK($F$3:F87),"")</x:f>
      </x:c>
      <x:c r="H87" t="n">
        <x:f>SUM($J$3:J87)-J87</x:f>
        <x:v>0</x:v>
      </x:c>
      <x:c r="I87" t="str">
        <x:f>IF(A87&lt;&gt;"",COUNTIF($A$3:A87,"&lt;&gt;"),"")</x:f>
      </x:c>
      <x:c r="J87" t="n">
        <x:f>IF(AND(A87&lt;&gt;"",TRIM(B87)&lt;&gt;""),LEN(B87)-LEN(SUBSTITUTE(B87,CHAR(10),""))+1,0)</x:f>
        <x:v>0</x:v>
      </x:c>
      <x:c r="K87" t="str">
        <x:f>IF(ROW()-ROW($K$2)&lt;=SUM($J$3:$J$168),COUNTIF($H$3:$H$168,"&lt;"&amp;(ROW()-ROW($K$2))),"")</x:f>
      </x:c>
      <x:c r="L87" t="str">
        <x:f>IF(K87="","",ROW()-ROW($L$2)-INDEX($H$3:$H$168,K87))</x:f>
      </x:c>
      <x:c r="M87" t="str">
        <x:f>IF(K87="","",IF(L87=1,1,FIND(CHAR(1),SUBSTITUTE(INDEX($B$3:$B$168,K87),CHAR(10),CHAR(1),L87-1))+1))</x:f>
      </x:c>
      <x:c r="N87" t="str">
        <x:f>IF(K87="","",IFERROR(FIND(CHAR(1),SUBSTITUTE(INDEX($B$3:$B$168,K87),CHAR(10),CHAR(1),L87)),LEN(INDEX($B$3:$B$168,K87))+1))</x:f>
      </x:c>
    </x:row>
    <x:row r="88">
      <x:c r="A88" s="71"/>
      <x:c r="B88" s="77"/>
      <x:c r="C88" s="71"/>
      <x:c r="D88" t="str">
        <x:f>IFERROR(IF(86&lt;=$O$1,INDEX($A$3:$A$168,MATCH(86,$I$3:$I$168,0)),IF(86&lt;=$O$1+$O$2,INDEX($F$3:$F$1994,MATCH(86-$O$1,$G$3:$G$1994,0)),"")),"")</x:f>
      </x:c>
      <x:c r="E88" t="str">
        <x:f>IF(K88="","",IF(N88&lt;=M88,"",TRIM(CLEAN(MID(INDEX($B$3:$B$168,K88),M88,N88-M88)))))</x:f>
      </x:c>
      <x:c r="F88" t="str">
        <x:f>IF(E88="","",IF(E88=TRIM(INDEX($A$3:$A$168,K88)),"",IF(RIGHT(TRIM(INDEX($A$3:$A$168,K88)),1)="]",LEFT(TRIM(INDEX($A$3:$A$168,K88)),LEN(TRIM(INDEX($A$3:$A$168,K88)))-1)&amp;", "&amp;SUBSTITUTE(SUBSTITUTE(SUBSTITUTE(E88," [",", "),"[",", "),"]","")&amp;"]",TRIM(INDEX($A$3:$A$168,K88))&amp;" ["&amp;SUBSTITUTE(SUBSTITUTE(SUBSTITUTE(E88," [",", "),"[",", "),"]","")&amp;"]")))</x:f>
      </x:c>
      <x:c r="G88" t="str">
        <x:f>IF(F88&lt;&gt;"",ROWS($F$3:F88)-COUNTBLANK($F$3:F88),"")</x:f>
      </x:c>
      <x:c r="H88" t="n">
        <x:f>SUM($J$3:J88)-J88</x:f>
        <x:v>0</x:v>
      </x:c>
      <x:c r="I88" t="str">
        <x:f>IF(A88&lt;&gt;"",COUNTIF($A$3:A88,"&lt;&gt;"),"")</x:f>
      </x:c>
      <x:c r="J88" t="n">
        <x:f>IF(AND(A88&lt;&gt;"",TRIM(B88)&lt;&gt;""),LEN(B88)-LEN(SUBSTITUTE(B88,CHAR(10),""))+1,0)</x:f>
        <x:v>0</x:v>
      </x:c>
      <x:c r="K88" t="str">
        <x:f>IF(ROW()-ROW($K$2)&lt;=SUM($J$3:$J$168),COUNTIF($H$3:$H$168,"&lt;"&amp;(ROW()-ROW($K$2))),"")</x:f>
      </x:c>
      <x:c r="L88" t="str">
        <x:f>IF(K88="","",ROW()-ROW($L$2)-INDEX($H$3:$H$168,K88))</x:f>
      </x:c>
      <x:c r="M88" t="str">
        <x:f>IF(K88="","",IF(L88=1,1,FIND(CHAR(1),SUBSTITUTE(INDEX($B$3:$B$168,K88),CHAR(10),CHAR(1),L88-1))+1))</x:f>
      </x:c>
      <x:c r="N88" t="str">
        <x:f>IF(K88="","",IFERROR(FIND(CHAR(1),SUBSTITUTE(INDEX($B$3:$B$168,K88),CHAR(10),CHAR(1),L88)),LEN(INDEX($B$3:$B$168,K88))+1))</x:f>
      </x:c>
    </x:row>
    <x:row r="89">
      <x:c r="A89" s="71"/>
      <x:c r="B89" s="77"/>
      <x:c r="C89" s="71"/>
      <x:c r="D89" t="str">
        <x:f>IFERROR(IF(87&lt;=$O$1,INDEX($A$3:$A$168,MATCH(87,$I$3:$I$168,0)),IF(87&lt;=$O$1+$O$2,INDEX($F$3:$F$1994,MATCH(87-$O$1,$G$3:$G$1994,0)),"")),"")</x:f>
      </x:c>
      <x:c r="E89" t="str">
        <x:f>IF(K89="","",IF(N89&lt;=M89,"",TRIM(CLEAN(MID(INDEX($B$3:$B$168,K89),M89,N89-M89)))))</x:f>
      </x:c>
      <x:c r="F89" t="str">
        <x:f>IF(E89="","",IF(E89=TRIM(INDEX($A$3:$A$168,K89)),"",IF(RIGHT(TRIM(INDEX($A$3:$A$168,K89)),1)="]",LEFT(TRIM(INDEX($A$3:$A$168,K89)),LEN(TRIM(INDEX($A$3:$A$168,K89)))-1)&amp;", "&amp;SUBSTITUTE(SUBSTITUTE(SUBSTITUTE(E89," [",", "),"[",", "),"]","")&amp;"]",TRIM(INDEX($A$3:$A$168,K89))&amp;" ["&amp;SUBSTITUTE(SUBSTITUTE(SUBSTITUTE(E89," [",", "),"[",", "),"]","")&amp;"]")))</x:f>
      </x:c>
      <x:c r="G89" t="str">
        <x:f>IF(F89&lt;&gt;"",ROWS($F$3:F89)-COUNTBLANK($F$3:F89),"")</x:f>
      </x:c>
      <x:c r="H89" t="n">
        <x:f>SUM($J$3:J89)-J89</x:f>
        <x:v>0</x:v>
      </x:c>
      <x:c r="I89" t="str">
        <x:f>IF(A89&lt;&gt;"",COUNTIF($A$3:A89,"&lt;&gt;"),"")</x:f>
      </x:c>
      <x:c r="J89" t="n">
        <x:f>IF(AND(A89&lt;&gt;"",TRIM(B89)&lt;&gt;""),LEN(B89)-LEN(SUBSTITUTE(B89,CHAR(10),""))+1,0)</x:f>
        <x:v>0</x:v>
      </x:c>
      <x:c r="K89" t="str">
        <x:f>IF(ROW()-ROW($K$2)&lt;=SUM($J$3:$J$168),COUNTIF($H$3:$H$168,"&lt;"&amp;(ROW()-ROW($K$2))),"")</x:f>
      </x:c>
      <x:c r="L89" t="str">
        <x:f>IF(K89="","",ROW()-ROW($L$2)-INDEX($H$3:$H$168,K89))</x:f>
      </x:c>
      <x:c r="M89" t="str">
        <x:f>IF(K89="","",IF(L89=1,1,FIND(CHAR(1),SUBSTITUTE(INDEX($B$3:$B$168,K89),CHAR(10),CHAR(1),L89-1))+1))</x:f>
      </x:c>
      <x:c r="N89" t="str">
        <x:f>IF(K89="","",IFERROR(FIND(CHAR(1),SUBSTITUTE(INDEX($B$3:$B$168,K89),CHAR(10),CHAR(1),L89)),LEN(INDEX($B$3:$B$168,K89))+1))</x:f>
      </x:c>
    </x:row>
    <x:row r="90">
      <x:c r="A90" s="71"/>
      <x:c r="B90" s="77"/>
      <x:c r="C90" s="71"/>
      <x:c r="D90" t="str">
        <x:f>IFERROR(IF(88&lt;=$O$1,INDEX($A$3:$A$168,MATCH(88,$I$3:$I$168,0)),IF(88&lt;=$O$1+$O$2,INDEX($F$3:$F$1994,MATCH(88-$O$1,$G$3:$G$1994,0)),"")),"")</x:f>
      </x:c>
      <x:c r="E90" t="str">
        <x:f>IF(K90="","",IF(N90&lt;=M90,"",TRIM(CLEAN(MID(INDEX($B$3:$B$168,K90),M90,N90-M90)))))</x:f>
      </x:c>
      <x:c r="F90" t="str">
        <x:f>IF(E90="","",IF(E90=TRIM(INDEX($A$3:$A$168,K90)),"",IF(RIGHT(TRIM(INDEX($A$3:$A$168,K90)),1)="]",LEFT(TRIM(INDEX($A$3:$A$168,K90)),LEN(TRIM(INDEX($A$3:$A$168,K90)))-1)&amp;", "&amp;SUBSTITUTE(SUBSTITUTE(SUBSTITUTE(E90," [",", "),"[",", "),"]","")&amp;"]",TRIM(INDEX($A$3:$A$168,K90))&amp;" ["&amp;SUBSTITUTE(SUBSTITUTE(SUBSTITUTE(E90," [",", "),"[",", "),"]","")&amp;"]")))</x:f>
      </x:c>
      <x:c r="G90" t="str">
        <x:f>IF(F90&lt;&gt;"",ROWS($F$3:F90)-COUNTBLANK($F$3:F90),"")</x:f>
      </x:c>
      <x:c r="H90" t="n">
        <x:f>SUM($J$3:J90)-J90</x:f>
        <x:v>0</x:v>
      </x:c>
      <x:c r="I90" t="str">
        <x:f>IF(A90&lt;&gt;"",COUNTIF($A$3:A90,"&lt;&gt;"),"")</x:f>
      </x:c>
      <x:c r="J90" t="n">
        <x:f>IF(AND(A90&lt;&gt;"",TRIM(B90)&lt;&gt;""),LEN(B90)-LEN(SUBSTITUTE(B90,CHAR(10),""))+1,0)</x:f>
        <x:v>0</x:v>
      </x:c>
      <x:c r="K90" t="str">
        <x:f>IF(ROW()-ROW($K$2)&lt;=SUM($J$3:$J$168),COUNTIF($H$3:$H$168,"&lt;"&amp;(ROW()-ROW($K$2))),"")</x:f>
      </x:c>
      <x:c r="L90" t="str">
        <x:f>IF(K90="","",ROW()-ROW($L$2)-INDEX($H$3:$H$168,K90))</x:f>
      </x:c>
      <x:c r="M90" t="str">
        <x:f>IF(K90="","",IF(L90=1,1,FIND(CHAR(1),SUBSTITUTE(INDEX($B$3:$B$168,K90),CHAR(10),CHAR(1),L90-1))+1))</x:f>
      </x:c>
      <x:c r="N90" t="str">
        <x:f>IF(K90="","",IFERROR(FIND(CHAR(1),SUBSTITUTE(INDEX($B$3:$B$168,K90),CHAR(10),CHAR(1),L90)),LEN(INDEX($B$3:$B$168,K90))+1))</x:f>
      </x:c>
    </x:row>
    <x:row r="91">
      <x:c r="A91" s="71"/>
      <x:c r="B91" s="77"/>
      <x:c r="C91" s="71"/>
      <x:c r="D91" t="str">
        <x:f>IFERROR(IF(89&lt;=$O$1,INDEX($A$3:$A$168,MATCH(89,$I$3:$I$168,0)),IF(89&lt;=$O$1+$O$2,INDEX($F$3:$F$1994,MATCH(89-$O$1,$G$3:$G$1994,0)),"")),"")</x:f>
      </x:c>
      <x:c r="E91" t="str">
        <x:f>IF(K91="","",IF(N91&lt;=M91,"",TRIM(CLEAN(MID(INDEX($B$3:$B$168,K91),M91,N91-M91)))))</x:f>
      </x:c>
      <x:c r="F91" t="str">
        <x:f>IF(E91="","",IF(E91=TRIM(INDEX($A$3:$A$168,K91)),"",IF(RIGHT(TRIM(INDEX($A$3:$A$168,K91)),1)="]",LEFT(TRIM(INDEX($A$3:$A$168,K91)),LEN(TRIM(INDEX($A$3:$A$168,K91)))-1)&amp;", "&amp;SUBSTITUTE(SUBSTITUTE(SUBSTITUTE(E91," [",", "),"[",", "),"]","")&amp;"]",TRIM(INDEX($A$3:$A$168,K91))&amp;" ["&amp;SUBSTITUTE(SUBSTITUTE(SUBSTITUTE(E91," [",", "),"[",", "),"]","")&amp;"]")))</x:f>
      </x:c>
      <x:c r="G91" t="str">
        <x:f>IF(F91&lt;&gt;"",ROWS($F$3:F91)-COUNTBLANK($F$3:F91),"")</x:f>
      </x:c>
      <x:c r="H91" t="n">
        <x:f>SUM($J$3:J91)-J91</x:f>
        <x:v>0</x:v>
      </x:c>
      <x:c r="I91" t="str">
        <x:f>IF(A91&lt;&gt;"",COUNTIF($A$3:A91,"&lt;&gt;"),"")</x:f>
      </x:c>
      <x:c r="J91" t="n">
        <x:f>IF(AND(A91&lt;&gt;"",TRIM(B91)&lt;&gt;""),LEN(B91)-LEN(SUBSTITUTE(B91,CHAR(10),""))+1,0)</x:f>
        <x:v>0</x:v>
      </x:c>
      <x:c r="K91" t="str">
        <x:f>IF(ROW()-ROW($K$2)&lt;=SUM($J$3:$J$168),COUNTIF($H$3:$H$168,"&lt;"&amp;(ROW()-ROW($K$2))),"")</x:f>
      </x:c>
      <x:c r="L91" t="str">
        <x:f>IF(K91="","",ROW()-ROW($L$2)-INDEX($H$3:$H$168,K91))</x:f>
      </x:c>
      <x:c r="M91" t="str">
        <x:f>IF(K91="","",IF(L91=1,1,FIND(CHAR(1),SUBSTITUTE(INDEX($B$3:$B$168,K91),CHAR(10),CHAR(1),L91-1))+1))</x:f>
      </x:c>
      <x:c r="N91" t="str">
        <x:f>IF(K91="","",IFERROR(FIND(CHAR(1),SUBSTITUTE(INDEX($B$3:$B$168,K91),CHAR(10),CHAR(1),L91)),LEN(INDEX($B$3:$B$168,K91))+1))</x:f>
      </x:c>
    </x:row>
    <x:row r="92">
      <x:c r="A92" s="71"/>
      <x:c r="B92" s="77"/>
      <x:c r="C92" s="71"/>
      <x:c r="D92" t="str">
        <x:f>IFERROR(IF(90&lt;=$O$1,INDEX($A$3:$A$168,MATCH(90,$I$3:$I$168,0)),IF(90&lt;=$O$1+$O$2,INDEX($F$3:$F$1994,MATCH(90-$O$1,$G$3:$G$1994,0)),"")),"")</x:f>
      </x:c>
      <x:c r="E92" t="str">
        <x:f>IF(K92="","",IF(N92&lt;=M92,"",TRIM(CLEAN(MID(INDEX($B$3:$B$168,K92),M92,N92-M92)))))</x:f>
      </x:c>
      <x:c r="F92" t="str">
        <x:f>IF(E92="","",IF(E92=TRIM(INDEX($A$3:$A$168,K92)),"",IF(RIGHT(TRIM(INDEX($A$3:$A$168,K92)),1)="]",LEFT(TRIM(INDEX($A$3:$A$168,K92)),LEN(TRIM(INDEX($A$3:$A$168,K92)))-1)&amp;", "&amp;SUBSTITUTE(SUBSTITUTE(SUBSTITUTE(E92," [",", "),"[",", "),"]","")&amp;"]",TRIM(INDEX($A$3:$A$168,K92))&amp;" ["&amp;SUBSTITUTE(SUBSTITUTE(SUBSTITUTE(E92," [",", "),"[",", "),"]","")&amp;"]")))</x:f>
      </x:c>
      <x:c r="G92" t="str">
        <x:f>IF(F92&lt;&gt;"",ROWS($F$3:F92)-COUNTBLANK($F$3:F92),"")</x:f>
      </x:c>
      <x:c r="H92" t="n">
        <x:f>SUM($J$3:J92)-J92</x:f>
        <x:v>0</x:v>
      </x:c>
      <x:c r="I92" t="str">
        <x:f>IF(A92&lt;&gt;"",COUNTIF($A$3:A92,"&lt;&gt;"),"")</x:f>
      </x:c>
      <x:c r="J92" t="n">
        <x:f>IF(AND(A92&lt;&gt;"",TRIM(B92)&lt;&gt;""),LEN(B92)-LEN(SUBSTITUTE(B92,CHAR(10),""))+1,0)</x:f>
        <x:v>0</x:v>
      </x:c>
      <x:c r="K92" t="str">
        <x:f>IF(ROW()-ROW($K$2)&lt;=SUM($J$3:$J$168),COUNTIF($H$3:$H$168,"&lt;"&amp;(ROW()-ROW($K$2))),"")</x:f>
      </x:c>
      <x:c r="L92" t="str">
        <x:f>IF(K92="","",ROW()-ROW($L$2)-INDEX($H$3:$H$168,K92))</x:f>
      </x:c>
      <x:c r="M92" t="str">
        <x:f>IF(K92="","",IF(L92=1,1,FIND(CHAR(1),SUBSTITUTE(INDEX($B$3:$B$168,K92),CHAR(10),CHAR(1),L92-1))+1))</x:f>
      </x:c>
      <x:c r="N92" t="str">
        <x:f>IF(K92="","",IFERROR(FIND(CHAR(1),SUBSTITUTE(INDEX($B$3:$B$168,K92),CHAR(10),CHAR(1),L92)),LEN(INDEX($B$3:$B$168,K92))+1))</x:f>
      </x:c>
    </x:row>
    <x:row r="93">
      <x:c r="A93" s="71"/>
      <x:c r="B93" s="77"/>
      <x:c r="C93" s="71"/>
      <x:c r="D93" t="str">
        <x:f>IFERROR(IF(91&lt;=$O$1,INDEX($A$3:$A$168,MATCH(91,$I$3:$I$168,0)),IF(91&lt;=$O$1+$O$2,INDEX($F$3:$F$1994,MATCH(91-$O$1,$G$3:$G$1994,0)),"")),"")</x:f>
      </x:c>
      <x:c r="E93" t="str">
        <x:f>IF(K93="","",IF(N93&lt;=M93,"",TRIM(CLEAN(MID(INDEX($B$3:$B$168,K93),M93,N93-M93)))))</x:f>
      </x:c>
      <x:c r="F93" t="str">
        <x:f>IF(E93="","",IF(E93=TRIM(INDEX($A$3:$A$168,K93)),"",IF(RIGHT(TRIM(INDEX($A$3:$A$168,K93)),1)="]",LEFT(TRIM(INDEX($A$3:$A$168,K93)),LEN(TRIM(INDEX($A$3:$A$168,K93)))-1)&amp;", "&amp;SUBSTITUTE(SUBSTITUTE(SUBSTITUTE(E93," [",", "),"[",", "),"]","")&amp;"]",TRIM(INDEX($A$3:$A$168,K93))&amp;" ["&amp;SUBSTITUTE(SUBSTITUTE(SUBSTITUTE(E93," [",", "),"[",", "),"]","")&amp;"]")))</x:f>
      </x:c>
      <x:c r="G93" t="str">
        <x:f>IF(F93&lt;&gt;"",ROWS($F$3:F93)-COUNTBLANK($F$3:F93),"")</x:f>
      </x:c>
      <x:c r="H93" t="n">
        <x:f>SUM($J$3:J93)-J93</x:f>
        <x:v>0</x:v>
      </x:c>
      <x:c r="I93" t="str">
        <x:f>IF(A93&lt;&gt;"",COUNTIF($A$3:A93,"&lt;&gt;"),"")</x:f>
      </x:c>
      <x:c r="J93" t="n">
        <x:f>IF(AND(A93&lt;&gt;"",TRIM(B93)&lt;&gt;""),LEN(B93)-LEN(SUBSTITUTE(B93,CHAR(10),""))+1,0)</x:f>
        <x:v>0</x:v>
      </x:c>
      <x:c r="K93" t="str">
        <x:f>IF(ROW()-ROW($K$2)&lt;=SUM($J$3:$J$168),COUNTIF($H$3:$H$168,"&lt;"&amp;(ROW()-ROW($K$2))),"")</x:f>
      </x:c>
      <x:c r="L93" t="str">
        <x:f>IF(K93="","",ROW()-ROW($L$2)-INDEX($H$3:$H$168,K93))</x:f>
      </x:c>
      <x:c r="M93" t="str">
        <x:f>IF(K93="","",IF(L93=1,1,FIND(CHAR(1),SUBSTITUTE(INDEX($B$3:$B$168,K93),CHAR(10),CHAR(1),L93-1))+1))</x:f>
      </x:c>
      <x:c r="N93" t="str">
        <x:f>IF(K93="","",IFERROR(FIND(CHAR(1),SUBSTITUTE(INDEX($B$3:$B$168,K93),CHAR(10),CHAR(1),L93)),LEN(INDEX($B$3:$B$168,K93))+1))</x:f>
      </x:c>
    </x:row>
    <x:row r="94">
      <x:c r="A94" s="71"/>
      <x:c r="B94" s="77"/>
      <x:c r="C94" s="71"/>
      <x:c r="D94" t="str">
        <x:f>IFERROR(IF(92&lt;=$O$1,INDEX($A$3:$A$168,MATCH(92,$I$3:$I$168,0)),IF(92&lt;=$O$1+$O$2,INDEX($F$3:$F$1994,MATCH(92-$O$1,$G$3:$G$1994,0)),"")),"")</x:f>
      </x:c>
      <x:c r="E94" t="str">
        <x:f>IF(K94="","",IF(N94&lt;=M94,"",TRIM(CLEAN(MID(INDEX($B$3:$B$168,K94),M94,N94-M94)))))</x:f>
      </x:c>
      <x:c r="F94" t="str">
        <x:f>IF(E94="","",IF(E94=TRIM(INDEX($A$3:$A$168,K94)),"",IF(RIGHT(TRIM(INDEX($A$3:$A$168,K94)),1)="]",LEFT(TRIM(INDEX($A$3:$A$168,K94)),LEN(TRIM(INDEX($A$3:$A$168,K94)))-1)&amp;", "&amp;SUBSTITUTE(SUBSTITUTE(SUBSTITUTE(E94," [",", "),"[",", "),"]","")&amp;"]",TRIM(INDEX($A$3:$A$168,K94))&amp;" ["&amp;SUBSTITUTE(SUBSTITUTE(SUBSTITUTE(E94," [",", "),"[",", "),"]","")&amp;"]")))</x:f>
      </x:c>
      <x:c r="G94" t="str">
        <x:f>IF(F94&lt;&gt;"",ROWS($F$3:F94)-COUNTBLANK($F$3:F94),"")</x:f>
      </x:c>
      <x:c r="H94" t="n">
        <x:f>SUM($J$3:J94)-J94</x:f>
        <x:v>0</x:v>
      </x:c>
      <x:c r="I94" t="str">
        <x:f>IF(A94&lt;&gt;"",COUNTIF($A$3:A94,"&lt;&gt;"),"")</x:f>
      </x:c>
      <x:c r="J94" t="n">
        <x:f>IF(AND(A94&lt;&gt;"",TRIM(B94)&lt;&gt;""),LEN(B94)-LEN(SUBSTITUTE(B94,CHAR(10),""))+1,0)</x:f>
        <x:v>0</x:v>
      </x:c>
      <x:c r="K94" t="str">
        <x:f>IF(ROW()-ROW($K$2)&lt;=SUM($J$3:$J$168),COUNTIF($H$3:$H$168,"&lt;"&amp;(ROW()-ROW($K$2))),"")</x:f>
      </x:c>
      <x:c r="L94" t="str">
        <x:f>IF(K94="","",ROW()-ROW($L$2)-INDEX($H$3:$H$168,K94))</x:f>
      </x:c>
      <x:c r="M94" t="str">
        <x:f>IF(K94="","",IF(L94=1,1,FIND(CHAR(1),SUBSTITUTE(INDEX($B$3:$B$168,K94),CHAR(10),CHAR(1),L94-1))+1))</x:f>
      </x:c>
      <x:c r="N94" t="str">
        <x:f>IF(K94="","",IFERROR(FIND(CHAR(1),SUBSTITUTE(INDEX($B$3:$B$168,K94),CHAR(10),CHAR(1),L94)),LEN(INDEX($B$3:$B$168,K94))+1))</x:f>
      </x:c>
    </x:row>
    <x:row r="95">
      <x:c r="A95" s="71"/>
      <x:c r="B95" s="77"/>
      <x:c r="C95" s="71"/>
      <x:c r="D95" t="str">
        <x:f>IFERROR(IF(93&lt;=$O$1,INDEX($A$3:$A$168,MATCH(93,$I$3:$I$168,0)),IF(93&lt;=$O$1+$O$2,INDEX($F$3:$F$1994,MATCH(93-$O$1,$G$3:$G$1994,0)),"")),"")</x:f>
      </x:c>
      <x:c r="E95" t="str">
        <x:f>IF(K95="","",IF(N95&lt;=M95,"",TRIM(CLEAN(MID(INDEX($B$3:$B$168,K95),M95,N95-M95)))))</x:f>
      </x:c>
      <x:c r="F95" t="str">
        <x:f>IF(E95="","",IF(E95=TRIM(INDEX($A$3:$A$168,K95)),"",IF(RIGHT(TRIM(INDEX($A$3:$A$168,K95)),1)="]",LEFT(TRIM(INDEX($A$3:$A$168,K95)),LEN(TRIM(INDEX($A$3:$A$168,K95)))-1)&amp;", "&amp;SUBSTITUTE(SUBSTITUTE(SUBSTITUTE(E95," [",", "),"[",", "),"]","")&amp;"]",TRIM(INDEX($A$3:$A$168,K95))&amp;" ["&amp;SUBSTITUTE(SUBSTITUTE(SUBSTITUTE(E95," [",", "),"[",", "),"]","")&amp;"]")))</x:f>
      </x:c>
      <x:c r="G95" t="str">
        <x:f>IF(F95&lt;&gt;"",ROWS($F$3:F95)-COUNTBLANK($F$3:F95),"")</x:f>
      </x:c>
      <x:c r="H95" t="n">
        <x:f>SUM($J$3:J95)-J95</x:f>
        <x:v>0</x:v>
      </x:c>
      <x:c r="I95" t="str">
        <x:f>IF(A95&lt;&gt;"",COUNTIF($A$3:A95,"&lt;&gt;"),"")</x:f>
      </x:c>
      <x:c r="J95" t="n">
        <x:f>IF(AND(A95&lt;&gt;"",TRIM(B95)&lt;&gt;""),LEN(B95)-LEN(SUBSTITUTE(B95,CHAR(10),""))+1,0)</x:f>
        <x:v>0</x:v>
      </x:c>
      <x:c r="K95" t="str">
        <x:f>IF(ROW()-ROW($K$2)&lt;=SUM($J$3:$J$168),COUNTIF($H$3:$H$168,"&lt;"&amp;(ROW()-ROW($K$2))),"")</x:f>
      </x:c>
      <x:c r="L95" t="str">
        <x:f>IF(K95="","",ROW()-ROW($L$2)-INDEX($H$3:$H$168,K95))</x:f>
      </x:c>
      <x:c r="M95" t="str">
        <x:f>IF(K95="","",IF(L95=1,1,FIND(CHAR(1),SUBSTITUTE(INDEX($B$3:$B$168,K95),CHAR(10),CHAR(1),L95-1))+1))</x:f>
      </x:c>
      <x:c r="N95" t="str">
        <x:f>IF(K95="","",IFERROR(FIND(CHAR(1),SUBSTITUTE(INDEX($B$3:$B$168,K95),CHAR(10),CHAR(1),L95)),LEN(INDEX($B$3:$B$168,K95))+1))</x:f>
      </x:c>
    </x:row>
    <x:row r="96">
      <x:c r="A96" s="71"/>
      <x:c r="B96" s="77"/>
      <x:c r="C96" s="71"/>
      <x:c r="D96" t="str">
        <x:f>IFERROR(IF(94&lt;=$O$1,INDEX($A$3:$A$168,MATCH(94,$I$3:$I$168,0)),IF(94&lt;=$O$1+$O$2,INDEX($F$3:$F$1994,MATCH(94-$O$1,$G$3:$G$1994,0)),"")),"")</x:f>
      </x:c>
      <x:c r="E96" t="str">
        <x:f>IF(K96="","",IF(N96&lt;=M96,"",TRIM(CLEAN(MID(INDEX($B$3:$B$168,K96),M96,N96-M96)))))</x:f>
      </x:c>
      <x:c r="F96" t="str">
        <x:f>IF(E96="","",IF(E96=TRIM(INDEX($A$3:$A$168,K96)),"",IF(RIGHT(TRIM(INDEX($A$3:$A$168,K96)),1)="]",LEFT(TRIM(INDEX($A$3:$A$168,K96)),LEN(TRIM(INDEX($A$3:$A$168,K96)))-1)&amp;", "&amp;SUBSTITUTE(SUBSTITUTE(SUBSTITUTE(E96," [",", "),"[",", "),"]","")&amp;"]",TRIM(INDEX($A$3:$A$168,K96))&amp;" ["&amp;SUBSTITUTE(SUBSTITUTE(SUBSTITUTE(E96," [",", "),"[",", "),"]","")&amp;"]")))</x:f>
      </x:c>
      <x:c r="G96" t="str">
        <x:f>IF(F96&lt;&gt;"",ROWS($F$3:F96)-COUNTBLANK($F$3:F96),"")</x:f>
      </x:c>
      <x:c r="H96" t="n">
        <x:f>SUM($J$3:J96)-J96</x:f>
        <x:v>0</x:v>
      </x:c>
      <x:c r="I96" t="str">
        <x:f>IF(A96&lt;&gt;"",COUNTIF($A$3:A96,"&lt;&gt;"),"")</x:f>
      </x:c>
      <x:c r="J96" t="n">
        <x:f>IF(AND(A96&lt;&gt;"",TRIM(B96)&lt;&gt;""),LEN(B96)-LEN(SUBSTITUTE(B96,CHAR(10),""))+1,0)</x:f>
        <x:v>0</x:v>
      </x:c>
      <x:c r="K96" t="str">
        <x:f>IF(ROW()-ROW($K$2)&lt;=SUM($J$3:$J$168),COUNTIF($H$3:$H$168,"&lt;"&amp;(ROW()-ROW($K$2))),"")</x:f>
      </x:c>
      <x:c r="L96" t="str">
        <x:f>IF(K96="","",ROW()-ROW($L$2)-INDEX($H$3:$H$168,K96))</x:f>
      </x:c>
      <x:c r="M96" t="str">
        <x:f>IF(K96="","",IF(L96=1,1,FIND(CHAR(1),SUBSTITUTE(INDEX($B$3:$B$168,K96),CHAR(10),CHAR(1),L96-1))+1))</x:f>
      </x:c>
      <x:c r="N96" t="str">
        <x:f>IF(K96="","",IFERROR(FIND(CHAR(1),SUBSTITUTE(INDEX($B$3:$B$168,K96),CHAR(10),CHAR(1),L96)),LEN(INDEX($B$3:$B$168,K96))+1))</x:f>
      </x:c>
    </x:row>
    <x:row r="97">
      <x:c r="A97" s="71"/>
      <x:c r="B97" s="77"/>
      <x:c r="C97" s="71"/>
      <x:c r="D97" t="str">
        <x:f>IFERROR(IF(95&lt;=$O$1,INDEX($A$3:$A$168,MATCH(95,$I$3:$I$168,0)),IF(95&lt;=$O$1+$O$2,INDEX($F$3:$F$1994,MATCH(95-$O$1,$G$3:$G$1994,0)),"")),"")</x:f>
      </x:c>
      <x:c r="E97" t="str">
        <x:f>IF(K97="","",IF(N97&lt;=M97,"",TRIM(CLEAN(MID(INDEX($B$3:$B$168,K97),M97,N97-M97)))))</x:f>
      </x:c>
      <x:c r="F97" t="str">
        <x:f>IF(E97="","",IF(E97=TRIM(INDEX($A$3:$A$168,K97)),"",IF(RIGHT(TRIM(INDEX($A$3:$A$168,K97)),1)="]",LEFT(TRIM(INDEX($A$3:$A$168,K97)),LEN(TRIM(INDEX($A$3:$A$168,K97)))-1)&amp;", "&amp;SUBSTITUTE(SUBSTITUTE(SUBSTITUTE(E97," [",", "),"[",", "),"]","")&amp;"]",TRIM(INDEX($A$3:$A$168,K97))&amp;" ["&amp;SUBSTITUTE(SUBSTITUTE(SUBSTITUTE(E97," [",", "),"[",", "),"]","")&amp;"]")))</x:f>
      </x:c>
      <x:c r="G97" t="str">
        <x:f>IF(F97&lt;&gt;"",ROWS($F$3:F97)-COUNTBLANK($F$3:F97),"")</x:f>
      </x:c>
      <x:c r="H97" t="n">
        <x:f>SUM($J$3:J97)-J97</x:f>
        <x:v>0</x:v>
      </x:c>
      <x:c r="I97" t="str">
        <x:f>IF(A97&lt;&gt;"",COUNTIF($A$3:A97,"&lt;&gt;"),"")</x:f>
      </x:c>
      <x:c r="J97" t="n">
        <x:f>IF(AND(A97&lt;&gt;"",TRIM(B97)&lt;&gt;""),LEN(B97)-LEN(SUBSTITUTE(B97,CHAR(10),""))+1,0)</x:f>
        <x:v>0</x:v>
      </x:c>
      <x:c r="K97" t="str">
        <x:f>IF(ROW()-ROW($K$2)&lt;=SUM($J$3:$J$168),COUNTIF($H$3:$H$168,"&lt;"&amp;(ROW()-ROW($K$2))),"")</x:f>
      </x:c>
      <x:c r="L97" t="str">
        <x:f>IF(K97="","",ROW()-ROW($L$2)-INDEX($H$3:$H$168,K97))</x:f>
      </x:c>
      <x:c r="M97" t="str">
        <x:f>IF(K97="","",IF(L97=1,1,FIND(CHAR(1),SUBSTITUTE(INDEX($B$3:$B$168,K97),CHAR(10),CHAR(1),L97-1))+1))</x:f>
      </x:c>
      <x:c r="N97" t="str">
        <x:f>IF(K97="","",IFERROR(FIND(CHAR(1),SUBSTITUTE(INDEX($B$3:$B$168,K97),CHAR(10),CHAR(1),L97)),LEN(INDEX($B$3:$B$168,K97))+1))</x:f>
      </x:c>
    </x:row>
    <x:row r="98">
      <x:c r="A98" s="71"/>
      <x:c r="B98" s="77"/>
      <x:c r="C98" s="71"/>
      <x:c r="D98" t="str">
        <x:f>IFERROR(IF(96&lt;=$O$1,INDEX($A$3:$A$168,MATCH(96,$I$3:$I$168,0)),IF(96&lt;=$O$1+$O$2,INDEX($F$3:$F$1994,MATCH(96-$O$1,$G$3:$G$1994,0)),"")),"")</x:f>
      </x:c>
      <x:c r="E98" t="str">
        <x:f>IF(K98="","",IF(N98&lt;=M98,"",TRIM(CLEAN(MID(INDEX($B$3:$B$168,K98),M98,N98-M98)))))</x:f>
      </x:c>
      <x:c r="F98" t="str">
        <x:f>IF(E98="","",IF(E98=TRIM(INDEX($A$3:$A$168,K98)),"",IF(RIGHT(TRIM(INDEX($A$3:$A$168,K98)),1)="]",LEFT(TRIM(INDEX($A$3:$A$168,K98)),LEN(TRIM(INDEX($A$3:$A$168,K98)))-1)&amp;", "&amp;SUBSTITUTE(SUBSTITUTE(SUBSTITUTE(E98," [",", "),"[",", "),"]","")&amp;"]",TRIM(INDEX($A$3:$A$168,K98))&amp;" ["&amp;SUBSTITUTE(SUBSTITUTE(SUBSTITUTE(E98," [",", "),"[",", "),"]","")&amp;"]")))</x:f>
      </x:c>
      <x:c r="G98" t="str">
        <x:f>IF(F98&lt;&gt;"",ROWS($F$3:F98)-COUNTBLANK($F$3:F98),"")</x:f>
      </x:c>
      <x:c r="H98" t="n">
        <x:f>SUM($J$3:J98)-J98</x:f>
        <x:v>0</x:v>
      </x:c>
      <x:c r="I98" t="str">
        <x:f>IF(A98&lt;&gt;"",COUNTIF($A$3:A98,"&lt;&gt;"),"")</x:f>
      </x:c>
      <x:c r="J98" t="n">
        <x:f>IF(AND(A98&lt;&gt;"",TRIM(B98)&lt;&gt;""),LEN(B98)-LEN(SUBSTITUTE(B98,CHAR(10),""))+1,0)</x:f>
        <x:v>0</x:v>
      </x:c>
      <x:c r="K98" t="str">
        <x:f>IF(ROW()-ROW($K$2)&lt;=SUM($J$3:$J$168),COUNTIF($H$3:$H$168,"&lt;"&amp;(ROW()-ROW($K$2))),"")</x:f>
      </x:c>
      <x:c r="L98" t="str">
        <x:f>IF(K98="","",ROW()-ROW($L$2)-INDEX($H$3:$H$168,K98))</x:f>
      </x:c>
      <x:c r="M98" t="str">
        <x:f>IF(K98="","",IF(L98=1,1,FIND(CHAR(1),SUBSTITUTE(INDEX($B$3:$B$168,K98),CHAR(10),CHAR(1),L98-1))+1))</x:f>
      </x:c>
      <x:c r="N98" t="str">
        <x:f>IF(K98="","",IFERROR(FIND(CHAR(1),SUBSTITUTE(INDEX($B$3:$B$168,K98),CHAR(10),CHAR(1),L98)),LEN(INDEX($B$3:$B$168,K98))+1))</x:f>
      </x:c>
    </x:row>
    <x:row r="99">
      <x:c r="A99" s="71"/>
      <x:c r="B99" s="77"/>
      <x:c r="C99" s="71"/>
      <x:c r="D99" t="str">
        <x:f>IFERROR(IF(97&lt;=$O$1,INDEX($A$3:$A$168,MATCH(97,$I$3:$I$168,0)),IF(97&lt;=$O$1+$O$2,INDEX($F$3:$F$1994,MATCH(97-$O$1,$G$3:$G$1994,0)),"")),"")</x:f>
      </x:c>
      <x:c r="E99" t="str">
        <x:f>IF(K99="","",IF(N99&lt;=M99,"",TRIM(CLEAN(MID(INDEX($B$3:$B$168,K99),M99,N99-M99)))))</x:f>
      </x:c>
      <x:c r="F99" t="str">
        <x:f>IF(E99="","",IF(E99=TRIM(INDEX($A$3:$A$168,K99)),"",IF(RIGHT(TRIM(INDEX($A$3:$A$168,K99)),1)="]",LEFT(TRIM(INDEX($A$3:$A$168,K99)),LEN(TRIM(INDEX($A$3:$A$168,K99)))-1)&amp;", "&amp;SUBSTITUTE(SUBSTITUTE(SUBSTITUTE(E99," [",", "),"[",", "),"]","")&amp;"]",TRIM(INDEX($A$3:$A$168,K99))&amp;" ["&amp;SUBSTITUTE(SUBSTITUTE(SUBSTITUTE(E99," [",", "),"[",", "),"]","")&amp;"]")))</x:f>
      </x:c>
      <x:c r="G99" t="str">
        <x:f>IF(F99&lt;&gt;"",ROWS($F$3:F99)-COUNTBLANK($F$3:F99),"")</x:f>
      </x:c>
      <x:c r="H99" t="n">
        <x:f>SUM($J$3:J99)-J99</x:f>
        <x:v>0</x:v>
      </x:c>
      <x:c r="I99" t="str">
        <x:f>IF(A99&lt;&gt;"",COUNTIF($A$3:A99,"&lt;&gt;"),"")</x:f>
      </x:c>
      <x:c r="J99" t="n">
        <x:f>IF(AND(A99&lt;&gt;"",TRIM(B99)&lt;&gt;""),LEN(B99)-LEN(SUBSTITUTE(B99,CHAR(10),""))+1,0)</x:f>
        <x:v>0</x:v>
      </x:c>
      <x:c r="K99" t="str">
        <x:f>IF(ROW()-ROW($K$2)&lt;=SUM($J$3:$J$168),COUNTIF($H$3:$H$168,"&lt;"&amp;(ROW()-ROW($K$2))),"")</x:f>
      </x:c>
      <x:c r="L99" t="str">
        <x:f>IF(K99="","",ROW()-ROW($L$2)-INDEX($H$3:$H$168,K99))</x:f>
      </x:c>
      <x:c r="M99" t="str">
        <x:f>IF(K99="","",IF(L99=1,1,FIND(CHAR(1),SUBSTITUTE(INDEX($B$3:$B$168,K99),CHAR(10),CHAR(1),L99-1))+1))</x:f>
      </x:c>
      <x:c r="N99" t="str">
        <x:f>IF(K99="","",IFERROR(FIND(CHAR(1),SUBSTITUTE(INDEX($B$3:$B$168,K99),CHAR(10),CHAR(1),L99)),LEN(INDEX($B$3:$B$168,K99))+1))</x:f>
      </x:c>
    </x:row>
    <x:row r="100">
      <x:c r="A100" s="71"/>
      <x:c r="B100" s="77"/>
      <x:c r="C100" s="71"/>
      <x:c r="D100" t="str">
        <x:f>IFERROR(IF(98&lt;=$O$1,INDEX($A$3:$A$168,MATCH(98,$I$3:$I$168,0)),IF(98&lt;=$O$1+$O$2,INDEX($F$3:$F$1994,MATCH(98-$O$1,$G$3:$G$1994,0)),"")),"")</x:f>
      </x:c>
      <x:c r="E100" t="str">
        <x:f>IF(K100="","",IF(N100&lt;=M100,"",TRIM(CLEAN(MID(INDEX($B$3:$B$168,K100),M100,N100-M100)))))</x:f>
      </x:c>
      <x:c r="F100" t="str">
        <x:f>IF(E100="","",IF(E100=TRIM(INDEX($A$3:$A$168,K100)),"",IF(RIGHT(TRIM(INDEX($A$3:$A$168,K100)),1)="]",LEFT(TRIM(INDEX($A$3:$A$168,K100)),LEN(TRIM(INDEX($A$3:$A$168,K100)))-1)&amp;", "&amp;SUBSTITUTE(SUBSTITUTE(SUBSTITUTE(E100," [",", "),"[",", "),"]","")&amp;"]",TRIM(INDEX($A$3:$A$168,K100))&amp;" ["&amp;SUBSTITUTE(SUBSTITUTE(SUBSTITUTE(E100," [",", "),"[",", "),"]","")&amp;"]")))</x:f>
      </x:c>
      <x:c r="G100" t="str">
        <x:f>IF(F100&lt;&gt;"",ROWS($F$3:F100)-COUNTBLANK($F$3:F100),"")</x:f>
      </x:c>
      <x:c r="H100" t="n">
        <x:f>SUM($J$3:J100)-J100</x:f>
        <x:v>0</x:v>
      </x:c>
      <x:c r="I100" t="str">
        <x:f>IF(A100&lt;&gt;"",COUNTIF($A$3:A100,"&lt;&gt;"),"")</x:f>
      </x:c>
      <x:c r="J100" t="n">
        <x:f>IF(AND(A100&lt;&gt;"",TRIM(B100)&lt;&gt;""),LEN(B100)-LEN(SUBSTITUTE(B100,CHAR(10),""))+1,0)</x:f>
        <x:v>0</x:v>
      </x:c>
      <x:c r="K100" t="str">
        <x:f>IF(ROW()-ROW($K$2)&lt;=SUM($J$3:$J$168),COUNTIF($H$3:$H$168,"&lt;"&amp;(ROW()-ROW($K$2))),"")</x:f>
      </x:c>
      <x:c r="L100" t="str">
        <x:f>IF(K100="","",ROW()-ROW($L$2)-INDEX($H$3:$H$168,K100))</x:f>
      </x:c>
      <x:c r="M100" t="str">
        <x:f>IF(K100="","",IF(L100=1,1,FIND(CHAR(1),SUBSTITUTE(INDEX($B$3:$B$168,K100),CHAR(10),CHAR(1),L100-1))+1))</x:f>
      </x:c>
      <x:c r="N100" t="str">
        <x:f>IF(K100="","",IFERROR(FIND(CHAR(1),SUBSTITUTE(INDEX($B$3:$B$168,K100),CHAR(10),CHAR(1),L100)),LEN(INDEX($B$3:$B$168,K100))+1))</x:f>
      </x:c>
    </x:row>
    <x:row r="101">
      <x:c r="A101" s="71"/>
      <x:c r="B101" s="77"/>
      <x:c r="C101" s="71"/>
      <x:c r="D101" t="str">
        <x:f>IFERROR(IF(99&lt;=$O$1,INDEX($A$3:$A$168,MATCH(99,$I$3:$I$168,0)),IF(99&lt;=$O$1+$O$2,INDEX($F$3:$F$1994,MATCH(99-$O$1,$G$3:$G$1994,0)),"")),"")</x:f>
      </x:c>
      <x:c r="E101" t="str">
        <x:f>IF(K101="","",IF(N101&lt;=M101,"",TRIM(CLEAN(MID(INDEX($B$3:$B$168,K101),M101,N101-M101)))))</x:f>
      </x:c>
      <x:c r="F101" t="str">
        <x:f>IF(E101="","",IF(E101=TRIM(INDEX($A$3:$A$168,K101)),"",IF(RIGHT(TRIM(INDEX($A$3:$A$168,K101)),1)="]",LEFT(TRIM(INDEX($A$3:$A$168,K101)),LEN(TRIM(INDEX($A$3:$A$168,K101)))-1)&amp;", "&amp;SUBSTITUTE(SUBSTITUTE(SUBSTITUTE(E101," [",", "),"[",", "),"]","")&amp;"]",TRIM(INDEX($A$3:$A$168,K101))&amp;" ["&amp;SUBSTITUTE(SUBSTITUTE(SUBSTITUTE(E101," [",", "),"[",", "),"]","")&amp;"]")))</x:f>
      </x:c>
      <x:c r="G101" t="str">
        <x:f>IF(F101&lt;&gt;"",ROWS($F$3:F101)-COUNTBLANK($F$3:F101),"")</x:f>
      </x:c>
      <x:c r="H101" t="n">
        <x:f>SUM($J$3:J101)-J101</x:f>
        <x:v>0</x:v>
      </x:c>
      <x:c r="I101" t="str">
        <x:f>IF(A101&lt;&gt;"",COUNTIF($A$3:A101,"&lt;&gt;"),"")</x:f>
      </x:c>
      <x:c r="J101" t="n">
        <x:f>IF(AND(A101&lt;&gt;"",TRIM(B101)&lt;&gt;""),LEN(B101)-LEN(SUBSTITUTE(B101,CHAR(10),""))+1,0)</x:f>
        <x:v>0</x:v>
      </x:c>
      <x:c r="K101" t="str">
        <x:f>IF(ROW()-ROW($K$2)&lt;=SUM($J$3:$J$168),COUNTIF($H$3:$H$168,"&lt;"&amp;(ROW()-ROW($K$2))),"")</x:f>
      </x:c>
      <x:c r="L101" t="str">
        <x:f>IF(K101="","",ROW()-ROW($L$2)-INDEX($H$3:$H$168,K101))</x:f>
      </x:c>
      <x:c r="M101" t="str">
        <x:f>IF(K101="","",IF(L101=1,1,FIND(CHAR(1),SUBSTITUTE(INDEX($B$3:$B$168,K101),CHAR(10),CHAR(1),L101-1))+1))</x:f>
      </x:c>
      <x:c r="N101" t="str">
        <x:f>IF(K101="","",IFERROR(FIND(CHAR(1),SUBSTITUTE(INDEX($B$3:$B$168,K101),CHAR(10),CHAR(1),L101)),LEN(INDEX($B$3:$B$168,K101))+1))</x:f>
      </x:c>
    </x:row>
    <x:row r="102">
      <x:c r="A102" s="71"/>
      <x:c r="B102" s="77"/>
      <x:c r="C102" s="71"/>
      <x:c r="D102" t="str">
        <x:f>IFERROR(IF(100&lt;=$O$1,INDEX($A$3:$A$168,MATCH(100,$I$3:$I$168,0)),IF(100&lt;=$O$1+$O$2,INDEX($F$3:$F$1994,MATCH(100-$O$1,$G$3:$G$1994,0)),"")),"")</x:f>
      </x:c>
      <x:c r="E102" t="str">
        <x:f>IF(K102="","",IF(N102&lt;=M102,"",TRIM(CLEAN(MID(INDEX($B$3:$B$168,K102),M102,N102-M102)))))</x:f>
      </x:c>
      <x:c r="F102" t="str">
        <x:f>IF(E102="","",IF(E102=TRIM(INDEX($A$3:$A$168,K102)),"",IF(RIGHT(TRIM(INDEX($A$3:$A$168,K102)),1)="]",LEFT(TRIM(INDEX($A$3:$A$168,K102)),LEN(TRIM(INDEX($A$3:$A$168,K102)))-1)&amp;", "&amp;SUBSTITUTE(SUBSTITUTE(SUBSTITUTE(E102," [",", "),"[",", "),"]","")&amp;"]",TRIM(INDEX($A$3:$A$168,K102))&amp;" ["&amp;SUBSTITUTE(SUBSTITUTE(SUBSTITUTE(E102," [",", "),"[",", "),"]","")&amp;"]")))</x:f>
      </x:c>
      <x:c r="G102" t="str">
        <x:f>IF(F102&lt;&gt;"",ROWS($F$3:F102)-COUNTBLANK($F$3:F102),"")</x:f>
      </x:c>
      <x:c r="H102" t="n">
        <x:f>SUM($J$3:J102)-J102</x:f>
        <x:v>0</x:v>
      </x:c>
      <x:c r="I102" t="str">
        <x:f>IF(A102&lt;&gt;"",COUNTIF($A$3:A102,"&lt;&gt;"),"")</x:f>
      </x:c>
      <x:c r="J102" t="n">
        <x:f>IF(AND(A102&lt;&gt;"",TRIM(B102)&lt;&gt;""),LEN(B102)-LEN(SUBSTITUTE(B102,CHAR(10),""))+1,0)</x:f>
        <x:v>0</x:v>
      </x:c>
      <x:c r="K102" t="str">
        <x:f>IF(ROW()-ROW($K$2)&lt;=SUM($J$3:$J$168),COUNTIF($H$3:$H$168,"&lt;"&amp;(ROW()-ROW($K$2))),"")</x:f>
      </x:c>
      <x:c r="L102" t="str">
        <x:f>IF(K102="","",ROW()-ROW($L$2)-INDEX($H$3:$H$168,K102))</x:f>
      </x:c>
      <x:c r="M102" t="str">
        <x:f>IF(K102="","",IF(L102=1,1,FIND(CHAR(1),SUBSTITUTE(INDEX($B$3:$B$168,K102),CHAR(10),CHAR(1),L102-1))+1))</x:f>
      </x:c>
      <x:c r="N102" t="str">
        <x:f>IF(K102="","",IFERROR(FIND(CHAR(1),SUBSTITUTE(INDEX($B$3:$B$168,K102),CHAR(10),CHAR(1),L102)),LEN(INDEX($B$3:$B$168,K102))+1))</x:f>
      </x:c>
    </x:row>
    <x:row r="103">
      <x:c r="A103" s="71"/>
      <x:c r="B103" s="77"/>
      <x:c r="C103" s="71"/>
      <x:c r="D103" t="str">
        <x:f>IFERROR(IF(101&lt;=$O$1,INDEX($A$3:$A$168,MATCH(101,$I$3:$I$168,0)),IF(101&lt;=$O$1+$O$2,INDEX($F$3:$F$1994,MATCH(101-$O$1,$G$3:$G$1994,0)),"")),"")</x:f>
      </x:c>
      <x:c r="E103" t="str">
        <x:f>IF(K103="","",IF(N103&lt;=M103,"",TRIM(CLEAN(MID(INDEX($B$3:$B$168,K103),M103,N103-M103)))))</x:f>
      </x:c>
      <x:c r="F103" t="str">
        <x:f>IF(E103="","",IF(E103=TRIM(INDEX($A$3:$A$168,K103)),"",IF(RIGHT(TRIM(INDEX($A$3:$A$168,K103)),1)="]",LEFT(TRIM(INDEX($A$3:$A$168,K103)),LEN(TRIM(INDEX($A$3:$A$168,K103)))-1)&amp;", "&amp;SUBSTITUTE(SUBSTITUTE(SUBSTITUTE(E103," [",", "),"[",", "),"]","")&amp;"]",TRIM(INDEX($A$3:$A$168,K103))&amp;" ["&amp;SUBSTITUTE(SUBSTITUTE(SUBSTITUTE(E103," [",", "),"[",", "),"]","")&amp;"]")))</x:f>
      </x:c>
      <x:c r="G103" t="str">
        <x:f>IF(F103&lt;&gt;"",ROWS($F$3:F103)-COUNTBLANK($F$3:F103),"")</x:f>
      </x:c>
      <x:c r="H103" t="n">
        <x:f>SUM($J$3:J103)-J103</x:f>
        <x:v>0</x:v>
      </x:c>
      <x:c r="I103" t="str">
        <x:f>IF(A103&lt;&gt;"",COUNTIF($A$3:A103,"&lt;&gt;"),"")</x:f>
      </x:c>
      <x:c r="J103" t="n">
        <x:f>IF(AND(A103&lt;&gt;"",TRIM(B103)&lt;&gt;""),LEN(B103)-LEN(SUBSTITUTE(B103,CHAR(10),""))+1,0)</x:f>
        <x:v>0</x:v>
      </x:c>
      <x:c r="K103" t="str">
        <x:f>IF(ROW()-ROW($K$2)&lt;=SUM($J$3:$J$168),COUNTIF($H$3:$H$168,"&lt;"&amp;(ROW()-ROW($K$2))),"")</x:f>
      </x:c>
      <x:c r="L103" t="str">
        <x:f>IF(K103="","",ROW()-ROW($L$2)-INDEX($H$3:$H$168,K103))</x:f>
      </x:c>
      <x:c r="M103" t="str">
        <x:f>IF(K103="","",IF(L103=1,1,FIND(CHAR(1),SUBSTITUTE(INDEX($B$3:$B$168,K103),CHAR(10),CHAR(1),L103-1))+1))</x:f>
      </x:c>
      <x:c r="N103" t="str">
        <x:f>IF(K103="","",IFERROR(FIND(CHAR(1),SUBSTITUTE(INDEX($B$3:$B$168,K103),CHAR(10),CHAR(1),L103)),LEN(INDEX($B$3:$B$168,K103))+1))</x:f>
      </x:c>
    </x:row>
    <x:row r="104">
      <x:c r="A104" s="71"/>
      <x:c r="B104" s="77"/>
      <x:c r="C104" s="71"/>
      <x:c r="D104" t="str">
        <x:f>IFERROR(IF(102&lt;=$O$1,INDEX($A$3:$A$168,MATCH(102,$I$3:$I$168,0)),IF(102&lt;=$O$1+$O$2,INDEX($F$3:$F$1994,MATCH(102-$O$1,$G$3:$G$1994,0)),"")),"")</x:f>
      </x:c>
      <x:c r="E104" t="str">
        <x:f>IF(K104="","",IF(N104&lt;=M104,"",TRIM(CLEAN(MID(INDEX($B$3:$B$168,K104),M104,N104-M104)))))</x:f>
      </x:c>
      <x:c r="F104" t="str">
        <x:f>IF(E104="","",IF(E104=TRIM(INDEX($A$3:$A$168,K104)),"",IF(RIGHT(TRIM(INDEX($A$3:$A$168,K104)),1)="]",LEFT(TRIM(INDEX($A$3:$A$168,K104)),LEN(TRIM(INDEX($A$3:$A$168,K104)))-1)&amp;", "&amp;SUBSTITUTE(SUBSTITUTE(SUBSTITUTE(E104," [",", "),"[",", "),"]","")&amp;"]",TRIM(INDEX($A$3:$A$168,K104))&amp;" ["&amp;SUBSTITUTE(SUBSTITUTE(SUBSTITUTE(E104," [",", "),"[",", "),"]","")&amp;"]")))</x:f>
      </x:c>
      <x:c r="G104" t="str">
        <x:f>IF(F104&lt;&gt;"",ROWS($F$3:F104)-COUNTBLANK($F$3:F104),"")</x:f>
      </x:c>
      <x:c r="H104" t="n">
        <x:f>SUM($J$3:J104)-J104</x:f>
        <x:v>0</x:v>
      </x:c>
      <x:c r="I104" t="str">
        <x:f>IF(A104&lt;&gt;"",COUNTIF($A$3:A104,"&lt;&gt;"),"")</x:f>
      </x:c>
      <x:c r="J104" t="n">
        <x:f>IF(AND(A104&lt;&gt;"",TRIM(B104)&lt;&gt;""),LEN(B104)-LEN(SUBSTITUTE(B104,CHAR(10),""))+1,0)</x:f>
        <x:v>0</x:v>
      </x:c>
      <x:c r="K104" t="str">
        <x:f>IF(ROW()-ROW($K$2)&lt;=SUM($J$3:$J$168),COUNTIF($H$3:$H$168,"&lt;"&amp;(ROW()-ROW($K$2))),"")</x:f>
      </x:c>
      <x:c r="L104" t="str">
        <x:f>IF(K104="","",ROW()-ROW($L$2)-INDEX($H$3:$H$168,K104))</x:f>
      </x:c>
      <x:c r="M104" t="str">
        <x:f>IF(K104="","",IF(L104=1,1,FIND(CHAR(1),SUBSTITUTE(INDEX($B$3:$B$168,K104),CHAR(10),CHAR(1),L104-1))+1))</x:f>
      </x:c>
      <x:c r="N104" t="str">
        <x:f>IF(K104="","",IFERROR(FIND(CHAR(1),SUBSTITUTE(INDEX($B$3:$B$168,K104),CHAR(10),CHAR(1),L104)),LEN(INDEX($B$3:$B$168,K104))+1))</x:f>
      </x:c>
    </x:row>
    <x:row r="105">
      <x:c r="A105" s="71"/>
      <x:c r="B105" s="77"/>
      <x:c r="C105" s="71"/>
      <x:c r="D105" t="str">
        <x:f>IFERROR(IF(103&lt;=$O$1,INDEX($A$3:$A$168,MATCH(103,$I$3:$I$168,0)),IF(103&lt;=$O$1+$O$2,INDEX($F$3:$F$1994,MATCH(103-$O$1,$G$3:$G$1994,0)),"")),"")</x:f>
      </x:c>
      <x:c r="E105" t="str">
        <x:f>IF(K105="","",IF(N105&lt;=M105,"",TRIM(CLEAN(MID(INDEX($B$3:$B$168,K105),M105,N105-M105)))))</x:f>
      </x:c>
      <x:c r="F105" t="str">
        <x:f>IF(E105="","",IF(E105=TRIM(INDEX($A$3:$A$168,K105)),"",IF(RIGHT(TRIM(INDEX($A$3:$A$168,K105)),1)="]",LEFT(TRIM(INDEX($A$3:$A$168,K105)),LEN(TRIM(INDEX($A$3:$A$168,K105)))-1)&amp;", "&amp;SUBSTITUTE(SUBSTITUTE(SUBSTITUTE(E105," [",", "),"[",", "),"]","")&amp;"]",TRIM(INDEX($A$3:$A$168,K105))&amp;" ["&amp;SUBSTITUTE(SUBSTITUTE(SUBSTITUTE(E105," [",", "),"[",", "),"]","")&amp;"]")))</x:f>
      </x:c>
      <x:c r="G105" t="str">
        <x:f>IF(F105&lt;&gt;"",ROWS($F$3:F105)-COUNTBLANK($F$3:F105),"")</x:f>
      </x:c>
      <x:c r="H105" t="n">
        <x:f>SUM($J$3:J105)-J105</x:f>
        <x:v>0</x:v>
      </x:c>
      <x:c r="I105" t="str">
        <x:f>IF(A105&lt;&gt;"",COUNTIF($A$3:A105,"&lt;&gt;"),"")</x:f>
      </x:c>
      <x:c r="J105" t="n">
        <x:f>IF(AND(A105&lt;&gt;"",TRIM(B105)&lt;&gt;""),LEN(B105)-LEN(SUBSTITUTE(B105,CHAR(10),""))+1,0)</x:f>
        <x:v>0</x:v>
      </x:c>
      <x:c r="K105" t="str">
        <x:f>IF(ROW()-ROW($K$2)&lt;=SUM($J$3:$J$168),COUNTIF($H$3:$H$168,"&lt;"&amp;(ROW()-ROW($K$2))),"")</x:f>
      </x:c>
      <x:c r="L105" t="str">
        <x:f>IF(K105="","",ROW()-ROW($L$2)-INDEX($H$3:$H$168,K105))</x:f>
      </x:c>
      <x:c r="M105" t="str">
        <x:f>IF(K105="","",IF(L105=1,1,FIND(CHAR(1),SUBSTITUTE(INDEX($B$3:$B$168,K105),CHAR(10),CHAR(1),L105-1))+1))</x:f>
      </x:c>
      <x:c r="N105" t="str">
        <x:f>IF(K105="","",IFERROR(FIND(CHAR(1),SUBSTITUTE(INDEX($B$3:$B$168,K105),CHAR(10),CHAR(1),L105)),LEN(INDEX($B$3:$B$168,K105))+1))</x:f>
      </x:c>
    </x:row>
    <x:row r="106">
      <x:c r="A106" s="71"/>
      <x:c r="B106" s="77"/>
      <x:c r="C106" s="71"/>
      <x:c r="D106" t="str">
        <x:f>IFERROR(IF(104&lt;=$O$1,INDEX($A$3:$A$168,MATCH(104,$I$3:$I$168,0)),IF(104&lt;=$O$1+$O$2,INDEX($F$3:$F$1994,MATCH(104-$O$1,$G$3:$G$1994,0)),"")),"")</x:f>
      </x:c>
      <x:c r="E106" t="str">
        <x:f>IF(K106="","",IF(N106&lt;=M106,"",TRIM(CLEAN(MID(INDEX($B$3:$B$168,K106),M106,N106-M106)))))</x:f>
      </x:c>
      <x:c r="F106" t="str">
        <x:f>IF(E106="","",IF(E106=TRIM(INDEX($A$3:$A$168,K106)),"",IF(RIGHT(TRIM(INDEX($A$3:$A$168,K106)),1)="]",LEFT(TRIM(INDEX($A$3:$A$168,K106)),LEN(TRIM(INDEX($A$3:$A$168,K106)))-1)&amp;", "&amp;SUBSTITUTE(SUBSTITUTE(SUBSTITUTE(E106," [",", "),"[",", "),"]","")&amp;"]",TRIM(INDEX($A$3:$A$168,K106))&amp;" ["&amp;SUBSTITUTE(SUBSTITUTE(SUBSTITUTE(E106," [",", "),"[",", "),"]","")&amp;"]")))</x:f>
      </x:c>
      <x:c r="G106" t="str">
        <x:f>IF(F106&lt;&gt;"",ROWS($F$3:F106)-COUNTBLANK($F$3:F106),"")</x:f>
      </x:c>
      <x:c r="H106" t="n">
        <x:f>SUM($J$3:J106)-J106</x:f>
        <x:v>0</x:v>
      </x:c>
      <x:c r="I106" t="str">
        <x:f>IF(A106&lt;&gt;"",COUNTIF($A$3:A106,"&lt;&gt;"),"")</x:f>
      </x:c>
      <x:c r="J106" t="n">
        <x:f>IF(AND(A106&lt;&gt;"",TRIM(B106)&lt;&gt;""),LEN(B106)-LEN(SUBSTITUTE(B106,CHAR(10),""))+1,0)</x:f>
        <x:v>0</x:v>
      </x:c>
      <x:c r="K106" t="str">
        <x:f>IF(ROW()-ROW($K$2)&lt;=SUM($J$3:$J$168),COUNTIF($H$3:$H$168,"&lt;"&amp;(ROW()-ROW($K$2))),"")</x:f>
      </x:c>
      <x:c r="L106" t="str">
        <x:f>IF(K106="","",ROW()-ROW($L$2)-INDEX($H$3:$H$168,K106))</x:f>
      </x:c>
      <x:c r="M106" t="str">
        <x:f>IF(K106="","",IF(L106=1,1,FIND(CHAR(1),SUBSTITUTE(INDEX($B$3:$B$168,K106),CHAR(10),CHAR(1),L106-1))+1))</x:f>
      </x:c>
      <x:c r="N106" t="str">
        <x:f>IF(K106="","",IFERROR(FIND(CHAR(1),SUBSTITUTE(INDEX($B$3:$B$168,K106),CHAR(10),CHAR(1),L106)),LEN(INDEX($B$3:$B$168,K106))+1))</x:f>
      </x:c>
    </x:row>
    <x:row r="107">
      <x:c r="A107" s="71"/>
      <x:c r="B107" s="77"/>
      <x:c r="C107" s="71"/>
      <x:c r="D107" t="str">
        <x:f>IFERROR(IF(105&lt;=$O$1,INDEX($A$3:$A$168,MATCH(105,$I$3:$I$168,0)),IF(105&lt;=$O$1+$O$2,INDEX($F$3:$F$1994,MATCH(105-$O$1,$G$3:$G$1994,0)),"")),"")</x:f>
      </x:c>
      <x:c r="E107" t="str">
        <x:f>IF(K107="","",IF(N107&lt;=M107,"",TRIM(CLEAN(MID(INDEX($B$3:$B$168,K107),M107,N107-M107)))))</x:f>
      </x:c>
      <x:c r="F107" t="str">
        <x:f>IF(E107="","",IF(E107=TRIM(INDEX($A$3:$A$168,K107)),"",IF(RIGHT(TRIM(INDEX($A$3:$A$168,K107)),1)="]",LEFT(TRIM(INDEX($A$3:$A$168,K107)),LEN(TRIM(INDEX($A$3:$A$168,K107)))-1)&amp;", "&amp;SUBSTITUTE(SUBSTITUTE(SUBSTITUTE(E107," [",", "),"[",", "),"]","")&amp;"]",TRIM(INDEX($A$3:$A$168,K107))&amp;" ["&amp;SUBSTITUTE(SUBSTITUTE(SUBSTITUTE(E107," [",", "),"[",", "),"]","")&amp;"]")))</x:f>
      </x:c>
      <x:c r="G107" t="str">
        <x:f>IF(F107&lt;&gt;"",ROWS($F$3:F107)-COUNTBLANK($F$3:F107),"")</x:f>
      </x:c>
      <x:c r="H107" t="n">
        <x:f>SUM($J$3:J107)-J107</x:f>
        <x:v>0</x:v>
      </x:c>
      <x:c r="I107" t="str">
        <x:f>IF(A107&lt;&gt;"",COUNTIF($A$3:A107,"&lt;&gt;"),"")</x:f>
      </x:c>
      <x:c r="J107" t="n">
        <x:f>IF(AND(A107&lt;&gt;"",TRIM(B107)&lt;&gt;""),LEN(B107)-LEN(SUBSTITUTE(B107,CHAR(10),""))+1,0)</x:f>
        <x:v>0</x:v>
      </x:c>
      <x:c r="K107" t="str">
        <x:f>IF(ROW()-ROW($K$2)&lt;=SUM($J$3:$J$168),COUNTIF($H$3:$H$168,"&lt;"&amp;(ROW()-ROW($K$2))),"")</x:f>
      </x:c>
      <x:c r="L107" t="str">
        <x:f>IF(K107="","",ROW()-ROW($L$2)-INDEX($H$3:$H$168,K107))</x:f>
      </x:c>
      <x:c r="M107" t="str">
        <x:f>IF(K107="","",IF(L107=1,1,FIND(CHAR(1),SUBSTITUTE(INDEX($B$3:$B$168,K107),CHAR(10),CHAR(1),L107-1))+1))</x:f>
      </x:c>
      <x:c r="N107" t="str">
        <x:f>IF(K107="","",IFERROR(FIND(CHAR(1),SUBSTITUTE(INDEX($B$3:$B$168,K107),CHAR(10),CHAR(1),L107)),LEN(INDEX($B$3:$B$168,K107))+1))</x:f>
      </x:c>
    </x:row>
    <x:row r="108">
      <x:c r="A108" s="71"/>
      <x:c r="B108" s="77"/>
      <x:c r="C108" s="71"/>
      <x:c r="D108" t="str">
        <x:f>IFERROR(IF(106&lt;=$O$1,INDEX($A$3:$A$168,MATCH(106,$I$3:$I$168,0)),IF(106&lt;=$O$1+$O$2,INDEX($F$3:$F$1994,MATCH(106-$O$1,$G$3:$G$1994,0)),"")),"")</x:f>
      </x:c>
      <x:c r="E108" t="str">
        <x:f>IF(K108="","",IF(N108&lt;=M108,"",TRIM(CLEAN(MID(INDEX($B$3:$B$168,K108),M108,N108-M108)))))</x:f>
      </x:c>
      <x:c r="F108" t="str">
        <x:f>IF(E108="","",IF(E108=TRIM(INDEX($A$3:$A$168,K108)),"",IF(RIGHT(TRIM(INDEX($A$3:$A$168,K108)),1)="]",LEFT(TRIM(INDEX($A$3:$A$168,K108)),LEN(TRIM(INDEX($A$3:$A$168,K108)))-1)&amp;", "&amp;SUBSTITUTE(SUBSTITUTE(SUBSTITUTE(E108," [",", "),"[",", "),"]","")&amp;"]",TRIM(INDEX($A$3:$A$168,K108))&amp;" ["&amp;SUBSTITUTE(SUBSTITUTE(SUBSTITUTE(E108," [",", "),"[",", "),"]","")&amp;"]")))</x:f>
      </x:c>
      <x:c r="G108" t="str">
        <x:f>IF(F108&lt;&gt;"",ROWS($F$3:F108)-COUNTBLANK($F$3:F108),"")</x:f>
      </x:c>
      <x:c r="H108" t="n">
        <x:f>SUM($J$3:J108)-J108</x:f>
        <x:v>0</x:v>
      </x:c>
      <x:c r="I108" t="str">
        <x:f>IF(A108&lt;&gt;"",COUNTIF($A$3:A108,"&lt;&gt;"),"")</x:f>
      </x:c>
      <x:c r="J108" t="n">
        <x:f>IF(AND(A108&lt;&gt;"",TRIM(B108)&lt;&gt;""),LEN(B108)-LEN(SUBSTITUTE(B108,CHAR(10),""))+1,0)</x:f>
        <x:v>0</x:v>
      </x:c>
      <x:c r="K108" t="str">
        <x:f>IF(ROW()-ROW($K$2)&lt;=SUM($J$3:$J$168),COUNTIF($H$3:$H$168,"&lt;"&amp;(ROW()-ROW($K$2))),"")</x:f>
      </x:c>
      <x:c r="L108" t="str">
        <x:f>IF(K108="","",ROW()-ROW($L$2)-INDEX($H$3:$H$168,K108))</x:f>
      </x:c>
      <x:c r="M108" t="str">
        <x:f>IF(K108="","",IF(L108=1,1,FIND(CHAR(1),SUBSTITUTE(INDEX($B$3:$B$168,K108),CHAR(10),CHAR(1),L108-1))+1))</x:f>
      </x:c>
      <x:c r="N108" t="str">
        <x:f>IF(K108="","",IFERROR(FIND(CHAR(1),SUBSTITUTE(INDEX($B$3:$B$168,K108),CHAR(10),CHAR(1),L108)),LEN(INDEX($B$3:$B$168,K108))+1))</x:f>
      </x:c>
    </x:row>
    <x:row r="109">
      <x:c r="A109" s="71"/>
      <x:c r="B109" s="77"/>
      <x:c r="C109" s="71"/>
      <x:c r="D109" t="str">
        <x:f>IFERROR(IF(107&lt;=$O$1,INDEX($A$3:$A$168,MATCH(107,$I$3:$I$168,0)),IF(107&lt;=$O$1+$O$2,INDEX($F$3:$F$1994,MATCH(107-$O$1,$G$3:$G$1994,0)),"")),"")</x:f>
      </x:c>
      <x:c r="E109" t="str">
        <x:f>IF(K109="","",IF(N109&lt;=M109,"",TRIM(CLEAN(MID(INDEX($B$3:$B$168,K109),M109,N109-M109)))))</x:f>
      </x:c>
      <x:c r="F109" t="str">
        <x:f>IF(E109="","",IF(E109=TRIM(INDEX($A$3:$A$168,K109)),"",IF(RIGHT(TRIM(INDEX($A$3:$A$168,K109)),1)="]",LEFT(TRIM(INDEX($A$3:$A$168,K109)),LEN(TRIM(INDEX($A$3:$A$168,K109)))-1)&amp;", "&amp;SUBSTITUTE(SUBSTITUTE(SUBSTITUTE(E109," [",", "),"[",", "),"]","")&amp;"]",TRIM(INDEX($A$3:$A$168,K109))&amp;" ["&amp;SUBSTITUTE(SUBSTITUTE(SUBSTITUTE(E109," [",", "),"[",", "),"]","")&amp;"]")))</x:f>
      </x:c>
      <x:c r="G109" t="str">
        <x:f>IF(F109&lt;&gt;"",ROWS($F$3:F109)-COUNTBLANK($F$3:F109),"")</x:f>
      </x:c>
      <x:c r="H109" t="n">
        <x:f>SUM($J$3:J109)-J109</x:f>
        <x:v>0</x:v>
      </x:c>
      <x:c r="I109" t="str">
        <x:f>IF(A109&lt;&gt;"",COUNTIF($A$3:A109,"&lt;&gt;"),"")</x:f>
      </x:c>
      <x:c r="J109" t="n">
        <x:f>IF(AND(A109&lt;&gt;"",TRIM(B109)&lt;&gt;""),LEN(B109)-LEN(SUBSTITUTE(B109,CHAR(10),""))+1,0)</x:f>
        <x:v>0</x:v>
      </x:c>
      <x:c r="K109" t="str">
        <x:f>IF(ROW()-ROW($K$2)&lt;=SUM($J$3:$J$168),COUNTIF($H$3:$H$168,"&lt;"&amp;(ROW()-ROW($K$2))),"")</x:f>
      </x:c>
      <x:c r="L109" t="str">
        <x:f>IF(K109="","",ROW()-ROW($L$2)-INDEX($H$3:$H$168,K109))</x:f>
      </x:c>
      <x:c r="M109" t="str">
        <x:f>IF(K109="","",IF(L109=1,1,FIND(CHAR(1),SUBSTITUTE(INDEX($B$3:$B$168,K109),CHAR(10),CHAR(1),L109-1))+1))</x:f>
      </x:c>
      <x:c r="N109" t="str">
        <x:f>IF(K109="","",IFERROR(FIND(CHAR(1),SUBSTITUTE(INDEX($B$3:$B$168,K109),CHAR(10),CHAR(1),L109)),LEN(INDEX($B$3:$B$168,K109))+1))</x:f>
      </x:c>
    </x:row>
    <x:row r="110">
      <x:c r="A110" s="71"/>
      <x:c r="B110" s="77"/>
      <x:c r="C110" s="71"/>
      <x:c r="D110" t="str">
        <x:f>IFERROR(IF(108&lt;=$O$1,INDEX($A$3:$A$168,MATCH(108,$I$3:$I$168,0)),IF(108&lt;=$O$1+$O$2,INDEX($F$3:$F$1994,MATCH(108-$O$1,$G$3:$G$1994,0)),"")),"")</x:f>
      </x:c>
      <x:c r="E110" t="str">
        <x:f>IF(K110="","",IF(N110&lt;=M110,"",TRIM(CLEAN(MID(INDEX($B$3:$B$168,K110),M110,N110-M110)))))</x:f>
      </x:c>
      <x:c r="F110" t="str">
        <x:f>IF(E110="","",IF(E110=TRIM(INDEX($A$3:$A$168,K110)),"",IF(RIGHT(TRIM(INDEX($A$3:$A$168,K110)),1)="]",LEFT(TRIM(INDEX($A$3:$A$168,K110)),LEN(TRIM(INDEX($A$3:$A$168,K110)))-1)&amp;", "&amp;SUBSTITUTE(SUBSTITUTE(SUBSTITUTE(E110," [",", "),"[",", "),"]","")&amp;"]",TRIM(INDEX($A$3:$A$168,K110))&amp;" ["&amp;SUBSTITUTE(SUBSTITUTE(SUBSTITUTE(E110," [",", "),"[",", "),"]","")&amp;"]")))</x:f>
      </x:c>
      <x:c r="G110" t="str">
        <x:f>IF(F110&lt;&gt;"",ROWS($F$3:F110)-COUNTBLANK($F$3:F110),"")</x:f>
      </x:c>
      <x:c r="H110" t="n">
        <x:f>SUM($J$3:J110)-J110</x:f>
        <x:v>0</x:v>
      </x:c>
      <x:c r="I110" t="str">
        <x:f>IF(A110&lt;&gt;"",COUNTIF($A$3:A110,"&lt;&gt;"),"")</x:f>
      </x:c>
      <x:c r="J110" t="n">
        <x:f>IF(AND(A110&lt;&gt;"",TRIM(B110)&lt;&gt;""),LEN(B110)-LEN(SUBSTITUTE(B110,CHAR(10),""))+1,0)</x:f>
        <x:v>0</x:v>
      </x:c>
      <x:c r="K110" t="str">
        <x:f>IF(ROW()-ROW($K$2)&lt;=SUM($J$3:$J$168),COUNTIF($H$3:$H$168,"&lt;"&amp;(ROW()-ROW($K$2))),"")</x:f>
      </x:c>
      <x:c r="L110" t="str">
        <x:f>IF(K110="","",ROW()-ROW($L$2)-INDEX($H$3:$H$168,K110))</x:f>
      </x:c>
      <x:c r="M110" t="str">
        <x:f>IF(K110="","",IF(L110=1,1,FIND(CHAR(1),SUBSTITUTE(INDEX($B$3:$B$168,K110),CHAR(10),CHAR(1),L110-1))+1))</x:f>
      </x:c>
      <x:c r="N110" t="str">
        <x:f>IF(K110="","",IFERROR(FIND(CHAR(1),SUBSTITUTE(INDEX($B$3:$B$168,K110),CHAR(10),CHAR(1),L110)),LEN(INDEX($B$3:$B$168,K110))+1))</x:f>
      </x:c>
    </x:row>
    <x:row r="111">
      <x:c r="A111" s="71"/>
      <x:c r="B111" s="77"/>
      <x:c r="C111" s="71"/>
      <x:c r="D111" t="str">
        <x:f>IFERROR(IF(109&lt;=$O$1,INDEX($A$3:$A$168,MATCH(109,$I$3:$I$168,0)),IF(109&lt;=$O$1+$O$2,INDEX($F$3:$F$1994,MATCH(109-$O$1,$G$3:$G$1994,0)),"")),"")</x:f>
      </x:c>
      <x:c r="E111" t="str">
        <x:f>IF(K111="","",IF(N111&lt;=M111,"",TRIM(CLEAN(MID(INDEX($B$3:$B$168,K111),M111,N111-M111)))))</x:f>
      </x:c>
      <x:c r="F111" t="str">
        <x:f>IF(E111="","",IF(E111=TRIM(INDEX($A$3:$A$168,K111)),"",IF(RIGHT(TRIM(INDEX($A$3:$A$168,K111)),1)="]",LEFT(TRIM(INDEX($A$3:$A$168,K111)),LEN(TRIM(INDEX($A$3:$A$168,K111)))-1)&amp;", "&amp;SUBSTITUTE(SUBSTITUTE(SUBSTITUTE(E111," [",", "),"[",", "),"]","")&amp;"]",TRIM(INDEX($A$3:$A$168,K111))&amp;" ["&amp;SUBSTITUTE(SUBSTITUTE(SUBSTITUTE(E111," [",", "),"[",", "),"]","")&amp;"]")))</x:f>
      </x:c>
      <x:c r="G111" t="str">
        <x:f>IF(F111&lt;&gt;"",ROWS($F$3:F111)-COUNTBLANK($F$3:F111),"")</x:f>
      </x:c>
      <x:c r="H111" t="n">
        <x:f>SUM($J$3:J111)-J111</x:f>
        <x:v>0</x:v>
      </x:c>
      <x:c r="I111" t="str">
        <x:f>IF(A111&lt;&gt;"",COUNTIF($A$3:A111,"&lt;&gt;"),"")</x:f>
      </x:c>
      <x:c r="J111" t="n">
        <x:f>IF(AND(A111&lt;&gt;"",TRIM(B111)&lt;&gt;""),LEN(B111)-LEN(SUBSTITUTE(B111,CHAR(10),""))+1,0)</x:f>
        <x:v>0</x:v>
      </x:c>
      <x:c r="K111" t="str">
        <x:f>IF(ROW()-ROW($K$2)&lt;=SUM($J$3:$J$168),COUNTIF($H$3:$H$168,"&lt;"&amp;(ROW()-ROW($K$2))),"")</x:f>
      </x:c>
      <x:c r="L111" t="str">
        <x:f>IF(K111="","",ROW()-ROW($L$2)-INDEX($H$3:$H$168,K111))</x:f>
      </x:c>
      <x:c r="M111" t="str">
        <x:f>IF(K111="","",IF(L111=1,1,FIND(CHAR(1),SUBSTITUTE(INDEX($B$3:$B$168,K111),CHAR(10),CHAR(1),L111-1))+1))</x:f>
      </x:c>
      <x:c r="N111" t="str">
        <x:f>IF(K111="","",IFERROR(FIND(CHAR(1),SUBSTITUTE(INDEX($B$3:$B$168,K111),CHAR(10),CHAR(1),L111)),LEN(INDEX($B$3:$B$168,K111))+1))</x:f>
      </x:c>
    </x:row>
    <x:row r="112">
      <x:c r="A112" s="71"/>
      <x:c r="B112" s="77"/>
      <x:c r="C112" s="71"/>
      <x:c r="D112" t="str">
        <x:f>IFERROR(IF(110&lt;=$O$1,INDEX($A$3:$A$168,MATCH(110,$I$3:$I$168,0)),IF(110&lt;=$O$1+$O$2,INDEX($F$3:$F$1994,MATCH(110-$O$1,$G$3:$G$1994,0)),"")),"")</x:f>
      </x:c>
      <x:c r="E112" t="str">
        <x:f>IF(K112="","",IF(N112&lt;=M112,"",TRIM(CLEAN(MID(INDEX($B$3:$B$168,K112),M112,N112-M112)))))</x:f>
      </x:c>
      <x:c r="F112" t="str">
        <x:f>IF(E112="","",IF(E112=TRIM(INDEX($A$3:$A$168,K112)),"",IF(RIGHT(TRIM(INDEX($A$3:$A$168,K112)),1)="]",LEFT(TRIM(INDEX($A$3:$A$168,K112)),LEN(TRIM(INDEX($A$3:$A$168,K112)))-1)&amp;", "&amp;SUBSTITUTE(SUBSTITUTE(SUBSTITUTE(E112," [",", "),"[",", "),"]","")&amp;"]",TRIM(INDEX($A$3:$A$168,K112))&amp;" ["&amp;SUBSTITUTE(SUBSTITUTE(SUBSTITUTE(E112," [",", "),"[",", "),"]","")&amp;"]")))</x:f>
      </x:c>
      <x:c r="G112" t="str">
        <x:f>IF(F112&lt;&gt;"",ROWS($F$3:F112)-COUNTBLANK($F$3:F112),"")</x:f>
      </x:c>
      <x:c r="H112" t="n">
        <x:f>SUM($J$3:J112)-J112</x:f>
        <x:v>0</x:v>
      </x:c>
      <x:c r="I112" t="str">
        <x:f>IF(A112&lt;&gt;"",COUNTIF($A$3:A112,"&lt;&gt;"),"")</x:f>
      </x:c>
      <x:c r="J112" t="n">
        <x:f>IF(AND(A112&lt;&gt;"",TRIM(B112)&lt;&gt;""),LEN(B112)-LEN(SUBSTITUTE(B112,CHAR(10),""))+1,0)</x:f>
        <x:v>0</x:v>
      </x:c>
      <x:c r="K112" t="str">
        <x:f>IF(ROW()-ROW($K$2)&lt;=SUM($J$3:$J$168),COUNTIF($H$3:$H$168,"&lt;"&amp;(ROW()-ROW($K$2))),"")</x:f>
      </x:c>
      <x:c r="L112" t="str">
        <x:f>IF(K112="","",ROW()-ROW($L$2)-INDEX($H$3:$H$168,K112))</x:f>
      </x:c>
      <x:c r="M112" t="str">
        <x:f>IF(K112="","",IF(L112=1,1,FIND(CHAR(1),SUBSTITUTE(INDEX($B$3:$B$168,K112),CHAR(10),CHAR(1),L112-1))+1))</x:f>
      </x:c>
      <x:c r="N112" t="str">
        <x:f>IF(K112="","",IFERROR(FIND(CHAR(1),SUBSTITUTE(INDEX($B$3:$B$168,K112),CHAR(10),CHAR(1),L112)),LEN(INDEX($B$3:$B$168,K112))+1))</x:f>
      </x:c>
    </x:row>
    <x:row r="113">
      <x:c r="A113" s="71"/>
      <x:c r="B113" s="77"/>
      <x:c r="C113" s="71"/>
      <x:c r="D113" t="str">
        <x:f>IFERROR(IF(111&lt;=$O$1,INDEX($A$3:$A$168,MATCH(111,$I$3:$I$168,0)),IF(111&lt;=$O$1+$O$2,INDEX($F$3:$F$1994,MATCH(111-$O$1,$G$3:$G$1994,0)),"")),"")</x:f>
      </x:c>
      <x:c r="E113" t="str">
        <x:f>IF(K113="","",IF(N113&lt;=M113,"",TRIM(CLEAN(MID(INDEX($B$3:$B$168,K113),M113,N113-M113)))))</x:f>
      </x:c>
      <x:c r="F113" t="str">
        <x:f>IF(E113="","",IF(E113=TRIM(INDEX($A$3:$A$168,K113)),"",IF(RIGHT(TRIM(INDEX($A$3:$A$168,K113)),1)="]",LEFT(TRIM(INDEX($A$3:$A$168,K113)),LEN(TRIM(INDEX($A$3:$A$168,K113)))-1)&amp;", "&amp;SUBSTITUTE(SUBSTITUTE(SUBSTITUTE(E113," [",", "),"[",", "),"]","")&amp;"]",TRIM(INDEX($A$3:$A$168,K113))&amp;" ["&amp;SUBSTITUTE(SUBSTITUTE(SUBSTITUTE(E113," [",", "),"[",", "),"]","")&amp;"]")))</x:f>
      </x:c>
      <x:c r="G113" t="str">
        <x:f>IF(F113&lt;&gt;"",ROWS($F$3:F113)-COUNTBLANK($F$3:F113),"")</x:f>
      </x:c>
      <x:c r="H113" t="n">
        <x:f>SUM($J$3:J113)-J113</x:f>
        <x:v>0</x:v>
      </x:c>
      <x:c r="I113" t="str">
        <x:f>IF(A113&lt;&gt;"",COUNTIF($A$3:A113,"&lt;&gt;"),"")</x:f>
      </x:c>
      <x:c r="J113" t="n">
        <x:f>IF(AND(A113&lt;&gt;"",TRIM(B113)&lt;&gt;""),LEN(B113)-LEN(SUBSTITUTE(B113,CHAR(10),""))+1,0)</x:f>
        <x:v>0</x:v>
      </x:c>
      <x:c r="K113" t="str">
        <x:f>IF(ROW()-ROW($K$2)&lt;=SUM($J$3:$J$168),COUNTIF($H$3:$H$168,"&lt;"&amp;(ROW()-ROW($K$2))),"")</x:f>
      </x:c>
      <x:c r="L113" t="str">
        <x:f>IF(K113="","",ROW()-ROW($L$2)-INDEX($H$3:$H$168,K113))</x:f>
      </x:c>
      <x:c r="M113" t="str">
        <x:f>IF(K113="","",IF(L113=1,1,FIND(CHAR(1),SUBSTITUTE(INDEX($B$3:$B$168,K113),CHAR(10),CHAR(1),L113-1))+1))</x:f>
      </x:c>
      <x:c r="N113" t="str">
        <x:f>IF(K113="","",IFERROR(FIND(CHAR(1),SUBSTITUTE(INDEX($B$3:$B$168,K113),CHAR(10),CHAR(1),L113)),LEN(INDEX($B$3:$B$168,K113))+1))</x:f>
      </x:c>
    </x:row>
    <x:row r="114">
      <x:c r="A114" s="71"/>
      <x:c r="B114" s="77"/>
      <x:c r="C114" s="71"/>
      <x:c r="D114" t="str">
        <x:f>IFERROR(IF(112&lt;=$O$1,INDEX($A$3:$A$168,MATCH(112,$I$3:$I$168,0)),IF(112&lt;=$O$1+$O$2,INDEX($F$3:$F$1994,MATCH(112-$O$1,$G$3:$G$1994,0)),"")),"")</x:f>
      </x:c>
      <x:c r="E114" t="str">
        <x:f>IF(K114="","",IF(N114&lt;=M114,"",TRIM(CLEAN(MID(INDEX($B$3:$B$168,K114),M114,N114-M114)))))</x:f>
      </x:c>
      <x:c r="F114" t="str">
        <x:f>IF(E114="","",IF(E114=TRIM(INDEX($A$3:$A$168,K114)),"",IF(RIGHT(TRIM(INDEX($A$3:$A$168,K114)),1)="]",LEFT(TRIM(INDEX($A$3:$A$168,K114)),LEN(TRIM(INDEX($A$3:$A$168,K114)))-1)&amp;", "&amp;SUBSTITUTE(SUBSTITUTE(SUBSTITUTE(E114," [",", "),"[",", "),"]","")&amp;"]",TRIM(INDEX($A$3:$A$168,K114))&amp;" ["&amp;SUBSTITUTE(SUBSTITUTE(SUBSTITUTE(E114," [",", "),"[",", "),"]","")&amp;"]")))</x:f>
      </x:c>
      <x:c r="G114" t="str">
        <x:f>IF(F114&lt;&gt;"",ROWS($F$3:F114)-COUNTBLANK($F$3:F114),"")</x:f>
      </x:c>
      <x:c r="H114" t="n">
        <x:f>SUM($J$3:J114)-J114</x:f>
        <x:v>0</x:v>
      </x:c>
      <x:c r="I114" t="str">
        <x:f>IF(A114&lt;&gt;"",COUNTIF($A$3:A114,"&lt;&gt;"),"")</x:f>
      </x:c>
      <x:c r="J114" t="n">
        <x:f>IF(AND(A114&lt;&gt;"",TRIM(B114)&lt;&gt;""),LEN(B114)-LEN(SUBSTITUTE(B114,CHAR(10),""))+1,0)</x:f>
        <x:v>0</x:v>
      </x:c>
      <x:c r="K114" t="str">
        <x:f>IF(ROW()-ROW($K$2)&lt;=SUM($J$3:$J$168),COUNTIF($H$3:$H$168,"&lt;"&amp;(ROW()-ROW($K$2))),"")</x:f>
      </x:c>
      <x:c r="L114" t="str">
        <x:f>IF(K114="","",ROW()-ROW($L$2)-INDEX($H$3:$H$168,K114))</x:f>
      </x:c>
      <x:c r="M114" t="str">
        <x:f>IF(K114="","",IF(L114=1,1,FIND(CHAR(1),SUBSTITUTE(INDEX($B$3:$B$168,K114),CHAR(10),CHAR(1),L114-1))+1))</x:f>
      </x:c>
      <x:c r="N114" t="str">
        <x:f>IF(K114="","",IFERROR(FIND(CHAR(1),SUBSTITUTE(INDEX($B$3:$B$168,K114),CHAR(10),CHAR(1),L114)),LEN(INDEX($B$3:$B$168,K114))+1))</x:f>
      </x:c>
    </x:row>
    <x:row r="115">
      <x:c r="A115" s="71"/>
      <x:c r="B115" s="77"/>
      <x:c r="C115" s="71"/>
      <x:c r="D115" t="str">
        <x:f>IFERROR(IF(113&lt;=$O$1,INDEX($A$3:$A$168,MATCH(113,$I$3:$I$168,0)),IF(113&lt;=$O$1+$O$2,INDEX($F$3:$F$1994,MATCH(113-$O$1,$G$3:$G$1994,0)),"")),"")</x:f>
      </x:c>
      <x:c r="E115" t="str">
        <x:f>IF(K115="","",IF(N115&lt;=M115,"",TRIM(CLEAN(MID(INDEX($B$3:$B$168,K115),M115,N115-M115)))))</x:f>
      </x:c>
      <x:c r="F115" t="str">
        <x:f>IF(E115="","",IF(E115=TRIM(INDEX($A$3:$A$168,K115)),"",IF(RIGHT(TRIM(INDEX($A$3:$A$168,K115)),1)="]",LEFT(TRIM(INDEX($A$3:$A$168,K115)),LEN(TRIM(INDEX($A$3:$A$168,K115)))-1)&amp;", "&amp;SUBSTITUTE(SUBSTITUTE(SUBSTITUTE(E115," [",", "),"[",", "),"]","")&amp;"]",TRIM(INDEX($A$3:$A$168,K115))&amp;" ["&amp;SUBSTITUTE(SUBSTITUTE(SUBSTITUTE(E115," [",", "),"[",", "),"]","")&amp;"]")))</x:f>
      </x:c>
      <x:c r="G115" t="str">
        <x:f>IF(F115&lt;&gt;"",ROWS($F$3:F115)-COUNTBLANK($F$3:F115),"")</x:f>
      </x:c>
      <x:c r="H115" t="n">
        <x:f>SUM($J$3:J115)-J115</x:f>
        <x:v>0</x:v>
      </x:c>
      <x:c r="I115" t="str">
        <x:f>IF(A115&lt;&gt;"",COUNTIF($A$3:A115,"&lt;&gt;"),"")</x:f>
      </x:c>
      <x:c r="J115" t="n">
        <x:f>IF(AND(A115&lt;&gt;"",TRIM(B115)&lt;&gt;""),LEN(B115)-LEN(SUBSTITUTE(B115,CHAR(10),""))+1,0)</x:f>
        <x:v>0</x:v>
      </x:c>
      <x:c r="K115" t="str">
        <x:f>IF(ROW()-ROW($K$2)&lt;=SUM($J$3:$J$168),COUNTIF($H$3:$H$168,"&lt;"&amp;(ROW()-ROW($K$2))),"")</x:f>
      </x:c>
      <x:c r="L115" t="str">
        <x:f>IF(K115="","",ROW()-ROW($L$2)-INDEX($H$3:$H$168,K115))</x:f>
      </x:c>
      <x:c r="M115" t="str">
        <x:f>IF(K115="","",IF(L115=1,1,FIND(CHAR(1),SUBSTITUTE(INDEX($B$3:$B$168,K115),CHAR(10),CHAR(1),L115-1))+1))</x:f>
      </x:c>
      <x:c r="N115" t="str">
        <x:f>IF(K115="","",IFERROR(FIND(CHAR(1),SUBSTITUTE(INDEX($B$3:$B$168,K115),CHAR(10),CHAR(1),L115)),LEN(INDEX($B$3:$B$168,K115))+1))</x:f>
      </x:c>
    </x:row>
    <x:row r="116">
      <x:c r="A116" s="71"/>
      <x:c r="B116" s="77"/>
      <x:c r="C116" s="71"/>
      <x:c r="D116" t="str">
        <x:f>IFERROR(IF(114&lt;=$O$1,INDEX($A$3:$A$168,MATCH(114,$I$3:$I$168,0)),IF(114&lt;=$O$1+$O$2,INDEX($F$3:$F$1994,MATCH(114-$O$1,$G$3:$G$1994,0)),"")),"")</x:f>
      </x:c>
      <x:c r="E116" t="str">
        <x:f>IF(K116="","",IF(N116&lt;=M116,"",TRIM(CLEAN(MID(INDEX($B$3:$B$168,K116),M116,N116-M116)))))</x:f>
      </x:c>
      <x:c r="F116" t="str">
        <x:f>IF(E116="","",IF(E116=TRIM(INDEX($A$3:$A$168,K116)),"",IF(RIGHT(TRIM(INDEX($A$3:$A$168,K116)),1)="]",LEFT(TRIM(INDEX($A$3:$A$168,K116)),LEN(TRIM(INDEX($A$3:$A$168,K116)))-1)&amp;", "&amp;SUBSTITUTE(SUBSTITUTE(SUBSTITUTE(E116," [",", "),"[",", "),"]","")&amp;"]",TRIM(INDEX($A$3:$A$168,K116))&amp;" ["&amp;SUBSTITUTE(SUBSTITUTE(SUBSTITUTE(E116," [",", "),"[",", "),"]","")&amp;"]")))</x:f>
      </x:c>
      <x:c r="G116" t="str">
        <x:f>IF(F116&lt;&gt;"",ROWS($F$3:F116)-COUNTBLANK($F$3:F116),"")</x:f>
      </x:c>
      <x:c r="H116" t="n">
        <x:f>SUM($J$3:J116)-J116</x:f>
        <x:v>0</x:v>
      </x:c>
      <x:c r="I116" t="str">
        <x:f>IF(A116&lt;&gt;"",COUNTIF($A$3:A116,"&lt;&gt;"),"")</x:f>
      </x:c>
      <x:c r="J116" t="n">
        <x:f>IF(AND(A116&lt;&gt;"",TRIM(B116)&lt;&gt;""),LEN(B116)-LEN(SUBSTITUTE(B116,CHAR(10),""))+1,0)</x:f>
        <x:v>0</x:v>
      </x:c>
      <x:c r="K116" t="str">
        <x:f>IF(ROW()-ROW($K$2)&lt;=SUM($J$3:$J$168),COUNTIF($H$3:$H$168,"&lt;"&amp;(ROW()-ROW($K$2))),"")</x:f>
      </x:c>
      <x:c r="L116" t="str">
        <x:f>IF(K116="","",ROW()-ROW($L$2)-INDEX($H$3:$H$168,K116))</x:f>
      </x:c>
      <x:c r="M116" t="str">
        <x:f>IF(K116="","",IF(L116=1,1,FIND(CHAR(1),SUBSTITUTE(INDEX($B$3:$B$168,K116),CHAR(10),CHAR(1),L116-1))+1))</x:f>
      </x:c>
      <x:c r="N116" t="str">
        <x:f>IF(K116="","",IFERROR(FIND(CHAR(1),SUBSTITUTE(INDEX($B$3:$B$168,K116),CHAR(10),CHAR(1),L116)),LEN(INDEX($B$3:$B$168,K116))+1))</x:f>
      </x:c>
    </x:row>
    <x:row r="117">
      <x:c r="A117" s="71"/>
      <x:c r="B117" s="77"/>
      <x:c r="C117" s="71"/>
      <x:c r="D117" t="str">
        <x:f>IFERROR(IF(115&lt;=$O$1,INDEX($A$3:$A$168,MATCH(115,$I$3:$I$168,0)),IF(115&lt;=$O$1+$O$2,INDEX($F$3:$F$1994,MATCH(115-$O$1,$G$3:$G$1994,0)),"")),"")</x:f>
      </x:c>
      <x:c r="E117" t="str">
        <x:f>IF(K117="","",IF(N117&lt;=M117,"",TRIM(CLEAN(MID(INDEX($B$3:$B$168,K117),M117,N117-M117)))))</x:f>
      </x:c>
      <x:c r="F117" t="str">
        <x:f>IF(E117="","",IF(E117=TRIM(INDEX($A$3:$A$168,K117)),"",IF(RIGHT(TRIM(INDEX($A$3:$A$168,K117)),1)="]",LEFT(TRIM(INDEX($A$3:$A$168,K117)),LEN(TRIM(INDEX($A$3:$A$168,K117)))-1)&amp;", "&amp;SUBSTITUTE(SUBSTITUTE(SUBSTITUTE(E117," [",", "),"[",", "),"]","")&amp;"]",TRIM(INDEX($A$3:$A$168,K117))&amp;" ["&amp;SUBSTITUTE(SUBSTITUTE(SUBSTITUTE(E117," [",", "),"[",", "),"]","")&amp;"]")))</x:f>
      </x:c>
      <x:c r="G117" t="str">
        <x:f>IF(F117&lt;&gt;"",ROWS($F$3:F117)-COUNTBLANK($F$3:F117),"")</x:f>
      </x:c>
      <x:c r="H117" t="n">
        <x:f>SUM($J$3:J117)-J117</x:f>
        <x:v>0</x:v>
      </x:c>
      <x:c r="I117" t="str">
        <x:f>IF(A117&lt;&gt;"",COUNTIF($A$3:A117,"&lt;&gt;"),"")</x:f>
      </x:c>
      <x:c r="J117" t="n">
        <x:f>IF(AND(A117&lt;&gt;"",TRIM(B117)&lt;&gt;""),LEN(B117)-LEN(SUBSTITUTE(B117,CHAR(10),""))+1,0)</x:f>
        <x:v>0</x:v>
      </x:c>
      <x:c r="K117" t="str">
        <x:f>IF(ROW()-ROW($K$2)&lt;=SUM($J$3:$J$168),COUNTIF($H$3:$H$168,"&lt;"&amp;(ROW()-ROW($K$2))),"")</x:f>
      </x:c>
      <x:c r="L117" t="str">
        <x:f>IF(K117="","",ROW()-ROW($L$2)-INDEX($H$3:$H$168,K117))</x:f>
      </x:c>
      <x:c r="M117" t="str">
        <x:f>IF(K117="","",IF(L117=1,1,FIND(CHAR(1),SUBSTITUTE(INDEX($B$3:$B$168,K117),CHAR(10),CHAR(1),L117-1))+1))</x:f>
      </x:c>
      <x:c r="N117" t="str">
        <x:f>IF(K117="","",IFERROR(FIND(CHAR(1),SUBSTITUTE(INDEX($B$3:$B$168,K117),CHAR(10),CHAR(1),L117)),LEN(INDEX($B$3:$B$168,K117))+1))</x:f>
      </x:c>
    </x:row>
    <x:row r="118">
      <x:c r="A118" s="71"/>
      <x:c r="B118" s="77"/>
      <x:c r="C118" s="71"/>
      <x:c r="D118" t="str">
        <x:f>IFERROR(IF(116&lt;=$O$1,INDEX($A$3:$A$168,MATCH(116,$I$3:$I$168,0)),IF(116&lt;=$O$1+$O$2,INDEX($F$3:$F$1994,MATCH(116-$O$1,$G$3:$G$1994,0)),"")),"")</x:f>
      </x:c>
      <x:c r="E118" t="str">
        <x:f>IF(K118="","",IF(N118&lt;=M118,"",TRIM(CLEAN(MID(INDEX($B$3:$B$168,K118),M118,N118-M118)))))</x:f>
      </x:c>
      <x:c r="F118" t="str">
        <x:f>IF(E118="","",IF(E118=TRIM(INDEX($A$3:$A$168,K118)),"",IF(RIGHT(TRIM(INDEX($A$3:$A$168,K118)),1)="]",LEFT(TRIM(INDEX($A$3:$A$168,K118)),LEN(TRIM(INDEX($A$3:$A$168,K118)))-1)&amp;", "&amp;SUBSTITUTE(SUBSTITUTE(SUBSTITUTE(E118," [",", "),"[",", "),"]","")&amp;"]",TRIM(INDEX($A$3:$A$168,K118))&amp;" ["&amp;SUBSTITUTE(SUBSTITUTE(SUBSTITUTE(E118," [",", "),"[",", "),"]","")&amp;"]")))</x:f>
      </x:c>
      <x:c r="G118" t="str">
        <x:f>IF(F118&lt;&gt;"",ROWS($F$3:F118)-COUNTBLANK($F$3:F118),"")</x:f>
      </x:c>
      <x:c r="H118" t="n">
        <x:f>SUM($J$3:J118)-J118</x:f>
        <x:v>0</x:v>
      </x:c>
      <x:c r="I118" t="str">
        <x:f>IF(A118&lt;&gt;"",COUNTIF($A$3:A118,"&lt;&gt;"),"")</x:f>
      </x:c>
      <x:c r="J118" t="n">
        <x:f>IF(AND(A118&lt;&gt;"",TRIM(B118)&lt;&gt;""),LEN(B118)-LEN(SUBSTITUTE(B118,CHAR(10),""))+1,0)</x:f>
        <x:v>0</x:v>
      </x:c>
      <x:c r="K118" t="str">
        <x:f>IF(ROW()-ROW($K$2)&lt;=SUM($J$3:$J$168),COUNTIF($H$3:$H$168,"&lt;"&amp;(ROW()-ROW($K$2))),"")</x:f>
      </x:c>
      <x:c r="L118" t="str">
        <x:f>IF(K118="","",ROW()-ROW($L$2)-INDEX($H$3:$H$168,K118))</x:f>
      </x:c>
      <x:c r="M118" t="str">
        <x:f>IF(K118="","",IF(L118=1,1,FIND(CHAR(1),SUBSTITUTE(INDEX($B$3:$B$168,K118),CHAR(10),CHAR(1),L118-1))+1))</x:f>
      </x:c>
      <x:c r="N118" t="str">
        <x:f>IF(K118="","",IFERROR(FIND(CHAR(1),SUBSTITUTE(INDEX($B$3:$B$168,K118),CHAR(10),CHAR(1),L118)),LEN(INDEX($B$3:$B$168,K118))+1))</x:f>
      </x:c>
    </x:row>
    <x:row r="119">
      <x:c r="A119" s="71"/>
      <x:c r="B119" s="77"/>
      <x:c r="C119" s="71"/>
      <x:c r="D119" t="str">
        <x:f>IFERROR(IF(117&lt;=$O$1,INDEX($A$3:$A$168,MATCH(117,$I$3:$I$168,0)),IF(117&lt;=$O$1+$O$2,INDEX($F$3:$F$1994,MATCH(117-$O$1,$G$3:$G$1994,0)),"")),"")</x:f>
      </x:c>
      <x:c r="E119" t="str">
        <x:f>IF(K119="","",IF(N119&lt;=M119,"",TRIM(CLEAN(MID(INDEX($B$3:$B$168,K119),M119,N119-M119)))))</x:f>
      </x:c>
      <x:c r="F119" t="str">
        <x:f>IF(E119="","",IF(E119=TRIM(INDEX($A$3:$A$168,K119)),"",IF(RIGHT(TRIM(INDEX($A$3:$A$168,K119)),1)="]",LEFT(TRIM(INDEX($A$3:$A$168,K119)),LEN(TRIM(INDEX($A$3:$A$168,K119)))-1)&amp;", "&amp;SUBSTITUTE(SUBSTITUTE(SUBSTITUTE(E119," [",", "),"[",", "),"]","")&amp;"]",TRIM(INDEX($A$3:$A$168,K119))&amp;" ["&amp;SUBSTITUTE(SUBSTITUTE(SUBSTITUTE(E119," [",", "),"[",", "),"]","")&amp;"]")))</x:f>
      </x:c>
      <x:c r="G119" t="str">
        <x:f>IF(F119&lt;&gt;"",ROWS($F$3:F119)-COUNTBLANK($F$3:F119),"")</x:f>
      </x:c>
      <x:c r="H119" t="n">
        <x:f>SUM($J$3:J119)-J119</x:f>
        <x:v>0</x:v>
      </x:c>
      <x:c r="I119" t="str">
        <x:f>IF(A119&lt;&gt;"",COUNTIF($A$3:A119,"&lt;&gt;"),"")</x:f>
      </x:c>
      <x:c r="J119" t="n">
        <x:f>IF(AND(A119&lt;&gt;"",TRIM(B119)&lt;&gt;""),LEN(B119)-LEN(SUBSTITUTE(B119,CHAR(10),""))+1,0)</x:f>
        <x:v>0</x:v>
      </x:c>
      <x:c r="K119" t="str">
        <x:f>IF(ROW()-ROW($K$2)&lt;=SUM($J$3:$J$168),COUNTIF($H$3:$H$168,"&lt;"&amp;(ROW()-ROW($K$2))),"")</x:f>
      </x:c>
      <x:c r="L119" t="str">
        <x:f>IF(K119="","",ROW()-ROW($L$2)-INDEX($H$3:$H$168,K119))</x:f>
      </x:c>
      <x:c r="M119" t="str">
        <x:f>IF(K119="","",IF(L119=1,1,FIND(CHAR(1),SUBSTITUTE(INDEX($B$3:$B$168,K119),CHAR(10),CHAR(1),L119-1))+1))</x:f>
      </x:c>
      <x:c r="N119" t="str">
        <x:f>IF(K119="","",IFERROR(FIND(CHAR(1),SUBSTITUTE(INDEX($B$3:$B$168,K119),CHAR(10),CHAR(1),L119)),LEN(INDEX($B$3:$B$168,K119))+1))</x:f>
      </x:c>
    </x:row>
    <x:row r="120">
      <x:c r="A120" s="71"/>
      <x:c r="B120" s="77"/>
      <x:c r="C120" s="71"/>
      <x:c r="D120" t="str">
        <x:f>IFERROR(IF(118&lt;=$O$1,INDEX($A$3:$A$168,MATCH(118,$I$3:$I$168,0)),IF(118&lt;=$O$1+$O$2,INDEX($F$3:$F$1994,MATCH(118-$O$1,$G$3:$G$1994,0)),"")),"")</x:f>
      </x:c>
      <x:c r="E120" t="str">
        <x:f>IF(K120="","",IF(N120&lt;=M120,"",TRIM(CLEAN(MID(INDEX($B$3:$B$168,K120),M120,N120-M120)))))</x:f>
      </x:c>
      <x:c r="F120" t="str">
        <x:f>IF(E120="","",IF(E120=TRIM(INDEX($A$3:$A$168,K120)),"",IF(RIGHT(TRIM(INDEX($A$3:$A$168,K120)),1)="]",LEFT(TRIM(INDEX($A$3:$A$168,K120)),LEN(TRIM(INDEX($A$3:$A$168,K120)))-1)&amp;", "&amp;SUBSTITUTE(SUBSTITUTE(SUBSTITUTE(E120," [",", "),"[",", "),"]","")&amp;"]",TRIM(INDEX($A$3:$A$168,K120))&amp;" ["&amp;SUBSTITUTE(SUBSTITUTE(SUBSTITUTE(E120," [",", "),"[",", "),"]","")&amp;"]")))</x:f>
      </x:c>
      <x:c r="G120" t="str">
        <x:f>IF(F120&lt;&gt;"",ROWS($F$3:F120)-COUNTBLANK($F$3:F120),"")</x:f>
      </x:c>
      <x:c r="H120" t="n">
        <x:f>SUM($J$3:J120)-J120</x:f>
        <x:v>0</x:v>
      </x:c>
      <x:c r="I120" t="str">
        <x:f>IF(A120&lt;&gt;"",COUNTIF($A$3:A120,"&lt;&gt;"),"")</x:f>
      </x:c>
      <x:c r="J120" t="n">
        <x:f>IF(AND(A120&lt;&gt;"",TRIM(B120)&lt;&gt;""),LEN(B120)-LEN(SUBSTITUTE(B120,CHAR(10),""))+1,0)</x:f>
        <x:v>0</x:v>
      </x:c>
      <x:c r="K120" t="str">
        <x:f>IF(ROW()-ROW($K$2)&lt;=SUM($J$3:$J$168),COUNTIF($H$3:$H$168,"&lt;"&amp;(ROW()-ROW($K$2))),"")</x:f>
      </x:c>
      <x:c r="L120" t="str">
        <x:f>IF(K120="","",ROW()-ROW($L$2)-INDEX($H$3:$H$168,K120))</x:f>
      </x:c>
      <x:c r="M120" t="str">
        <x:f>IF(K120="","",IF(L120=1,1,FIND(CHAR(1),SUBSTITUTE(INDEX($B$3:$B$168,K120),CHAR(10),CHAR(1),L120-1))+1))</x:f>
      </x:c>
      <x:c r="N120" t="str">
        <x:f>IF(K120="","",IFERROR(FIND(CHAR(1),SUBSTITUTE(INDEX($B$3:$B$168,K120),CHAR(10),CHAR(1),L120)),LEN(INDEX($B$3:$B$168,K120))+1))</x:f>
      </x:c>
    </x:row>
    <x:row r="121">
      <x:c r="A121" s="71"/>
      <x:c r="B121" s="77"/>
      <x:c r="C121" s="71"/>
      <x:c r="D121" t="str">
        <x:f>IFERROR(IF(119&lt;=$O$1,INDEX($A$3:$A$168,MATCH(119,$I$3:$I$168,0)),IF(119&lt;=$O$1+$O$2,INDEX($F$3:$F$1994,MATCH(119-$O$1,$G$3:$G$1994,0)),"")),"")</x:f>
      </x:c>
      <x:c r="E121" t="str">
        <x:f>IF(K121="","",IF(N121&lt;=M121,"",TRIM(CLEAN(MID(INDEX($B$3:$B$168,K121),M121,N121-M121)))))</x:f>
      </x:c>
      <x:c r="F121" t="str">
        <x:f>IF(E121="","",IF(E121=TRIM(INDEX($A$3:$A$168,K121)),"",IF(RIGHT(TRIM(INDEX($A$3:$A$168,K121)),1)="]",LEFT(TRIM(INDEX($A$3:$A$168,K121)),LEN(TRIM(INDEX($A$3:$A$168,K121)))-1)&amp;", "&amp;SUBSTITUTE(SUBSTITUTE(SUBSTITUTE(E121," [",", "),"[",", "),"]","")&amp;"]",TRIM(INDEX($A$3:$A$168,K121))&amp;" ["&amp;SUBSTITUTE(SUBSTITUTE(SUBSTITUTE(E121," [",", "),"[",", "),"]","")&amp;"]")))</x:f>
      </x:c>
      <x:c r="G121" t="str">
        <x:f>IF(F121&lt;&gt;"",ROWS($F$3:F121)-COUNTBLANK($F$3:F121),"")</x:f>
      </x:c>
      <x:c r="H121" t="n">
        <x:f>SUM($J$3:J121)-J121</x:f>
        <x:v>0</x:v>
      </x:c>
      <x:c r="I121" t="str">
        <x:f>IF(A121&lt;&gt;"",COUNTIF($A$3:A121,"&lt;&gt;"),"")</x:f>
      </x:c>
      <x:c r="J121" t="n">
        <x:f>IF(AND(A121&lt;&gt;"",TRIM(B121)&lt;&gt;""),LEN(B121)-LEN(SUBSTITUTE(B121,CHAR(10),""))+1,0)</x:f>
        <x:v>0</x:v>
      </x:c>
      <x:c r="K121" t="str">
        <x:f>IF(ROW()-ROW($K$2)&lt;=SUM($J$3:$J$168),COUNTIF($H$3:$H$168,"&lt;"&amp;(ROW()-ROW($K$2))),"")</x:f>
      </x:c>
      <x:c r="L121" t="str">
        <x:f>IF(K121="","",ROW()-ROW($L$2)-INDEX($H$3:$H$168,K121))</x:f>
      </x:c>
      <x:c r="M121" t="str">
        <x:f>IF(K121="","",IF(L121=1,1,FIND(CHAR(1),SUBSTITUTE(INDEX($B$3:$B$168,K121),CHAR(10),CHAR(1),L121-1))+1))</x:f>
      </x:c>
      <x:c r="N121" t="str">
        <x:f>IF(K121="","",IFERROR(FIND(CHAR(1),SUBSTITUTE(INDEX($B$3:$B$168,K121),CHAR(10),CHAR(1),L121)),LEN(INDEX($B$3:$B$168,K121))+1))</x:f>
      </x:c>
    </x:row>
    <x:row r="122">
      <x:c r="A122" s="71"/>
      <x:c r="B122" s="77"/>
      <x:c r="C122" s="71"/>
      <x:c r="D122" t="str">
        <x:f>IFERROR(IF(120&lt;=$O$1,INDEX($A$3:$A$168,MATCH(120,$I$3:$I$168,0)),IF(120&lt;=$O$1+$O$2,INDEX($F$3:$F$1994,MATCH(120-$O$1,$G$3:$G$1994,0)),"")),"")</x:f>
      </x:c>
      <x:c r="E122" t="str">
        <x:f>IF(K122="","",IF(N122&lt;=M122,"",TRIM(CLEAN(MID(INDEX($B$3:$B$168,K122),M122,N122-M122)))))</x:f>
      </x:c>
      <x:c r="F122" t="str">
        <x:f>IF(E122="","",IF(E122=TRIM(INDEX($A$3:$A$168,K122)),"",IF(RIGHT(TRIM(INDEX($A$3:$A$168,K122)),1)="]",LEFT(TRIM(INDEX($A$3:$A$168,K122)),LEN(TRIM(INDEX($A$3:$A$168,K122)))-1)&amp;", "&amp;SUBSTITUTE(SUBSTITUTE(SUBSTITUTE(E122," [",", "),"[",", "),"]","")&amp;"]",TRIM(INDEX($A$3:$A$168,K122))&amp;" ["&amp;SUBSTITUTE(SUBSTITUTE(SUBSTITUTE(E122," [",", "),"[",", "),"]","")&amp;"]")))</x:f>
      </x:c>
      <x:c r="G122" t="str">
        <x:f>IF(F122&lt;&gt;"",ROWS($F$3:F122)-COUNTBLANK($F$3:F122),"")</x:f>
      </x:c>
      <x:c r="H122" t="n">
        <x:f>SUM($J$3:J122)-J122</x:f>
        <x:v>0</x:v>
      </x:c>
      <x:c r="I122" t="str">
        <x:f>IF(A122&lt;&gt;"",COUNTIF($A$3:A122,"&lt;&gt;"),"")</x:f>
      </x:c>
      <x:c r="J122" t="n">
        <x:f>IF(AND(A122&lt;&gt;"",TRIM(B122)&lt;&gt;""),LEN(B122)-LEN(SUBSTITUTE(B122,CHAR(10),""))+1,0)</x:f>
        <x:v>0</x:v>
      </x:c>
      <x:c r="K122" t="str">
        <x:f>IF(ROW()-ROW($K$2)&lt;=SUM($J$3:$J$168),COUNTIF($H$3:$H$168,"&lt;"&amp;(ROW()-ROW($K$2))),"")</x:f>
      </x:c>
      <x:c r="L122" t="str">
        <x:f>IF(K122="","",ROW()-ROW($L$2)-INDEX($H$3:$H$168,K122))</x:f>
      </x:c>
      <x:c r="M122" t="str">
        <x:f>IF(K122="","",IF(L122=1,1,FIND(CHAR(1),SUBSTITUTE(INDEX($B$3:$B$168,K122),CHAR(10),CHAR(1),L122-1))+1))</x:f>
      </x:c>
      <x:c r="N122" t="str">
        <x:f>IF(K122="","",IFERROR(FIND(CHAR(1),SUBSTITUTE(INDEX($B$3:$B$168,K122),CHAR(10),CHAR(1),L122)),LEN(INDEX($B$3:$B$168,K122))+1))</x:f>
      </x:c>
    </x:row>
    <x:row r="123">
      <x:c r="A123" s="71"/>
      <x:c r="B123" s="77"/>
      <x:c r="C123" s="71"/>
      <x:c r="D123" t="str">
        <x:f>IFERROR(IF(121&lt;=$O$1,INDEX($A$3:$A$168,MATCH(121,$I$3:$I$168,0)),IF(121&lt;=$O$1+$O$2,INDEX($F$3:$F$1994,MATCH(121-$O$1,$G$3:$G$1994,0)),"")),"")</x:f>
      </x:c>
      <x:c r="E123" t="str">
        <x:f>IF(K123="","",IF(N123&lt;=M123,"",TRIM(CLEAN(MID(INDEX($B$3:$B$168,K123),M123,N123-M123)))))</x:f>
      </x:c>
      <x:c r="F123" t="str">
        <x:f>IF(E123="","",IF(E123=TRIM(INDEX($A$3:$A$168,K123)),"",IF(RIGHT(TRIM(INDEX($A$3:$A$168,K123)),1)="]",LEFT(TRIM(INDEX($A$3:$A$168,K123)),LEN(TRIM(INDEX($A$3:$A$168,K123)))-1)&amp;", "&amp;SUBSTITUTE(SUBSTITUTE(SUBSTITUTE(E123," [",", "),"[",", "),"]","")&amp;"]",TRIM(INDEX($A$3:$A$168,K123))&amp;" ["&amp;SUBSTITUTE(SUBSTITUTE(SUBSTITUTE(E123," [",", "),"[",", "),"]","")&amp;"]")))</x:f>
      </x:c>
      <x:c r="G123" t="str">
        <x:f>IF(F123&lt;&gt;"",ROWS($F$3:F123)-COUNTBLANK($F$3:F123),"")</x:f>
      </x:c>
      <x:c r="H123" t="n">
        <x:f>SUM($J$3:J123)-J123</x:f>
        <x:v>0</x:v>
      </x:c>
      <x:c r="I123" t="str">
        <x:f>IF(A123&lt;&gt;"",COUNTIF($A$3:A123,"&lt;&gt;"),"")</x:f>
      </x:c>
      <x:c r="J123" t="n">
        <x:f>IF(AND(A123&lt;&gt;"",TRIM(B123)&lt;&gt;""),LEN(B123)-LEN(SUBSTITUTE(B123,CHAR(10),""))+1,0)</x:f>
        <x:v>0</x:v>
      </x:c>
      <x:c r="K123" t="str">
        <x:f>IF(ROW()-ROW($K$2)&lt;=SUM($J$3:$J$168),COUNTIF($H$3:$H$168,"&lt;"&amp;(ROW()-ROW($K$2))),"")</x:f>
      </x:c>
      <x:c r="L123" t="str">
        <x:f>IF(K123="","",ROW()-ROW($L$2)-INDEX($H$3:$H$168,K123))</x:f>
      </x:c>
      <x:c r="M123" t="str">
        <x:f>IF(K123="","",IF(L123=1,1,FIND(CHAR(1),SUBSTITUTE(INDEX($B$3:$B$168,K123),CHAR(10),CHAR(1),L123-1))+1))</x:f>
      </x:c>
      <x:c r="N123" t="str">
        <x:f>IF(K123="","",IFERROR(FIND(CHAR(1),SUBSTITUTE(INDEX($B$3:$B$168,K123),CHAR(10),CHAR(1),L123)),LEN(INDEX($B$3:$B$168,K123))+1))</x:f>
      </x:c>
    </x:row>
    <x:row r="124">
      <x:c r="A124" s="71"/>
      <x:c r="B124" s="77"/>
      <x:c r="C124" s="71"/>
      <x:c r="D124" t="str">
        <x:f>IFERROR(IF(122&lt;=$O$1,INDEX($A$3:$A$168,MATCH(122,$I$3:$I$168,0)),IF(122&lt;=$O$1+$O$2,INDEX($F$3:$F$1994,MATCH(122-$O$1,$G$3:$G$1994,0)),"")),"")</x:f>
      </x:c>
      <x:c r="E124" t="str">
        <x:f>IF(K124="","",IF(N124&lt;=M124,"",TRIM(CLEAN(MID(INDEX($B$3:$B$168,K124),M124,N124-M124)))))</x:f>
      </x:c>
      <x:c r="F124" t="str">
        <x:f>IF(E124="","",IF(E124=TRIM(INDEX($A$3:$A$168,K124)),"",IF(RIGHT(TRIM(INDEX($A$3:$A$168,K124)),1)="]",LEFT(TRIM(INDEX($A$3:$A$168,K124)),LEN(TRIM(INDEX($A$3:$A$168,K124)))-1)&amp;", "&amp;SUBSTITUTE(SUBSTITUTE(SUBSTITUTE(E124," [",", "),"[",", "),"]","")&amp;"]",TRIM(INDEX($A$3:$A$168,K124))&amp;" ["&amp;SUBSTITUTE(SUBSTITUTE(SUBSTITUTE(E124," [",", "),"[",", "),"]","")&amp;"]")))</x:f>
      </x:c>
      <x:c r="G124" t="str">
        <x:f>IF(F124&lt;&gt;"",ROWS($F$3:F124)-COUNTBLANK($F$3:F124),"")</x:f>
      </x:c>
      <x:c r="H124" t="n">
        <x:f>SUM($J$3:J124)-J124</x:f>
        <x:v>0</x:v>
      </x:c>
      <x:c r="I124" t="str">
        <x:f>IF(A124&lt;&gt;"",COUNTIF($A$3:A124,"&lt;&gt;"),"")</x:f>
      </x:c>
      <x:c r="J124" t="n">
        <x:f>IF(AND(A124&lt;&gt;"",TRIM(B124)&lt;&gt;""),LEN(B124)-LEN(SUBSTITUTE(B124,CHAR(10),""))+1,0)</x:f>
        <x:v>0</x:v>
      </x:c>
      <x:c r="K124" t="str">
        <x:f>IF(ROW()-ROW($K$2)&lt;=SUM($J$3:$J$168),COUNTIF($H$3:$H$168,"&lt;"&amp;(ROW()-ROW($K$2))),"")</x:f>
      </x:c>
      <x:c r="L124" t="str">
        <x:f>IF(K124="","",ROW()-ROW($L$2)-INDEX($H$3:$H$168,K124))</x:f>
      </x:c>
      <x:c r="M124" t="str">
        <x:f>IF(K124="","",IF(L124=1,1,FIND(CHAR(1),SUBSTITUTE(INDEX($B$3:$B$168,K124),CHAR(10),CHAR(1),L124-1))+1))</x:f>
      </x:c>
      <x:c r="N124" t="str">
        <x:f>IF(K124="","",IFERROR(FIND(CHAR(1),SUBSTITUTE(INDEX($B$3:$B$168,K124),CHAR(10),CHAR(1),L124)),LEN(INDEX($B$3:$B$168,K124))+1))</x:f>
      </x:c>
    </x:row>
    <x:row r="125">
      <x:c r="A125" s="71"/>
      <x:c r="B125" s="77"/>
      <x:c r="C125" s="71"/>
      <x:c r="D125" t="str">
        <x:f>IFERROR(IF(123&lt;=$O$1,INDEX($A$3:$A$168,MATCH(123,$I$3:$I$168,0)),IF(123&lt;=$O$1+$O$2,INDEX($F$3:$F$1994,MATCH(123-$O$1,$G$3:$G$1994,0)),"")),"")</x:f>
      </x:c>
      <x:c r="E125" t="str">
        <x:f>IF(K125="","",IF(N125&lt;=M125,"",TRIM(CLEAN(MID(INDEX($B$3:$B$168,K125),M125,N125-M125)))))</x:f>
      </x:c>
      <x:c r="F125" t="str">
        <x:f>IF(E125="","",IF(E125=TRIM(INDEX($A$3:$A$168,K125)),"",IF(RIGHT(TRIM(INDEX($A$3:$A$168,K125)),1)="]",LEFT(TRIM(INDEX($A$3:$A$168,K125)),LEN(TRIM(INDEX($A$3:$A$168,K125)))-1)&amp;", "&amp;SUBSTITUTE(SUBSTITUTE(SUBSTITUTE(E125," [",", "),"[",", "),"]","")&amp;"]",TRIM(INDEX($A$3:$A$168,K125))&amp;" ["&amp;SUBSTITUTE(SUBSTITUTE(SUBSTITUTE(E125," [",", "),"[",", "),"]","")&amp;"]")))</x:f>
      </x:c>
      <x:c r="G125" t="str">
        <x:f>IF(F125&lt;&gt;"",ROWS($F$3:F125)-COUNTBLANK($F$3:F125),"")</x:f>
      </x:c>
      <x:c r="H125" t="n">
        <x:f>SUM($J$3:J125)-J125</x:f>
        <x:v>0</x:v>
      </x:c>
      <x:c r="I125" t="str">
        <x:f>IF(A125&lt;&gt;"",COUNTIF($A$3:A125,"&lt;&gt;"),"")</x:f>
      </x:c>
      <x:c r="J125" t="n">
        <x:f>IF(AND(A125&lt;&gt;"",TRIM(B125)&lt;&gt;""),LEN(B125)-LEN(SUBSTITUTE(B125,CHAR(10),""))+1,0)</x:f>
        <x:v>0</x:v>
      </x:c>
      <x:c r="K125" t="str">
        <x:f>IF(ROW()-ROW($K$2)&lt;=SUM($J$3:$J$168),COUNTIF($H$3:$H$168,"&lt;"&amp;(ROW()-ROW($K$2))),"")</x:f>
      </x:c>
      <x:c r="L125" t="str">
        <x:f>IF(K125="","",ROW()-ROW($L$2)-INDEX($H$3:$H$168,K125))</x:f>
      </x:c>
      <x:c r="M125" t="str">
        <x:f>IF(K125="","",IF(L125=1,1,FIND(CHAR(1),SUBSTITUTE(INDEX($B$3:$B$168,K125),CHAR(10),CHAR(1),L125-1))+1))</x:f>
      </x:c>
      <x:c r="N125" t="str">
        <x:f>IF(K125="","",IFERROR(FIND(CHAR(1),SUBSTITUTE(INDEX($B$3:$B$168,K125),CHAR(10),CHAR(1),L125)),LEN(INDEX($B$3:$B$168,K125))+1))</x:f>
      </x:c>
    </x:row>
    <x:row r="126">
      <x:c r="A126" s="71"/>
      <x:c r="B126" s="77"/>
      <x:c r="C126" s="71"/>
      <x:c r="D126" t="str">
        <x:f>IFERROR(IF(124&lt;=$O$1,INDEX($A$3:$A$168,MATCH(124,$I$3:$I$168,0)),IF(124&lt;=$O$1+$O$2,INDEX($F$3:$F$1994,MATCH(124-$O$1,$G$3:$G$1994,0)),"")),"")</x:f>
      </x:c>
      <x:c r="E126" t="str">
        <x:f>IF(K126="","",IF(N126&lt;=M126,"",TRIM(CLEAN(MID(INDEX($B$3:$B$168,K126),M126,N126-M126)))))</x:f>
      </x:c>
      <x:c r="F126" t="str">
        <x:f>IF(E126="","",IF(E126=TRIM(INDEX($A$3:$A$168,K126)),"",IF(RIGHT(TRIM(INDEX($A$3:$A$168,K126)),1)="]",LEFT(TRIM(INDEX($A$3:$A$168,K126)),LEN(TRIM(INDEX($A$3:$A$168,K126)))-1)&amp;", "&amp;SUBSTITUTE(SUBSTITUTE(SUBSTITUTE(E126," [",", "),"[",", "),"]","")&amp;"]",TRIM(INDEX($A$3:$A$168,K126))&amp;" ["&amp;SUBSTITUTE(SUBSTITUTE(SUBSTITUTE(E126," [",", "),"[",", "),"]","")&amp;"]")))</x:f>
      </x:c>
      <x:c r="G126" t="str">
        <x:f>IF(F126&lt;&gt;"",ROWS($F$3:F126)-COUNTBLANK($F$3:F126),"")</x:f>
      </x:c>
      <x:c r="H126" t="n">
        <x:f>SUM($J$3:J126)-J126</x:f>
        <x:v>0</x:v>
      </x:c>
      <x:c r="I126" t="str">
        <x:f>IF(A126&lt;&gt;"",COUNTIF($A$3:A126,"&lt;&gt;"),"")</x:f>
      </x:c>
      <x:c r="J126" t="n">
        <x:f>IF(AND(A126&lt;&gt;"",TRIM(B126)&lt;&gt;""),LEN(B126)-LEN(SUBSTITUTE(B126,CHAR(10),""))+1,0)</x:f>
        <x:v>0</x:v>
      </x:c>
      <x:c r="K126" t="str">
        <x:f>IF(ROW()-ROW($K$2)&lt;=SUM($J$3:$J$168),COUNTIF($H$3:$H$168,"&lt;"&amp;(ROW()-ROW($K$2))),"")</x:f>
      </x:c>
      <x:c r="L126" t="str">
        <x:f>IF(K126="","",ROW()-ROW($L$2)-INDEX($H$3:$H$168,K126))</x:f>
      </x:c>
      <x:c r="M126" t="str">
        <x:f>IF(K126="","",IF(L126=1,1,FIND(CHAR(1),SUBSTITUTE(INDEX($B$3:$B$168,K126),CHAR(10),CHAR(1),L126-1))+1))</x:f>
      </x:c>
      <x:c r="N126" t="str">
        <x:f>IF(K126="","",IFERROR(FIND(CHAR(1),SUBSTITUTE(INDEX($B$3:$B$168,K126),CHAR(10),CHAR(1),L126)),LEN(INDEX($B$3:$B$168,K126))+1))</x:f>
      </x:c>
    </x:row>
    <x:row r="127">
      <x:c r="A127" s="71"/>
      <x:c r="B127" s="77"/>
      <x:c r="C127" s="71"/>
      <x:c r="D127" t="str">
        <x:f>IFERROR(IF(125&lt;=$O$1,INDEX($A$3:$A$168,MATCH(125,$I$3:$I$168,0)),IF(125&lt;=$O$1+$O$2,INDEX($F$3:$F$1994,MATCH(125-$O$1,$G$3:$G$1994,0)),"")),"")</x:f>
      </x:c>
      <x:c r="E127" t="str">
        <x:f>IF(K127="","",IF(N127&lt;=M127,"",TRIM(CLEAN(MID(INDEX($B$3:$B$168,K127),M127,N127-M127)))))</x:f>
      </x:c>
      <x:c r="F127" t="str">
        <x:f>IF(E127="","",IF(E127=TRIM(INDEX($A$3:$A$168,K127)),"",IF(RIGHT(TRIM(INDEX($A$3:$A$168,K127)),1)="]",LEFT(TRIM(INDEX($A$3:$A$168,K127)),LEN(TRIM(INDEX($A$3:$A$168,K127)))-1)&amp;", "&amp;SUBSTITUTE(SUBSTITUTE(SUBSTITUTE(E127," [",", "),"[",", "),"]","")&amp;"]",TRIM(INDEX($A$3:$A$168,K127))&amp;" ["&amp;SUBSTITUTE(SUBSTITUTE(SUBSTITUTE(E127," [",", "),"[",", "),"]","")&amp;"]")))</x:f>
      </x:c>
      <x:c r="G127" t="str">
        <x:f>IF(F127&lt;&gt;"",ROWS($F$3:F127)-COUNTBLANK($F$3:F127),"")</x:f>
      </x:c>
      <x:c r="H127" t="n">
        <x:f>SUM($J$3:J127)-J127</x:f>
        <x:v>0</x:v>
      </x:c>
      <x:c r="I127" t="str">
        <x:f>IF(A127&lt;&gt;"",COUNTIF($A$3:A127,"&lt;&gt;"),"")</x:f>
      </x:c>
      <x:c r="J127" t="n">
        <x:f>IF(AND(A127&lt;&gt;"",TRIM(B127)&lt;&gt;""),LEN(B127)-LEN(SUBSTITUTE(B127,CHAR(10),""))+1,0)</x:f>
        <x:v>0</x:v>
      </x:c>
      <x:c r="K127" t="str">
        <x:f>IF(ROW()-ROW($K$2)&lt;=SUM($J$3:$J$168),COUNTIF($H$3:$H$168,"&lt;"&amp;(ROW()-ROW($K$2))),"")</x:f>
      </x:c>
      <x:c r="L127" t="str">
        <x:f>IF(K127="","",ROW()-ROW($L$2)-INDEX($H$3:$H$168,K127))</x:f>
      </x:c>
      <x:c r="M127" t="str">
        <x:f>IF(K127="","",IF(L127=1,1,FIND(CHAR(1),SUBSTITUTE(INDEX($B$3:$B$168,K127),CHAR(10),CHAR(1),L127-1))+1))</x:f>
      </x:c>
      <x:c r="N127" t="str">
        <x:f>IF(K127="","",IFERROR(FIND(CHAR(1),SUBSTITUTE(INDEX($B$3:$B$168,K127),CHAR(10),CHAR(1),L127)),LEN(INDEX($B$3:$B$168,K127))+1))</x:f>
      </x:c>
    </x:row>
    <x:row r="128">
      <x:c r="A128" s="71"/>
      <x:c r="B128" s="77"/>
      <x:c r="C128" s="71"/>
      <x:c r="D128" t="str">
        <x:f>IFERROR(IF(126&lt;=$O$1,INDEX($A$3:$A$168,MATCH(126,$I$3:$I$168,0)),IF(126&lt;=$O$1+$O$2,INDEX($F$3:$F$1994,MATCH(126-$O$1,$G$3:$G$1994,0)),"")),"")</x:f>
      </x:c>
      <x:c r="E128" t="str">
        <x:f>IF(K128="","",IF(N128&lt;=M128,"",TRIM(CLEAN(MID(INDEX($B$3:$B$168,K128),M128,N128-M128)))))</x:f>
      </x:c>
      <x:c r="F128" t="str">
        <x:f>IF(E128="","",IF(E128=TRIM(INDEX($A$3:$A$168,K128)),"",IF(RIGHT(TRIM(INDEX($A$3:$A$168,K128)),1)="]",LEFT(TRIM(INDEX($A$3:$A$168,K128)),LEN(TRIM(INDEX($A$3:$A$168,K128)))-1)&amp;", "&amp;SUBSTITUTE(SUBSTITUTE(SUBSTITUTE(E128," [",", "),"[",", "),"]","")&amp;"]",TRIM(INDEX($A$3:$A$168,K128))&amp;" ["&amp;SUBSTITUTE(SUBSTITUTE(SUBSTITUTE(E128," [",", "),"[",", "),"]","")&amp;"]")))</x:f>
      </x:c>
      <x:c r="G128" t="str">
        <x:f>IF(F128&lt;&gt;"",ROWS($F$3:F128)-COUNTBLANK($F$3:F128),"")</x:f>
      </x:c>
      <x:c r="H128" t="n">
        <x:f>SUM($J$3:J128)-J128</x:f>
        <x:v>0</x:v>
      </x:c>
      <x:c r="I128" t="str">
        <x:f>IF(A128&lt;&gt;"",COUNTIF($A$3:A128,"&lt;&gt;"),"")</x:f>
      </x:c>
      <x:c r="J128" t="n">
        <x:f>IF(AND(A128&lt;&gt;"",TRIM(B128)&lt;&gt;""),LEN(B128)-LEN(SUBSTITUTE(B128,CHAR(10),""))+1,0)</x:f>
        <x:v>0</x:v>
      </x:c>
      <x:c r="K128" t="str">
        <x:f>IF(ROW()-ROW($K$2)&lt;=SUM($J$3:$J$168),COUNTIF($H$3:$H$168,"&lt;"&amp;(ROW()-ROW($K$2))),"")</x:f>
      </x:c>
      <x:c r="L128" t="str">
        <x:f>IF(K128="","",ROW()-ROW($L$2)-INDEX($H$3:$H$168,K128))</x:f>
      </x:c>
      <x:c r="M128" t="str">
        <x:f>IF(K128="","",IF(L128=1,1,FIND(CHAR(1),SUBSTITUTE(INDEX($B$3:$B$168,K128),CHAR(10),CHAR(1),L128-1))+1))</x:f>
      </x:c>
      <x:c r="N128" t="str">
        <x:f>IF(K128="","",IFERROR(FIND(CHAR(1),SUBSTITUTE(INDEX($B$3:$B$168,K128),CHAR(10),CHAR(1),L128)),LEN(INDEX($B$3:$B$168,K128))+1))</x:f>
      </x:c>
    </x:row>
    <x:row r="129">
      <x:c r="A129" s="71"/>
      <x:c r="B129" s="77"/>
      <x:c r="C129" s="71"/>
      <x:c r="D129" t="str">
        <x:f>IFERROR(IF(127&lt;=$O$1,INDEX($A$3:$A$168,MATCH(127,$I$3:$I$168,0)),IF(127&lt;=$O$1+$O$2,INDEX($F$3:$F$1994,MATCH(127-$O$1,$G$3:$G$1994,0)),"")),"")</x:f>
      </x:c>
      <x:c r="E129" t="str">
        <x:f>IF(K129="","",IF(N129&lt;=M129,"",TRIM(CLEAN(MID(INDEX($B$3:$B$168,K129),M129,N129-M129)))))</x:f>
      </x:c>
      <x:c r="F129" t="str">
        <x:f>IF(E129="","",IF(E129=TRIM(INDEX($A$3:$A$168,K129)),"",IF(RIGHT(TRIM(INDEX($A$3:$A$168,K129)),1)="]",LEFT(TRIM(INDEX($A$3:$A$168,K129)),LEN(TRIM(INDEX($A$3:$A$168,K129)))-1)&amp;", "&amp;SUBSTITUTE(SUBSTITUTE(SUBSTITUTE(E129," [",", "),"[",", "),"]","")&amp;"]",TRIM(INDEX($A$3:$A$168,K129))&amp;" ["&amp;SUBSTITUTE(SUBSTITUTE(SUBSTITUTE(E129," [",", "),"[",", "),"]","")&amp;"]")))</x:f>
      </x:c>
      <x:c r="G129" t="str">
        <x:f>IF(F129&lt;&gt;"",ROWS($F$3:F129)-COUNTBLANK($F$3:F129),"")</x:f>
      </x:c>
      <x:c r="H129" t="n">
        <x:f>SUM($J$3:J129)-J129</x:f>
        <x:v>0</x:v>
      </x:c>
      <x:c r="I129" t="str">
        <x:f>IF(A129&lt;&gt;"",COUNTIF($A$3:A129,"&lt;&gt;"),"")</x:f>
      </x:c>
      <x:c r="J129" t="n">
        <x:f>IF(AND(A129&lt;&gt;"",TRIM(B129)&lt;&gt;""),LEN(B129)-LEN(SUBSTITUTE(B129,CHAR(10),""))+1,0)</x:f>
        <x:v>0</x:v>
      </x:c>
      <x:c r="K129" t="str">
        <x:f>IF(ROW()-ROW($K$2)&lt;=SUM($J$3:$J$168),COUNTIF($H$3:$H$168,"&lt;"&amp;(ROW()-ROW($K$2))),"")</x:f>
      </x:c>
      <x:c r="L129" t="str">
        <x:f>IF(K129="","",ROW()-ROW($L$2)-INDEX($H$3:$H$168,K129))</x:f>
      </x:c>
      <x:c r="M129" t="str">
        <x:f>IF(K129="","",IF(L129=1,1,FIND(CHAR(1),SUBSTITUTE(INDEX($B$3:$B$168,K129),CHAR(10),CHAR(1),L129-1))+1))</x:f>
      </x:c>
      <x:c r="N129" t="str">
        <x:f>IF(K129="","",IFERROR(FIND(CHAR(1),SUBSTITUTE(INDEX($B$3:$B$168,K129),CHAR(10),CHAR(1),L129)),LEN(INDEX($B$3:$B$168,K129))+1))</x:f>
      </x:c>
    </x:row>
    <x:row r="130">
      <x:c r="A130" s="71"/>
      <x:c r="B130" s="77"/>
      <x:c r="C130" s="71"/>
      <x:c r="D130" t="str">
        <x:f>IFERROR(IF(128&lt;=$O$1,INDEX($A$3:$A$168,MATCH(128,$I$3:$I$168,0)),IF(128&lt;=$O$1+$O$2,INDEX($F$3:$F$1994,MATCH(128-$O$1,$G$3:$G$1994,0)),"")),"")</x:f>
      </x:c>
      <x:c r="E130" t="str">
        <x:f>IF(K130="","",IF(N130&lt;=M130,"",TRIM(CLEAN(MID(INDEX($B$3:$B$168,K130),M130,N130-M130)))))</x:f>
      </x:c>
      <x:c r="F130" t="str">
        <x:f>IF(E130="","",IF(E130=TRIM(INDEX($A$3:$A$168,K130)),"",IF(RIGHT(TRIM(INDEX($A$3:$A$168,K130)),1)="]",LEFT(TRIM(INDEX($A$3:$A$168,K130)),LEN(TRIM(INDEX($A$3:$A$168,K130)))-1)&amp;", "&amp;SUBSTITUTE(SUBSTITUTE(SUBSTITUTE(E130," [",", "),"[",", "),"]","")&amp;"]",TRIM(INDEX($A$3:$A$168,K130))&amp;" ["&amp;SUBSTITUTE(SUBSTITUTE(SUBSTITUTE(E130," [",", "),"[",", "),"]","")&amp;"]")))</x:f>
      </x:c>
      <x:c r="G130" t="str">
        <x:f>IF(F130&lt;&gt;"",ROWS($F$3:F130)-COUNTBLANK($F$3:F130),"")</x:f>
      </x:c>
      <x:c r="H130" t="n">
        <x:f>SUM($J$3:J130)-J130</x:f>
        <x:v>0</x:v>
      </x:c>
      <x:c r="I130" t="str">
        <x:f>IF(A130&lt;&gt;"",COUNTIF($A$3:A130,"&lt;&gt;"),"")</x:f>
      </x:c>
      <x:c r="J130" t="n">
        <x:f>IF(AND(A130&lt;&gt;"",TRIM(B130)&lt;&gt;""),LEN(B130)-LEN(SUBSTITUTE(B130,CHAR(10),""))+1,0)</x:f>
        <x:v>0</x:v>
      </x:c>
      <x:c r="K130" t="str">
        <x:f>IF(ROW()-ROW($K$2)&lt;=SUM($J$3:$J$168),COUNTIF($H$3:$H$168,"&lt;"&amp;(ROW()-ROW($K$2))),"")</x:f>
      </x:c>
      <x:c r="L130" t="str">
        <x:f>IF(K130="","",ROW()-ROW($L$2)-INDEX($H$3:$H$168,K130))</x:f>
      </x:c>
      <x:c r="M130" t="str">
        <x:f>IF(K130="","",IF(L130=1,1,FIND(CHAR(1),SUBSTITUTE(INDEX($B$3:$B$168,K130),CHAR(10),CHAR(1),L130-1))+1))</x:f>
      </x:c>
      <x:c r="N130" t="str">
        <x:f>IF(K130="","",IFERROR(FIND(CHAR(1),SUBSTITUTE(INDEX($B$3:$B$168,K130),CHAR(10),CHAR(1),L130)),LEN(INDEX($B$3:$B$168,K130))+1))</x:f>
      </x:c>
    </x:row>
    <x:row r="131">
      <x:c r="A131" s="71"/>
      <x:c r="B131" s="77"/>
      <x:c r="C131" s="71"/>
      <x:c r="D131" t="str">
        <x:f>IFERROR(IF(129&lt;=$O$1,INDEX($A$3:$A$168,MATCH(129,$I$3:$I$168,0)),IF(129&lt;=$O$1+$O$2,INDEX($F$3:$F$1994,MATCH(129-$O$1,$G$3:$G$1994,0)),"")),"")</x:f>
      </x:c>
      <x:c r="E131" t="str">
        <x:f>IF(K131="","",IF(N131&lt;=M131,"",TRIM(CLEAN(MID(INDEX($B$3:$B$168,K131),M131,N131-M131)))))</x:f>
      </x:c>
      <x:c r="F131" t="str">
        <x:f>IF(E131="","",IF(E131=TRIM(INDEX($A$3:$A$168,K131)),"",IF(RIGHT(TRIM(INDEX($A$3:$A$168,K131)),1)="]",LEFT(TRIM(INDEX($A$3:$A$168,K131)),LEN(TRIM(INDEX($A$3:$A$168,K131)))-1)&amp;", "&amp;SUBSTITUTE(SUBSTITUTE(SUBSTITUTE(E131," [",", "),"[",", "),"]","")&amp;"]",TRIM(INDEX($A$3:$A$168,K131))&amp;" ["&amp;SUBSTITUTE(SUBSTITUTE(SUBSTITUTE(E131," [",", "),"[",", "),"]","")&amp;"]")))</x:f>
      </x:c>
      <x:c r="G131" t="str">
        <x:f>IF(F131&lt;&gt;"",ROWS($F$3:F131)-COUNTBLANK($F$3:F131),"")</x:f>
      </x:c>
      <x:c r="H131" t="n">
        <x:f>SUM($J$3:J131)-J131</x:f>
        <x:v>0</x:v>
      </x:c>
      <x:c r="I131" t="str">
        <x:f>IF(A131&lt;&gt;"",COUNTIF($A$3:A131,"&lt;&gt;"),"")</x:f>
      </x:c>
      <x:c r="J131" t="n">
        <x:f>IF(AND(A131&lt;&gt;"",TRIM(B131)&lt;&gt;""),LEN(B131)-LEN(SUBSTITUTE(B131,CHAR(10),""))+1,0)</x:f>
        <x:v>0</x:v>
      </x:c>
      <x:c r="K131" t="str">
        <x:f>IF(ROW()-ROW($K$2)&lt;=SUM($J$3:$J$168),COUNTIF($H$3:$H$168,"&lt;"&amp;(ROW()-ROW($K$2))),"")</x:f>
      </x:c>
      <x:c r="L131" t="str">
        <x:f>IF(K131="","",ROW()-ROW($L$2)-INDEX($H$3:$H$168,K131))</x:f>
      </x:c>
      <x:c r="M131" t="str">
        <x:f>IF(K131="","",IF(L131=1,1,FIND(CHAR(1),SUBSTITUTE(INDEX($B$3:$B$168,K131),CHAR(10),CHAR(1),L131-1))+1))</x:f>
      </x:c>
      <x:c r="N131" t="str">
        <x:f>IF(K131="","",IFERROR(FIND(CHAR(1),SUBSTITUTE(INDEX($B$3:$B$168,K131),CHAR(10),CHAR(1),L131)),LEN(INDEX($B$3:$B$168,K131))+1))</x:f>
      </x:c>
    </x:row>
    <x:row r="132">
      <x:c r="A132" s="71"/>
      <x:c r="B132" s="77"/>
      <x:c r="C132" s="71"/>
      <x:c r="D132" t="str">
        <x:f>IFERROR(IF(130&lt;=$O$1,INDEX($A$3:$A$168,MATCH(130,$I$3:$I$168,0)),IF(130&lt;=$O$1+$O$2,INDEX($F$3:$F$1994,MATCH(130-$O$1,$G$3:$G$1994,0)),"")),"")</x:f>
      </x:c>
      <x:c r="E132" t="str">
        <x:f>IF(K132="","",IF(N132&lt;=M132,"",TRIM(CLEAN(MID(INDEX($B$3:$B$168,K132),M132,N132-M132)))))</x:f>
      </x:c>
      <x:c r="F132" t="str">
        <x:f>IF(E132="","",IF(E132=TRIM(INDEX($A$3:$A$168,K132)),"",IF(RIGHT(TRIM(INDEX($A$3:$A$168,K132)),1)="]",LEFT(TRIM(INDEX($A$3:$A$168,K132)),LEN(TRIM(INDEX($A$3:$A$168,K132)))-1)&amp;", "&amp;SUBSTITUTE(SUBSTITUTE(SUBSTITUTE(E132," [",", "),"[",", "),"]","")&amp;"]",TRIM(INDEX($A$3:$A$168,K132))&amp;" ["&amp;SUBSTITUTE(SUBSTITUTE(SUBSTITUTE(E132," [",", "),"[",", "),"]","")&amp;"]")))</x:f>
      </x:c>
      <x:c r="G132" t="str">
        <x:f>IF(F132&lt;&gt;"",ROWS($F$3:F132)-COUNTBLANK($F$3:F132),"")</x:f>
      </x:c>
      <x:c r="H132" t="n">
        <x:f>SUM($J$3:J132)-J132</x:f>
        <x:v>0</x:v>
      </x:c>
      <x:c r="I132" t="str">
        <x:f>IF(A132&lt;&gt;"",COUNTIF($A$3:A132,"&lt;&gt;"),"")</x:f>
      </x:c>
      <x:c r="J132" t="n">
        <x:f>IF(AND(A132&lt;&gt;"",TRIM(B132)&lt;&gt;""),LEN(B132)-LEN(SUBSTITUTE(B132,CHAR(10),""))+1,0)</x:f>
        <x:v>0</x:v>
      </x:c>
      <x:c r="K132" t="str">
        <x:f>IF(ROW()-ROW($K$2)&lt;=SUM($J$3:$J$168),COUNTIF($H$3:$H$168,"&lt;"&amp;(ROW()-ROW($K$2))),"")</x:f>
      </x:c>
      <x:c r="L132" t="str">
        <x:f>IF(K132="","",ROW()-ROW($L$2)-INDEX($H$3:$H$168,K132))</x:f>
      </x:c>
      <x:c r="M132" t="str">
        <x:f>IF(K132="","",IF(L132=1,1,FIND(CHAR(1),SUBSTITUTE(INDEX($B$3:$B$168,K132),CHAR(10),CHAR(1),L132-1))+1))</x:f>
      </x:c>
      <x:c r="N132" t="str">
        <x:f>IF(K132="","",IFERROR(FIND(CHAR(1),SUBSTITUTE(INDEX($B$3:$B$168,K132),CHAR(10),CHAR(1),L132)),LEN(INDEX($B$3:$B$168,K132))+1))</x:f>
      </x:c>
    </x:row>
    <x:row r="133">
      <x:c r="A133" s="71"/>
      <x:c r="B133" s="77"/>
      <x:c r="C133" s="71"/>
      <x:c r="D133" t="str">
        <x:f>IFERROR(IF(131&lt;=$O$1,INDEX($A$3:$A$168,MATCH(131,$I$3:$I$168,0)),IF(131&lt;=$O$1+$O$2,INDEX($F$3:$F$1994,MATCH(131-$O$1,$G$3:$G$1994,0)),"")),"")</x:f>
      </x:c>
      <x:c r="E133" t="str">
        <x:f>IF(K133="","",IF(N133&lt;=M133,"",TRIM(CLEAN(MID(INDEX($B$3:$B$168,K133),M133,N133-M133)))))</x:f>
      </x:c>
      <x:c r="F133" t="str">
        <x:f>IF(E133="","",IF(E133=TRIM(INDEX($A$3:$A$168,K133)),"",IF(RIGHT(TRIM(INDEX($A$3:$A$168,K133)),1)="]",LEFT(TRIM(INDEX($A$3:$A$168,K133)),LEN(TRIM(INDEX($A$3:$A$168,K133)))-1)&amp;", "&amp;SUBSTITUTE(SUBSTITUTE(SUBSTITUTE(E133," [",", "),"[",", "),"]","")&amp;"]",TRIM(INDEX($A$3:$A$168,K133))&amp;" ["&amp;SUBSTITUTE(SUBSTITUTE(SUBSTITUTE(E133," [",", "),"[",", "),"]","")&amp;"]")))</x:f>
      </x:c>
      <x:c r="G133" t="str">
        <x:f>IF(F133&lt;&gt;"",ROWS($F$3:F133)-COUNTBLANK($F$3:F133),"")</x:f>
      </x:c>
      <x:c r="H133" t="n">
        <x:f>SUM($J$3:J133)-J133</x:f>
        <x:v>0</x:v>
      </x:c>
      <x:c r="I133" t="str">
        <x:f>IF(A133&lt;&gt;"",COUNTIF($A$3:A133,"&lt;&gt;"),"")</x:f>
      </x:c>
      <x:c r="J133" t="n">
        <x:f>IF(AND(A133&lt;&gt;"",TRIM(B133)&lt;&gt;""),LEN(B133)-LEN(SUBSTITUTE(B133,CHAR(10),""))+1,0)</x:f>
        <x:v>0</x:v>
      </x:c>
      <x:c r="K133" t="str">
        <x:f>IF(ROW()-ROW($K$2)&lt;=SUM($J$3:$J$168),COUNTIF($H$3:$H$168,"&lt;"&amp;(ROW()-ROW($K$2))),"")</x:f>
      </x:c>
      <x:c r="L133" t="str">
        <x:f>IF(K133="","",ROW()-ROW($L$2)-INDEX($H$3:$H$168,K133))</x:f>
      </x:c>
      <x:c r="M133" t="str">
        <x:f>IF(K133="","",IF(L133=1,1,FIND(CHAR(1),SUBSTITUTE(INDEX($B$3:$B$168,K133),CHAR(10),CHAR(1),L133-1))+1))</x:f>
      </x:c>
      <x:c r="N133" t="str">
        <x:f>IF(K133="","",IFERROR(FIND(CHAR(1),SUBSTITUTE(INDEX($B$3:$B$168,K133),CHAR(10),CHAR(1),L133)),LEN(INDEX($B$3:$B$168,K133))+1))</x:f>
      </x:c>
    </x:row>
    <x:row r="134">
      <x:c r="A134" s="71"/>
      <x:c r="B134" s="77"/>
      <x:c r="C134" s="71"/>
      <x:c r="D134" t="str">
        <x:f>IFERROR(IF(132&lt;=$O$1,INDEX($A$3:$A$168,MATCH(132,$I$3:$I$168,0)),IF(132&lt;=$O$1+$O$2,INDEX($F$3:$F$1994,MATCH(132-$O$1,$G$3:$G$1994,0)),"")),"")</x:f>
      </x:c>
      <x:c r="E134" t="str">
        <x:f>IF(K134="","",IF(N134&lt;=M134,"",TRIM(CLEAN(MID(INDEX($B$3:$B$168,K134),M134,N134-M134)))))</x:f>
      </x:c>
      <x:c r="F134" t="str">
        <x:f>IF(E134="","",IF(E134=TRIM(INDEX($A$3:$A$168,K134)),"",IF(RIGHT(TRIM(INDEX($A$3:$A$168,K134)),1)="]",LEFT(TRIM(INDEX($A$3:$A$168,K134)),LEN(TRIM(INDEX($A$3:$A$168,K134)))-1)&amp;", "&amp;SUBSTITUTE(SUBSTITUTE(SUBSTITUTE(E134," [",", "),"[",", "),"]","")&amp;"]",TRIM(INDEX($A$3:$A$168,K134))&amp;" ["&amp;SUBSTITUTE(SUBSTITUTE(SUBSTITUTE(E134," [",", "),"[",", "),"]","")&amp;"]")))</x:f>
      </x:c>
      <x:c r="G134" t="str">
        <x:f>IF(F134&lt;&gt;"",ROWS($F$3:F134)-COUNTBLANK($F$3:F134),"")</x:f>
      </x:c>
      <x:c r="H134" t="n">
        <x:f>SUM($J$3:J134)-J134</x:f>
        <x:v>0</x:v>
      </x:c>
      <x:c r="I134" t="str">
        <x:f>IF(A134&lt;&gt;"",COUNTIF($A$3:A134,"&lt;&gt;"),"")</x:f>
      </x:c>
      <x:c r="J134" t="n">
        <x:f>IF(AND(A134&lt;&gt;"",TRIM(B134)&lt;&gt;""),LEN(B134)-LEN(SUBSTITUTE(B134,CHAR(10),""))+1,0)</x:f>
        <x:v>0</x:v>
      </x:c>
      <x:c r="K134" t="str">
        <x:f>IF(ROW()-ROW($K$2)&lt;=SUM($J$3:$J$168),COUNTIF($H$3:$H$168,"&lt;"&amp;(ROW()-ROW($K$2))),"")</x:f>
      </x:c>
      <x:c r="L134" t="str">
        <x:f>IF(K134="","",ROW()-ROW($L$2)-INDEX($H$3:$H$168,K134))</x:f>
      </x:c>
      <x:c r="M134" t="str">
        <x:f>IF(K134="","",IF(L134=1,1,FIND(CHAR(1),SUBSTITUTE(INDEX($B$3:$B$168,K134),CHAR(10),CHAR(1),L134-1))+1))</x:f>
      </x:c>
      <x:c r="N134" t="str">
        <x:f>IF(K134="","",IFERROR(FIND(CHAR(1),SUBSTITUTE(INDEX($B$3:$B$168,K134),CHAR(10),CHAR(1),L134)),LEN(INDEX($B$3:$B$168,K134))+1))</x:f>
      </x:c>
    </x:row>
    <x:row r="135">
      <x:c r="A135" s="71"/>
      <x:c r="B135" s="77"/>
      <x:c r="C135" s="71"/>
      <x:c r="D135" t="str">
        <x:f>IFERROR(IF(133&lt;=$O$1,INDEX($A$3:$A$168,MATCH(133,$I$3:$I$168,0)),IF(133&lt;=$O$1+$O$2,INDEX($F$3:$F$1994,MATCH(133-$O$1,$G$3:$G$1994,0)),"")),"")</x:f>
      </x:c>
      <x:c r="E135" t="str">
        <x:f>IF(K135="","",IF(N135&lt;=M135,"",TRIM(CLEAN(MID(INDEX($B$3:$B$168,K135),M135,N135-M135)))))</x:f>
      </x:c>
      <x:c r="F135" t="str">
        <x:f>IF(E135="","",IF(E135=TRIM(INDEX($A$3:$A$168,K135)),"",IF(RIGHT(TRIM(INDEX($A$3:$A$168,K135)),1)="]",LEFT(TRIM(INDEX($A$3:$A$168,K135)),LEN(TRIM(INDEX($A$3:$A$168,K135)))-1)&amp;", "&amp;SUBSTITUTE(SUBSTITUTE(SUBSTITUTE(E135," [",", "),"[",", "),"]","")&amp;"]",TRIM(INDEX($A$3:$A$168,K135))&amp;" ["&amp;SUBSTITUTE(SUBSTITUTE(SUBSTITUTE(E135," [",", "),"[",", "),"]","")&amp;"]")))</x:f>
      </x:c>
      <x:c r="G135" t="str">
        <x:f>IF(F135&lt;&gt;"",ROWS($F$3:F135)-COUNTBLANK($F$3:F135),"")</x:f>
      </x:c>
      <x:c r="H135" t="n">
        <x:f>SUM($J$3:J135)-J135</x:f>
        <x:v>0</x:v>
      </x:c>
      <x:c r="I135" t="str">
        <x:f>IF(A135&lt;&gt;"",COUNTIF($A$3:A135,"&lt;&gt;"),"")</x:f>
      </x:c>
      <x:c r="J135" t="n">
        <x:f>IF(AND(A135&lt;&gt;"",TRIM(B135)&lt;&gt;""),LEN(B135)-LEN(SUBSTITUTE(B135,CHAR(10),""))+1,0)</x:f>
        <x:v>0</x:v>
      </x:c>
      <x:c r="K135" t="str">
        <x:f>IF(ROW()-ROW($K$2)&lt;=SUM($J$3:$J$168),COUNTIF($H$3:$H$168,"&lt;"&amp;(ROW()-ROW($K$2))),"")</x:f>
      </x:c>
      <x:c r="L135" t="str">
        <x:f>IF(K135="","",ROW()-ROW($L$2)-INDEX($H$3:$H$168,K135))</x:f>
      </x:c>
      <x:c r="M135" t="str">
        <x:f>IF(K135="","",IF(L135=1,1,FIND(CHAR(1),SUBSTITUTE(INDEX($B$3:$B$168,K135),CHAR(10),CHAR(1),L135-1))+1))</x:f>
      </x:c>
      <x:c r="N135" t="str">
        <x:f>IF(K135="","",IFERROR(FIND(CHAR(1),SUBSTITUTE(INDEX($B$3:$B$168,K135),CHAR(10),CHAR(1),L135)),LEN(INDEX($B$3:$B$168,K135))+1))</x:f>
      </x:c>
    </x:row>
    <x:row r="136">
      <x:c r="A136" s="71"/>
      <x:c r="B136" s="77"/>
      <x:c r="C136" s="71"/>
      <x:c r="D136" t="str">
        <x:f>IFERROR(IF(134&lt;=$O$1,INDEX($A$3:$A$168,MATCH(134,$I$3:$I$168,0)),IF(134&lt;=$O$1+$O$2,INDEX($F$3:$F$1994,MATCH(134-$O$1,$G$3:$G$1994,0)),"")),"")</x:f>
      </x:c>
      <x:c r="E136" t="str">
        <x:f>IF(K136="","",IF(N136&lt;=M136,"",TRIM(CLEAN(MID(INDEX($B$3:$B$168,K136),M136,N136-M136)))))</x:f>
      </x:c>
      <x:c r="F136" t="str">
        <x:f>IF(E136="","",IF(E136=TRIM(INDEX($A$3:$A$168,K136)),"",IF(RIGHT(TRIM(INDEX($A$3:$A$168,K136)),1)="]",LEFT(TRIM(INDEX($A$3:$A$168,K136)),LEN(TRIM(INDEX($A$3:$A$168,K136)))-1)&amp;", "&amp;SUBSTITUTE(SUBSTITUTE(SUBSTITUTE(E136," [",", "),"[",", "),"]","")&amp;"]",TRIM(INDEX($A$3:$A$168,K136))&amp;" ["&amp;SUBSTITUTE(SUBSTITUTE(SUBSTITUTE(E136," [",", "),"[",", "),"]","")&amp;"]")))</x:f>
      </x:c>
      <x:c r="G136" t="str">
        <x:f>IF(F136&lt;&gt;"",ROWS($F$3:F136)-COUNTBLANK($F$3:F136),"")</x:f>
      </x:c>
      <x:c r="H136" t="n">
        <x:f>SUM($J$3:J136)-J136</x:f>
        <x:v>0</x:v>
      </x:c>
      <x:c r="I136" t="str">
        <x:f>IF(A136&lt;&gt;"",COUNTIF($A$3:A136,"&lt;&gt;"),"")</x:f>
      </x:c>
      <x:c r="J136" t="n">
        <x:f>IF(AND(A136&lt;&gt;"",TRIM(B136)&lt;&gt;""),LEN(B136)-LEN(SUBSTITUTE(B136,CHAR(10),""))+1,0)</x:f>
        <x:v>0</x:v>
      </x:c>
      <x:c r="K136" t="str">
        <x:f>IF(ROW()-ROW($K$2)&lt;=SUM($J$3:$J$168),COUNTIF($H$3:$H$168,"&lt;"&amp;(ROW()-ROW($K$2))),"")</x:f>
      </x:c>
      <x:c r="L136" t="str">
        <x:f>IF(K136="","",ROW()-ROW($L$2)-INDEX($H$3:$H$168,K136))</x:f>
      </x:c>
      <x:c r="M136" t="str">
        <x:f>IF(K136="","",IF(L136=1,1,FIND(CHAR(1),SUBSTITUTE(INDEX($B$3:$B$168,K136),CHAR(10),CHAR(1),L136-1))+1))</x:f>
      </x:c>
      <x:c r="N136" t="str">
        <x:f>IF(K136="","",IFERROR(FIND(CHAR(1),SUBSTITUTE(INDEX($B$3:$B$168,K136),CHAR(10),CHAR(1),L136)),LEN(INDEX($B$3:$B$168,K136))+1))</x:f>
      </x:c>
    </x:row>
    <x:row r="137">
      <x:c r="A137" s="71"/>
      <x:c r="B137" s="77"/>
      <x:c r="C137" s="71"/>
      <x:c r="D137" t="str">
        <x:f>IFERROR(IF(135&lt;=$O$1,INDEX($A$3:$A$168,MATCH(135,$I$3:$I$168,0)),IF(135&lt;=$O$1+$O$2,INDEX($F$3:$F$1994,MATCH(135-$O$1,$G$3:$G$1994,0)),"")),"")</x:f>
      </x:c>
      <x:c r="E137" t="str">
        <x:f>IF(K137="","",IF(N137&lt;=M137,"",TRIM(CLEAN(MID(INDEX($B$3:$B$168,K137),M137,N137-M137)))))</x:f>
      </x:c>
      <x:c r="F137" t="str">
        <x:f>IF(E137="","",IF(E137=TRIM(INDEX($A$3:$A$168,K137)),"",IF(RIGHT(TRIM(INDEX($A$3:$A$168,K137)),1)="]",LEFT(TRIM(INDEX($A$3:$A$168,K137)),LEN(TRIM(INDEX($A$3:$A$168,K137)))-1)&amp;", "&amp;SUBSTITUTE(SUBSTITUTE(SUBSTITUTE(E137," [",", "),"[",", "),"]","")&amp;"]",TRIM(INDEX($A$3:$A$168,K137))&amp;" ["&amp;SUBSTITUTE(SUBSTITUTE(SUBSTITUTE(E137," [",", "),"[",", "),"]","")&amp;"]")))</x:f>
      </x:c>
      <x:c r="G137" t="str">
        <x:f>IF(F137&lt;&gt;"",ROWS($F$3:F137)-COUNTBLANK($F$3:F137),"")</x:f>
      </x:c>
      <x:c r="H137" t="n">
        <x:f>SUM($J$3:J137)-J137</x:f>
        <x:v>0</x:v>
      </x:c>
      <x:c r="I137" t="str">
        <x:f>IF(A137&lt;&gt;"",COUNTIF($A$3:A137,"&lt;&gt;"),"")</x:f>
      </x:c>
      <x:c r="J137" t="n">
        <x:f>IF(AND(A137&lt;&gt;"",TRIM(B137)&lt;&gt;""),LEN(B137)-LEN(SUBSTITUTE(B137,CHAR(10),""))+1,0)</x:f>
        <x:v>0</x:v>
      </x:c>
      <x:c r="K137" t="str">
        <x:f>IF(ROW()-ROW($K$2)&lt;=SUM($J$3:$J$168),COUNTIF($H$3:$H$168,"&lt;"&amp;(ROW()-ROW($K$2))),"")</x:f>
      </x:c>
      <x:c r="L137" t="str">
        <x:f>IF(K137="","",ROW()-ROW($L$2)-INDEX($H$3:$H$168,K137))</x:f>
      </x:c>
      <x:c r="M137" t="str">
        <x:f>IF(K137="","",IF(L137=1,1,FIND(CHAR(1),SUBSTITUTE(INDEX($B$3:$B$168,K137),CHAR(10),CHAR(1),L137-1))+1))</x:f>
      </x:c>
      <x:c r="N137" t="str">
        <x:f>IF(K137="","",IFERROR(FIND(CHAR(1),SUBSTITUTE(INDEX($B$3:$B$168,K137),CHAR(10),CHAR(1),L137)),LEN(INDEX($B$3:$B$168,K137))+1))</x:f>
      </x:c>
    </x:row>
    <x:row r="138">
      <x:c r="A138" s="71"/>
      <x:c r="B138" s="77"/>
      <x:c r="C138" s="71"/>
      <x:c r="D138" t="str">
        <x:f>IFERROR(IF(136&lt;=$O$1,INDEX($A$3:$A$168,MATCH(136,$I$3:$I$168,0)),IF(136&lt;=$O$1+$O$2,INDEX($F$3:$F$1994,MATCH(136-$O$1,$G$3:$G$1994,0)),"")),"")</x:f>
      </x:c>
      <x:c r="E138" t="str">
        <x:f>IF(K138="","",IF(N138&lt;=M138,"",TRIM(CLEAN(MID(INDEX($B$3:$B$168,K138),M138,N138-M138)))))</x:f>
      </x:c>
      <x:c r="F138" t="str">
        <x:f>IF(E138="","",IF(E138=TRIM(INDEX($A$3:$A$168,K138)),"",IF(RIGHT(TRIM(INDEX($A$3:$A$168,K138)),1)="]",LEFT(TRIM(INDEX($A$3:$A$168,K138)),LEN(TRIM(INDEX($A$3:$A$168,K138)))-1)&amp;", "&amp;SUBSTITUTE(SUBSTITUTE(SUBSTITUTE(E138," [",", "),"[",", "),"]","")&amp;"]",TRIM(INDEX($A$3:$A$168,K138))&amp;" ["&amp;SUBSTITUTE(SUBSTITUTE(SUBSTITUTE(E138," [",", "),"[",", "),"]","")&amp;"]")))</x:f>
      </x:c>
      <x:c r="G138" t="str">
        <x:f>IF(F138&lt;&gt;"",ROWS($F$3:F138)-COUNTBLANK($F$3:F138),"")</x:f>
      </x:c>
      <x:c r="H138" t="n">
        <x:f>SUM($J$3:J138)-J138</x:f>
        <x:v>0</x:v>
      </x:c>
      <x:c r="I138" t="str">
        <x:f>IF(A138&lt;&gt;"",COUNTIF($A$3:A138,"&lt;&gt;"),"")</x:f>
      </x:c>
      <x:c r="J138" t="n">
        <x:f>IF(AND(A138&lt;&gt;"",TRIM(B138)&lt;&gt;""),LEN(B138)-LEN(SUBSTITUTE(B138,CHAR(10),""))+1,0)</x:f>
        <x:v>0</x:v>
      </x:c>
      <x:c r="K138" t="str">
        <x:f>IF(ROW()-ROW($K$2)&lt;=SUM($J$3:$J$168),COUNTIF($H$3:$H$168,"&lt;"&amp;(ROW()-ROW($K$2))),"")</x:f>
      </x:c>
      <x:c r="L138" t="str">
        <x:f>IF(K138="","",ROW()-ROW($L$2)-INDEX($H$3:$H$168,K138))</x:f>
      </x:c>
      <x:c r="M138" t="str">
        <x:f>IF(K138="","",IF(L138=1,1,FIND(CHAR(1),SUBSTITUTE(INDEX($B$3:$B$168,K138),CHAR(10),CHAR(1),L138-1))+1))</x:f>
      </x:c>
      <x:c r="N138" t="str">
        <x:f>IF(K138="","",IFERROR(FIND(CHAR(1),SUBSTITUTE(INDEX($B$3:$B$168,K138),CHAR(10),CHAR(1),L138)),LEN(INDEX($B$3:$B$168,K138))+1))</x:f>
      </x:c>
    </x:row>
    <x:row r="139">
      <x:c r="A139" s="71"/>
      <x:c r="B139" s="77"/>
      <x:c r="C139" s="71"/>
      <x:c r="D139" t="str">
        <x:f>IFERROR(IF(137&lt;=$O$1,INDEX($A$3:$A$168,MATCH(137,$I$3:$I$168,0)),IF(137&lt;=$O$1+$O$2,INDEX($F$3:$F$1994,MATCH(137-$O$1,$G$3:$G$1994,0)),"")),"")</x:f>
      </x:c>
      <x:c r="E139" t="str">
        <x:f>IF(K139="","",IF(N139&lt;=M139,"",TRIM(CLEAN(MID(INDEX($B$3:$B$168,K139),M139,N139-M139)))))</x:f>
      </x:c>
      <x:c r="F139" t="str">
        <x:f>IF(E139="","",IF(E139=TRIM(INDEX($A$3:$A$168,K139)),"",IF(RIGHT(TRIM(INDEX($A$3:$A$168,K139)),1)="]",LEFT(TRIM(INDEX($A$3:$A$168,K139)),LEN(TRIM(INDEX($A$3:$A$168,K139)))-1)&amp;", "&amp;SUBSTITUTE(SUBSTITUTE(SUBSTITUTE(E139," [",", "),"[",", "),"]","")&amp;"]",TRIM(INDEX($A$3:$A$168,K139))&amp;" ["&amp;SUBSTITUTE(SUBSTITUTE(SUBSTITUTE(E139," [",", "),"[",", "),"]","")&amp;"]")))</x:f>
      </x:c>
      <x:c r="G139" t="str">
        <x:f>IF(F139&lt;&gt;"",ROWS($F$3:F139)-COUNTBLANK($F$3:F139),"")</x:f>
      </x:c>
      <x:c r="H139" t="n">
        <x:f>SUM($J$3:J139)-J139</x:f>
        <x:v>0</x:v>
      </x:c>
      <x:c r="I139" t="str">
        <x:f>IF(A139&lt;&gt;"",COUNTIF($A$3:A139,"&lt;&gt;"),"")</x:f>
      </x:c>
      <x:c r="J139" t="n">
        <x:f>IF(AND(A139&lt;&gt;"",TRIM(B139)&lt;&gt;""),LEN(B139)-LEN(SUBSTITUTE(B139,CHAR(10),""))+1,0)</x:f>
        <x:v>0</x:v>
      </x:c>
      <x:c r="K139" t="str">
        <x:f>IF(ROW()-ROW($K$2)&lt;=SUM($J$3:$J$168),COUNTIF($H$3:$H$168,"&lt;"&amp;(ROW()-ROW($K$2))),"")</x:f>
      </x:c>
      <x:c r="L139" t="str">
        <x:f>IF(K139="","",ROW()-ROW($L$2)-INDEX($H$3:$H$168,K139))</x:f>
      </x:c>
      <x:c r="M139" t="str">
        <x:f>IF(K139="","",IF(L139=1,1,FIND(CHAR(1),SUBSTITUTE(INDEX($B$3:$B$168,K139),CHAR(10),CHAR(1),L139-1))+1))</x:f>
      </x:c>
      <x:c r="N139" t="str">
        <x:f>IF(K139="","",IFERROR(FIND(CHAR(1),SUBSTITUTE(INDEX($B$3:$B$168,K139),CHAR(10),CHAR(1),L139)),LEN(INDEX($B$3:$B$168,K139))+1))</x:f>
      </x:c>
    </x:row>
    <x:row r="140">
      <x:c r="A140" s="71"/>
      <x:c r="B140" s="77"/>
      <x:c r="C140" s="71"/>
      <x:c r="D140" t="str">
        <x:f>IFERROR(IF(138&lt;=$O$1,INDEX($A$3:$A$168,MATCH(138,$I$3:$I$168,0)),IF(138&lt;=$O$1+$O$2,INDEX($F$3:$F$1994,MATCH(138-$O$1,$G$3:$G$1994,0)),"")),"")</x:f>
      </x:c>
      <x:c r="E140" t="str">
        <x:f>IF(K140="","",IF(N140&lt;=M140,"",TRIM(CLEAN(MID(INDEX($B$3:$B$168,K140),M140,N140-M140)))))</x:f>
      </x:c>
      <x:c r="F140" t="str">
        <x:f>IF(E140="","",IF(E140=TRIM(INDEX($A$3:$A$168,K140)),"",IF(RIGHT(TRIM(INDEX($A$3:$A$168,K140)),1)="]",LEFT(TRIM(INDEX($A$3:$A$168,K140)),LEN(TRIM(INDEX($A$3:$A$168,K140)))-1)&amp;", "&amp;SUBSTITUTE(SUBSTITUTE(SUBSTITUTE(E140," [",", "),"[",", "),"]","")&amp;"]",TRIM(INDEX($A$3:$A$168,K140))&amp;" ["&amp;SUBSTITUTE(SUBSTITUTE(SUBSTITUTE(E140," [",", "),"[",", "),"]","")&amp;"]")))</x:f>
      </x:c>
      <x:c r="G140" t="str">
        <x:f>IF(F140&lt;&gt;"",ROWS($F$3:F140)-COUNTBLANK($F$3:F140),"")</x:f>
      </x:c>
      <x:c r="H140" t="n">
        <x:f>SUM($J$3:J140)-J140</x:f>
        <x:v>0</x:v>
      </x:c>
      <x:c r="I140" t="str">
        <x:f>IF(A140&lt;&gt;"",COUNTIF($A$3:A140,"&lt;&gt;"),"")</x:f>
      </x:c>
      <x:c r="J140" t="n">
        <x:f>IF(AND(A140&lt;&gt;"",TRIM(B140)&lt;&gt;""),LEN(B140)-LEN(SUBSTITUTE(B140,CHAR(10),""))+1,0)</x:f>
        <x:v>0</x:v>
      </x:c>
      <x:c r="K140" t="str">
        <x:f>IF(ROW()-ROW($K$2)&lt;=SUM($J$3:$J$168),COUNTIF($H$3:$H$168,"&lt;"&amp;(ROW()-ROW($K$2))),"")</x:f>
      </x:c>
      <x:c r="L140" t="str">
        <x:f>IF(K140="","",ROW()-ROW($L$2)-INDEX($H$3:$H$168,K140))</x:f>
      </x:c>
      <x:c r="M140" t="str">
        <x:f>IF(K140="","",IF(L140=1,1,FIND(CHAR(1),SUBSTITUTE(INDEX($B$3:$B$168,K140),CHAR(10),CHAR(1),L140-1))+1))</x:f>
      </x:c>
      <x:c r="N140" t="str">
        <x:f>IF(K140="","",IFERROR(FIND(CHAR(1),SUBSTITUTE(INDEX($B$3:$B$168,K140),CHAR(10),CHAR(1),L140)),LEN(INDEX($B$3:$B$168,K140))+1))</x:f>
      </x:c>
    </x:row>
    <x:row r="141">
      <x:c r="A141" s="71"/>
      <x:c r="B141" s="77"/>
      <x:c r="C141" s="71"/>
      <x:c r="D141" t="str">
        <x:f>IFERROR(IF(139&lt;=$O$1,INDEX($A$3:$A$168,MATCH(139,$I$3:$I$168,0)),IF(139&lt;=$O$1+$O$2,INDEX($F$3:$F$1994,MATCH(139-$O$1,$G$3:$G$1994,0)),"")),"")</x:f>
      </x:c>
      <x:c r="E141" t="str">
        <x:f>IF(K141="","",IF(N141&lt;=M141,"",TRIM(CLEAN(MID(INDEX($B$3:$B$168,K141),M141,N141-M141)))))</x:f>
      </x:c>
      <x:c r="F141" t="str">
        <x:f>IF(E141="","",IF(E141=TRIM(INDEX($A$3:$A$168,K141)),"",IF(RIGHT(TRIM(INDEX($A$3:$A$168,K141)),1)="]",LEFT(TRIM(INDEX($A$3:$A$168,K141)),LEN(TRIM(INDEX($A$3:$A$168,K141)))-1)&amp;", "&amp;SUBSTITUTE(SUBSTITUTE(SUBSTITUTE(E141," [",", "),"[",", "),"]","")&amp;"]",TRIM(INDEX($A$3:$A$168,K141))&amp;" ["&amp;SUBSTITUTE(SUBSTITUTE(SUBSTITUTE(E141," [",", "),"[",", "),"]","")&amp;"]")))</x:f>
      </x:c>
      <x:c r="G141" t="str">
        <x:f>IF(F141&lt;&gt;"",ROWS($F$3:F141)-COUNTBLANK($F$3:F141),"")</x:f>
      </x:c>
      <x:c r="H141" t="n">
        <x:f>SUM($J$3:J141)-J141</x:f>
        <x:v>0</x:v>
      </x:c>
      <x:c r="I141" t="str">
        <x:f>IF(A141&lt;&gt;"",COUNTIF($A$3:A141,"&lt;&gt;"),"")</x:f>
      </x:c>
      <x:c r="J141" t="n">
        <x:f>IF(AND(A141&lt;&gt;"",TRIM(B141)&lt;&gt;""),LEN(B141)-LEN(SUBSTITUTE(B141,CHAR(10),""))+1,0)</x:f>
        <x:v>0</x:v>
      </x:c>
      <x:c r="K141" t="str">
        <x:f>IF(ROW()-ROW($K$2)&lt;=SUM($J$3:$J$168),COUNTIF($H$3:$H$168,"&lt;"&amp;(ROW()-ROW($K$2))),"")</x:f>
      </x:c>
      <x:c r="L141" t="str">
        <x:f>IF(K141="","",ROW()-ROW($L$2)-INDEX($H$3:$H$168,K141))</x:f>
      </x:c>
      <x:c r="M141" t="str">
        <x:f>IF(K141="","",IF(L141=1,1,FIND(CHAR(1),SUBSTITUTE(INDEX($B$3:$B$168,K141),CHAR(10),CHAR(1),L141-1))+1))</x:f>
      </x:c>
      <x:c r="N141" t="str">
        <x:f>IF(K141="","",IFERROR(FIND(CHAR(1),SUBSTITUTE(INDEX($B$3:$B$168,K141),CHAR(10),CHAR(1),L141)),LEN(INDEX($B$3:$B$168,K141))+1))</x:f>
      </x:c>
    </x:row>
    <x:row r="142">
      <x:c r="A142" s="71"/>
      <x:c r="B142" s="77"/>
      <x:c r="C142" s="71"/>
      <x:c r="D142" t="str">
        <x:f>IFERROR(IF(140&lt;=$O$1,INDEX($A$3:$A$168,MATCH(140,$I$3:$I$168,0)),IF(140&lt;=$O$1+$O$2,INDEX($F$3:$F$1994,MATCH(140-$O$1,$G$3:$G$1994,0)),"")),"")</x:f>
      </x:c>
      <x:c r="E142" t="str">
        <x:f>IF(K142="","",IF(N142&lt;=M142,"",TRIM(CLEAN(MID(INDEX($B$3:$B$168,K142),M142,N142-M142)))))</x:f>
      </x:c>
      <x:c r="F142" t="str">
        <x:f>IF(E142="","",IF(E142=TRIM(INDEX($A$3:$A$168,K142)),"",IF(RIGHT(TRIM(INDEX($A$3:$A$168,K142)),1)="]",LEFT(TRIM(INDEX($A$3:$A$168,K142)),LEN(TRIM(INDEX($A$3:$A$168,K142)))-1)&amp;", "&amp;SUBSTITUTE(SUBSTITUTE(SUBSTITUTE(E142," [",", "),"[",", "),"]","")&amp;"]",TRIM(INDEX($A$3:$A$168,K142))&amp;" ["&amp;SUBSTITUTE(SUBSTITUTE(SUBSTITUTE(E142," [",", "),"[",", "),"]","")&amp;"]")))</x:f>
      </x:c>
      <x:c r="G142" t="str">
        <x:f>IF(F142&lt;&gt;"",ROWS($F$3:F142)-COUNTBLANK($F$3:F142),"")</x:f>
      </x:c>
      <x:c r="H142" t="n">
        <x:f>SUM($J$3:J142)-J142</x:f>
        <x:v>0</x:v>
      </x:c>
      <x:c r="I142" t="str">
        <x:f>IF(A142&lt;&gt;"",COUNTIF($A$3:A142,"&lt;&gt;"),"")</x:f>
      </x:c>
      <x:c r="J142" t="n">
        <x:f>IF(AND(A142&lt;&gt;"",TRIM(B142)&lt;&gt;""),LEN(B142)-LEN(SUBSTITUTE(B142,CHAR(10),""))+1,0)</x:f>
        <x:v>0</x:v>
      </x:c>
      <x:c r="K142" t="str">
        <x:f>IF(ROW()-ROW($K$2)&lt;=SUM($J$3:$J$168),COUNTIF($H$3:$H$168,"&lt;"&amp;(ROW()-ROW($K$2))),"")</x:f>
      </x:c>
      <x:c r="L142" t="str">
        <x:f>IF(K142="","",ROW()-ROW($L$2)-INDEX($H$3:$H$168,K142))</x:f>
      </x:c>
      <x:c r="M142" t="str">
        <x:f>IF(K142="","",IF(L142=1,1,FIND(CHAR(1),SUBSTITUTE(INDEX($B$3:$B$168,K142),CHAR(10),CHAR(1),L142-1))+1))</x:f>
      </x:c>
      <x:c r="N142" t="str">
        <x:f>IF(K142="","",IFERROR(FIND(CHAR(1),SUBSTITUTE(INDEX($B$3:$B$168,K142),CHAR(10),CHAR(1),L142)),LEN(INDEX($B$3:$B$168,K142))+1))</x:f>
      </x:c>
    </x:row>
    <x:row r="143">
      <x:c r="A143" s="71"/>
      <x:c r="B143" s="77"/>
      <x:c r="C143" s="71"/>
      <x:c r="D143" t="str">
        <x:f>IFERROR(IF(141&lt;=$O$1,INDEX($A$3:$A$168,MATCH(141,$I$3:$I$168,0)),IF(141&lt;=$O$1+$O$2,INDEX($F$3:$F$1994,MATCH(141-$O$1,$G$3:$G$1994,0)),"")),"")</x:f>
      </x:c>
      <x:c r="E143" t="str">
        <x:f>IF(K143="","",IF(N143&lt;=M143,"",TRIM(CLEAN(MID(INDEX($B$3:$B$168,K143),M143,N143-M143)))))</x:f>
      </x:c>
      <x:c r="F143" t="str">
        <x:f>IF(E143="","",IF(E143=TRIM(INDEX($A$3:$A$168,K143)),"",IF(RIGHT(TRIM(INDEX($A$3:$A$168,K143)),1)="]",LEFT(TRIM(INDEX($A$3:$A$168,K143)),LEN(TRIM(INDEX($A$3:$A$168,K143)))-1)&amp;", "&amp;SUBSTITUTE(SUBSTITUTE(SUBSTITUTE(E143," [",", "),"[",", "),"]","")&amp;"]",TRIM(INDEX($A$3:$A$168,K143))&amp;" ["&amp;SUBSTITUTE(SUBSTITUTE(SUBSTITUTE(E143," [",", "),"[",", "),"]","")&amp;"]")))</x:f>
      </x:c>
      <x:c r="G143" t="str">
        <x:f>IF(F143&lt;&gt;"",ROWS($F$3:F143)-COUNTBLANK($F$3:F143),"")</x:f>
      </x:c>
      <x:c r="H143" t="n">
        <x:f>SUM($J$3:J143)-J143</x:f>
        <x:v>0</x:v>
      </x:c>
      <x:c r="I143" t="str">
        <x:f>IF(A143&lt;&gt;"",COUNTIF($A$3:A143,"&lt;&gt;"),"")</x:f>
      </x:c>
      <x:c r="J143" t="n">
        <x:f>IF(AND(A143&lt;&gt;"",TRIM(B143)&lt;&gt;""),LEN(B143)-LEN(SUBSTITUTE(B143,CHAR(10),""))+1,0)</x:f>
        <x:v>0</x:v>
      </x:c>
      <x:c r="K143" t="str">
        <x:f>IF(ROW()-ROW($K$2)&lt;=SUM($J$3:$J$168),COUNTIF($H$3:$H$168,"&lt;"&amp;(ROW()-ROW($K$2))),"")</x:f>
      </x:c>
      <x:c r="L143" t="str">
        <x:f>IF(K143="","",ROW()-ROW($L$2)-INDEX($H$3:$H$168,K143))</x:f>
      </x:c>
      <x:c r="M143" t="str">
        <x:f>IF(K143="","",IF(L143=1,1,FIND(CHAR(1),SUBSTITUTE(INDEX($B$3:$B$168,K143),CHAR(10),CHAR(1),L143-1))+1))</x:f>
      </x:c>
      <x:c r="N143" t="str">
        <x:f>IF(K143="","",IFERROR(FIND(CHAR(1),SUBSTITUTE(INDEX($B$3:$B$168,K143),CHAR(10),CHAR(1),L143)),LEN(INDEX($B$3:$B$168,K143))+1))</x:f>
      </x:c>
    </x:row>
    <x:row r="144">
      <x:c r="A144" s="71"/>
      <x:c r="B144" s="77"/>
      <x:c r="C144" s="71"/>
      <x:c r="D144" t="str">
        <x:f>IFERROR(IF(142&lt;=$O$1,INDEX($A$3:$A$168,MATCH(142,$I$3:$I$168,0)),IF(142&lt;=$O$1+$O$2,INDEX($F$3:$F$1994,MATCH(142-$O$1,$G$3:$G$1994,0)),"")),"")</x:f>
      </x:c>
      <x:c r="E144" t="str">
        <x:f>IF(K144="","",IF(N144&lt;=M144,"",TRIM(CLEAN(MID(INDEX($B$3:$B$168,K144),M144,N144-M144)))))</x:f>
      </x:c>
      <x:c r="F144" t="str">
        <x:f>IF(E144="","",IF(E144=TRIM(INDEX($A$3:$A$168,K144)),"",IF(RIGHT(TRIM(INDEX($A$3:$A$168,K144)),1)="]",LEFT(TRIM(INDEX($A$3:$A$168,K144)),LEN(TRIM(INDEX($A$3:$A$168,K144)))-1)&amp;", "&amp;SUBSTITUTE(SUBSTITUTE(SUBSTITUTE(E144," [",", "),"[",", "),"]","")&amp;"]",TRIM(INDEX($A$3:$A$168,K144))&amp;" ["&amp;SUBSTITUTE(SUBSTITUTE(SUBSTITUTE(E144," [",", "),"[",", "),"]","")&amp;"]")))</x:f>
      </x:c>
      <x:c r="G144" t="str">
        <x:f>IF(F144&lt;&gt;"",ROWS($F$3:F144)-COUNTBLANK($F$3:F144),"")</x:f>
      </x:c>
      <x:c r="H144" t="n">
        <x:f>SUM($J$3:J144)-J144</x:f>
        <x:v>0</x:v>
      </x:c>
      <x:c r="I144" t="str">
        <x:f>IF(A144&lt;&gt;"",COUNTIF($A$3:A144,"&lt;&gt;"),"")</x:f>
      </x:c>
      <x:c r="J144" t="n">
        <x:f>IF(AND(A144&lt;&gt;"",TRIM(B144)&lt;&gt;""),LEN(B144)-LEN(SUBSTITUTE(B144,CHAR(10),""))+1,0)</x:f>
        <x:v>0</x:v>
      </x:c>
      <x:c r="K144" t="str">
        <x:f>IF(ROW()-ROW($K$2)&lt;=SUM($J$3:$J$168),COUNTIF($H$3:$H$168,"&lt;"&amp;(ROW()-ROW($K$2))),"")</x:f>
      </x:c>
      <x:c r="L144" t="str">
        <x:f>IF(K144="","",ROW()-ROW($L$2)-INDEX($H$3:$H$168,K144))</x:f>
      </x:c>
      <x:c r="M144" t="str">
        <x:f>IF(K144="","",IF(L144=1,1,FIND(CHAR(1),SUBSTITUTE(INDEX($B$3:$B$168,K144),CHAR(10),CHAR(1),L144-1))+1))</x:f>
      </x:c>
      <x:c r="N144" t="str">
        <x:f>IF(K144="","",IFERROR(FIND(CHAR(1),SUBSTITUTE(INDEX($B$3:$B$168,K144),CHAR(10),CHAR(1),L144)),LEN(INDEX($B$3:$B$168,K144))+1))</x:f>
      </x:c>
    </x:row>
    <x:row r="145">
      <x:c r="A145" s="71"/>
      <x:c r="B145" s="77"/>
      <x:c r="C145" s="71"/>
      <x:c r="D145" t="str">
        <x:f>IFERROR(IF(143&lt;=$O$1,INDEX($A$3:$A$168,MATCH(143,$I$3:$I$168,0)),IF(143&lt;=$O$1+$O$2,INDEX($F$3:$F$1994,MATCH(143-$O$1,$G$3:$G$1994,0)),"")),"")</x:f>
      </x:c>
      <x:c r="E145" t="str">
        <x:f>IF(K145="","",IF(N145&lt;=M145,"",TRIM(CLEAN(MID(INDEX($B$3:$B$168,K145),M145,N145-M145)))))</x:f>
      </x:c>
      <x:c r="F145" t="str">
        <x:f>IF(E145="","",IF(E145=TRIM(INDEX($A$3:$A$168,K145)),"",IF(RIGHT(TRIM(INDEX($A$3:$A$168,K145)),1)="]",LEFT(TRIM(INDEX($A$3:$A$168,K145)),LEN(TRIM(INDEX($A$3:$A$168,K145)))-1)&amp;", "&amp;SUBSTITUTE(SUBSTITUTE(SUBSTITUTE(E145," [",", "),"[",", "),"]","")&amp;"]",TRIM(INDEX($A$3:$A$168,K145))&amp;" ["&amp;SUBSTITUTE(SUBSTITUTE(SUBSTITUTE(E145," [",", "),"[",", "),"]","")&amp;"]")))</x:f>
      </x:c>
      <x:c r="G145" t="str">
        <x:f>IF(F145&lt;&gt;"",ROWS($F$3:F145)-COUNTBLANK($F$3:F145),"")</x:f>
      </x:c>
      <x:c r="H145" t="n">
        <x:f>SUM($J$3:J145)-J145</x:f>
        <x:v>0</x:v>
      </x:c>
      <x:c r="I145" t="str">
        <x:f>IF(A145&lt;&gt;"",COUNTIF($A$3:A145,"&lt;&gt;"),"")</x:f>
      </x:c>
      <x:c r="J145" t="n">
        <x:f>IF(AND(A145&lt;&gt;"",TRIM(B145)&lt;&gt;""),LEN(B145)-LEN(SUBSTITUTE(B145,CHAR(10),""))+1,0)</x:f>
        <x:v>0</x:v>
      </x:c>
      <x:c r="K145" t="str">
        <x:f>IF(ROW()-ROW($K$2)&lt;=SUM($J$3:$J$168),COUNTIF($H$3:$H$168,"&lt;"&amp;(ROW()-ROW($K$2))),"")</x:f>
      </x:c>
      <x:c r="L145" t="str">
        <x:f>IF(K145="","",ROW()-ROW($L$2)-INDEX($H$3:$H$168,K145))</x:f>
      </x:c>
      <x:c r="M145" t="str">
        <x:f>IF(K145="","",IF(L145=1,1,FIND(CHAR(1),SUBSTITUTE(INDEX($B$3:$B$168,K145),CHAR(10),CHAR(1),L145-1))+1))</x:f>
      </x:c>
      <x:c r="N145" t="str">
        <x:f>IF(K145="","",IFERROR(FIND(CHAR(1),SUBSTITUTE(INDEX($B$3:$B$168,K145),CHAR(10),CHAR(1),L145)),LEN(INDEX($B$3:$B$168,K145))+1))</x:f>
      </x:c>
    </x:row>
    <x:row r="146">
      <x:c r="A146" s="71"/>
      <x:c r="B146" s="77"/>
      <x:c r="C146" s="71"/>
      <x:c r="D146" t="str">
        <x:f>IFERROR(IF(144&lt;=$O$1,INDEX($A$3:$A$168,MATCH(144,$I$3:$I$168,0)),IF(144&lt;=$O$1+$O$2,INDEX($F$3:$F$1994,MATCH(144-$O$1,$G$3:$G$1994,0)),"")),"")</x:f>
      </x:c>
      <x:c r="E146" t="str">
        <x:f>IF(K146="","",IF(N146&lt;=M146,"",TRIM(CLEAN(MID(INDEX($B$3:$B$168,K146),M146,N146-M146)))))</x:f>
      </x:c>
      <x:c r="F146" t="str">
        <x:f>IF(E146="","",IF(E146=TRIM(INDEX($A$3:$A$168,K146)),"",IF(RIGHT(TRIM(INDEX($A$3:$A$168,K146)),1)="]",LEFT(TRIM(INDEX($A$3:$A$168,K146)),LEN(TRIM(INDEX($A$3:$A$168,K146)))-1)&amp;", "&amp;SUBSTITUTE(SUBSTITUTE(SUBSTITUTE(E146," [",", "),"[",", "),"]","")&amp;"]",TRIM(INDEX($A$3:$A$168,K146))&amp;" ["&amp;SUBSTITUTE(SUBSTITUTE(SUBSTITUTE(E146," [",", "),"[",", "),"]","")&amp;"]")))</x:f>
      </x:c>
      <x:c r="G146" t="str">
        <x:f>IF(F146&lt;&gt;"",ROWS($F$3:F146)-COUNTBLANK($F$3:F146),"")</x:f>
      </x:c>
      <x:c r="H146" t="n">
        <x:f>SUM($J$3:J146)-J146</x:f>
        <x:v>0</x:v>
      </x:c>
      <x:c r="I146" t="str">
        <x:f>IF(A146&lt;&gt;"",COUNTIF($A$3:A146,"&lt;&gt;"),"")</x:f>
      </x:c>
      <x:c r="J146" t="n">
        <x:f>IF(AND(A146&lt;&gt;"",TRIM(B146)&lt;&gt;""),LEN(B146)-LEN(SUBSTITUTE(B146,CHAR(10),""))+1,0)</x:f>
        <x:v>0</x:v>
      </x:c>
      <x:c r="K146" t="str">
        <x:f>IF(ROW()-ROW($K$2)&lt;=SUM($J$3:$J$168),COUNTIF($H$3:$H$168,"&lt;"&amp;(ROW()-ROW($K$2))),"")</x:f>
      </x:c>
      <x:c r="L146" t="str">
        <x:f>IF(K146="","",ROW()-ROW($L$2)-INDEX($H$3:$H$168,K146))</x:f>
      </x:c>
      <x:c r="M146" t="str">
        <x:f>IF(K146="","",IF(L146=1,1,FIND(CHAR(1),SUBSTITUTE(INDEX($B$3:$B$168,K146),CHAR(10),CHAR(1),L146-1))+1))</x:f>
      </x:c>
      <x:c r="N146" t="str">
        <x:f>IF(K146="","",IFERROR(FIND(CHAR(1),SUBSTITUTE(INDEX($B$3:$B$168,K146),CHAR(10),CHAR(1),L146)),LEN(INDEX($B$3:$B$168,K146))+1))</x:f>
      </x:c>
    </x:row>
    <x:row r="147">
      <x:c r="A147" s="71"/>
      <x:c r="B147" s="77"/>
      <x:c r="C147" s="71"/>
      <x:c r="D147" t="str">
        <x:f>IFERROR(IF(145&lt;=$O$1,INDEX($A$3:$A$168,MATCH(145,$I$3:$I$168,0)),IF(145&lt;=$O$1+$O$2,INDEX($F$3:$F$1994,MATCH(145-$O$1,$G$3:$G$1994,0)),"")),"")</x:f>
      </x:c>
      <x:c r="E147" t="str">
        <x:f>IF(K147="","",IF(N147&lt;=M147,"",TRIM(CLEAN(MID(INDEX($B$3:$B$168,K147),M147,N147-M147)))))</x:f>
      </x:c>
      <x:c r="F147" t="str">
        <x:f>IF(E147="","",IF(E147=TRIM(INDEX($A$3:$A$168,K147)),"",IF(RIGHT(TRIM(INDEX($A$3:$A$168,K147)),1)="]",LEFT(TRIM(INDEX($A$3:$A$168,K147)),LEN(TRIM(INDEX($A$3:$A$168,K147)))-1)&amp;", "&amp;SUBSTITUTE(SUBSTITUTE(SUBSTITUTE(E147," [",", "),"[",", "),"]","")&amp;"]",TRIM(INDEX($A$3:$A$168,K147))&amp;" ["&amp;SUBSTITUTE(SUBSTITUTE(SUBSTITUTE(E147," [",", "),"[",", "),"]","")&amp;"]")))</x:f>
      </x:c>
      <x:c r="G147" t="str">
        <x:f>IF(F147&lt;&gt;"",ROWS($F$3:F147)-COUNTBLANK($F$3:F147),"")</x:f>
      </x:c>
      <x:c r="H147" t="n">
        <x:f>SUM($J$3:J147)-J147</x:f>
        <x:v>0</x:v>
      </x:c>
      <x:c r="I147" t="str">
        <x:f>IF(A147&lt;&gt;"",COUNTIF($A$3:A147,"&lt;&gt;"),"")</x:f>
      </x:c>
      <x:c r="J147" t="n">
        <x:f>IF(AND(A147&lt;&gt;"",TRIM(B147)&lt;&gt;""),LEN(B147)-LEN(SUBSTITUTE(B147,CHAR(10),""))+1,0)</x:f>
        <x:v>0</x:v>
      </x:c>
      <x:c r="K147" t="str">
        <x:f>IF(ROW()-ROW($K$2)&lt;=SUM($J$3:$J$168),COUNTIF($H$3:$H$168,"&lt;"&amp;(ROW()-ROW($K$2))),"")</x:f>
      </x:c>
      <x:c r="L147" t="str">
        <x:f>IF(K147="","",ROW()-ROW($L$2)-INDEX($H$3:$H$168,K147))</x:f>
      </x:c>
      <x:c r="M147" t="str">
        <x:f>IF(K147="","",IF(L147=1,1,FIND(CHAR(1),SUBSTITUTE(INDEX($B$3:$B$168,K147),CHAR(10),CHAR(1),L147-1))+1))</x:f>
      </x:c>
      <x:c r="N147" t="str">
        <x:f>IF(K147="","",IFERROR(FIND(CHAR(1),SUBSTITUTE(INDEX($B$3:$B$168,K147),CHAR(10),CHAR(1),L147)),LEN(INDEX($B$3:$B$168,K147))+1))</x:f>
      </x:c>
    </x:row>
    <x:row r="148">
      <x:c r="A148" s="71"/>
      <x:c r="B148" s="77"/>
      <x:c r="C148" s="71"/>
      <x:c r="D148" t="str">
        <x:f>IFERROR(IF(146&lt;=$O$1,INDEX($A$3:$A$168,MATCH(146,$I$3:$I$168,0)),IF(146&lt;=$O$1+$O$2,INDEX($F$3:$F$1994,MATCH(146-$O$1,$G$3:$G$1994,0)),"")),"")</x:f>
      </x:c>
      <x:c r="E148" t="str">
        <x:f>IF(K148="","",IF(N148&lt;=M148,"",TRIM(CLEAN(MID(INDEX($B$3:$B$168,K148),M148,N148-M148)))))</x:f>
      </x:c>
      <x:c r="F148" t="str">
        <x:f>IF(E148="","",IF(E148=TRIM(INDEX($A$3:$A$168,K148)),"",IF(RIGHT(TRIM(INDEX($A$3:$A$168,K148)),1)="]",LEFT(TRIM(INDEX($A$3:$A$168,K148)),LEN(TRIM(INDEX($A$3:$A$168,K148)))-1)&amp;", "&amp;SUBSTITUTE(SUBSTITUTE(SUBSTITUTE(E148," [",", "),"[",", "),"]","")&amp;"]",TRIM(INDEX($A$3:$A$168,K148))&amp;" ["&amp;SUBSTITUTE(SUBSTITUTE(SUBSTITUTE(E148," [",", "),"[",", "),"]","")&amp;"]")))</x:f>
      </x:c>
      <x:c r="G148" t="str">
        <x:f>IF(F148&lt;&gt;"",ROWS($F$3:F148)-COUNTBLANK($F$3:F148),"")</x:f>
      </x:c>
      <x:c r="H148" t="n">
        <x:f>SUM($J$3:J148)-J148</x:f>
        <x:v>0</x:v>
      </x:c>
      <x:c r="I148" t="str">
        <x:f>IF(A148&lt;&gt;"",COUNTIF($A$3:A148,"&lt;&gt;"),"")</x:f>
      </x:c>
      <x:c r="J148" t="n">
        <x:f>IF(AND(A148&lt;&gt;"",TRIM(B148)&lt;&gt;""),LEN(B148)-LEN(SUBSTITUTE(B148,CHAR(10),""))+1,0)</x:f>
        <x:v>0</x:v>
      </x:c>
      <x:c r="K148" t="str">
        <x:f>IF(ROW()-ROW($K$2)&lt;=SUM($J$3:$J$168),COUNTIF($H$3:$H$168,"&lt;"&amp;(ROW()-ROW($K$2))),"")</x:f>
      </x:c>
      <x:c r="L148" t="str">
        <x:f>IF(K148="","",ROW()-ROW($L$2)-INDEX($H$3:$H$168,K148))</x:f>
      </x:c>
      <x:c r="M148" t="str">
        <x:f>IF(K148="","",IF(L148=1,1,FIND(CHAR(1),SUBSTITUTE(INDEX($B$3:$B$168,K148),CHAR(10),CHAR(1),L148-1))+1))</x:f>
      </x:c>
      <x:c r="N148" t="str">
        <x:f>IF(K148="","",IFERROR(FIND(CHAR(1),SUBSTITUTE(INDEX($B$3:$B$168,K148),CHAR(10),CHAR(1),L148)),LEN(INDEX($B$3:$B$168,K148))+1))</x:f>
      </x:c>
    </x:row>
    <x:row r="149">
      <x:c r="A149" s="71"/>
      <x:c r="B149" s="77"/>
      <x:c r="C149" s="71"/>
      <x:c r="D149" t="str">
        <x:f>IFERROR(IF(147&lt;=$O$1,INDEX($A$3:$A$168,MATCH(147,$I$3:$I$168,0)),IF(147&lt;=$O$1+$O$2,INDEX($F$3:$F$1994,MATCH(147-$O$1,$G$3:$G$1994,0)),"")),"")</x:f>
      </x:c>
      <x:c r="E149" t="str">
        <x:f>IF(K149="","",IF(N149&lt;=M149,"",TRIM(CLEAN(MID(INDEX($B$3:$B$168,K149),M149,N149-M149)))))</x:f>
      </x:c>
      <x:c r="F149" t="str">
        <x:f>IF(E149="","",IF(E149=TRIM(INDEX($A$3:$A$168,K149)),"",IF(RIGHT(TRIM(INDEX($A$3:$A$168,K149)),1)="]",LEFT(TRIM(INDEX($A$3:$A$168,K149)),LEN(TRIM(INDEX($A$3:$A$168,K149)))-1)&amp;", "&amp;SUBSTITUTE(SUBSTITUTE(SUBSTITUTE(E149," [",", "),"[",", "),"]","")&amp;"]",TRIM(INDEX($A$3:$A$168,K149))&amp;" ["&amp;SUBSTITUTE(SUBSTITUTE(SUBSTITUTE(E149," [",", "),"[",", "),"]","")&amp;"]")))</x:f>
      </x:c>
      <x:c r="G149" t="str">
        <x:f>IF(F149&lt;&gt;"",ROWS($F$3:F149)-COUNTBLANK($F$3:F149),"")</x:f>
      </x:c>
      <x:c r="H149" t="n">
        <x:f>SUM($J$3:J149)-J149</x:f>
        <x:v>0</x:v>
      </x:c>
      <x:c r="I149" t="str">
        <x:f>IF(A149&lt;&gt;"",COUNTIF($A$3:A149,"&lt;&gt;"),"")</x:f>
      </x:c>
      <x:c r="J149" t="n">
        <x:f>IF(AND(A149&lt;&gt;"",TRIM(B149)&lt;&gt;""),LEN(B149)-LEN(SUBSTITUTE(B149,CHAR(10),""))+1,0)</x:f>
        <x:v>0</x:v>
      </x:c>
      <x:c r="K149" t="str">
        <x:f>IF(ROW()-ROW($K$2)&lt;=SUM($J$3:$J$168),COUNTIF($H$3:$H$168,"&lt;"&amp;(ROW()-ROW($K$2))),"")</x:f>
      </x:c>
      <x:c r="L149" t="str">
        <x:f>IF(K149="","",ROW()-ROW($L$2)-INDEX($H$3:$H$168,K149))</x:f>
      </x:c>
      <x:c r="M149" t="str">
        <x:f>IF(K149="","",IF(L149=1,1,FIND(CHAR(1),SUBSTITUTE(INDEX($B$3:$B$168,K149),CHAR(10),CHAR(1),L149-1))+1))</x:f>
      </x:c>
      <x:c r="N149" t="str">
        <x:f>IF(K149="","",IFERROR(FIND(CHAR(1),SUBSTITUTE(INDEX($B$3:$B$168,K149),CHAR(10),CHAR(1),L149)),LEN(INDEX($B$3:$B$168,K149))+1))</x:f>
      </x:c>
    </x:row>
    <x:row r="150">
      <x:c r="A150" s="71"/>
      <x:c r="B150" s="77"/>
      <x:c r="C150" s="71"/>
      <x:c r="D150" t="str">
        <x:f>IFERROR(IF(148&lt;=$O$1,INDEX($A$3:$A$168,MATCH(148,$I$3:$I$168,0)),IF(148&lt;=$O$1+$O$2,INDEX($F$3:$F$1994,MATCH(148-$O$1,$G$3:$G$1994,0)),"")),"")</x:f>
      </x:c>
      <x:c r="E150" t="str">
        <x:f>IF(K150="","",IF(N150&lt;=M150,"",TRIM(CLEAN(MID(INDEX($B$3:$B$168,K150),M150,N150-M150)))))</x:f>
      </x:c>
      <x:c r="F150" t="str">
        <x:f>IF(E150="","",IF(E150=TRIM(INDEX($A$3:$A$168,K150)),"",IF(RIGHT(TRIM(INDEX($A$3:$A$168,K150)),1)="]",LEFT(TRIM(INDEX($A$3:$A$168,K150)),LEN(TRIM(INDEX($A$3:$A$168,K150)))-1)&amp;", "&amp;SUBSTITUTE(SUBSTITUTE(SUBSTITUTE(E150," [",", "),"[",", "),"]","")&amp;"]",TRIM(INDEX($A$3:$A$168,K150))&amp;" ["&amp;SUBSTITUTE(SUBSTITUTE(SUBSTITUTE(E150," [",", "),"[",", "),"]","")&amp;"]")))</x:f>
      </x:c>
      <x:c r="G150" t="str">
        <x:f>IF(F150&lt;&gt;"",ROWS($F$3:F150)-COUNTBLANK($F$3:F150),"")</x:f>
      </x:c>
      <x:c r="H150" t="n">
        <x:f>SUM($J$3:J150)-J150</x:f>
        <x:v>0</x:v>
      </x:c>
      <x:c r="I150" t="str">
        <x:f>IF(A150&lt;&gt;"",COUNTIF($A$3:A150,"&lt;&gt;"),"")</x:f>
      </x:c>
      <x:c r="J150" t="n">
        <x:f>IF(AND(A150&lt;&gt;"",TRIM(B150)&lt;&gt;""),LEN(B150)-LEN(SUBSTITUTE(B150,CHAR(10),""))+1,0)</x:f>
        <x:v>0</x:v>
      </x:c>
      <x:c r="K150" t="str">
        <x:f>IF(ROW()-ROW($K$2)&lt;=SUM($J$3:$J$168),COUNTIF($H$3:$H$168,"&lt;"&amp;(ROW()-ROW($K$2))),"")</x:f>
      </x:c>
      <x:c r="L150" t="str">
        <x:f>IF(K150="","",ROW()-ROW($L$2)-INDEX($H$3:$H$168,K150))</x:f>
      </x:c>
      <x:c r="M150" t="str">
        <x:f>IF(K150="","",IF(L150=1,1,FIND(CHAR(1),SUBSTITUTE(INDEX($B$3:$B$168,K150),CHAR(10),CHAR(1),L150-1))+1))</x:f>
      </x:c>
      <x:c r="N150" t="str">
        <x:f>IF(K150="","",IFERROR(FIND(CHAR(1),SUBSTITUTE(INDEX($B$3:$B$168,K150),CHAR(10),CHAR(1),L150)),LEN(INDEX($B$3:$B$168,K150))+1))</x:f>
      </x:c>
    </x:row>
    <x:row r="151">
      <x:c r="A151" s="71"/>
      <x:c r="B151" s="77"/>
      <x:c r="C151" s="71"/>
      <x:c r="D151" t="str">
        <x:f>IFERROR(IF(149&lt;=$O$1,INDEX($A$3:$A$168,MATCH(149,$I$3:$I$168,0)),IF(149&lt;=$O$1+$O$2,INDEX($F$3:$F$1994,MATCH(149-$O$1,$G$3:$G$1994,0)),"")),"")</x:f>
      </x:c>
      <x:c r="E151" t="str">
        <x:f>IF(K151="","",IF(N151&lt;=M151,"",TRIM(CLEAN(MID(INDEX($B$3:$B$168,K151),M151,N151-M151)))))</x:f>
      </x:c>
      <x:c r="F151" t="str">
        <x:f>IF(E151="","",IF(E151=TRIM(INDEX($A$3:$A$168,K151)),"",IF(RIGHT(TRIM(INDEX($A$3:$A$168,K151)),1)="]",LEFT(TRIM(INDEX($A$3:$A$168,K151)),LEN(TRIM(INDEX($A$3:$A$168,K151)))-1)&amp;", "&amp;SUBSTITUTE(SUBSTITUTE(SUBSTITUTE(E151," [",", "),"[",", "),"]","")&amp;"]",TRIM(INDEX($A$3:$A$168,K151))&amp;" ["&amp;SUBSTITUTE(SUBSTITUTE(SUBSTITUTE(E151," [",", "),"[",", "),"]","")&amp;"]")))</x:f>
      </x:c>
      <x:c r="G151" t="str">
        <x:f>IF(F151&lt;&gt;"",ROWS($F$3:F151)-COUNTBLANK($F$3:F151),"")</x:f>
      </x:c>
      <x:c r="H151" t="n">
        <x:f>SUM($J$3:J151)-J151</x:f>
        <x:v>0</x:v>
      </x:c>
      <x:c r="I151" t="str">
        <x:f>IF(A151&lt;&gt;"",COUNTIF($A$3:A151,"&lt;&gt;"),"")</x:f>
      </x:c>
      <x:c r="J151" t="n">
        <x:f>IF(AND(A151&lt;&gt;"",TRIM(B151)&lt;&gt;""),LEN(B151)-LEN(SUBSTITUTE(B151,CHAR(10),""))+1,0)</x:f>
        <x:v>0</x:v>
      </x:c>
      <x:c r="K151" t="str">
        <x:f>IF(ROW()-ROW($K$2)&lt;=SUM($J$3:$J$168),COUNTIF($H$3:$H$168,"&lt;"&amp;(ROW()-ROW($K$2))),"")</x:f>
      </x:c>
      <x:c r="L151" t="str">
        <x:f>IF(K151="","",ROW()-ROW($L$2)-INDEX($H$3:$H$168,K151))</x:f>
      </x:c>
      <x:c r="M151" t="str">
        <x:f>IF(K151="","",IF(L151=1,1,FIND(CHAR(1),SUBSTITUTE(INDEX($B$3:$B$168,K151),CHAR(10),CHAR(1),L151-1))+1))</x:f>
      </x:c>
      <x:c r="N151" t="str">
        <x:f>IF(K151="","",IFERROR(FIND(CHAR(1),SUBSTITUTE(INDEX($B$3:$B$168,K151),CHAR(10),CHAR(1),L151)),LEN(INDEX($B$3:$B$168,K151))+1))</x:f>
      </x:c>
    </x:row>
    <x:row r="152">
      <x:c r="A152" s="71"/>
      <x:c r="B152" s="77"/>
      <x:c r="C152" s="71"/>
      <x:c r="D152" t="str">
        <x:f>IFERROR(IF(150&lt;=$O$1,INDEX($A$3:$A$168,MATCH(150,$I$3:$I$168,0)),IF(150&lt;=$O$1+$O$2,INDEX($F$3:$F$1994,MATCH(150-$O$1,$G$3:$G$1994,0)),"")),"")</x:f>
      </x:c>
      <x:c r="E152" t="str">
        <x:f>IF(K152="","",IF(N152&lt;=M152,"",TRIM(CLEAN(MID(INDEX($B$3:$B$168,K152),M152,N152-M152)))))</x:f>
      </x:c>
      <x:c r="F152" t="str">
        <x:f>IF(E152="","",IF(E152=TRIM(INDEX($A$3:$A$168,K152)),"",IF(RIGHT(TRIM(INDEX($A$3:$A$168,K152)),1)="]",LEFT(TRIM(INDEX($A$3:$A$168,K152)),LEN(TRIM(INDEX($A$3:$A$168,K152)))-1)&amp;", "&amp;SUBSTITUTE(SUBSTITUTE(SUBSTITUTE(E152," [",", "),"[",", "),"]","")&amp;"]",TRIM(INDEX($A$3:$A$168,K152))&amp;" ["&amp;SUBSTITUTE(SUBSTITUTE(SUBSTITUTE(E152," [",", "),"[",", "),"]","")&amp;"]")))</x:f>
      </x:c>
      <x:c r="G152" t="str">
        <x:f>IF(F152&lt;&gt;"",ROWS($F$3:F152)-COUNTBLANK($F$3:F152),"")</x:f>
      </x:c>
      <x:c r="H152" t="n">
        <x:f>SUM($J$3:J152)-J152</x:f>
        <x:v>0</x:v>
      </x:c>
      <x:c r="I152" t="str">
        <x:f>IF(A152&lt;&gt;"",COUNTIF($A$3:A152,"&lt;&gt;"),"")</x:f>
      </x:c>
      <x:c r="J152" t="n">
        <x:f>IF(AND(A152&lt;&gt;"",TRIM(B152)&lt;&gt;""),LEN(B152)-LEN(SUBSTITUTE(B152,CHAR(10),""))+1,0)</x:f>
        <x:v>0</x:v>
      </x:c>
      <x:c r="K152" t="str">
        <x:f>IF(ROW()-ROW($K$2)&lt;=SUM($J$3:$J$168),COUNTIF($H$3:$H$168,"&lt;"&amp;(ROW()-ROW($K$2))),"")</x:f>
      </x:c>
      <x:c r="L152" t="str">
        <x:f>IF(K152="","",ROW()-ROW($L$2)-INDEX($H$3:$H$168,K152))</x:f>
      </x:c>
      <x:c r="M152" t="str">
        <x:f>IF(K152="","",IF(L152=1,1,FIND(CHAR(1),SUBSTITUTE(INDEX($B$3:$B$168,K152),CHAR(10),CHAR(1),L152-1))+1))</x:f>
      </x:c>
      <x:c r="N152" t="str">
        <x:f>IF(K152="","",IFERROR(FIND(CHAR(1),SUBSTITUTE(INDEX($B$3:$B$168,K152),CHAR(10),CHAR(1),L152)),LEN(INDEX($B$3:$B$168,K152))+1))</x:f>
      </x:c>
    </x:row>
    <x:row r="153">
      <x:c r="A153" s="71"/>
      <x:c r="B153" s="77"/>
      <x:c r="C153" s="71"/>
      <x:c r="D153" t="str">
        <x:f>IFERROR(IF(151&lt;=$O$1,INDEX($A$3:$A$168,MATCH(151,$I$3:$I$168,0)),IF(151&lt;=$O$1+$O$2,INDEX($F$3:$F$1994,MATCH(151-$O$1,$G$3:$G$1994,0)),"")),"")</x:f>
      </x:c>
      <x:c r="E153" t="str">
        <x:f>IF(K153="","",IF(N153&lt;=M153,"",TRIM(CLEAN(MID(INDEX($B$3:$B$168,K153),M153,N153-M153)))))</x:f>
      </x:c>
      <x:c r="F153" t="str">
        <x:f>IF(E153="","",IF(E153=TRIM(INDEX($A$3:$A$168,K153)),"",IF(RIGHT(TRIM(INDEX($A$3:$A$168,K153)),1)="]",LEFT(TRIM(INDEX($A$3:$A$168,K153)),LEN(TRIM(INDEX($A$3:$A$168,K153)))-1)&amp;", "&amp;SUBSTITUTE(SUBSTITUTE(SUBSTITUTE(E153," [",", "),"[",", "),"]","")&amp;"]",TRIM(INDEX($A$3:$A$168,K153))&amp;" ["&amp;SUBSTITUTE(SUBSTITUTE(SUBSTITUTE(E153," [",", "),"[",", "),"]","")&amp;"]")))</x:f>
      </x:c>
      <x:c r="G153" t="str">
        <x:f>IF(F153&lt;&gt;"",ROWS($F$3:F153)-COUNTBLANK($F$3:F153),"")</x:f>
      </x:c>
      <x:c r="H153" t="n">
        <x:f>SUM($J$3:J153)-J153</x:f>
        <x:v>0</x:v>
      </x:c>
      <x:c r="I153" t="str">
        <x:f>IF(A153&lt;&gt;"",COUNTIF($A$3:A153,"&lt;&gt;"),"")</x:f>
      </x:c>
      <x:c r="J153" t="n">
        <x:f>IF(AND(A153&lt;&gt;"",TRIM(B153)&lt;&gt;""),LEN(B153)-LEN(SUBSTITUTE(B153,CHAR(10),""))+1,0)</x:f>
        <x:v>0</x:v>
      </x:c>
      <x:c r="K153" t="str">
        <x:f>IF(ROW()-ROW($K$2)&lt;=SUM($J$3:$J$168),COUNTIF($H$3:$H$168,"&lt;"&amp;(ROW()-ROW($K$2))),"")</x:f>
      </x:c>
      <x:c r="L153" t="str">
        <x:f>IF(K153="","",ROW()-ROW($L$2)-INDEX($H$3:$H$168,K153))</x:f>
      </x:c>
      <x:c r="M153" t="str">
        <x:f>IF(K153="","",IF(L153=1,1,FIND(CHAR(1),SUBSTITUTE(INDEX($B$3:$B$168,K153),CHAR(10),CHAR(1),L153-1))+1))</x:f>
      </x:c>
      <x:c r="N153" t="str">
        <x:f>IF(K153="","",IFERROR(FIND(CHAR(1),SUBSTITUTE(INDEX($B$3:$B$168,K153),CHAR(10),CHAR(1),L153)),LEN(INDEX($B$3:$B$168,K153))+1))</x:f>
      </x:c>
    </x:row>
    <x:row r="154">
      <x:c r="A154" s="71"/>
      <x:c r="B154" s="77"/>
      <x:c r="C154" s="71"/>
      <x:c r="D154" t="str">
        <x:f>IFERROR(IF(152&lt;=$O$1,INDEX($A$3:$A$168,MATCH(152,$I$3:$I$168,0)),IF(152&lt;=$O$1+$O$2,INDEX($F$3:$F$1994,MATCH(152-$O$1,$G$3:$G$1994,0)),"")),"")</x:f>
      </x:c>
      <x:c r="E154" t="str">
        <x:f>IF(K154="","",IF(N154&lt;=M154,"",TRIM(CLEAN(MID(INDEX($B$3:$B$168,K154),M154,N154-M154)))))</x:f>
      </x:c>
      <x:c r="F154" t="str">
        <x:f>IF(E154="","",IF(E154=TRIM(INDEX($A$3:$A$168,K154)),"",IF(RIGHT(TRIM(INDEX($A$3:$A$168,K154)),1)="]",LEFT(TRIM(INDEX($A$3:$A$168,K154)),LEN(TRIM(INDEX($A$3:$A$168,K154)))-1)&amp;", "&amp;SUBSTITUTE(SUBSTITUTE(SUBSTITUTE(E154," [",", "),"[",", "),"]","")&amp;"]",TRIM(INDEX($A$3:$A$168,K154))&amp;" ["&amp;SUBSTITUTE(SUBSTITUTE(SUBSTITUTE(E154," [",", "),"[",", "),"]","")&amp;"]")))</x:f>
      </x:c>
      <x:c r="G154" t="str">
        <x:f>IF(F154&lt;&gt;"",ROWS($F$3:F154)-COUNTBLANK($F$3:F154),"")</x:f>
      </x:c>
      <x:c r="H154" t="n">
        <x:f>SUM($J$3:J154)-J154</x:f>
        <x:v>0</x:v>
      </x:c>
      <x:c r="I154" t="str">
        <x:f>IF(A154&lt;&gt;"",COUNTIF($A$3:A154,"&lt;&gt;"),"")</x:f>
      </x:c>
      <x:c r="J154" t="n">
        <x:f>IF(AND(A154&lt;&gt;"",TRIM(B154)&lt;&gt;""),LEN(B154)-LEN(SUBSTITUTE(B154,CHAR(10),""))+1,0)</x:f>
        <x:v>0</x:v>
      </x:c>
      <x:c r="K154" t="str">
        <x:f>IF(ROW()-ROW($K$2)&lt;=SUM($J$3:$J$168),COUNTIF($H$3:$H$168,"&lt;"&amp;(ROW()-ROW($K$2))),"")</x:f>
      </x:c>
      <x:c r="L154" t="str">
        <x:f>IF(K154="","",ROW()-ROW($L$2)-INDEX($H$3:$H$168,K154))</x:f>
      </x:c>
      <x:c r="M154" t="str">
        <x:f>IF(K154="","",IF(L154=1,1,FIND(CHAR(1),SUBSTITUTE(INDEX($B$3:$B$168,K154),CHAR(10),CHAR(1),L154-1))+1))</x:f>
      </x:c>
      <x:c r="N154" t="str">
        <x:f>IF(K154="","",IFERROR(FIND(CHAR(1),SUBSTITUTE(INDEX($B$3:$B$168,K154),CHAR(10),CHAR(1),L154)),LEN(INDEX($B$3:$B$168,K154))+1))</x:f>
      </x:c>
    </x:row>
    <x:row r="155">
      <x:c r="A155" s="71"/>
      <x:c r="B155" s="77"/>
      <x:c r="C155" s="71"/>
      <x:c r="D155" t="str">
        <x:f>IFERROR(IF(153&lt;=$O$1,INDEX($A$3:$A$168,MATCH(153,$I$3:$I$168,0)),IF(153&lt;=$O$1+$O$2,INDEX($F$3:$F$1994,MATCH(153-$O$1,$G$3:$G$1994,0)),"")),"")</x:f>
      </x:c>
      <x:c r="E155" t="str">
        <x:f>IF(K155="","",IF(N155&lt;=M155,"",TRIM(CLEAN(MID(INDEX($B$3:$B$168,K155),M155,N155-M155)))))</x:f>
      </x:c>
      <x:c r="F155" t="str">
        <x:f>IF(E155="","",IF(E155=TRIM(INDEX($A$3:$A$168,K155)),"",IF(RIGHT(TRIM(INDEX($A$3:$A$168,K155)),1)="]",LEFT(TRIM(INDEX($A$3:$A$168,K155)),LEN(TRIM(INDEX($A$3:$A$168,K155)))-1)&amp;", "&amp;SUBSTITUTE(SUBSTITUTE(SUBSTITUTE(E155," [",", "),"[",", "),"]","")&amp;"]",TRIM(INDEX($A$3:$A$168,K155))&amp;" ["&amp;SUBSTITUTE(SUBSTITUTE(SUBSTITUTE(E155," [",", "),"[",", "),"]","")&amp;"]")))</x:f>
      </x:c>
      <x:c r="G155" t="str">
        <x:f>IF(F155&lt;&gt;"",ROWS($F$3:F155)-COUNTBLANK($F$3:F155),"")</x:f>
      </x:c>
      <x:c r="H155" t="n">
        <x:f>SUM($J$3:J155)-J155</x:f>
        <x:v>0</x:v>
      </x:c>
      <x:c r="I155" t="str">
        <x:f>IF(A155&lt;&gt;"",COUNTIF($A$3:A155,"&lt;&gt;"),"")</x:f>
      </x:c>
      <x:c r="J155" t="n">
        <x:f>IF(AND(A155&lt;&gt;"",TRIM(B155)&lt;&gt;""),LEN(B155)-LEN(SUBSTITUTE(B155,CHAR(10),""))+1,0)</x:f>
        <x:v>0</x:v>
      </x:c>
      <x:c r="K155" t="str">
        <x:f>IF(ROW()-ROW($K$2)&lt;=SUM($J$3:$J$168),COUNTIF($H$3:$H$168,"&lt;"&amp;(ROW()-ROW($K$2))),"")</x:f>
      </x:c>
      <x:c r="L155" t="str">
        <x:f>IF(K155="","",ROW()-ROW($L$2)-INDEX($H$3:$H$168,K155))</x:f>
      </x:c>
      <x:c r="M155" t="str">
        <x:f>IF(K155="","",IF(L155=1,1,FIND(CHAR(1),SUBSTITUTE(INDEX($B$3:$B$168,K155),CHAR(10),CHAR(1),L155-1))+1))</x:f>
      </x:c>
      <x:c r="N155" t="str">
        <x:f>IF(K155="","",IFERROR(FIND(CHAR(1),SUBSTITUTE(INDEX($B$3:$B$168,K155),CHAR(10),CHAR(1),L155)),LEN(INDEX($B$3:$B$168,K155))+1))</x:f>
      </x:c>
    </x:row>
    <x:row r="156">
      <x:c r="A156" s="71"/>
      <x:c r="B156" s="77"/>
      <x:c r="C156" s="71"/>
      <x:c r="D156" t="str">
        <x:f>IFERROR(IF(154&lt;=$O$1,INDEX($A$3:$A$168,MATCH(154,$I$3:$I$168,0)),IF(154&lt;=$O$1+$O$2,INDEX($F$3:$F$1994,MATCH(154-$O$1,$G$3:$G$1994,0)),"")),"")</x:f>
      </x:c>
      <x:c r="E156" t="str">
        <x:f>IF(K156="","",IF(N156&lt;=M156,"",TRIM(CLEAN(MID(INDEX($B$3:$B$168,K156),M156,N156-M156)))))</x:f>
      </x:c>
      <x:c r="F156" t="str">
        <x:f>IF(E156="","",IF(E156=TRIM(INDEX($A$3:$A$168,K156)),"",IF(RIGHT(TRIM(INDEX($A$3:$A$168,K156)),1)="]",LEFT(TRIM(INDEX($A$3:$A$168,K156)),LEN(TRIM(INDEX($A$3:$A$168,K156)))-1)&amp;", "&amp;SUBSTITUTE(SUBSTITUTE(SUBSTITUTE(E156," [",", "),"[",", "),"]","")&amp;"]",TRIM(INDEX($A$3:$A$168,K156))&amp;" ["&amp;SUBSTITUTE(SUBSTITUTE(SUBSTITUTE(E156," [",", "),"[",", "),"]","")&amp;"]")))</x:f>
      </x:c>
      <x:c r="G156" t="str">
        <x:f>IF(F156&lt;&gt;"",ROWS($F$3:F156)-COUNTBLANK($F$3:F156),"")</x:f>
      </x:c>
      <x:c r="H156" t="n">
        <x:f>SUM($J$3:J156)-J156</x:f>
        <x:v>0</x:v>
      </x:c>
      <x:c r="I156" t="str">
        <x:f>IF(A156&lt;&gt;"",COUNTIF($A$3:A156,"&lt;&gt;"),"")</x:f>
      </x:c>
      <x:c r="J156" t="n">
        <x:f>IF(AND(A156&lt;&gt;"",TRIM(B156)&lt;&gt;""),LEN(B156)-LEN(SUBSTITUTE(B156,CHAR(10),""))+1,0)</x:f>
        <x:v>0</x:v>
      </x:c>
      <x:c r="K156" t="str">
        <x:f>IF(ROW()-ROW($K$2)&lt;=SUM($J$3:$J$168),COUNTIF($H$3:$H$168,"&lt;"&amp;(ROW()-ROW($K$2))),"")</x:f>
      </x:c>
      <x:c r="L156" t="str">
        <x:f>IF(K156="","",ROW()-ROW($L$2)-INDEX($H$3:$H$168,K156))</x:f>
      </x:c>
      <x:c r="M156" t="str">
        <x:f>IF(K156="","",IF(L156=1,1,FIND(CHAR(1),SUBSTITUTE(INDEX($B$3:$B$168,K156),CHAR(10),CHAR(1),L156-1))+1))</x:f>
      </x:c>
      <x:c r="N156" t="str">
        <x:f>IF(K156="","",IFERROR(FIND(CHAR(1),SUBSTITUTE(INDEX($B$3:$B$168,K156),CHAR(10),CHAR(1),L156)),LEN(INDEX($B$3:$B$168,K156))+1))</x:f>
      </x:c>
    </x:row>
    <x:row r="157">
      <x:c r="A157" s="71"/>
      <x:c r="B157" s="77"/>
      <x:c r="C157" s="71"/>
      <x:c r="D157" t="str">
        <x:f>IFERROR(IF(155&lt;=$O$1,INDEX($A$3:$A$168,MATCH(155,$I$3:$I$168,0)),IF(155&lt;=$O$1+$O$2,INDEX($F$3:$F$1994,MATCH(155-$O$1,$G$3:$G$1994,0)),"")),"")</x:f>
      </x:c>
      <x:c r="E157" t="str">
        <x:f>IF(K157="","",IF(N157&lt;=M157,"",TRIM(CLEAN(MID(INDEX($B$3:$B$168,K157),M157,N157-M157)))))</x:f>
      </x:c>
      <x:c r="F157" t="str">
        <x:f>IF(E157="","",IF(E157=TRIM(INDEX($A$3:$A$168,K157)),"",IF(RIGHT(TRIM(INDEX($A$3:$A$168,K157)),1)="]",LEFT(TRIM(INDEX($A$3:$A$168,K157)),LEN(TRIM(INDEX($A$3:$A$168,K157)))-1)&amp;", "&amp;SUBSTITUTE(SUBSTITUTE(SUBSTITUTE(E157," [",", "),"[",", "),"]","")&amp;"]",TRIM(INDEX($A$3:$A$168,K157))&amp;" ["&amp;SUBSTITUTE(SUBSTITUTE(SUBSTITUTE(E157," [",", "),"[",", "),"]","")&amp;"]")))</x:f>
      </x:c>
      <x:c r="G157" t="str">
        <x:f>IF(F157&lt;&gt;"",ROWS($F$3:F157)-COUNTBLANK($F$3:F157),"")</x:f>
      </x:c>
      <x:c r="H157" t="n">
        <x:f>SUM($J$3:J157)-J157</x:f>
        <x:v>0</x:v>
      </x:c>
      <x:c r="I157" t="str">
        <x:f>IF(A157&lt;&gt;"",COUNTIF($A$3:A157,"&lt;&gt;"),"")</x:f>
      </x:c>
      <x:c r="J157" t="n">
        <x:f>IF(AND(A157&lt;&gt;"",TRIM(B157)&lt;&gt;""),LEN(B157)-LEN(SUBSTITUTE(B157,CHAR(10),""))+1,0)</x:f>
        <x:v>0</x:v>
      </x:c>
      <x:c r="K157" t="str">
        <x:f>IF(ROW()-ROW($K$2)&lt;=SUM($J$3:$J$168),COUNTIF($H$3:$H$168,"&lt;"&amp;(ROW()-ROW($K$2))),"")</x:f>
      </x:c>
      <x:c r="L157" t="str">
        <x:f>IF(K157="","",ROW()-ROW($L$2)-INDEX($H$3:$H$168,K157))</x:f>
      </x:c>
      <x:c r="M157" t="str">
        <x:f>IF(K157="","",IF(L157=1,1,FIND(CHAR(1),SUBSTITUTE(INDEX($B$3:$B$168,K157),CHAR(10),CHAR(1),L157-1))+1))</x:f>
      </x:c>
      <x:c r="N157" t="str">
        <x:f>IF(K157="","",IFERROR(FIND(CHAR(1),SUBSTITUTE(INDEX($B$3:$B$168,K157),CHAR(10),CHAR(1),L157)),LEN(INDEX($B$3:$B$168,K157))+1))</x:f>
      </x:c>
    </x:row>
    <x:row r="158">
      <x:c r="A158" s="71"/>
      <x:c r="B158" s="77"/>
      <x:c r="C158" s="71"/>
      <x:c r="D158" t="str">
        <x:f>IFERROR(IF(156&lt;=$O$1,INDEX($A$3:$A$168,MATCH(156,$I$3:$I$168,0)),IF(156&lt;=$O$1+$O$2,INDEX($F$3:$F$1994,MATCH(156-$O$1,$G$3:$G$1994,0)),"")),"")</x:f>
      </x:c>
      <x:c r="E158" t="str">
        <x:f>IF(K158="","",IF(N158&lt;=M158,"",TRIM(CLEAN(MID(INDEX($B$3:$B$168,K158),M158,N158-M158)))))</x:f>
      </x:c>
      <x:c r="F158" t="str">
        <x:f>IF(E158="","",IF(E158=TRIM(INDEX($A$3:$A$168,K158)),"",IF(RIGHT(TRIM(INDEX($A$3:$A$168,K158)),1)="]",LEFT(TRIM(INDEX($A$3:$A$168,K158)),LEN(TRIM(INDEX($A$3:$A$168,K158)))-1)&amp;", "&amp;SUBSTITUTE(SUBSTITUTE(SUBSTITUTE(E158," [",", "),"[",", "),"]","")&amp;"]",TRIM(INDEX($A$3:$A$168,K158))&amp;" ["&amp;SUBSTITUTE(SUBSTITUTE(SUBSTITUTE(E158," [",", "),"[",", "),"]","")&amp;"]")))</x:f>
      </x:c>
      <x:c r="G158" t="str">
        <x:f>IF(F158&lt;&gt;"",ROWS($F$3:F158)-COUNTBLANK($F$3:F158),"")</x:f>
      </x:c>
      <x:c r="H158" t="n">
        <x:f>SUM($J$3:J158)-J158</x:f>
        <x:v>0</x:v>
      </x:c>
      <x:c r="I158" t="str">
        <x:f>IF(A158&lt;&gt;"",COUNTIF($A$3:A158,"&lt;&gt;"),"")</x:f>
      </x:c>
      <x:c r="J158" t="n">
        <x:f>IF(AND(A158&lt;&gt;"",TRIM(B158)&lt;&gt;""),LEN(B158)-LEN(SUBSTITUTE(B158,CHAR(10),""))+1,0)</x:f>
        <x:v>0</x:v>
      </x:c>
      <x:c r="K158" t="str">
        <x:f>IF(ROW()-ROW($K$2)&lt;=SUM($J$3:$J$168),COUNTIF($H$3:$H$168,"&lt;"&amp;(ROW()-ROW($K$2))),"")</x:f>
      </x:c>
      <x:c r="L158" t="str">
        <x:f>IF(K158="","",ROW()-ROW($L$2)-INDEX($H$3:$H$168,K158))</x:f>
      </x:c>
      <x:c r="M158" t="str">
        <x:f>IF(K158="","",IF(L158=1,1,FIND(CHAR(1),SUBSTITUTE(INDEX($B$3:$B$168,K158),CHAR(10),CHAR(1),L158-1))+1))</x:f>
      </x:c>
      <x:c r="N158" t="str">
        <x:f>IF(K158="","",IFERROR(FIND(CHAR(1),SUBSTITUTE(INDEX($B$3:$B$168,K158),CHAR(10),CHAR(1),L158)),LEN(INDEX($B$3:$B$168,K158))+1))</x:f>
      </x:c>
    </x:row>
    <x:row r="159">
      <x:c r="A159" s="71"/>
      <x:c r="B159" s="77"/>
      <x:c r="C159" s="71"/>
      <x:c r="D159" t="str">
        <x:f>IFERROR(IF(157&lt;=$O$1,INDEX($A$3:$A$168,MATCH(157,$I$3:$I$168,0)),IF(157&lt;=$O$1+$O$2,INDEX($F$3:$F$1994,MATCH(157-$O$1,$G$3:$G$1994,0)),"")),"")</x:f>
      </x:c>
      <x:c r="E159" t="str">
        <x:f>IF(K159="","",IF(N159&lt;=M159,"",TRIM(CLEAN(MID(INDEX($B$3:$B$168,K159),M159,N159-M159)))))</x:f>
      </x:c>
      <x:c r="F159" t="str">
        <x:f>IF(E159="","",IF(E159=TRIM(INDEX($A$3:$A$168,K159)),"",IF(RIGHT(TRIM(INDEX($A$3:$A$168,K159)),1)="]",LEFT(TRIM(INDEX($A$3:$A$168,K159)),LEN(TRIM(INDEX($A$3:$A$168,K159)))-1)&amp;", "&amp;SUBSTITUTE(SUBSTITUTE(SUBSTITUTE(E159," [",", "),"[",", "),"]","")&amp;"]",TRIM(INDEX($A$3:$A$168,K159))&amp;" ["&amp;SUBSTITUTE(SUBSTITUTE(SUBSTITUTE(E159," [",", "),"[",", "),"]","")&amp;"]")))</x:f>
      </x:c>
      <x:c r="G159" t="str">
        <x:f>IF(F159&lt;&gt;"",ROWS($F$3:F159)-COUNTBLANK($F$3:F159),"")</x:f>
      </x:c>
      <x:c r="H159" t="n">
        <x:f>SUM($J$3:J159)-J159</x:f>
        <x:v>0</x:v>
      </x:c>
      <x:c r="I159" t="str">
        <x:f>IF(A159&lt;&gt;"",COUNTIF($A$3:A159,"&lt;&gt;"),"")</x:f>
      </x:c>
      <x:c r="J159" t="n">
        <x:f>IF(AND(A159&lt;&gt;"",TRIM(B159)&lt;&gt;""),LEN(B159)-LEN(SUBSTITUTE(B159,CHAR(10),""))+1,0)</x:f>
        <x:v>0</x:v>
      </x:c>
      <x:c r="K159" t="str">
        <x:f>IF(ROW()-ROW($K$2)&lt;=SUM($J$3:$J$168),COUNTIF($H$3:$H$168,"&lt;"&amp;(ROW()-ROW($K$2))),"")</x:f>
      </x:c>
      <x:c r="L159" t="str">
        <x:f>IF(K159="","",ROW()-ROW($L$2)-INDEX($H$3:$H$168,K159))</x:f>
      </x:c>
      <x:c r="M159" t="str">
        <x:f>IF(K159="","",IF(L159=1,1,FIND(CHAR(1),SUBSTITUTE(INDEX($B$3:$B$168,K159),CHAR(10),CHAR(1),L159-1))+1))</x:f>
      </x:c>
      <x:c r="N159" t="str">
        <x:f>IF(K159="","",IFERROR(FIND(CHAR(1),SUBSTITUTE(INDEX($B$3:$B$168,K159),CHAR(10),CHAR(1),L159)),LEN(INDEX($B$3:$B$168,K159))+1))</x:f>
      </x:c>
    </x:row>
    <x:row r="160">
      <x:c r="A160" s="71"/>
      <x:c r="B160" s="77"/>
      <x:c r="C160" s="71"/>
      <x:c r="D160" t="str">
        <x:f>IFERROR(IF(158&lt;=$O$1,INDEX($A$3:$A$168,MATCH(158,$I$3:$I$168,0)),IF(158&lt;=$O$1+$O$2,INDEX($F$3:$F$1994,MATCH(158-$O$1,$G$3:$G$1994,0)),"")),"")</x:f>
      </x:c>
      <x:c r="E160" t="str">
        <x:f>IF(K160="","",IF(N160&lt;=M160,"",TRIM(CLEAN(MID(INDEX($B$3:$B$168,K160),M160,N160-M160)))))</x:f>
      </x:c>
      <x:c r="F160" t="str">
        <x:f>IF(E160="","",IF(E160=TRIM(INDEX($A$3:$A$168,K160)),"",IF(RIGHT(TRIM(INDEX($A$3:$A$168,K160)),1)="]",LEFT(TRIM(INDEX($A$3:$A$168,K160)),LEN(TRIM(INDEX($A$3:$A$168,K160)))-1)&amp;", "&amp;SUBSTITUTE(SUBSTITUTE(SUBSTITUTE(E160," [",", "),"[",", "),"]","")&amp;"]",TRIM(INDEX($A$3:$A$168,K160))&amp;" ["&amp;SUBSTITUTE(SUBSTITUTE(SUBSTITUTE(E160," [",", "),"[",", "),"]","")&amp;"]")))</x:f>
      </x:c>
      <x:c r="G160" t="str">
        <x:f>IF(F160&lt;&gt;"",ROWS($F$3:F160)-COUNTBLANK($F$3:F160),"")</x:f>
      </x:c>
      <x:c r="H160" t="n">
        <x:f>SUM($J$3:J160)-J160</x:f>
        <x:v>0</x:v>
      </x:c>
      <x:c r="I160" t="str">
        <x:f>IF(A160&lt;&gt;"",COUNTIF($A$3:A160,"&lt;&gt;"),"")</x:f>
      </x:c>
      <x:c r="J160" t="n">
        <x:f>IF(AND(A160&lt;&gt;"",TRIM(B160)&lt;&gt;""),LEN(B160)-LEN(SUBSTITUTE(B160,CHAR(10),""))+1,0)</x:f>
        <x:v>0</x:v>
      </x:c>
      <x:c r="K160" t="str">
        <x:f>IF(ROW()-ROW($K$2)&lt;=SUM($J$3:$J$168),COUNTIF($H$3:$H$168,"&lt;"&amp;(ROW()-ROW($K$2))),"")</x:f>
      </x:c>
      <x:c r="L160" t="str">
        <x:f>IF(K160="","",ROW()-ROW($L$2)-INDEX($H$3:$H$168,K160))</x:f>
      </x:c>
      <x:c r="M160" t="str">
        <x:f>IF(K160="","",IF(L160=1,1,FIND(CHAR(1),SUBSTITUTE(INDEX($B$3:$B$168,K160),CHAR(10),CHAR(1),L160-1))+1))</x:f>
      </x:c>
      <x:c r="N160" t="str">
        <x:f>IF(K160="","",IFERROR(FIND(CHAR(1),SUBSTITUTE(INDEX($B$3:$B$168,K160),CHAR(10),CHAR(1),L160)),LEN(INDEX($B$3:$B$168,K160))+1))</x:f>
      </x:c>
    </x:row>
    <x:row r="161">
      <x:c r="A161" s="71"/>
      <x:c r="B161" s="77"/>
      <x:c r="C161" s="71"/>
      <x:c r="D161" t="str">
        <x:f>IFERROR(IF(159&lt;=$O$1,INDEX($A$3:$A$168,MATCH(159,$I$3:$I$168,0)),IF(159&lt;=$O$1+$O$2,INDEX($F$3:$F$1994,MATCH(159-$O$1,$G$3:$G$1994,0)),"")),"")</x:f>
      </x:c>
      <x:c r="E161" t="str">
        <x:f>IF(K161="","",IF(N161&lt;=M161,"",TRIM(CLEAN(MID(INDEX($B$3:$B$168,K161),M161,N161-M161)))))</x:f>
      </x:c>
      <x:c r="F161" t="str">
        <x:f>IF(E161="","",IF(E161=TRIM(INDEX($A$3:$A$168,K161)),"",IF(RIGHT(TRIM(INDEX($A$3:$A$168,K161)),1)="]",LEFT(TRIM(INDEX($A$3:$A$168,K161)),LEN(TRIM(INDEX($A$3:$A$168,K161)))-1)&amp;", "&amp;SUBSTITUTE(SUBSTITUTE(SUBSTITUTE(E161," [",", "),"[",", "),"]","")&amp;"]",TRIM(INDEX($A$3:$A$168,K161))&amp;" ["&amp;SUBSTITUTE(SUBSTITUTE(SUBSTITUTE(E161," [",", "),"[",", "),"]","")&amp;"]")))</x:f>
      </x:c>
      <x:c r="G161" t="str">
        <x:f>IF(F161&lt;&gt;"",ROWS($F$3:F161)-COUNTBLANK($F$3:F161),"")</x:f>
      </x:c>
      <x:c r="H161" t="n">
        <x:f>SUM($J$3:J161)-J161</x:f>
        <x:v>0</x:v>
      </x:c>
      <x:c r="I161" t="str">
        <x:f>IF(A161&lt;&gt;"",COUNTIF($A$3:A161,"&lt;&gt;"),"")</x:f>
      </x:c>
      <x:c r="J161" t="n">
        <x:f>IF(AND(A161&lt;&gt;"",TRIM(B161)&lt;&gt;""),LEN(B161)-LEN(SUBSTITUTE(B161,CHAR(10),""))+1,0)</x:f>
        <x:v>0</x:v>
      </x:c>
      <x:c r="K161" t="str">
        <x:f>IF(ROW()-ROW($K$2)&lt;=SUM($J$3:$J$168),COUNTIF($H$3:$H$168,"&lt;"&amp;(ROW()-ROW($K$2))),"")</x:f>
      </x:c>
      <x:c r="L161" t="str">
        <x:f>IF(K161="","",ROW()-ROW($L$2)-INDEX($H$3:$H$168,K161))</x:f>
      </x:c>
      <x:c r="M161" t="str">
        <x:f>IF(K161="","",IF(L161=1,1,FIND(CHAR(1),SUBSTITUTE(INDEX($B$3:$B$168,K161),CHAR(10),CHAR(1),L161-1))+1))</x:f>
      </x:c>
      <x:c r="N161" t="str">
        <x:f>IF(K161="","",IFERROR(FIND(CHAR(1),SUBSTITUTE(INDEX($B$3:$B$168,K161),CHAR(10),CHAR(1),L161)),LEN(INDEX($B$3:$B$168,K161))+1))</x:f>
      </x:c>
    </x:row>
    <x:row r="162">
      <x:c r="A162" s="71"/>
      <x:c r="B162" s="77"/>
      <x:c r="C162" s="71"/>
      <x:c r="D162" t="str">
        <x:f>IFERROR(IF(160&lt;=$O$1,INDEX($A$3:$A$168,MATCH(160,$I$3:$I$168,0)),IF(160&lt;=$O$1+$O$2,INDEX($F$3:$F$1994,MATCH(160-$O$1,$G$3:$G$1994,0)),"")),"")</x:f>
      </x:c>
      <x:c r="E162" t="str">
        <x:f>IF(K162="","",IF(N162&lt;=M162,"",TRIM(CLEAN(MID(INDEX($B$3:$B$168,K162),M162,N162-M162)))))</x:f>
      </x:c>
      <x:c r="F162" t="str">
        <x:f>IF(E162="","",IF(E162=TRIM(INDEX($A$3:$A$168,K162)),"",IF(RIGHT(TRIM(INDEX($A$3:$A$168,K162)),1)="]",LEFT(TRIM(INDEX($A$3:$A$168,K162)),LEN(TRIM(INDEX($A$3:$A$168,K162)))-1)&amp;", "&amp;SUBSTITUTE(SUBSTITUTE(SUBSTITUTE(E162," [",", "),"[",", "),"]","")&amp;"]",TRIM(INDEX($A$3:$A$168,K162))&amp;" ["&amp;SUBSTITUTE(SUBSTITUTE(SUBSTITUTE(E162," [",", "),"[",", "),"]","")&amp;"]")))</x:f>
      </x:c>
      <x:c r="G162" t="str">
        <x:f>IF(F162&lt;&gt;"",ROWS($F$3:F162)-COUNTBLANK($F$3:F162),"")</x:f>
      </x:c>
      <x:c r="H162" t="n">
        <x:f>SUM($J$3:J162)-J162</x:f>
        <x:v>0</x:v>
      </x:c>
      <x:c r="I162" t="str">
        <x:f>IF(A162&lt;&gt;"",COUNTIF($A$3:A162,"&lt;&gt;"),"")</x:f>
      </x:c>
      <x:c r="J162" t="n">
        <x:f>IF(AND(A162&lt;&gt;"",TRIM(B162)&lt;&gt;""),LEN(B162)-LEN(SUBSTITUTE(B162,CHAR(10),""))+1,0)</x:f>
        <x:v>0</x:v>
      </x:c>
      <x:c r="K162" t="str">
        <x:f>IF(ROW()-ROW($K$2)&lt;=SUM($J$3:$J$168),COUNTIF($H$3:$H$168,"&lt;"&amp;(ROW()-ROW($K$2))),"")</x:f>
      </x:c>
      <x:c r="L162" t="str">
        <x:f>IF(K162="","",ROW()-ROW($L$2)-INDEX($H$3:$H$168,K162))</x:f>
      </x:c>
      <x:c r="M162" t="str">
        <x:f>IF(K162="","",IF(L162=1,1,FIND(CHAR(1),SUBSTITUTE(INDEX($B$3:$B$168,K162),CHAR(10),CHAR(1),L162-1))+1))</x:f>
      </x:c>
      <x:c r="N162" t="str">
        <x:f>IF(K162="","",IFERROR(FIND(CHAR(1),SUBSTITUTE(INDEX($B$3:$B$168,K162),CHAR(10),CHAR(1),L162)),LEN(INDEX($B$3:$B$168,K162))+1))</x:f>
      </x:c>
    </x:row>
    <x:row r="163">
      <x:c r="A163" s="71"/>
      <x:c r="B163" s="77"/>
      <x:c r="C163" s="71"/>
      <x:c r="D163" t="str">
        <x:f>IFERROR(IF(161&lt;=$O$1,INDEX($A$3:$A$168,MATCH(161,$I$3:$I$168,0)),IF(161&lt;=$O$1+$O$2,INDEX($F$3:$F$1994,MATCH(161-$O$1,$G$3:$G$1994,0)),"")),"")</x:f>
      </x:c>
      <x:c r="E163" t="str">
        <x:f>IF(K163="","",IF(N163&lt;=M163,"",TRIM(CLEAN(MID(INDEX($B$3:$B$168,K163),M163,N163-M163)))))</x:f>
      </x:c>
      <x:c r="F163" t="str">
        <x:f>IF(E163="","",IF(E163=TRIM(INDEX($A$3:$A$168,K163)),"",IF(RIGHT(TRIM(INDEX($A$3:$A$168,K163)),1)="]",LEFT(TRIM(INDEX($A$3:$A$168,K163)),LEN(TRIM(INDEX($A$3:$A$168,K163)))-1)&amp;", "&amp;SUBSTITUTE(SUBSTITUTE(SUBSTITUTE(E163," [",", "),"[",", "),"]","")&amp;"]",TRIM(INDEX($A$3:$A$168,K163))&amp;" ["&amp;SUBSTITUTE(SUBSTITUTE(SUBSTITUTE(E163," [",", "),"[",", "),"]","")&amp;"]")))</x:f>
      </x:c>
      <x:c r="G163" t="str">
        <x:f>IF(F163&lt;&gt;"",ROWS($F$3:F163)-COUNTBLANK($F$3:F163),"")</x:f>
      </x:c>
      <x:c r="H163" t="n">
        <x:f>SUM($J$3:J163)-J163</x:f>
        <x:v>0</x:v>
      </x:c>
      <x:c r="I163" t="str">
        <x:f>IF(A163&lt;&gt;"",COUNTIF($A$3:A163,"&lt;&gt;"),"")</x:f>
      </x:c>
      <x:c r="J163" t="n">
        <x:f>IF(AND(A163&lt;&gt;"",TRIM(B163)&lt;&gt;""),LEN(B163)-LEN(SUBSTITUTE(B163,CHAR(10),""))+1,0)</x:f>
        <x:v>0</x:v>
      </x:c>
      <x:c r="K163" t="str">
        <x:f>IF(ROW()-ROW($K$2)&lt;=SUM($J$3:$J$168),COUNTIF($H$3:$H$168,"&lt;"&amp;(ROW()-ROW($K$2))),"")</x:f>
      </x:c>
      <x:c r="L163" t="str">
        <x:f>IF(K163="","",ROW()-ROW($L$2)-INDEX($H$3:$H$168,K163))</x:f>
      </x:c>
      <x:c r="M163" t="str">
        <x:f>IF(K163="","",IF(L163=1,1,FIND(CHAR(1),SUBSTITUTE(INDEX($B$3:$B$168,K163),CHAR(10),CHAR(1),L163-1))+1))</x:f>
      </x:c>
      <x:c r="N163" t="str">
        <x:f>IF(K163="","",IFERROR(FIND(CHAR(1),SUBSTITUTE(INDEX($B$3:$B$168,K163),CHAR(10),CHAR(1),L163)),LEN(INDEX($B$3:$B$168,K163))+1))</x:f>
      </x:c>
    </x:row>
    <x:row r="164">
      <x:c r="A164" s="71"/>
      <x:c r="B164" s="77"/>
      <x:c r="C164" s="71"/>
      <x:c r="D164" t="str">
        <x:f>IFERROR(IF(162&lt;=$O$1,INDEX($A$3:$A$168,MATCH(162,$I$3:$I$168,0)),IF(162&lt;=$O$1+$O$2,INDEX($F$3:$F$1994,MATCH(162-$O$1,$G$3:$G$1994,0)),"")),"")</x:f>
      </x:c>
      <x:c r="E164" t="str">
        <x:f>IF(K164="","",IF(N164&lt;=M164,"",TRIM(CLEAN(MID(INDEX($B$3:$B$168,K164),M164,N164-M164)))))</x:f>
      </x:c>
      <x:c r="F164" t="str">
        <x:f>IF(E164="","",IF(E164=TRIM(INDEX($A$3:$A$168,K164)),"",IF(RIGHT(TRIM(INDEX($A$3:$A$168,K164)),1)="]",LEFT(TRIM(INDEX($A$3:$A$168,K164)),LEN(TRIM(INDEX($A$3:$A$168,K164)))-1)&amp;", "&amp;SUBSTITUTE(SUBSTITUTE(SUBSTITUTE(E164," [",", "),"[",", "),"]","")&amp;"]",TRIM(INDEX($A$3:$A$168,K164))&amp;" ["&amp;SUBSTITUTE(SUBSTITUTE(SUBSTITUTE(E164," [",", "),"[",", "),"]","")&amp;"]")))</x:f>
      </x:c>
      <x:c r="G164" t="str">
        <x:f>IF(F164&lt;&gt;"",ROWS($F$3:F164)-COUNTBLANK($F$3:F164),"")</x:f>
      </x:c>
      <x:c r="H164" t="n">
        <x:f>SUM($J$3:J164)-J164</x:f>
        <x:v>0</x:v>
      </x:c>
      <x:c r="I164" t="str">
        <x:f>IF(A164&lt;&gt;"",COUNTIF($A$3:A164,"&lt;&gt;"),"")</x:f>
      </x:c>
      <x:c r="J164" t="n">
        <x:f>IF(AND(A164&lt;&gt;"",TRIM(B164)&lt;&gt;""),LEN(B164)-LEN(SUBSTITUTE(B164,CHAR(10),""))+1,0)</x:f>
        <x:v>0</x:v>
      </x:c>
      <x:c r="K164" t="str">
        <x:f>IF(ROW()-ROW($K$2)&lt;=SUM($J$3:$J$168),COUNTIF($H$3:$H$168,"&lt;"&amp;(ROW()-ROW($K$2))),"")</x:f>
      </x:c>
      <x:c r="L164" t="str">
        <x:f>IF(K164="","",ROW()-ROW($L$2)-INDEX($H$3:$H$168,K164))</x:f>
      </x:c>
      <x:c r="M164" t="str">
        <x:f>IF(K164="","",IF(L164=1,1,FIND(CHAR(1),SUBSTITUTE(INDEX($B$3:$B$168,K164),CHAR(10),CHAR(1),L164-1))+1))</x:f>
      </x:c>
      <x:c r="N164" t="str">
        <x:f>IF(K164="","",IFERROR(FIND(CHAR(1),SUBSTITUTE(INDEX($B$3:$B$168,K164),CHAR(10),CHAR(1),L164)),LEN(INDEX($B$3:$B$168,K164))+1))</x:f>
      </x:c>
    </x:row>
    <x:row r="165">
      <x:c r="A165" s="71"/>
      <x:c r="B165" s="77"/>
      <x:c r="C165" s="71"/>
      <x:c r="D165" t="str">
        <x:f>IFERROR(IF(163&lt;=$O$1,INDEX($A$3:$A$168,MATCH(163,$I$3:$I$168,0)),IF(163&lt;=$O$1+$O$2,INDEX($F$3:$F$1994,MATCH(163-$O$1,$G$3:$G$1994,0)),"")),"")</x:f>
      </x:c>
      <x:c r="E165" t="str">
        <x:f>IF(K165="","",IF(N165&lt;=M165,"",TRIM(CLEAN(MID(INDEX($B$3:$B$168,K165),M165,N165-M165)))))</x:f>
      </x:c>
      <x:c r="F165" t="str">
        <x:f>IF(E165="","",IF(E165=TRIM(INDEX($A$3:$A$168,K165)),"",IF(RIGHT(TRIM(INDEX($A$3:$A$168,K165)),1)="]",LEFT(TRIM(INDEX($A$3:$A$168,K165)),LEN(TRIM(INDEX($A$3:$A$168,K165)))-1)&amp;", "&amp;SUBSTITUTE(SUBSTITUTE(SUBSTITUTE(E165," [",", "),"[",", "),"]","")&amp;"]",TRIM(INDEX($A$3:$A$168,K165))&amp;" ["&amp;SUBSTITUTE(SUBSTITUTE(SUBSTITUTE(E165," [",", "),"[",", "),"]","")&amp;"]")))</x:f>
      </x:c>
      <x:c r="G165" t="str">
        <x:f>IF(F165&lt;&gt;"",ROWS($F$3:F165)-COUNTBLANK($F$3:F165),"")</x:f>
      </x:c>
      <x:c r="H165" t="n">
        <x:f>SUM($J$3:J165)-J165</x:f>
        <x:v>0</x:v>
      </x:c>
      <x:c r="I165" t="str">
        <x:f>IF(A165&lt;&gt;"",COUNTIF($A$3:A165,"&lt;&gt;"),"")</x:f>
      </x:c>
      <x:c r="J165" t="n">
        <x:f>IF(AND(A165&lt;&gt;"",TRIM(B165)&lt;&gt;""),LEN(B165)-LEN(SUBSTITUTE(B165,CHAR(10),""))+1,0)</x:f>
        <x:v>0</x:v>
      </x:c>
      <x:c r="K165" t="str">
        <x:f>IF(ROW()-ROW($K$2)&lt;=SUM($J$3:$J$168),COUNTIF($H$3:$H$168,"&lt;"&amp;(ROW()-ROW($K$2))),"")</x:f>
      </x:c>
      <x:c r="L165" t="str">
        <x:f>IF(K165="","",ROW()-ROW($L$2)-INDEX($H$3:$H$168,K165))</x:f>
      </x:c>
      <x:c r="M165" t="str">
        <x:f>IF(K165="","",IF(L165=1,1,FIND(CHAR(1),SUBSTITUTE(INDEX($B$3:$B$168,K165),CHAR(10),CHAR(1),L165-1))+1))</x:f>
      </x:c>
      <x:c r="N165" t="str">
        <x:f>IF(K165="","",IFERROR(FIND(CHAR(1),SUBSTITUTE(INDEX($B$3:$B$168,K165),CHAR(10),CHAR(1),L165)),LEN(INDEX($B$3:$B$168,K165))+1))</x:f>
      </x:c>
    </x:row>
    <x:row r="166">
      <x:c r="A166" s="71"/>
      <x:c r="B166" s="77"/>
      <x:c r="C166" s="71"/>
      <x:c r="D166" t="str">
        <x:f>IFERROR(IF(164&lt;=$O$1,INDEX($A$3:$A$168,MATCH(164,$I$3:$I$168,0)),IF(164&lt;=$O$1+$O$2,INDEX($F$3:$F$1994,MATCH(164-$O$1,$G$3:$G$1994,0)),"")),"")</x:f>
      </x:c>
      <x:c r="E166" t="str">
        <x:f>IF(K166="","",IF(N166&lt;=M166,"",TRIM(CLEAN(MID(INDEX($B$3:$B$168,K166),M166,N166-M166)))))</x:f>
      </x:c>
      <x:c r="F166" t="str">
        <x:f>IF(E166="","",IF(E166=TRIM(INDEX($A$3:$A$168,K166)),"",IF(RIGHT(TRIM(INDEX($A$3:$A$168,K166)),1)="]",LEFT(TRIM(INDEX($A$3:$A$168,K166)),LEN(TRIM(INDEX($A$3:$A$168,K166)))-1)&amp;", "&amp;SUBSTITUTE(SUBSTITUTE(SUBSTITUTE(E166," [",", "),"[",", "),"]","")&amp;"]",TRIM(INDEX($A$3:$A$168,K166))&amp;" ["&amp;SUBSTITUTE(SUBSTITUTE(SUBSTITUTE(E166," [",", "),"[",", "),"]","")&amp;"]")))</x:f>
      </x:c>
      <x:c r="G166" t="str">
        <x:f>IF(F166&lt;&gt;"",ROWS($F$3:F166)-COUNTBLANK($F$3:F166),"")</x:f>
      </x:c>
      <x:c r="H166" t="n">
        <x:f>SUM($J$3:J166)-J166</x:f>
        <x:v>0</x:v>
      </x:c>
      <x:c r="I166" t="str">
        <x:f>IF(A166&lt;&gt;"",COUNTIF($A$3:A166,"&lt;&gt;"),"")</x:f>
      </x:c>
      <x:c r="J166" t="n">
        <x:f>IF(AND(A166&lt;&gt;"",TRIM(B166)&lt;&gt;""),LEN(B166)-LEN(SUBSTITUTE(B166,CHAR(10),""))+1,0)</x:f>
        <x:v>0</x:v>
      </x:c>
      <x:c r="K166" t="str">
        <x:f>IF(ROW()-ROW($K$2)&lt;=SUM($J$3:$J$168),COUNTIF($H$3:$H$168,"&lt;"&amp;(ROW()-ROW($K$2))),"")</x:f>
      </x:c>
      <x:c r="L166" t="str">
        <x:f>IF(K166="","",ROW()-ROW($L$2)-INDEX($H$3:$H$168,K166))</x:f>
      </x:c>
      <x:c r="M166" t="str">
        <x:f>IF(K166="","",IF(L166=1,1,FIND(CHAR(1),SUBSTITUTE(INDEX($B$3:$B$168,K166),CHAR(10),CHAR(1),L166-1))+1))</x:f>
      </x:c>
      <x:c r="N166" t="str">
        <x:f>IF(K166="","",IFERROR(FIND(CHAR(1),SUBSTITUTE(INDEX($B$3:$B$168,K166),CHAR(10),CHAR(1),L166)),LEN(INDEX($B$3:$B$168,K166))+1))</x:f>
      </x:c>
    </x:row>
    <x:row r="167">
      <x:c r="A167" s="71"/>
      <x:c r="B167" s="77"/>
      <x:c r="C167" s="71"/>
      <x:c r="D167" t="str">
        <x:f>IFERROR(IF(165&lt;=$O$1,INDEX($A$3:$A$168,MATCH(165,$I$3:$I$168,0)),IF(165&lt;=$O$1+$O$2,INDEX($F$3:$F$1994,MATCH(165-$O$1,$G$3:$G$1994,0)),"")),"")</x:f>
      </x:c>
      <x:c r="E167" t="str">
        <x:f>IF(K167="","",IF(N167&lt;=M167,"",TRIM(CLEAN(MID(INDEX($B$3:$B$168,K167),M167,N167-M167)))))</x:f>
      </x:c>
      <x:c r="F167" t="str">
        <x:f>IF(E167="","",IF(E167=TRIM(INDEX($A$3:$A$168,K167)),"",IF(RIGHT(TRIM(INDEX($A$3:$A$168,K167)),1)="]",LEFT(TRIM(INDEX($A$3:$A$168,K167)),LEN(TRIM(INDEX($A$3:$A$168,K167)))-1)&amp;", "&amp;SUBSTITUTE(SUBSTITUTE(SUBSTITUTE(E167," [",", "),"[",", "),"]","")&amp;"]",TRIM(INDEX($A$3:$A$168,K167))&amp;" ["&amp;SUBSTITUTE(SUBSTITUTE(SUBSTITUTE(E167," [",", "),"[",", "),"]","")&amp;"]")))</x:f>
      </x:c>
      <x:c r="G167" t="str">
        <x:f>IF(F167&lt;&gt;"",ROWS($F$3:F167)-COUNTBLANK($F$3:F167),"")</x:f>
      </x:c>
      <x:c r="H167" t="n">
        <x:f>SUM($J$3:J167)-J167</x:f>
        <x:v>0</x:v>
      </x:c>
      <x:c r="I167" t="str">
        <x:f>IF(A167&lt;&gt;"",COUNTIF($A$3:A167,"&lt;&gt;"),"")</x:f>
      </x:c>
      <x:c r="J167" t="n">
        <x:f>IF(AND(A167&lt;&gt;"",TRIM(B167)&lt;&gt;""),LEN(B167)-LEN(SUBSTITUTE(B167,CHAR(10),""))+1,0)</x:f>
        <x:v>0</x:v>
      </x:c>
      <x:c r="K167" t="str">
        <x:f>IF(ROW()-ROW($K$2)&lt;=SUM($J$3:$J$168),COUNTIF($H$3:$H$168,"&lt;"&amp;(ROW()-ROW($K$2))),"")</x:f>
      </x:c>
      <x:c r="L167" t="str">
        <x:f>IF(K167="","",ROW()-ROW($L$2)-INDEX($H$3:$H$168,K167))</x:f>
      </x:c>
      <x:c r="M167" t="str">
        <x:f>IF(K167="","",IF(L167=1,1,FIND(CHAR(1),SUBSTITUTE(INDEX($B$3:$B$168,K167),CHAR(10),CHAR(1),L167-1))+1))</x:f>
      </x:c>
      <x:c r="N167" t="str">
        <x:f>IF(K167="","",IFERROR(FIND(CHAR(1),SUBSTITUTE(INDEX($B$3:$B$168,K167),CHAR(10),CHAR(1),L167)),LEN(INDEX($B$3:$B$168,K167))+1))</x:f>
      </x:c>
    </x:row>
    <x:row r="168">
      <x:c r="A168" s="71"/>
      <x:c r="B168" s="77"/>
      <x:c r="C168" s="71"/>
      <x:c r="D168" t="str">
        <x:f>IFERROR(IF(166&lt;=$O$1,INDEX($A$3:$A$168,MATCH(166,$I$3:$I$168,0)),IF(166&lt;=$O$1+$O$2,INDEX($F$3:$F$1994,MATCH(166-$O$1,$G$3:$G$1994,0)),"")),"")</x:f>
      </x:c>
      <x:c r="E168" t="str">
        <x:f>IF(K168="","",IF(N168&lt;=M168,"",TRIM(CLEAN(MID(INDEX($B$3:$B$168,K168),M168,N168-M168)))))</x:f>
      </x:c>
      <x:c r="F168" t="str">
        <x:f>IF(E168="","",IF(E168=TRIM(INDEX($A$3:$A$168,K168)),"",IF(RIGHT(TRIM(INDEX($A$3:$A$168,K168)),1)="]",LEFT(TRIM(INDEX($A$3:$A$168,K168)),LEN(TRIM(INDEX($A$3:$A$168,K168)))-1)&amp;", "&amp;SUBSTITUTE(SUBSTITUTE(SUBSTITUTE(E168," [",", "),"[",", "),"]","")&amp;"]",TRIM(INDEX($A$3:$A$168,K168))&amp;" ["&amp;SUBSTITUTE(SUBSTITUTE(SUBSTITUTE(E168," [",", "),"[",", "),"]","")&amp;"]")))</x:f>
      </x:c>
      <x:c r="G168" t="str">
        <x:f>IF(F168&lt;&gt;"",ROWS($F$3:F168)-COUNTBLANK($F$3:F168),"")</x:f>
      </x:c>
      <x:c r="H168" t="n">
        <x:f>SUM($J$3:J168)-J168</x:f>
        <x:v>0</x:v>
      </x:c>
      <x:c r="I168" t="str">
        <x:f>IF(A168&lt;&gt;"",COUNTIF($A$3:A168,"&lt;&gt;"),"")</x:f>
      </x:c>
      <x:c r="J168" t="n">
        <x:f>IF(AND(A168&lt;&gt;"",TRIM(B168)&lt;&gt;""),LEN(B168)-LEN(SUBSTITUTE(B168,CHAR(10),""))+1,0)</x:f>
        <x:v>0</x:v>
      </x:c>
      <x:c r="K168" t="str">
        <x:f>IF(ROW()-ROW($K$2)&lt;=SUM($J$3:$J$168),COUNTIF($H$3:$H$168,"&lt;"&amp;(ROW()-ROW($K$2))),"")</x:f>
      </x:c>
      <x:c r="L168" t="str">
        <x:f>IF(K168="","",ROW()-ROW($L$2)-INDEX($H$3:$H$168,K168))</x:f>
      </x:c>
      <x:c r="M168" t="str">
        <x:f>IF(K168="","",IF(L168=1,1,FIND(CHAR(1),SUBSTITUTE(INDEX($B$3:$B$168,K168),CHAR(10),CHAR(1),L168-1))+1))</x:f>
      </x:c>
      <x:c r="N168" t="str">
        <x:f>IF(K168="","",IFERROR(FIND(CHAR(1),SUBSTITUTE(INDEX($B$3:$B$168,K168),CHAR(10),CHAR(1),L168)),LEN(INDEX($B$3:$B$168,K168))+1))</x:f>
      </x:c>
    </x:row>
    <x:row r="169" ht="15" customHeight="1">
      <x:c r="A169" s="81"/>
      <x:c r="B169"/>
      <x:c r="C169"/>
      <x:c r="D169" t="str">
        <x:f>IFERROR(IF(167&lt;=$O$1,INDEX($A$3:$A$168,MATCH(167,$I$3:$I$168,0)),IF(167&lt;=$O$1+$O$2,INDEX($F$3:$F$1994,MATCH(167-$O$1,$G$3:$G$1994,0)),"")),"")</x:f>
      </x:c>
      <x:c r="E169" t="str">
        <x:f>IF(K169="","",IF(N169&lt;=M169,"",TRIM(CLEAN(MID(INDEX($B$3:$B$168,K169),M169,N169-M169)))))</x:f>
      </x:c>
      <x:c r="F169" t="str">
        <x:f>IF(E169="","",IF(E169=TRIM(INDEX($A$3:$A$168,K169)),"",IF(RIGHT(TRIM(INDEX($A$3:$A$168,K169)),1)="]",LEFT(TRIM(INDEX($A$3:$A$168,K169)),LEN(TRIM(INDEX($A$3:$A$168,K169)))-1)&amp;", "&amp;SUBSTITUTE(SUBSTITUTE(SUBSTITUTE(E169," [",", "),"[",", "),"]","")&amp;"]",TRIM(INDEX($A$3:$A$168,K169))&amp;" ["&amp;SUBSTITUTE(SUBSTITUTE(SUBSTITUTE(E169," [",", "),"[",", "),"]","")&amp;"]")))</x:f>
      </x:c>
      <x:c r="G169" t="str">
        <x:f>IF(F169&lt;&gt;"",ROWS($F$3:F169)-COUNTBLANK($F$3:F169),"")</x:f>
      </x:c>
      <x:c r="H169"/>
      <x:c r="I169"/>
      <x:c r="J169"/>
      <x:c r="K169" t="str">
        <x:f>IF(ROW()-ROW($K$2)&lt;=SUM($J$3:$J$168),COUNTIF($H$3:$H$168,"&lt;"&amp;(ROW()-ROW($K$2))),"")</x:f>
      </x:c>
      <x:c r="L169" t="str">
        <x:f>IF(K169="","",ROW()-ROW($L$2)-INDEX($H$3:$H$168,K169))</x:f>
      </x:c>
      <x:c r="M169" t="str">
        <x:f>IF(K169="","",IF(L169=1,1,FIND(CHAR(1),SUBSTITUTE(INDEX($B$3:$B$168,K169),CHAR(10),CHAR(1),L169-1))+1))</x:f>
      </x:c>
      <x:c r="N169" t="str">
        <x:f>IF(K169="","",IFERROR(FIND(CHAR(1),SUBSTITUTE(INDEX($B$3:$B$168,K169),CHAR(10),CHAR(1),L169)),LEN(INDEX($B$3:$B$168,K169))+1))</x:f>
      </x:c>
    </x:row>
    <x:row r="170" ht="15" customHeight="1">
      <x:c r="A170" s="81"/>
      <x:c r="B170"/>
      <x:c r="C170"/>
      <x:c r="D170" t="str">
        <x:f>IFERROR(IF(168&lt;=$O$1,INDEX($A$3:$A$168,MATCH(168,$I$3:$I$168,0)),IF(168&lt;=$O$1+$O$2,INDEX($F$3:$F$1994,MATCH(168-$O$1,$G$3:$G$1994,0)),"")),"")</x:f>
      </x:c>
      <x:c r="E170" t="str">
        <x:f>IF(K170="","",IF(N170&lt;=M170,"",TRIM(CLEAN(MID(INDEX($B$3:$B$168,K170),M170,N170-M170)))))</x:f>
      </x:c>
      <x:c r="F170" t="str">
        <x:f>IF(E170="","",IF(E170=TRIM(INDEX($A$3:$A$168,K170)),"",IF(RIGHT(TRIM(INDEX($A$3:$A$168,K170)),1)="]",LEFT(TRIM(INDEX($A$3:$A$168,K170)),LEN(TRIM(INDEX($A$3:$A$168,K170)))-1)&amp;", "&amp;SUBSTITUTE(SUBSTITUTE(SUBSTITUTE(E170," [",", "),"[",", "),"]","")&amp;"]",TRIM(INDEX($A$3:$A$168,K170))&amp;" ["&amp;SUBSTITUTE(SUBSTITUTE(SUBSTITUTE(E170," [",", "),"[",", "),"]","")&amp;"]")))</x:f>
      </x:c>
      <x:c r="G170" t="str">
        <x:f>IF(F170&lt;&gt;"",ROWS($F$3:F170)-COUNTBLANK($F$3:F170),"")</x:f>
      </x:c>
      <x:c r="H170"/>
      <x:c r="I170"/>
      <x:c r="J170"/>
      <x:c r="K170" t="str">
        <x:f>IF(ROW()-ROW($K$2)&lt;=SUM($J$3:$J$168),COUNTIF($H$3:$H$168,"&lt;"&amp;(ROW()-ROW($K$2))),"")</x:f>
      </x:c>
      <x:c r="L170" t="str">
        <x:f>IF(K170="","",ROW()-ROW($L$2)-INDEX($H$3:$H$168,K170))</x:f>
      </x:c>
      <x:c r="M170" t="str">
        <x:f>IF(K170="","",IF(L170=1,1,FIND(CHAR(1),SUBSTITUTE(INDEX($B$3:$B$168,K170),CHAR(10),CHAR(1),L170-1))+1))</x:f>
      </x:c>
      <x:c r="N170" t="str">
        <x:f>IF(K170="","",IFERROR(FIND(CHAR(1),SUBSTITUTE(INDEX($B$3:$B$168,K170),CHAR(10),CHAR(1),L170)),LEN(INDEX($B$3:$B$168,K170))+1))</x:f>
      </x:c>
    </x:row>
    <x:row r="171" ht="15" customHeight="1">
      <x:c r="A171" s="81"/>
      <x:c r="B171"/>
      <x:c r="C171"/>
      <x:c r="D171" t="str">
        <x:f>IFERROR(IF(169&lt;=$O$1,INDEX($A$3:$A$168,MATCH(169,$I$3:$I$168,0)),IF(169&lt;=$O$1+$O$2,INDEX($F$3:$F$1994,MATCH(169-$O$1,$G$3:$G$1994,0)),"")),"")</x:f>
      </x:c>
      <x:c r="E171" t="str">
        <x:f>IF(K171="","",IF(N171&lt;=M171,"",TRIM(CLEAN(MID(INDEX($B$3:$B$168,K171),M171,N171-M171)))))</x:f>
      </x:c>
      <x:c r="F171" t="str">
        <x:f>IF(E171="","",IF(E171=TRIM(INDEX($A$3:$A$168,K171)),"",IF(RIGHT(TRIM(INDEX($A$3:$A$168,K171)),1)="]",LEFT(TRIM(INDEX($A$3:$A$168,K171)),LEN(TRIM(INDEX($A$3:$A$168,K171)))-1)&amp;", "&amp;SUBSTITUTE(SUBSTITUTE(SUBSTITUTE(E171," [",", "),"[",", "),"]","")&amp;"]",TRIM(INDEX($A$3:$A$168,K171))&amp;" ["&amp;SUBSTITUTE(SUBSTITUTE(SUBSTITUTE(E171," [",", "),"[",", "),"]","")&amp;"]")))</x:f>
      </x:c>
      <x:c r="G171" t="str">
        <x:f>IF(F171&lt;&gt;"",ROWS($F$3:F171)-COUNTBLANK($F$3:F171),"")</x:f>
      </x:c>
      <x:c r="H171"/>
      <x:c r="I171"/>
      <x:c r="J171"/>
      <x:c r="K171" t="str">
        <x:f>IF(ROW()-ROW($K$2)&lt;=SUM($J$3:$J$168),COUNTIF($H$3:$H$168,"&lt;"&amp;(ROW()-ROW($K$2))),"")</x:f>
      </x:c>
      <x:c r="L171" t="str">
        <x:f>IF(K171="","",ROW()-ROW($L$2)-INDEX($H$3:$H$168,K171))</x:f>
      </x:c>
      <x:c r="M171" t="str">
        <x:f>IF(K171="","",IF(L171=1,1,FIND(CHAR(1),SUBSTITUTE(INDEX($B$3:$B$168,K171),CHAR(10),CHAR(1),L171-1))+1))</x:f>
      </x:c>
      <x:c r="N171" t="str">
        <x:f>IF(K171="","",IFERROR(FIND(CHAR(1),SUBSTITUTE(INDEX($B$3:$B$168,K171),CHAR(10),CHAR(1),L171)),LEN(INDEX($B$3:$B$168,K171))+1))</x:f>
      </x:c>
    </x:row>
    <x:row r="172" ht="15" customHeight="1">
      <x:c r="A172" s="81"/>
      <x:c r="B172"/>
      <x:c r="C172"/>
      <x:c r="D172" t="str">
        <x:f>IFERROR(IF(170&lt;=$O$1,INDEX($A$3:$A$168,MATCH(170,$I$3:$I$168,0)),IF(170&lt;=$O$1+$O$2,INDEX($F$3:$F$1994,MATCH(170-$O$1,$G$3:$G$1994,0)),"")),"")</x:f>
      </x:c>
      <x:c r="E172" t="str">
        <x:f>IF(K172="","",IF(N172&lt;=M172,"",TRIM(CLEAN(MID(INDEX($B$3:$B$168,K172),M172,N172-M172)))))</x:f>
      </x:c>
      <x:c r="F172" t="str">
        <x:f>IF(E172="","",IF(E172=TRIM(INDEX($A$3:$A$168,K172)),"",IF(RIGHT(TRIM(INDEX($A$3:$A$168,K172)),1)="]",LEFT(TRIM(INDEX($A$3:$A$168,K172)),LEN(TRIM(INDEX($A$3:$A$168,K172)))-1)&amp;", "&amp;SUBSTITUTE(SUBSTITUTE(SUBSTITUTE(E172," [",", "),"[",", "),"]","")&amp;"]",TRIM(INDEX($A$3:$A$168,K172))&amp;" ["&amp;SUBSTITUTE(SUBSTITUTE(SUBSTITUTE(E172," [",", "),"[",", "),"]","")&amp;"]")))</x:f>
      </x:c>
      <x:c r="G172" t="str">
        <x:f>IF(F172&lt;&gt;"",ROWS($F$3:F172)-COUNTBLANK($F$3:F172),"")</x:f>
      </x:c>
      <x:c r="H172"/>
      <x:c r="I172"/>
      <x:c r="J172"/>
      <x:c r="K172" t="str">
        <x:f>IF(ROW()-ROW($K$2)&lt;=SUM($J$3:$J$168),COUNTIF($H$3:$H$168,"&lt;"&amp;(ROW()-ROW($K$2))),"")</x:f>
      </x:c>
      <x:c r="L172" t="str">
        <x:f>IF(K172="","",ROW()-ROW($L$2)-INDEX($H$3:$H$168,K172))</x:f>
      </x:c>
      <x:c r="M172" t="str">
        <x:f>IF(K172="","",IF(L172=1,1,FIND(CHAR(1),SUBSTITUTE(INDEX($B$3:$B$168,K172),CHAR(10),CHAR(1),L172-1))+1))</x:f>
      </x:c>
      <x:c r="N172" t="str">
        <x:f>IF(K172="","",IFERROR(FIND(CHAR(1),SUBSTITUTE(INDEX($B$3:$B$168,K172),CHAR(10),CHAR(1),L172)),LEN(INDEX($B$3:$B$168,K172))+1))</x:f>
      </x:c>
    </x:row>
    <x:row r="173" ht="15" customHeight="1">
      <x:c r="A173" s="81"/>
      <x:c r="B173"/>
      <x:c r="C173"/>
      <x:c r="D173" t="str">
        <x:f>IFERROR(IF(171&lt;=$O$1,INDEX($A$3:$A$168,MATCH(171,$I$3:$I$168,0)),IF(171&lt;=$O$1+$O$2,INDEX($F$3:$F$1994,MATCH(171-$O$1,$G$3:$G$1994,0)),"")),"")</x:f>
      </x:c>
      <x:c r="E173" t="str">
        <x:f>IF(K173="","",IF(N173&lt;=M173,"",TRIM(CLEAN(MID(INDEX($B$3:$B$168,K173),M173,N173-M173)))))</x:f>
      </x:c>
      <x:c r="F173" t="str">
        <x:f>IF(E173="","",IF(E173=TRIM(INDEX($A$3:$A$168,K173)),"",IF(RIGHT(TRIM(INDEX($A$3:$A$168,K173)),1)="]",LEFT(TRIM(INDEX($A$3:$A$168,K173)),LEN(TRIM(INDEX($A$3:$A$168,K173)))-1)&amp;", "&amp;SUBSTITUTE(SUBSTITUTE(SUBSTITUTE(E173," [",", "),"[",", "),"]","")&amp;"]",TRIM(INDEX($A$3:$A$168,K173))&amp;" ["&amp;SUBSTITUTE(SUBSTITUTE(SUBSTITUTE(E173," [",", "),"[",", "),"]","")&amp;"]")))</x:f>
      </x:c>
      <x:c r="G173" t="str">
        <x:f>IF(F173&lt;&gt;"",ROWS($F$3:F173)-COUNTBLANK($F$3:F173),"")</x:f>
      </x:c>
      <x:c r="H173"/>
      <x:c r="I173"/>
      <x:c r="J173"/>
      <x:c r="K173" t="str">
        <x:f>IF(ROW()-ROW($K$2)&lt;=SUM($J$3:$J$168),COUNTIF($H$3:$H$168,"&lt;"&amp;(ROW()-ROW($K$2))),"")</x:f>
      </x:c>
      <x:c r="L173" t="str">
        <x:f>IF(K173="","",ROW()-ROW($L$2)-INDEX($H$3:$H$168,K173))</x:f>
      </x:c>
      <x:c r="M173" t="str">
        <x:f>IF(K173="","",IF(L173=1,1,FIND(CHAR(1),SUBSTITUTE(INDEX($B$3:$B$168,K173),CHAR(10),CHAR(1),L173-1))+1))</x:f>
      </x:c>
      <x:c r="N173" t="str">
        <x:f>IF(K173="","",IFERROR(FIND(CHAR(1),SUBSTITUTE(INDEX($B$3:$B$168,K173),CHAR(10),CHAR(1),L173)),LEN(INDEX($B$3:$B$168,K173))+1))</x:f>
      </x:c>
    </x:row>
    <x:row r="174" ht="15" customHeight="1">
      <x:c r="A174" s="81"/>
      <x:c r="B174"/>
      <x:c r="C174"/>
      <x:c r="D174" t="str">
        <x:f>IFERROR(IF(172&lt;=$O$1,INDEX($A$3:$A$168,MATCH(172,$I$3:$I$168,0)),IF(172&lt;=$O$1+$O$2,INDEX($F$3:$F$1994,MATCH(172-$O$1,$G$3:$G$1994,0)),"")),"")</x:f>
      </x:c>
      <x:c r="E174" t="str">
        <x:f>IF(K174="","",IF(N174&lt;=M174,"",TRIM(CLEAN(MID(INDEX($B$3:$B$168,K174),M174,N174-M174)))))</x:f>
      </x:c>
      <x:c r="F174" t="str">
        <x:f>IF(E174="","",IF(E174=TRIM(INDEX($A$3:$A$168,K174)),"",IF(RIGHT(TRIM(INDEX($A$3:$A$168,K174)),1)="]",LEFT(TRIM(INDEX($A$3:$A$168,K174)),LEN(TRIM(INDEX($A$3:$A$168,K174)))-1)&amp;", "&amp;SUBSTITUTE(SUBSTITUTE(SUBSTITUTE(E174," [",", "),"[",", "),"]","")&amp;"]",TRIM(INDEX($A$3:$A$168,K174))&amp;" ["&amp;SUBSTITUTE(SUBSTITUTE(SUBSTITUTE(E174," [",", "),"[",", "),"]","")&amp;"]")))</x:f>
      </x:c>
      <x:c r="G174" t="str">
        <x:f>IF(F174&lt;&gt;"",ROWS($F$3:F174)-COUNTBLANK($F$3:F174),"")</x:f>
      </x:c>
      <x:c r="H174"/>
      <x:c r="I174"/>
      <x:c r="J174"/>
      <x:c r="K174" t="str">
        <x:f>IF(ROW()-ROW($K$2)&lt;=SUM($J$3:$J$168),COUNTIF($H$3:$H$168,"&lt;"&amp;(ROW()-ROW($K$2))),"")</x:f>
      </x:c>
      <x:c r="L174" t="str">
        <x:f>IF(K174="","",ROW()-ROW($L$2)-INDEX($H$3:$H$168,K174))</x:f>
      </x:c>
      <x:c r="M174" t="str">
        <x:f>IF(K174="","",IF(L174=1,1,FIND(CHAR(1),SUBSTITUTE(INDEX($B$3:$B$168,K174),CHAR(10),CHAR(1),L174-1))+1))</x:f>
      </x:c>
      <x:c r="N174" t="str">
        <x:f>IF(K174="","",IFERROR(FIND(CHAR(1),SUBSTITUTE(INDEX($B$3:$B$168,K174),CHAR(10),CHAR(1),L174)),LEN(INDEX($B$3:$B$168,K174))+1))</x:f>
      </x:c>
    </x:row>
    <x:row r="175" ht="15" customHeight="1">
      <x:c r="A175" s="81"/>
      <x:c r="B175"/>
      <x:c r="C175"/>
      <x:c r="D175" t="str">
        <x:f>IFERROR(IF(173&lt;=$O$1,INDEX($A$3:$A$168,MATCH(173,$I$3:$I$168,0)),IF(173&lt;=$O$1+$O$2,INDEX($F$3:$F$1994,MATCH(173-$O$1,$G$3:$G$1994,0)),"")),"")</x:f>
      </x:c>
      <x:c r="E175" t="str">
        <x:f>IF(K175="","",IF(N175&lt;=M175,"",TRIM(CLEAN(MID(INDEX($B$3:$B$168,K175),M175,N175-M175)))))</x:f>
      </x:c>
      <x:c r="F175" t="str">
        <x:f>IF(E175="","",IF(E175=TRIM(INDEX($A$3:$A$168,K175)),"",IF(RIGHT(TRIM(INDEX($A$3:$A$168,K175)),1)="]",LEFT(TRIM(INDEX($A$3:$A$168,K175)),LEN(TRIM(INDEX($A$3:$A$168,K175)))-1)&amp;", "&amp;SUBSTITUTE(SUBSTITUTE(SUBSTITUTE(E175," [",", "),"[",", "),"]","")&amp;"]",TRIM(INDEX($A$3:$A$168,K175))&amp;" ["&amp;SUBSTITUTE(SUBSTITUTE(SUBSTITUTE(E175," [",", "),"[",", "),"]","")&amp;"]")))</x:f>
      </x:c>
      <x:c r="G175" t="str">
        <x:f>IF(F175&lt;&gt;"",ROWS($F$3:F175)-COUNTBLANK($F$3:F175),"")</x:f>
      </x:c>
      <x:c r="H175"/>
      <x:c r="I175"/>
      <x:c r="J175"/>
      <x:c r="K175" t="str">
        <x:f>IF(ROW()-ROW($K$2)&lt;=SUM($J$3:$J$168),COUNTIF($H$3:$H$168,"&lt;"&amp;(ROW()-ROW($K$2))),"")</x:f>
      </x:c>
      <x:c r="L175" t="str">
        <x:f>IF(K175="","",ROW()-ROW($L$2)-INDEX($H$3:$H$168,K175))</x:f>
      </x:c>
      <x:c r="M175" t="str">
        <x:f>IF(K175="","",IF(L175=1,1,FIND(CHAR(1),SUBSTITUTE(INDEX($B$3:$B$168,K175),CHAR(10),CHAR(1),L175-1))+1))</x:f>
      </x:c>
      <x:c r="N175" t="str">
        <x:f>IF(K175="","",IFERROR(FIND(CHAR(1),SUBSTITUTE(INDEX($B$3:$B$168,K175),CHAR(10),CHAR(1),L175)),LEN(INDEX($B$3:$B$168,K175))+1))</x:f>
      </x:c>
    </x:row>
    <x:row r="176" ht="15" customHeight="1">
      <x:c r="A176" s="81"/>
      <x:c r="B176"/>
      <x:c r="C176"/>
      <x:c r="D176" t="str">
        <x:f>IFERROR(IF(174&lt;=$O$1,INDEX($A$3:$A$168,MATCH(174,$I$3:$I$168,0)),IF(174&lt;=$O$1+$O$2,INDEX($F$3:$F$1994,MATCH(174-$O$1,$G$3:$G$1994,0)),"")),"")</x:f>
      </x:c>
      <x:c r="E176" t="str">
        <x:f>IF(K176="","",IF(N176&lt;=M176,"",TRIM(CLEAN(MID(INDEX($B$3:$B$168,K176),M176,N176-M176)))))</x:f>
      </x:c>
      <x:c r="F176" t="str">
        <x:f>IF(E176="","",IF(E176=TRIM(INDEX($A$3:$A$168,K176)),"",IF(RIGHT(TRIM(INDEX($A$3:$A$168,K176)),1)="]",LEFT(TRIM(INDEX($A$3:$A$168,K176)),LEN(TRIM(INDEX($A$3:$A$168,K176)))-1)&amp;", "&amp;SUBSTITUTE(SUBSTITUTE(SUBSTITUTE(E176," [",", "),"[",", "),"]","")&amp;"]",TRIM(INDEX($A$3:$A$168,K176))&amp;" ["&amp;SUBSTITUTE(SUBSTITUTE(SUBSTITUTE(E176," [",", "),"[",", "),"]","")&amp;"]")))</x:f>
      </x:c>
      <x:c r="G176" t="str">
        <x:f>IF(F176&lt;&gt;"",ROWS($F$3:F176)-COUNTBLANK($F$3:F176),"")</x:f>
      </x:c>
      <x:c r="H176"/>
      <x:c r="I176"/>
      <x:c r="J176"/>
      <x:c r="K176" t="str">
        <x:f>IF(ROW()-ROW($K$2)&lt;=SUM($J$3:$J$168),COUNTIF($H$3:$H$168,"&lt;"&amp;(ROW()-ROW($K$2))),"")</x:f>
      </x:c>
      <x:c r="L176" t="str">
        <x:f>IF(K176="","",ROW()-ROW($L$2)-INDEX($H$3:$H$168,K176))</x:f>
      </x:c>
      <x:c r="M176" t="str">
        <x:f>IF(K176="","",IF(L176=1,1,FIND(CHAR(1),SUBSTITUTE(INDEX($B$3:$B$168,K176),CHAR(10),CHAR(1),L176-1))+1))</x:f>
      </x:c>
      <x:c r="N176" t="str">
        <x:f>IF(K176="","",IFERROR(FIND(CHAR(1),SUBSTITUTE(INDEX($B$3:$B$168,K176),CHAR(10),CHAR(1),L176)),LEN(INDEX($B$3:$B$168,K176))+1))</x:f>
      </x:c>
    </x:row>
    <x:row r="177" ht="15" customHeight="1">
      <x:c r="A177" s="81"/>
      <x:c r="B177"/>
      <x:c r="C177"/>
      <x:c r="D177" t="str">
        <x:f>IFERROR(IF(175&lt;=$O$1,INDEX($A$3:$A$168,MATCH(175,$I$3:$I$168,0)),IF(175&lt;=$O$1+$O$2,INDEX($F$3:$F$1994,MATCH(175-$O$1,$G$3:$G$1994,0)),"")),"")</x:f>
      </x:c>
      <x:c r="E177" t="str">
        <x:f>IF(K177="","",IF(N177&lt;=M177,"",TRIM(CLEAN(MID(INDEX($B$3:$B$168,K177),M177,N177-M177)))))</x:f>
      </x:c>
      <x:c r="F177" t="str">
        <x:f>IF(E177="","",IF(E177=TRIM(INDEX($A$3:$A$168,K177)),"",IF(RIGHT(TRIM(INDEX($A$3:$A$168,K177)),1)="]",LEFT(TRIM(INDEX($A$3:$A$168,K177)),LEN(TRIM(INDEX($A$3:$A$168,K177)))-1)&amp;", "&amp;SUBSTITUTE(SUBSTITUTE(SUBSTITUTE(E177," [",", "),"[",", "),"]","")&amp;"]",TRIM(INDEX($A$3:$A$168,K177))&amp;" ["&amp;SUBSTITUTE(SUBSTITUTE(SUBSTITUTE(E177," [",", "),"[",", "),"]","")&amp;"]")))</x:f>
      </x:c>
      <x:c r="G177" t="str">
        <x:f>IF(F177&lt;&gt;"",ROWS($F$3:F177)-COUNTBLANK($F$3:F177),"")</x:f>
      </x:c>
      <x:c r="H177"/>
      <x:c r="I177"/>
      <x:c r="J177"/>
      <x:c r="K177" t="str">
        <x:f>IF(ROW()-ROW($K$2)&lt;=SUM($J$3:$J$168),COUNTIF($H$3:$H$168,"&lt;"&amp;(ROW()-ROW($K$2))),"")</x:f>
      </x:c>
      <x:c r="L177" t="str">
        <x:f>IF(K177="","",ROW()-ROW($L$2)-INDEX($H$3:$H$168,K177))</x:f>
      </x:c>
      <x:c r="M177" t="str">
        <x:f>IF(K177="","",IF(L177=1,1,FIND(CHAR(1),SUBSTITUTE(INDEX($B$3:$B$168,K177),CHAR(10),CHAR(1),L177-1))+1))</x:f>
      </x:c>
      <x:c r="N177" t="str">
        <x:f>IF(K177="","",IFERROR(FIND(CHAR(1),SUBSTITUTE(INDEX($B$3:$B$168,K177),CHAR(10),CHAR(1),L177)),LEN(INDEX($B$3:$B$168,K177))+1))</x:f>
      </x:c>
    </x:row>
    <x:row r="178" ht="15" customHeight="1">
      <x:c r="A178" s="81"/>
      <x:c r="B178"/>
      <x:c r="C178"/>
      <x:c r="D178" t="str">
        <x:f>IFERROR(IF(176&lt;=$O$1,INDEX($A$3:$A$168,MATCH(176,$I$3:$I$168,0)),IF(176&lt;=$O$1+$O$2,INDEX($F$3:$F$1994,MATCH(176-$O$1,$G$3:$G$1994,0)),"")),"")</x:f>
      </x:c>
      <x:c r="E178" t="str">
        <x:f>IF(K178="","",IF(N178&lt;=M178,"",TRIM(CLEAN(MID(INDEX($B$3:$B$168,K178),M178,N178-M178)))))</x:f>
      </x:c>
      <x:c r="F178" t="str">
        <x:f>IF(E178="","",IF(E178=TRIM(INDEX($A$3:$A$168,K178)),"",IF(RIGHT(TRIM(INDEX($A$3:$A$168,K178)),1)="]",LEFT(TRIM(INDEX($A$3:$A$168,K178)),LEN(TRIM(INDEX($A$3:$A$168,K178)))-1)&amp;", "&amp;SUBSTITUTE(SUBSTITUTE(SUBSTITUTE(E178," [",", "),"[",", "),"]","")&amp;"]",TRIM(INDEX($A$3:$A$168,K178))&amp;" ["&amp;SUBSTITUTE(SUBSTITUTE(SUBSTITUTE(E178," [",", "),"[",", "),"]","")&amp;"]")))</x:f>
      </x:c>
      <x:c r="G178" t="str">
        <x:f>IF(F178&lt;&gt;"",ROWS($F$3:F178)-COUNTBLANK($F$3:F178),"")</x:f>
      </x:c>
      <x:c r="H178"/>
      <x:c r="I178"/>
      <x:c r="J178"/>
      <x:c r="K178" t="str">
        <x:f>IF(ROW()-ROW($K$2)&lt;=SUM($J$3:$J$168),COUNTIF($H$3:$H$168,"&lt;"&amp;(ROW()-ROW($K$2))),"")</x:f>
      </x:c>
      <x:c r="L178" t="str">
        <x:f>IF(K178="","",ROW()-ROW($L$2)-INDEX($H$3:$H$168,K178))</x:f>
      </x:c>
      <x:c r="M178" t="str">
        <x:f>IF(K178="","",IF(L178=1,1,FIND(CHAR(1),SUBSTITUTE(INDEX($B$3:$B$168,K178),CHAR(10),CHAR(1),L178-1))+1))</x:f>
      </x:c>
      <x:c r="N178" t="str">
        <x:f>IF(K178="","",IFERROR(FIND(CHAR(1),SUBSTITUTE(INDEX($B$3:$B$168,K178),CHAR(10),CHAR(1),L178)),LEN(INDEX($B$3:$B$168,K178))+1))</x:f>
      </x:c>
    </x:row>
    <x:row r="179" ht="15" customHeight="1">
      <x:c r="A179" s="81"/>
      <x:c r="B179"/>
      <x:c r="C179"/>
      <x:c r="D179" t="str">
        <x:f>IFERROR(IF(177&lt;=$O$1,INDEX($A$3:$A$168,MATCH(177,$I$3:$I$168,0)),IF(177&lt;=$O$1+$O$2,INDEX($F$3:$F$1994,MATCH(177-$O$1,$G$3:$G$1994,0)),"")),"")</x:f>
      </x:c>
      <x:c r="E179" t="str">
        <x:f>IF(K179="","",IF(N179&lt;=M179,"",TRIM(CLEAN(MID(INDEX($B$3:$B$168,K179),M179,N179-M179)))))</x:f>
      </x:c>
      <x:c r="F179" t="str">
        <x:f>IF(E179="","",IF(E179=TRIM(INDEX($A$3:$A$168,K179)),"",IF(RIGHT(TRIM(INDEX($A$3:$A$168,K179)),1)="]",LEFT(TRIM(INDEX($A$3:$A$168,K179)),LEN(TRIM(INDEX($A$3:$A$168,K179)))-1)&amp;", "&amp;SUBSTITUTE(SUBSTITUTE(SUBSTITUTE(E179," [",", "),"[",", "),"]","")&amp;"]",TRIM(INDEX($A$3:$A$168,K179))&amp;" ["&amp;SUBSTITUTE(SUBSTITUTE(SUBSTITUTE(E179," [",", "),"[",", "),"]","")&amp;"]")))</x:f>
      </x:c>
      <x:c r="G179" t="str">
        <x:f>IF(F179&lt;&gt;"",ROWS($F$3:F179)-COUNTBLANK($F$3:F179),"")</x:f>
      </x:c>
      <x:c r="H179"/>
      <x:c r="I179"/>
      <x:c r="J179"/>
      <x:c r="K179" t="str">
        <x:f>IF(ROW()-ROW($K$2)&lt;=SUM($J$3:$J$168),COUNTIF($H$3:$H$168,"&lt;"&amp;(ROW()-ROW($K$2))),"")</x:f>
      </x:c>
      <x:c r="L179" t="str">
        <x:f>IF(K179="","",ROW()-ROW($L$2)-INDEX($H$3:$H$168,K179))</x:f>
      </x:c>
      <x:c r="M179" t="str">
        <x:f>IF(K179="","",IF(L179=1,1,FIND(CHAR(1),SUBSTITUTE(INDEX($B$3:$B$168,K179),CHAR(10),CHAR(1),L179-1))+1))</x:f>
      </x:c>
      <x:c r="N179" t="str">
        <x:f>IF(K179="","",IFERROR(FIND(CHAR(1),SUBSTITUTE(INDEX($B$3:$B$168,K179),CHAR(10),CHAR(1),L179)),LEN(INDEX($B$3:$B$168,K179))+1))</x:f>
      </x:c>
    </x:row>
    <x:row r="180" ht="15" customHeight="1">
      <x:c r="A180" s="81"/>
      <x:c r="B180"/>
      <x:c r="C180"/>
      <x:c r="D180" t="str">
        <x:f>IFERROR(IF(178&lt;=$O$1,INDEX($A$3:$A$168,MATCH(178,$I$3:$I$168,0)),IF(178&lt;=$O$1+$O$2,INDEX($F$3:$F$1994,MATCH(178-$O$1,$G$3:$G$1994,0)),"")),"")</x:f>
      </x:c>
      <x:c r="E180" t="str">
        <x:f>IF(K180="","",IF(N180&lt;=M180,"",TRIM(CLEAN(MID(INDEX($B$3:$B$168,K180),M180,N180-M180)))))</x:f>
      </x:c>
      <x:c r="F180" t="str">
        <x:f>IF(E180="","",IF(E180=TRIM(INDEX($A$3:$A$168,K180)),"",IF(RIGHT(TRIM(INDEX($A$3:$A$168,K180)),1)="]",LEFT(TRIM(INDEX($A$3:$A$168,K180)),LEN(TRIM(INDEX($A$3:$A$168,K180)))-1)&amp;", "&amp;SUBSTITUTE(SUBSTITUTE(SUBSTITUTE(E180," [",", "),"[",", "),"]","")&amp;"]",TRIM(INDEX($A$3:$A$168,K180))&amp;" ["&amp;SUBSTITUTE(SUBSTITUTE(SUBSTITUTE(E180," [",", "),"[",", "),"]","")&amp;"]")))</x:f>
      </x:c>
      <x:c r="G180" t="str">
        <x:f>IF(F180&lt;&gt;"",ROWS($F$3:F180)-COUNTBLANK($F$3:F180),"")</x:f>
      </x:c>
      <x:c r="H180"/>
      <x:c r="I180"/>
      <x:c r="J180"/>
      <x:c r="K180" t="str">
        <x:f>IF(ROW()-ROW($K$2)&lt;=SUM($J$3:$J$168),COUNTIF($H$3:$H$168,"&lt;"&amp;(ROW()-ROW($K$2))),"")</x:f>
      </x:c>
      <x:c r="L180" t="str">
        <x:f>IF(K180="","",ROW()-ROW($L$2)-INDEX($H$3:$H$168,K180))</x:f>
      </x:c>
      <x:c r="M180" t="str">
        <x:f>IF(K180="","",IF(L180=1,1,FIND(CHAR(1),SUBSTITUTE(INDEX($B$3:$B$168,K180),CHAR(10),CHAR(1),L180-1))+1))</x:f>
      </x:c>
      <x:c r="N180" t="str">
        <x:f>IF(K180="","",IFERROR(FIND(CHAR(1),SUBSTITUTE(INDEX($B$3:$B$168,K180),CHAR(10),CHAR(1),L180)),LEN(INDEX($B$3:$B$168,K180))+1))</x:f>
      </x:c>
    </x:row>
    <x:row r="181" ht="15" customHeight="1">
      <x:c r="A181" s="81"/>
      <x:c r="B181"/>
      <x:c r="C181"/>
      <x:c r="D181" t="str">
        <x:f>IFERROR(IF(179&lt;=$O$1,INDEX($A$3:$A$168,MATCH(179,$I$3:$I$168,0)),IF(179&lt;=$O$1+$O$2,INDEX($F$3:$F$1994,MATCH(179-$O$1,$G$3:$G$1994,0)),"")),"")</x:f>
      </x:c>
      <x:c r="E181" t="str">
        <x:f>IF(K181="","",IF(N181&lt;=M181,"",TRIM(CLEAN(MID(INDEX($B$3:$B$168,K181),M181,N181-M181)))))</x:f>
      </x:c>
      <x:c r="F181" t="str">
        <x:f>IF(E181="","",IF(E181=TRIM(INDEX($A$3:$A$168,K181)),"",IF(RIGHT(TRIM(INDEX($A$3:$A$168,K181)),1)="]",LEFT(TRIM(INDEX($A$3:$A$168,K181)),LEN(TRIM(INDEX($A$3:$A$168,K181)))-1)&amp;", "&amp;SUBSTITUTE(SUBSTITUTE(SUBSTITUTE(E181," [",", "),"[",", "),"]","")&amp;"]",TRIM(INDEX($A$3:$A$168,K181))&amp;" ["&amp;SUBSTITUTE(SUBSTITUTE(SUBSTITUTE(E181," [",", "),"[",", "),"]","")&amp;"]")))</x:f>
      </x:c>
      <x:c r="G181" t="str">
        <x:f>IF(F181&lt;&gt;"",ROWS($F$3:F181)-COUNTBLANK($F$3:F181),"")</x:f>
      </x:c>
      <x:c r="H181"/>
      <x:c r="I181"/>
      <x:c r="J181"/>
      <x:c r="K181" t="str">
        <x:f>IF(ROW()-ROW($K$2)&lt;=SUM($J$3:$J$168),COUNTIF($H$3:$H$168,"&lt;"&amp;(ROW()-ROW($K$2))),"")</x:f>
      </x:c>
      <x:c r="L181" t="str">
        <x:f>IF(K181="","",ROW()-ROW($L$2)-INDEX($H$3:$H$168,K181))</x:f>
      </x:c>
      <x:c r="M181" t="str">
        <x:f>IF(K181="","",IF(L181=1,1,FIND(CHAR(1),SUBSTITUTE(INDEX($B$3:$B$168,K181),CHAR(10),CHAR(1),L181-1))+1))</x:f>
      </x:c>
      <x:c r="N181" t="str">
        <x:f>IF(K181="","",IFERROR(FIND(CHAR(1),SUBSTITUTE(INDEX($B$3:$B$168,K181),CHAR(10),CHAR(1),L181)),LEN(INDEX($B$3:$B$168,K181))+1))</x:f>
      </x:c>
    </x:row>
    <x:row r="182" ht="15" customHeight="1">
      <x:c r="A182" s="81"/>
      <x:c r="B182"/>
      <x:c r="C182"/>
      <x:c r="D182" t="str">
        <x:f>IFERROR(IF(180&lt;=$O$1,INDEX($A$3:$A$168,MATCH(180,$I$3:$I$168,0)),IF(180&lt;=$O$1+$O$2,INDEX($F$3:$F$1994,MATCH(180-$O$1,$G$3:$G$1994,0)),"")),"")</x:f>
      </x:c>
      <x:c r="E182" t="str">
        <x:f>IF(K182="","",IF(N182&lt;=M182,"",TRIM(CLEAN(MID(INDEX($B$3:$B$168,K182),M182,N182-M182)))))</x:f>
      </x:c>
      <x:c r="F182" t="str">
        <x:f>IF(E182="","",IF(E182=TRIM(INDEX($A$3:$A$168,K182)),"",IF(RIGHT(TRIM(INDEX($A$3:$A$168,K182)),1)="]",LEFT(TRIM(INDEX($A$3:$A$168,K182)),LEN(TRIM(INDEX($A$3:$A$168,K182)))-1)&amp;", "&amp;SUBSTITUTE(SUBSTITUTE(SUBSTITUTE(E182," [",", "),"[",", "),"]","")&amp;"]",TRIM(INDEX($A$3:$A$168,K182))&amp;" ["&amp;SUBSTITUTE(SUBSTITUTE(SUBSTITUTE(E182," [",", "),"[",", "),"]","")&amp;"]")))</x:f>
      </x:c>
      <x:c r="G182" t="str">
        <x:f>IF(F182&lt;&gt;"",ROWS($F$3:F182)-COUNTBLANK($F$3:F182),"")</x:f>
      </x:c>
      <x:c r="H182"/>
      <x:c r="I182"/>
      <x:c r="J182"/>
      <x:c r="K182" t="str">
        <x:f>IF(ROW()-ROW($K$2)&lt;=SUM($J$3:$J$168),COUNTIF($H$3:$H$168,"&lt;"&amp;(ROW()-ROW($K$2))),"")</x:f>
      </x:c>
      <x:c r="L182" t="str">
        <x:f>IF(K182="","",ROW()-ROW($L$2)-INDEX($H$3:$H$168,K182))</x:f>
      </x:c>
      <x:c r="M182" t="str">
        <x:f>IF(K182="","",IF(L182=1,1,FIND(CHAR(1),SUBSTITUTE(INDEX($B$3:$B$168,K182),CHAR(10),CHAR(1),L182-1))+1))</x:f>
      </x:c>
      <x:c r="N182" t="str">
        <x:f>IF(K182="","",IFERROR(FIND(CHAR(1),SUBSTITUTE(INDEX($B$3:$B$168,K182),CHAR(10),CHAR(1),L182)),LEN(INDEX($B$3:$B$168,K182))+1))</x:f>
      </x:c>
    </x:row>
    <x:row r="183" ht="15" customHeight="1">
      <x:c r="A183" s="81"/>
      <x:c r="B183"/>
      <x:c r="C183"/>
      <x:c r="D183" t="str">
        <x:f>IFERROR(IF(181&lt;=$O$1,INDEX($A$3:$A$168,MATCH(181,$I$3:$I$168,0)),IF(181&lt;=$O$1+$O$2,INDEX($F$3:$F$1994,MATCH(181-$O$1,$G$3:$G$1994,0)),"")),"")</x:f>
      </x:c>
      <x:c r="E183" t="str">
        <x:f>IF(K183="","",IF(N183&lt;=M183,"",TRIM(CLEAN(MID(INDEX($B$3:$B$168,K183),M183,N183-M183)))))</x:f>
      </x:c>
      <x:c r="F183" t="str">
        <x:f>IF(E183="","",IF(E183=TRIM(INDEX($A$3:$A$168,K183)),"",IF(RIGHT(TRIM(INDEX($A$3:$A$168,K183)),1)="]",LEFT(TRIM(INDEX($A$3:$A$168,K183)),LEN(TRIM(INDEX($A$3:$A$168,K183)))-1)&amp;", "&amp;SUBSTITUTE(SUBSTITUTE(SUBSTITUTE(E183," [",", "),"[",", "),"]","")&amp;"]",TRIM(INDEX($A$3:$A$168,K183))&amp;" ["&amp;SUBSTITUTE(SUBSTITUTE(SUBSTITUTE(E183," [",", "),"[",", "),"]","")&amp;"]")))</x:f>
      </x:c>
      <x:c r="G183" t="str">
        <x:f>IF(F183&lt;&gt;"",ROWS($F$3:F183)-COUNTBLANK($F$3:F183),"")</x:f>
      </x:c>
      <x:c r="H183"/>
      <x:c r="I183"/>
      <x:c r="J183"/>
      <x:c r="K183" t="str">
        <x:f>IF(ROW()-ROW($K$2)&lt;=SUM($J$3:$J$168),COUNTIF($H$3:$H$168,"&lt;"&amp;(ROW()-ROW($K$2))),"")</x:f>
      </x:c>
      <x:c r="L183" t="str">
        <x:f>IF(K183="","",ROW()-ROW($L$2)-INDEX($H$3:$H$168,K183))</x:f>
      </x:c>
      <x:c r="M183" t="str">
        <x:f>IF(K183="","",IF(L183=1,1,FIND(CHAR(1),SUBSTITUTE(INDEX($B$3:$B$168,K183),CHAR(10),CHAR(1),L183-1))+1))</x:f>
      </x:c>
      <x:c r="N183" t="str">
        <x:f>IF(K183="","",IFERROR(FIND(CHAR(1),SUBSTITUTE(INDEX($B$3:$B$168,K183),CHAR(10),CHAR(1),L183)),LEN(INDEX($B$3:$B$168,K183))+1))</x:f>
      </x:c>
    </x:row>
    <x:row r="184" ht="15" customHeight="1">
      <x:c r="A184" s="81"/>
      <x:c r="B184"/>
      <x:c r="C184"/>
      <x:c r="D184" t="str">
        <x:f>IFERROR(IF(182&lt;=$O$1,INDEX($A$3:$A$168,MATCH(182,$I$3:$I$168,0)),IF(182&lt;=$O$1+$O$2,INDEX($F$3:$F$1994,MATCH(182-$O$1,$G$3:$G$1994,0)),"")),"")</x:f>
      </x:c>
      <x:c r="E184" t="str">
        <x:f>IF(K184="","",IF(N184&lt;=M184,"",TRIM(CLEAN(MID(INDEX($B$3:$B$168,K184),M184,N184-M184)))))</x:f>
      </x:c>
      <x:c r="F184" t="str">
        <x:f>IF(E184="","",IF(E184=TRIM(INDEX($A$3:$A$168,K184)),"",IF(RIGHT(TRIM(INDEX($A$3:$A$168,K184)),1)="]",LEFT(TRIM(INDEX($A$3:$A$168,K184)),LEN(TRIM(INDEX($A$3:$A$168,K184)))-1)&amp;", "&amp;SUBSTITUTE(SUBSTITUTE(SUBSTITUTE(E184," [",", "),"[",", "),"]","")&amp;"]",TRIM(INDEX($A$3:$A$168,K184))&amp;" ["&amp;SUBSTITUTE(SUBSTITUTE(SUBSTITUTE(E184," [",", "),"[",", "),"]","")&amp;"]")))</x:f>
      </x:c>
      <x:c r="G184" t="str">
        <x:f>IF(F184&lt;&gt;"",ROWS($F$3:F184)-COUNTBLANK($F$3:F184),"")</x:f>
      </x:c>
      <x:c r="H184"/>
      <x:c r="I184"/>
      <x:c r="J184"/>
      <x:c r="K184" t="str">
        <x:f>IF(ROW()-ROW($K$2)&lt;=SUM($J$3:$J$168),COUNTIF($H$3:$H$168,"&lt;"&amp;(ROW()-ROW($K$2))),"")</x:f>
      </x:c>
      <x:c r="L184" t="str">
        <x:f>IF(K184="","",ROW()-ROW($L$2)-INDEX($H$3:$H$168,K184))</x:f>
      </x:c>
      <x:c r="M184" t="str">
        <x:f>IF(K184="","",IF(L184=1,1,FIND(CHAR(1),SUBSTITUTE(INDEX($B$3:$B$168,K184),CHAR(10),CHAR(1),L184-1))+1))</x:f>
      </x:c>
      <x:c r="N184" t="str">
        <x:f>IF(K184="","",IFERROR(FIND(CHAR(1),SUBSTITUTE(INDEX($B$3:$B$168,K184),CHAR(10),CHAR(1),L184)),LEN(INDEX($B$3:$B$168,K184))+1))</x:f>
      </x:c>
    </x:row>
    <x:row r="185" ht="15" customHeight="1">
      <x:c r="A185" s="81"/>
      <x:c r="B185"/>
      <x:c r="C185"/>
      <x:c r="D185" t="str">
        <x:f>IFERROR(IF(183&lt;=$O$1,INDEX($A$3:$A$168,MATCH(183,$I$3:$I$168,0)),IF(183&lt;=$O$1+$O$2,INDEX($F$3:$F$1994,MATCH(183-$O$1,$G$3:$G$1994,0)),"")),"")</x:f>
      </x:c>
      <x:c r="E185" t="str">
        <x:f>IF(K185="","",IF(N185&lt;=M185,"",TRIM(CLEAN(MID(INDEX($B$3:$B$168,K185),M185,N185-M185)))))</x:f>
      </x:c>
      <x:c r="F185" t="str">
        <x:f>IF(E185="","",IF(E185=TRIM(INDEX($A$3:$A$168,K185)),"",IF(RIGHT(TRIM(INDEX($A$3:$A$168,K185)),1)="]",LEFT(TRIM(INDEX($A$3:$A$168,K185)),LEN(TRIM(INDEX($A$3:$A$168,K185)))-1)&amp;", "&amp;SUBSTITUTE(SUBSTITUTE(SUBSTITUTE(E185," [",", "),"[",", "),"]","")&amp;"]",TRIM(INDEX($A$3:$A$168,K185))&amp;" ["&amp;SUBSTITUTE(SUBSTITUTE(SUBSTITUTE(E185," [",", "),"[",", "),"]","")&amp;"]")))</x:f>
      </x:c>
      <x:c r="G185" t="str">
        <x:f>IF(F185&lt;&gt;"",ROWS($F$3:F185)-COUNTBLANK($F$3:F185),"")</x:f>
      </x:c>
      <x:c r="H185"/>
      <x:c r="I185"/>
      <x:c r="J185"/>
      <x:c r="K185" t="str">
        <x:f>IF(ROW()-ROW($K$2)&lt;=SUM($J$3:$J$168),COUNTIF($H$3:$H$168,"&lt;"&amp;(ROW()-ROW($K$2))),"")</x:f>
      </x:c>
      <x:c r="L185" t="str">
        <x:f>IF(K185="","",ROW()-ROW($L$2)-INDEX($H$3:$H$168,K185))</x:f>
      </x:c>
      <x:c r="M185" t="str">
        <x:f>IF(K185="","",IF(L185=1,1,FIND(CHAR(1),SUBSTITUTE(INDEX($B$3:$B$168,K185),CHAR(10),CHAR(1),L185-1))+1))</x:f>
      </x:c>
      <x:c r="N185" t="str">
        <x:f>IF(K185="","",IFERROR(FIND(CHAR(1),SUBSTITUTE(INDEX($B$3:$B$168,K185),CHAR(10),CHAR(1),L185)),LEN(INDEX($B$3:$B$168,K185))+1))</x:f>
      </x:c>
    </x:row>
    <x:row r="186" ht="15" customHeight="1">
      <x:c r="A186" s="81"/>
      <x:c r="B186"/>
      <x:c r="C186"/>
      <x:c r="D186" t="str">
        <x:f>IFERROR(IF(184&lt;=$O$1,INDEX($A$3:$A$168,MATCH(184,$I$3:$I$168,0)),IF(184&lt;=$O$1+$O$2,INDEX($F$3:$F$1994,MATCH(184-$O$1,$G$3:$G$1994,0)),"")),"")</x:f>
      </x:c>
      <x:c r="E186" t="str">
        <x:f>IF(K186="","",IF(N186&lt;=M186,"",TRIM(CLEAN(MID(INDEX($B$3:$B$168,K186),M186,N186-M186)))))</x:f>
      </x:c>
      <x:c r="F186" t="str">
        <x:f>IF(E186="","",IF(E186=TRIM(INDEX($A$3:$A$168,K186)),"",IF(RIGHT(TRIM(INDEX($A$3:$A$168,K186)),1)="]",LEFT(TRIM(INDEX($A$3:$A$168,K186)),LEN(TRIM(INDEX($A$3:$A$168,K186)))-1)&amp;", "&amp;SUBSTITUTE(SUBSTITUTE(SUBSTITUTE(E186," [",", "),"[",", "),"]","")&amp;"]",TRIM(INDEX($A$3:$A$168,K186))&amp;" ["&amp;SUBSTITUTE(SUBSTITUTE(SUBSTITUTE(E186," [",", "),"[",", "),"]","")&amp;"]")))</x:f>
      </x:c>
      <x:c r="G186" t="str">
        <x:f>IF(F186&lt;&gt;"",ROWS($F$3:F186)-COUNTBLANK($F$3:F186),"")</x:f>
      </x:c>
      <x:c r="H186"/>
      <x:c r="I186"/>
      <x:c r="J186"/>
      <x:c r="K186" t="str">
        <x:f>IF(ROW()-ROW($K$2)&lt;=SUM($J$3:$J$168),COUNTIF($H$3:$H$168,"&lt;"&amp;(ROW()-ROW($K$2))),"")</x:f>
      </x:c>
      <x:c r="L186" t="str">
        <x:f>IF(K186="","",ROW()-ROW($L$2)-INDEX($H$3:$H$168,K186))</x:f>
      </x:c>
      <x:c r="M186" t="str">
        <x:f>IF(K186="","",IF(L186=1,1,FIND(CHAR(1),SUBSTITUTE(INDEX($B$3:$B$168,K186),CHAR(10),CHAR(1),L186-1))+1))</x:f>
      </x:c>
      <x:c r="N186" t="str">
        <x:f>IF(K186="","",IFERROR(FIND(CHAR(1),SUBSTITUTE(INDEX($B$3:$B$168,K186),CHAR(10),CHAR(1),L186)),LEN(INDEX($B$3:$B$168,K186))+1))</x:f>
      </x:c>
    </x:row>
    <x:row r="187" ht="15" customHeight="1">
      <x:c r="A187" s="81"/>
      <x:c r="B187"/>
      <x:c r="C187"/>
      <x:c r="D187" t="str">
        <x:f>IFERROR(IF(185&lt;=$O$1,INDEX($A$3:$A$168,MATCH(185,$I$3:$I$168,0)),IF(185&lt;=$O$1+$O$2,INDEX($F$3:$F$1994,MATCH(185-$O$1,$G$3:$G$1994,0)),"")),"")</x:f>
      </x:c>
      <x:c r="E187" t="str">
        <x:f>IF(K187="","",IF(N187&lt;=M187,"",TRIM(CLEAN(MID(INDEX($B$3:$B$168,K187),M187,N187-M187)))))</x:f>
      </x:c>
      <x:c r="F187" t="str">
        <x:f>IF(E187="","",IF(E187=TRIM(INDEX($A$3:$A$168,K187)),"",IF(RIGHT(TRIM(INDEX($A$3:$A$168,K187)),1)="]",LEFT(TRIM(INDEX($A$3:$A$168,K187)),LEN(TRIM(INDEX($A$3:$A$168,K187)))-1)&amp;", "&amp;SUBSTITUTE(SUBSTITUTE(SUBSTITUTE(E187," [",", "),"[",", "),"]","")&amp;"]",TRIM(INDEX($A$3:$A$168,K187))&amp;" ["&amp;SUBSTITUTE(SUBSTITUTE(SUBSTITUTE(E187," [",", "),"[",", "),"]","")&amp;"]")))</x:f>
      </x:c>
      <x:c r="G187" t="str">
        <x:f>IF(F187&lt;&gt;"",ROWS($F$3:F187)-COUNTBLANK($F$3:F187),"")</x:f>
      </x:c>
      <x:c r="H187"/>
      <x:c r="I187"/>
      <x:c r="J187"/>
      <x:c r="K187" t="str">
        <x:f>IF(ROW()-ROW($K$2)&lt;=SUM($J$3:$J$168),COUNTIF($H$3:$H$168,"&lt;"&amp;(ROW()-ROW($K$2))),"")</x:f>
      </x:c>
      <x:c r="L187" t="str">
        <x:f>IF(K187="","",ROW()-ROW($L$2)-INDEX($H$3:$H$168,K187))</x:f>
      </x:c>
      <x:c r="M187" t="str">
        <x:f>IF(K187="","",IF(L187=1,1,FIND(CHAR(1),SUBSTITUTE(INDEX($B$3:$B$168,K187),CHAR(10),CHAR(1),L187-1))+1))</x:f>
      </x:c>
      <x:c r="N187" t="str">
        <x:f>IF(K187="","",IFERROR(FIND(CHAR(1),SUBSTITUTE(INDEX($B$3:$B$168,K187),CHAR(10),CHAR(1),L187)),LEN(INDEX($B$3:$B$168,K187))+1))</x:f>
      </x:c>
    </x:row>
    <x:row r="188" ht="15" customHeight="1">
      <x:c r="A188" s="81"/>
      <x:c r="B188"/>
      <x:c r="C188"/>
      <x:c r="D188" t="str">
        <x:f>IFERROR(IF(186&lt;=$O$1,INDEX($A$3:$A$168,MATCH(186,$I$3:$I$168,0)),IF(186&lt;=$O$1+$O$2,INDEX($F$3:$F$1994,MATCH(186-$O$1,$G$3:$G$1994,0)),"")),"")</x:f>
      </x:c>
      <x:c r="E188" t="str">
        <x:f>IF(K188="","",IF(N188&lt;=M188,"",TRIM(CLEAN(MID(INDEX($B$3:$B$168,K188),M188,N188-M188)))))</x:f>
      </x:c>
      <x:c r="F188" t="str">
        <x:f>IF(E188="","",IF(E188=TRIM(INDEX($A$3:$A$168,K188)),"",IF(RIGHT(TRIM(INDEX($A$3:$A$168,K188)),1)="]",LEFT(TRIM(INDEX($A$3:$A$168,K188)),LEN(TRIM(INDEX($A$3:$A$168,K188)))-1)&amp;", "&amp;SUBSTITUTE(SUBSTITUTE(SUBSTITUTE(E188," [",", "),"[",", "),"]","")&amp;"]",TRIM(INDEX($A$3:$A$168,K188))&amp;" ["&amp;SUBSTITUTE(SUBSTITUTE(SUBSTITUTE(E188," [",", "),"[",", "),"]","")&amp;"]")))</x:f>
      </x:c>
      <x:c r="G188" t="str">
        <x:f>IF(F188&lt;&gt;"",ROWS($F$3:F188)-COUNTBLANK($F$3:F188),"")</x:f>
      </x:c>
      <x:c r="H188"/>
      <x:c r="I188"/>
      <x:c r="J188"/>
      <x:c r="K188" t="str">
        <x:f>IF(ROW()-ROW($K$2)&lt;=SUM($J$3:$J$168),COUNTIF($H$3:$H$168,"&lt;"&amp;(ROW()-ROW($K$2))),"")</x:f>
      </x:c>
      <x:c r="L188" t="str">
        <x:f>IF(K188="","",ROW()-ROW($L$2)-INDEX($H$3:$H$168,K188))</x:f>
      </x:c>
      <x:c r="M188" t="str">
        <x:f>IF(K188="","",IF(L188=1,1,FIND(CHAR(1),SUBSTITUTE(INDEX($B$3:$B$168,K188),CHAR(10),CHAR(1),L188-1))+1))</x:f>
      </x:c>
      <x:c r="N188" t="str">
        <x:f>IF(K188="","",IFERROR(FIND(CHAR(1),SUBSTITUTE(INDEX($B$3:$B$168,K188),CHAR(10),CHAR(1),L188)),LEN(INDEX($B$3:$B$168,K188))+1))</x:f>
      </x:c>
    </x:row>
    <x:row r="189" ht="15" customHeight="1">
      <x:c r="A189" s="81"/>
      <x:c r="B189"/>
      <x:c r="C189"/>
      <x:c r="D189" t="str">
        <x:f>IFERROR(IF(187&lt;=$O$1,INDEX($A$3:$A$168,MATCH(187,$I$3:$I$168,0)),IF(187&lt;=$O$1+$O$2,INDEX($F$3:$F$1994,MATCH(187-$O$1,$G$3:$G$1994,0)),"")),"")</x:f>
      </x:c>
      <x:c r="E189" t="str">
        <x:f>IF(K189="","",IF(N189&lt;=M189,"",TRIM(CLEAN(MID(INDEX($B$3:$B$168,K189),M189,N189-M189)))))</x:f>
      </x:c>
      <x:c r="F189" t="str">
        <x:f>IF(E189="","",IF(E189=TRIM(INDEX($A$3:$A$168,K189)),"",IF(RIGHT(TRIM(INDEX($A$3:$A$168,K189)),1)="]",LEFT(TRIM(INDEX($A$3:$A$168,K189)),LEN(TRIM(INDEX($A$3:$A$168,K189)))-1)&amp;", "&amp;SUBSTITUTE(SUBSTITUTE(SUBSTITUTE(E189," [",", "),"[",", "),"]","")&amp;"]",TRIM(INDEX($A$3:$A$168,K189))&amp;" ["&amp;SUBSTITUTE(SUBSTITUTE(SUBSTITUTE(E189," [",", "),"[",", "),"]","")&amp;"]")))</x:f>
      </x:c>
      <x:c r="G189" t="str">
        <x:f>IF(F189&lt;&gt;"",ROWS($F$3:F189)-COUNTBLANK($F$3:F189),"")</x:f>
      </x:c>
      <x:c r="H189"/>
      <x:c r="I189"/>
      <x:c r="J189"/>
      <x:c r="K189" t="str">
        <x:f>IF(ROW()-ROW($K$2)&lt;=SUM($J$3:$J$168),COUNTIF($H$3:$H$168,"&lt;"&amp;(ROW()-ROW($K$2))),"")</x:f>
      </x:c>
      <x:c r="L189" t="str">
        <x:f>IF(K189="","",ROW()-ROW($L$2)-INDEX($H$3:$H$168,K189))</x:f>
      </x:c>
      <x:c r="M189" t="str">
        <x:f>IF(K189="","",IF(L189=1,1,FIND(CHAR(1),SUBSTITUTE(INDEX($B$3:$B$168,K189),CHAR(10),CHAR(1),L189-1))+1))</x:f>
      </x:c>
      <x:c r="N189" t="str">
        <x:f>IF(K189="","",IFERROR(FIND(CHAR(1),SUBSTITUTE(INDEX($B$3:$B$168,K189),CHAR(10),CHAR(1),L189)),LEN(INDEX($B$3:$B$168,K189))+1))</x:f>
      </x:c>
    </x:row>
    <x:row r="190" ht="15" customHeight="1">
      <x:c r="A190" s="81"/>
      <x:c r="B190"/>
      <x:c r="C190"/>
      <x:c r="D190" t="str">
        <x:f>IFERROR(IF(188&lt;=$O$1,INDEX($A$3:$A$168,MATCH(188,$I$3:$I$168,0)),IF(188&lt;=$O$1+$O$2,INDEX($F$3:$F$1994,MATCH(188-$O$1,$G$3:$G$1994,0)),"")),"")</x:f>
      </x:c>
      <x:c r="E190" t="str">
        <x:f>IF(K190="","",IF(N190&lt;=M190,"",TRIM(CLEAN(MID(INDEX($B$3:$B$168,K190),M190,N190-M190)))))</x:f>
      </x:c>
      <x:c r="F190" t="str">
        <x:f>IF(E190="","",IF(E190=TRIM(INDEX($A$3:$A$168,K190)),"",IF(RIGHT(TRIM(INDEX($A$3:$A$168,K190)),1)="]",LEFT(TRIM(INDEX($A$3:$A$168,K190)),LEN(TRIM(INDEX($A$3:$A$168,K190)))-1)&amp;", "&amp;SUBSTITUTE(SUBSTITUTE(SUBSTITUTE(E190," [",", "),"[",", "),"]","")&amp;"]",TRIM(INDEX($A$3:$A$168,K190))&amp;" ["&amp;SUBSTITUTE(SUBSTITUTE(SUBSTITUTE(E190," [",", "),"[",", "),"]","")&amp;"]")))</x:f>
      </x:c>
      <x:c r="G190" t="str">
        <x:f>IF(F190&lt;&gt;"",ROWS($F$3:F190)-COUNTBLANK($F$3:F190),"")</x:f>
      </x:c>
      <x:c r="H190"/>
      <x:c r="I190"/>
      <x:c r="J190"/>
      <x:c r="K190" t="str">
        <x:f>IF(ROW()-ROW($K$2)&lt;=SUM($J$3:$J$168),COUNTIF($H$3:$H$168,"&lt;"&amp;(ROW()-ROW($K$2))),"")</x:f>
      </x:c>
      <x:c r="L190" t="str">
        <x:f>IF(K190="","",ROW()-ROW($L$2)-INDEX($H$3:$H$168,K190))</x:f>
      </x:c>
      <x:c r="M190" t="str">
        <x:f>IF(K190="","",IF(L190=1,1,FIND(CHAR(1),SUBSTITUTE(INDEX($B$3:$B$168,K190),CHAR(10),CHAR(1),L190-1))+1))</x:f>
      </x:c>
      <x:c r="N190" t="str">
        <x:f>IF(K190="","",IFERROR(FIND(CHAR(1),SUBSTITUTE(INDEX($B$3:$B$168,K190),CHAR(10),CHAR(1),L190)),LEN(INDEX($B$3:$B$168,K190))+1))</x:f>
      </x:c>
    </x:row>
    <x:row r="191" ht="15" customHeight="1">
      <x:c r="A191" s="81"/>
      <x:c r="B191"/>
      <x:c r="C191"/>
      <x:c r="D191" t="str">
        <x:f>IFERROR(IF(189&lt;=$O$1,INDEX($A$3:$A$168,MATCH(189,$I$3:$I$168,0)),IF(189&lt;=$O$1+$O$2,INDEX($F$3:$F$1994,MATCH(189-$O$1,$G$3:$G$1994,0)),"")),"")</x:f>
      </x:c>
      <x:c r="E191" t="str">
        <x:f>IF(K191="","",IF(N191&lt;=M191,"",TRIM(CLEAN(MID(INDEX($B$3:$B$168,K191),M191,N191-M191)))))</x:f>
      </x:c>
      <x:c r="F191" t="str">
        <x:f>IF(E191="","",IF(E191=TRIM(INDEX($A$3:$A$168,K191)),"",IF(RIGHT(TRIM(INDEX($A$3:$A$168,K191)),1)="]",LEFT(TRIM(INDEX($A$3:$A$168,K191)),LEN(TRIM(INDEX($A$3:$A$168,K191)))-1)&amp;", "&amp;SUBSTITUTE(SUBSTITUTE(SUBSTITUTE(E191," [",", "),"[",", "),"]","")&amp;"]",TRIM(INDEX($A$3:$A$168,K191))&amp;" ["&amp;SUBSTITUTE(SUBSTITUTE(SUBSTITUTE(E191," [",", "),"[",", "),"]","")&amp;"]")))</x:f>
      </x:c>
      <x:c r="G191" t="str">
        <x:f>IF(F191&lt;&gt;"",ROWS($F$3:F191)-COUNTBLANK($F$3:F191),"")</x:f>
      </x:c>
      <x:c r="H191"/>
      <x:c r="I191"/>
      <x:c r="J191"/>
      <x:c r="K191" t="str">
        <x:f>IF(ROW()-ROW($K$2)&lt;=SUM($J$3:$J$168),COUNTIF($H$3:$H$168,"&lt;"&amp;(ROW()-ROW($K$2))),"")</x:f>
      </x:c>
      <x:c r="L191" t="str">
        <x:f>IF(K191="","",ROW()-ROW($L$2)-INDEX($H$3:$H$168,K191))</x:f>
      </x:c>
      <x:c r="M191" t="str">
        <x:f>IF(K191="","",IF(L191=1,1,FIND(CHAR(1),SUBSTITUTE(INDEX($B$3:$B$168,K191),CHAR(10),CHAR(1),L191-1))+1))</x:f>
      </x:c>
      <x:c r="N191" t="str">
        <x:f>IF(K191="","",IFERROR(FIND(CHAR(1),SUBSTITUTE(INDEX($B$3:$B$168,K191),CHAR(10),CHAR(1),L191)),LEN(INDEX($B$3:$B$168,K191))+1))</x:f>
      </x:c>
    </x:row>
    <x:row r="192" ht="15" customHeight="1">
      <x:c r="A192" s="81"/>
      <x:c r="B192"/>
      <x:c r="C192"/>
      <x:c r="D192" t="str">
        <x:f>IFERROR(IF(190&lt;=$O$1,INDEX($A$3:$A$168,MATCH(190,$I$3:$I$168,0)),IF(190&lt;=$O$1+$O$2,INDEX($F$3:$F$1994,MATCH(190-$O$1,$G$3:$G$1994,0)),"")),"")</x:f>
      </x:c>
      <x:c r="E192" t="str">
        <x:f>IF(K192="","",IF(N192&lt;=M192,"",TRIM(CLEAN(MID(INDEX($B$3:$B$168,K192),M192,N192-M192)))))</x:f>
      </x:c>
      <x:c r="F192" t="str">
        <x:f>IF(E192="","",IF(E192=TRIM(INDEX($A$3:$A$168,K192)),"",IF(RIGHT(TRIM(INDEX($A$3:$A$168,K192)),1)="]",LEFT(TRIM(INDEX($A$3:$A$168,K192)),LEN(TRIM(INDEX($A$3:$A$168,K192)))-1)&amp;", "&amp;SUBSTITUTE(SUBSTITUTE(SUBSTITUTE(E192," [",", "),"[",", "),"]","")&amp;"]",TRIM(INDEX($A$3:$A$168,K192))&amp;" ["&amp;SUBSTITUTE(SUBSTITUTE(SUBSTITUTE(E192," [",", "),"[",", "),"]","")&amp;"]")))</x:f>
      </x:c>
      <x:c r="G192" t="str">
        <x:f>IF(F192&lt;&gt;"",ROWS($F$3:F192)-COUNTBLANK($F$3:F192),"")</x:f>
      </x:c>
      <x:c r="H192"/>
      <x:c r="I192"/>
      <x:c r="J192"/>
      <x:c r="K192" t="str">
        <x:f>IF(ROW()-ROW($K$2)&lt;=SUM($J$3:$J$168),COUNTIF($H$3:$H$168,"&lt;"&amp;(ROW()-ROW($K$2))),"")</x:f>
      </x:c>
      <x:c r="L192" t="str">
        <x:f>IF(K192="","",ROW()-ROW($L$2)-INDEX($H$3:$H$168,K192))</x:f>
      </x:c>
      <x:c r="M192" t="str">
        <x:f>IF(K192="","",IF(L192=1,1,FIND(CHAR(1),SUBSTITUTE(INDEX($B$3:$B$168,K192),CHAR(10),CHAR(1),L192-1))+1))</x:f>
      </x:c>
      <x:c r="N192" t="str">
        <x:f>IF(K192="","",IFERROR(FIND(CHAR(1),SUBSTITUTE(INDEX($B$3:$B$168,K192),CHAR(10),CHAR(1),L192)),LEN(INDEX($B$3:$B$168,K192))+1))</x:f>
      </x:c>
    </x:row>
    <x:row r="193" ht="15" customHeight="1">
      <x:c r="A193" s="81"/>
      <x:c r="B193"/>
      <x:c r="C193"/>
      <x:c r="D193" t="str">
        <x:f>IFERROR(IF(191&lt;=$O$1,INDEX($A$3:$A$168,MATCH(191,$I$3:$I$168,0)),IF(191&lt;=$O$1+$O$2,INDEX($F$3:$F$1994,MATCH(191-$O$1,$G$3:$G$1994,0)),"")),"")</x:f>
      </x:c>
      <x:c r="E193" t="str">
        <x:f>IF(K193="","",IF(N193&lt;=M193,"",TRIM(CLEAN(MID(INDEX($B$3:$B$168,K193),M193,N193-M193)))))</x:f>
      </x:c>
      <x:c r="F193" t="str">
        <x:f>IF(E193="","",IF(E193=TRIM(INDEX($A$3:$A$168,K193)),"",IF(RIGHT(TRIM(INDEX($A$3:$A$168,K193)),1)="]",LEFT(TRIM(INDEX($A$3:$A$168,K193)),LEN(TRIM(INDEX($A$3:$A$168,K193)))-1)&amp;", "&amp;SUBSTITUTE(SUBSTITUTE(SUBSTITUTE(E193," [",", "),"[",", "),"]","")&amp;"]",TRIM(INDEX($A$3:$A$168,K193))&amp;" ["&amp;SUBSTITUTE(SUBSTITUTE(SUBSTITUTE(E193," [",", "),"[",", "),"]","")&amp;"]")))</x:f>
      </x:c>
      <x:c r="G193" t="str">
        <x:f>IF(F193&lt;&gt;"",ROWS($F$3:F193)-COUNTBLANK($F$3:F193),"")</x:f>
      </x:c>
      <x:c r="H193"/>
      <x:c r="I193"/>
      <x:c r="J193"/>
      <x:c r="K193" t="str">
        <x:f>IF(ROW()-ROW($K$2)&lt;=SUM($J$3:$J$168),COUNTIF($H$3:$H$168,"&lt;"&amp;(ROW()-ROW($K$2))),"")</x:f>
      </x:c>
      <x:c r="L193" t="str">
        <x:f>IF(K193="","",ROW()-ROW($L$2)-INDEX($H$3:$H$168,K193))</x:f>
      </x:c>
      <x:c r="M193" t="str">
        <x:f>IF(K193="","",IF(L193=1,1,FIND(CHAR(1),SUBSTITUTE(INDEX($B$3:$B$168,K193),CHAR(10),CHAR(1),L193-1))+1))</x:f>
      </x:c>
      <x:c r="N193" t="str">
        <x:f>IF(K193="","",IFERROR(FIND(CHAR(1),SUBSTITUTE(INDEX($B$3:$B$168,K193),CHAR(10),CHAR(1),L193)),LEN(INDEX($B$3:$B$168,K193))+1))</x:f>
      </x:c>
    </x:row>
    <x:row r="194" ht="15" customHeight="1">
      <x:c r="A194" s="81"/>
      <x:c r="B194"/>
      <x:c r="C194"/>
      <x:c r="D194" t="str">
        <x:f>IFERROR(IF(192&lt;=$O$1,INDEX($A$3:$A$168,MATCH(192,$I$3:$I$168,0)),IF(192&lt;=$O$1+$O$2,INDEX($F$3:$F$1994,MATCH(192-$O$1,$G$3:$G$1994,0)),"")),"")</x:f>
      </x:c>
      <x:c r="E194" t="str">
        <x:f>IF(K194="","",IF(N194&lt;=M194,"",TRIM(CLEAN(MID(INDEX($B$3:$B$168,K194),M194,N194-M194)))))</x:f>
      </x:c>
      <x:c r="F194" t="str">
        <x:f>IF(E194="","",IF(E194=TRIM(INDEX($A$3:$A$168,K194)),"",IF(RIGHT(TRIM(INDEX($A$3:$A$168,K194)),1)="]",LEFT(TRIM(INDEX($A$3:$A$168,K194)),LEN(TRIM(INDEX($A$3:$A$168,K194)))-1)&amp;", "&amp;SUBSTITUTE(SUBSTITUTE(SUBSTITUTE(E194," [",", "),"[",", "),"]","")&amp;"]",TRIM(INDEX($A$3:$A$168,K194))&amp;" ["&amp;SUBSTITUTE(SUBSTITUTE(SUBSTITUTE(E194," [",", "),"[",", "),"]","")&amp;"]")))</x:f>
      </x:c>
      <x:c r="G194" t="str">
        <x:f>IF(F194&lt;&gt;"",ROWS($F$3:F194)-COUNTBLANK($F$3:F194),"")</x:f>
      </x:c>
      <x:c r="H194"/>
      <x:c r="I194"/>
      <x:c r="J194"/>
      <x:c r="K194" t="str">
        <x:f>IF(ROW()-ROW($K$2)&lt;=SUM($J$3:$J$168),COUNTIF($H$3:$H$168,"&lt;"&amp;(ROW()-ROW($K$2))),"")</x:f>
      </x:c>
      <x:c r="L194" t="str">
        <x:f>IF(K194="","",ROW()-ROW($L$2)-INDEX($H$3:$H$168,K194))</x:f>
      </x:c>
      <x:c r="M194" t="str">
        <x:f>IF(K194="","",IF(L194=1,1,FIND(CHAR(1),SUBSTITUTE(INDEX($B$3:$B$168,K194),CHAR(10),CHAR(1),L194-1))+1))</x:f>
      </x:c>
      <x:c r="N194" t="str">
        <x:f>IF(K194="","",IFERROR(FIND(CHAR(1),SUBSTITUTE(INDEX($B$3:$B$168,K194),CHAR(10),CHAR(1),L194)),LEN(INDEX($B$3:$B$168,K194))+1))</x:f>
      </x:c>
    </x:row>
    <x:row r="195" ht="15" customHeight="1">
      <x:c r="A195" s="81"/>
      <x:c r="B195"/>
      <x:c r="C195"/>
      <x:c r="D195" t="str">
        <x:f>IFERROR(IF(193&lt;=$O$1,INDEX($A$3:$A$168,MATCH(193,$I$3:$I$168,0)),IF(193&lt;=$O$1+$O$2,INDEX($F$3:$F$1994,MATCH(193-$O$1,$G$3:$G$1994,0)),"")),"")</x:f>
      </x:c>
      <x:c r="E195" t="str">
        <x:f>IF(K195="","",IF(N195&lt;=M195,"",TRIM(CLEAN(MID(INDEX($B$3:$B$168,K195),M195,N195-M195)))))</x:f>
      </x:c>
      <x:c r="F195" t="str">
        <x:f>IF(E195="","",IF(E195=TRIM(INDEX($A$3:$A$168,K195)),"",IF(RIGHT(TRIM(INDEX($A$3:$A$168,K195)),1)="]",LEFT(TRIM(INDEX($A$3:$A$168,K195)),LEN(TRIM(INDEX($A$3:$A$168,K195)))-1)&amp;", "&amp;SUBSTITUTE(SUBSTITUTE(SUBSTITUTE(E195," [",", "),"[",", "),"]","")&amp;"]",TRIM(INDEX($A$3:$A$168,K195))&amp;" ["&amp;SUBSTITUTE(SUBSTITUTE(SUBSTITUTE(E195," [",", "),"[",", "),"]","")&amp;"]")))</x:f>
      </x:c>
      <x:c r="G195" t="str">
        <x:f>IF(F195&lt;&gt;"",ROWS($F$3:F195)-COUNTBLANK($F$3:F195),"")</x:f>
      </x:c>
      <x:c r="H195"/>
      <x:c r="I195"/>
      <x:c r="J195"/>
      <x:c r="K195" t="str">
        <x:f>IF(ROW()-ROW($K$2)&lt;=SUM($J$3:$J$168),COUNTIF($H$3:$H$168,"&lt;"&amp;(ROW()-ROW($K$2))),"")</x:f>
      </x:c>
      <x:c r="L195" t="str">
        <x:f>IF(K195="","",ROW()-ROW($L$2)-INDEX($H$3:$H$168,K195))</x:f>
      </x:c>
      <x:c r="M195" t="str">
        <x:f>IF(K195="","",IF(L195=1,1,FIND(CHAR(1),SUBSTITUTE(INDEX($B$3:$B$168,K195),CHAR(10),CHAR(1),L195-1))+1))</x:f>
      </x:c>
      <x:c r="N195" t="str">
        <x:f>IF(K195="","",IFERROR(FIND(CHAR(1),SUBSTITUTE(INDEX($B$3:$B$168,K195),CHAR(10),CHAR(1),L195)),LEN(INDEX($B$3:$B$168,K195))+1))</x:f>
      </x:c>
    </x:row>
    <x:row r="196" ht="15" customHeight="1">
      <x:c r="A196" s="81"/>
      <x:c r="B196"/>
      <x:c r="C196"/>
      <x:c r="D196" t="str">
        <x:f>IFERROR(IF(194&lt;=$O$1,INDEX($A$3:$A$168,MATCH(194,$I$3:$I$168,0)),IF(194&lt;=$O$1+$O$2,INDEX($F$3:$F$1994,MATCH(194-$O$1,$G$3:$G$1994,0)),"")),"")</x:f>
      </x:c>
      <x:c r="E196" t="str">
        <x:f>IF(K196="","",IF(N196&lt;=M196,"",TRIM(CLEAN(MID(INDEX($B$3:$B$168,K196),M196,N196-M196)))))</x:f>
      </x:c>
      <x:c r="F196" t="str">
        <x:f>IF(E196="","",IF(E196=TRIM(INDEX($A$3:$A$168,K196)),"",IF(RIGHT(TRIM(INDEX($A$3:$A$168,K196)),1)="]",LEFT(TRIM(INDEX($A$3:$A$168,K196)),LEN(TRIM(INDEX($A$3:$A$168,K196)))-1)&amp;", "&amp;SUBSTITUTE(SUBSTITUTE(SUBSTITUTE(E196," [",", "),"[",", "),"]","")&amp;"]",TRIM(INDEX($A$3:$A$168,K196))&amp;" ["&amp;SUBSTITUTE(SUBSTITUTE(SUBSTITUTE(E196," [",", "),"[",", "),"]","")&amp;"]")))</x:f>
      </x:c>
      <x:c r="G196" t="str">
        <x:f>IF(F196&lt;&gt;"",ROWS($F$3:F196)-COUNTBLANK($F$3:F196),"")</x:f>
      </x:c>
      <x:c r="H196"/>
      <x:c r="I196"/>
      <x:c r="J196"/>
      <x:c r="K196" t="str">
        <x:f>IF(ROW()-ROW($K$2)&lt;=SUM($J$3:$J$168),COUNTIF($H$3:$H$168,"&lt;"&amp;(ROW()-ROW($K$2))),"")</x:f>
      </x:c>
      <x:c r="L196" t="str">
        <x:f>IF(K196="","",ROW()-ROW($L$2)-INDEX($H$3:$H$168,K196))</x:f>
      </x:c>
      <x:c r="M196" t="str">
        <x:f>IF(K196="","",IF(L196=1,1,FIND(CHAR(1),SUBSTITUTE(INDEX($B$3:$B$168,K196),CHAR(10),CHAR(1),L196-1))+1))</x:f>
      </x:c>
      <x:c r="N196" t="str">
        <x:f>IF(K196="","",IFERROR(FIND(CHAR(1),SUBSTITUTE(INDEX($B$3:$B$168,K196),CHAR(10),CHAR(1),L196)),LEN(INDEX($B$3:$B$168,K196))+1))</x:f>
      </x:c>
    </x:row>
    <x:row r="197" ht="15" customHeight="1">
      <x:c r="A197" s="81"/>
      <x:c r="B197"/>
      <x:c r="C197"/>
      <x:c r="D197" t="str">
        <x:f>IFERROR(IF(195&lt;=$O$1,INDEX($A$3:$A$168,MATCH(195,$I$3:$I$168,0)),IF(195&lt;=$O$1+$O$2,INDEX($F$3:$F$1994,MATCH(195-$O$1,$G$3:$G$1994,0)),"")),"")</x:f>
      </x:c>
      <x:c r="E197" t="str">
        <x:f>IF(K197="","",IF(N197&lt;=M197,"",TRIM(CLEAN(MID(INDEX($B$3:$B$168,K197),M197,N197-M197)))))</x:f>
      </x:c>
      <x:c r="F197" t="str">
        <x:f>IF(E197="","",IF(E197=TRIM(INDEX($A$3:$A$168,K197)),"",IF(RIGHT(TRIM(INDEX($A$3:$A$168,K197)),1)="]",LEFT(TRIM(INDEX($A$3:$A$168,K197)),LEN(TRIM(INDEX($A$3:$A$168,K197)))-1)&amp;", "&amp;SUBSTITUTE(SUBSTITUTE(SUBSTITUTE(E197," [",", "),"[",", "),"]","")&amp;"]",TRIM(INDEX($A$3:$A$168,K197))&amp;" ["&amp;SUBSTITUTE(SUBSTITUTE(SUBSTITUTE(E197," [",", "),"[",", "),"]","")&amp;"]")))</x:f>
      </x:c>
      <x:c r="G197" t="str">
        <x:f>IF(F197&lt;&gt;"",ROWS($F$3:F197)-COUNTBLANK($F$3:F197),"")</x:f>
      </x:c>
      <x:c r="H197"/>
      <x:c r="I197"/>
      <x:c r="J197"/>
      <x:c r="K197" t="str">
        <x:f>IF(ROW()-ROW($K$2)&lt;=SUM($J$3:$J$168),COUNTIF($H$3:$H$168,"&lt;"&amp;(ROW()-ROW($K$2))),"")</x:f>
      </x:c>
      <x:c r="L197" t="str">
        <x:f>IF(K197="","",ROW()-ROW($L$2)-INDEX($H$3:$H$168,K197))</x:f>
      </x:c>
      <x:c r="M197" t="str">
        <x:f>IF(K197="","",IF(L197=1,1,FIND(CHAR(1),SUBSTITUTE(INDEX($B$3:$B$168,K197),CHAR(10),CHAR(1),L197-1))+1))</x:f>
      </x:c>
      <x:c r="N197" t="str">
        <x:f>IF(K197="","",IFERROR(FIND(CHAR(1),SUBSTITUTE(INDEX($B$3:$B$168,K197),CHAR(10),CHAR(1),L197)),LEN(INDEX($B$3:$B$168,K197))+1))</x:f>
      </x:c>
    </x:row>
    <x:row r="198" ht="15" customHeight="1">
      <x:c r="A198" s="81"/>
      <x:c r="B198"/>
      <x:c r="C198"/>
      <x:c r="D198" t="str">
        <x:f>IFERROR(IF(196&lt;=$O$1,INDEX($A$3:$A$168,MATCH(196,$I$3:$I$168,0)),IF(196&lt;=$O$1+$O$2,INDEX($F$3:$F$1994,MATCH(196-$O$1,$G$3:$G$1994,0)),"")),"")</x:f>
      </x:c>
      <x:c r="E198" t="str">
        <x:f>IF(K198="","",IF(N198&lt;=M198,"",TRIM(CLEAN(MID(INDEX($B$3:$B$168,K198),M198,N198-M198)))))</x:f>
      </x:c>
      <x:c r="F198" t="str">
        <x:f>IF(E198="","",IF(E198=TRIM(INDEX($A$3:$A$168,K198)),"",IF(RIGHT(TRIM(INDEX($A$3:$A$168,K198)),1)="]",LEFT(TRIM(INDEX($A$3:$A$168,K198)),LEN(TRIM(INDEX($A$3:$A$168,K198)))-1)&amp;", "&amp;SUBSTITUTE(SUBSTITUTE(SUBSTITUTE(E198," [",", "),"[",", "),"]","")&amp;"]",TRIM(INDEX($A$3:$A$168,K198))&amp;" ["&amp;SUBSTITUTE(SUBSTITUTE(SUBSTITUTE(E198," [",", "),"[",", "),"]","")&amp;"]")))</x:f>
      </x:c>
      <x:c r="G198" t="str">
        <x:f>IF(F198&lt;&gt;"",ROWS($F$3:F198)-COUNTBLANK($F$3:F198),"")</x:f>
      </x:c>
      <x:c r="H198"/>
      <x:c r="I198"/>
      <x:c r="J198"/>
      <x:c r="K198" t="str">
        <x:f>IF(ROW()-ROW($K$2)&lt;=SUM($J$3:$J$168),COUNTIF($H$3:$H$168,"&lt;"&amp;(ROW()-ROW($K$2))),"")</x:f>
      </x:c>
      <x:c r="L198" t="str">
        <x:f>IF(K198="","",ROW()-ROW($L$2)-INDEX($H$3:$H$168,K198))</x:f>
      </x:c>
      <x:c r="M198" t="str">
        <x:f>IF(K198="","",IF(L198=1,1,FIND(CHAR(1),SUBSTITUTE(INDEX($B$3:$B$168,K198),CHAR(10),CHAR(1),L198-1))+1))</x:f>
      </x:c>
      <x:c r="N198" t="str">
        <x:f>IF(K198="","",IFERROR(FIND(CHAR(1),SUBSTITUTE(INDEX($B$3:$B$168,K198),CHAR(10),CHAR(1),L198)),LEN(INDEX($B$3:$B$168,K198))+1))</x:f>
      </x:c>
    </x:row>
    <x:row r="199" ht="15" customHeight="1">
      <x:c r="A199" s="81"/>
      <x:c r="B199"/>
      <x:c r="C199"/>
      <x:c r="D199" t="str">
        <x:f>IFERROR(IF(197&lt;=$O$1,INDEX($A$3:$A$168,MATCH(197,$I$3:$I$168,0)),IF(197&lt;=$O$1+$O$2,INDEX($F$3:$F$1994,MATCH(197-$O$1,$G$3:$G$1994,0)),"")),"")</x:f>
      </x:c>
      <x:c r="E199" t="str">
        <x:f>IF(K199="","",IF(N199&lt;=M199,"",TRIM(CLEAN(MID(INDEX($B$3:$B$168,K199),M199,N199-M199)))))</x:f>
      </x:c>
      <x:c r="F199" t="str">
        <x:f>IF(E199="","",IF(E199=TRIM(INDEX($A$3:$A$168,K199)),"",IF(RIGHT(TRIM(INDEX($A$3:$A$168,K199)),1)="]",LEFT(TRIM(INDEX($A$3:$A$168,K199)),LEN(TRIM(INDEX($A$3:$A$168,K199)))-1)&amp;", "&amp;SUBSTITUTE(SUBSTITUTE(SUBSTITUTE(E199," [",", "),"[",", "),"]","")&amp;"]",TRIM(INDEX($A$3:$A$168,K199))&amp;" ["&amp;SUBSTITUTE(SUBSTITUTE(SUBSTITUTE(E199," [",", "),"[",", "),"]","")&amp;"]")))</x:f>
      </x:c>
      <x:c r="G199" t="str">
        <x:f>IF(F199&lt;&gt;"",ROWS($F$3:F199)-COUNTBLANK($F$3:F199),"")</x:f>
      </x:c>
      <x:c r="H199"/>
      <x:c r="I199"/>
      <x:c r="J199"/>
      <x:c r="K199" t="str">
        <x:f>IF(ROW()-ROW($K$2)&lt;=SUM($J$3:$J$168),COUNTIF($H$3:$H$168,"&lt;"&amp;(ROW()-ROW($K$2))),"")</x:f>
      </x:c>
      <x:c r="L199" t="str">
        <x:f>IF(K199="","",ROW()-ROW($L$2)-INDEX($H$3:$H$168,K199))</x:f>
      </x:c>
      <x:c r="M199" t="str">
        <x:f>IF(K199="","",IF(L199=1,1,FIND(CHAR(1),SUBSTITUTE(INDEX($B$3:$B$168,K199),CHAR(10),CHAR(1),L199-1))+1))</x:f>
      </x:c>
      <x:c r="N199" t="str">
        <x:f>IF(K199="","",IFERROR(FIND(CHAR(1),SUBSTITUTE(INDEX($B$3:$B$168,K199),CHAR(10),CHAR(1),L199)),LEN(INDEX($B$3:$B$168,K199))+1))</x:f>
      </x:c>
    </x:row>
    <x:row r="200" ht="15" customHeight="1">
      <x:c r="A200" s="81"/>
      <x:c r="B200"/>
      <x:c r="C200"/>
      <x:c r="D200" t="str">
        <x:f>IFERROR(IF(198&lt;=$O$1,INDEX($A$3:$A$168,MATCH(198,$I$3:$I$168,0)),IF(198&lt;=$O$1+$O$2,INDEX($F$3:$F$1994,MATCH(198-$O$1,$G$3:$G$1994,0)),"")),"")</x:f>
      </x:c>
      <x:c r="E200" t="str">
        <x:f>IF(K200="","",IF(N200&lt;=M200,"",TRIM(CLEAN(MID(INDEX($B$3:$B$168,K200),M200,N200-M200)))))</x:f>
      </x:c>
      <x:c r="F200" t="str">
        <x:f>IF(E200="","",IF(E200=TRIM(INDEX($A$3:$A$168,K200)),"",IF(RIGHT(TRIM(INDEX($A$3:$A$168,K200)),1)="]",LEFT(TRIM(INDEX($A$3:$A$168,K200)),LEN(TRIM(INDEX($A$3:$A$168,K200)))-1)&amp;", "&amp;SUBSTITUTE(SUBSTITUTE(SUBSTITUTE(E200," [",", "),"[",", "),"]","")&amp;"]",TRIM(INDEX($A$3:$A$168,K200))&amp;" ["&amp;SUBSTITUTE(SUBSTITUTE(SUBSTITUTE(E200," [",", "),"[",", "),"]","")&amp;"]")))</x:f>
      </x:c>
      <x:c r="G200" t="str">
        <x:f>IF(F200&lt;&gt;"",ROWS($F$3:F200)-COUNTBLANK($F$3:F200),"")</x:f>
      </x:c>
      <x:c r="H200"/>
      <x:c r="I200"/>
      <x:c r="J200"/>
      <x:c r="K200" t="str">
        <x:f>IF(ROW()-ROW($K$2)&lt;=SUM($J$3:$J$168),COUNTIF($H$3:$H$168,"&lt;"&amp;(ROW()-ROW($K$2))),"")</x:f>
      </x:c>
      <x:c r="L200" t="str">
        <x:f>IF(K200="","",ROW()-ROW($L$2)-INDEX($H$3:$H$168,K200))</x:f>
      </x:c>
      <x:c r="M200" t="str">
        <x:f>IF(K200="","",IF(L200=1,1,FIND(CHAR(1),SUBSTITUTE(INDEX($B$3:$B$168,K200),CHAR(10),CHAR(1),L200-1))+1))</x:f>
      </x:c>
      <x:c r="N200" t="str">
        <x:f>IF(K200="","",IFERROR(FIND(CHAR(1),SUBSTITUTE(INDEX($B$3:$B$168,K200),CHAR(10),CHAR(1),L200)),LEN(INDEX($B$3:$B$168,K200))+1))</x:f>
      </x:c>
    </x:row>
    <x:row r="201" ht="15" customHeight="1">
      <x:c r="A201" s="81"/>
      <x:c r="B201"/>
      <x:c r="C201"/>
      <x:c r="D201" t="str">
        <x:f>IFERROR(IF(199&lt;=$O$1,INDEX($A$3:$A$168,MATCH(199,$I$3:$I$168,0)),IF(199&lt;=$O$1+$O$2,INDEX($F$3:$F$1994,MATCH(199-$O$1,$G$3:$G$1994,0)),"")),"")</x:f>
      </x:c>
      <x:c r="E201" t="str">
        <x:f>IF(K201="","",IF(N201&lt;=M201,"",TRIM(CLEAN(MID(INDEX($B$3:$B$168,K201),M201,N201-M201)))))</x:f>
      </x:c>
      <x:c r="F201" t="str">
        <x:f>IF(E201="","",IF(E201=TRIM(INDEX($A$3:$A$168,K201)),"",IF(RIGHT(TRIM(INDEX($A$3:$A$168,K201)),1)="]",LEFT(TRIM(INDEX($A$3:$A$168,K201)),LEN(TRIM(INDEX($A$3:$A$168,K201)))-1)&amp;", "&amp;SUBSTITUTE(SUBSTITUTE(SUBSTITUTE(E201," [",", "),"[",", "),"]","")&amp;"]",TRIM(INDEX($A$3:$A$168,K201))&amp;" ["&amp;SUBSTITUTE(SUBSTITUTE(SUBSTITUTE(E201," [",", "),"[",", "),"]","")&amp;"]")))</x:f>
      </x:c>
      <x:c r="G201" t="str">
        <x:f>IF(F201&lt;&gt;"",ROWS($F$3:F201)-COUNTBLANK($F$3:F201),"")</x:f>
      </x:c>
      <x:c r="H201"/>
      <x:c r="I201"/>
      <x:c r="J201"/>
      <x:c r="K201" t="str">
        <x:f>IF(ROW()-ROW($K$2)&lt;=SUM($J$3:$J$168),COUNTIF($H$3:$H$168,"&lt;"&amp;(ROW()-ROW($K$2))),"")</x:f>
      </x:c>
      <x:c r="L201" t="str">
        <x:f>IF(K201="","",ROW()-ROW($L$2)-INDEX($H$3:$H$168,K201))</x:f>
      </x:c>
      <x:c r="M201" t="str">
        <x:f>IF(K201="","",IF(L201=1,1,FIND(CHAR(1),SUBSTITUTE(INDEX($B$3:$B$168,K201),CHAR(10),CHAR(1),L201-1))+1))</x:f>
      </x:c>
      <x:c r="N201" t="str">
        <x:f>IF(K201="","",IFERROR(FIND(CHAR(1),SUBSTITUTE(INDEX($B$3:$B$168,K201),CHAR(10),CHAR(1),L201)),LEN(INDEX($B$3:$B$168,K201))+1))</x:f>
      </x:c>
    </x:row>
    <x:row r="202" ht="15" customHeight="1">
      <x:c r="A202" s="81"/>
      <x:c r="B202"/>
      <x:c r="C202"/>
      <x:c r="D202" t="str">
        <x:f>IFERROR(IF(200&lt;=$O$1,INDEX($A$3:$A$168,MATCH(200,$I$3:$I$168,0)),IF(200&lt;=$O$1+$O$2,INDEX($F$3:$F$1994,MATCH(200-$O$1,$G$3:$G$1994,0)),"")),"")</x:f>
      </x:c>
      <x:c r="E202" t="str">
        <x:f>IF(K202="","",IF(N202&lt;=M202,"",TRIM(CLEAN(MID(INDEX($B$3:$B$168,K202),M202,N202-M202)))))</x:f>
      </x:c>
      <x:c r="F202" t="str">
        <x:f>IF(E202="","",IF(E202=TRIM(INDEX($A$3:$A$168,K202)),"",IF(RIGHT(TRIM(INDEX($A$3:$A$168,K202)),1)="]",LEFT(TRIM(INDEX($A$3:$A$168,K202)),LEN(TRIM(INDEX($A$3:$A$168,K202)))-1)&amp;", "&amp;SUBSTITUTE(SUBSTITUTE(SUBSTITUTE(E202," [",", "),"[",", "),"]","")&amp;"]",TRIM(INDEX($A$3:$A$168,K202))&amp;" ["&amp;SUBSTITUTE(SUBSTITUTE(SUBSTITUTE(E202," [",", "),"[",", "),"]","")&amp;"]")))</x:f>
      </x:c>
      <x:c r="G202" t="str">
        <x:f>IF(F202&lt;&gt;"",ROWS($F$3:F202)-COUNTBLANK($F$3:F202),"")</x:f>
      </x:c>
      <x:c r="H202"/>
      <x:c r="I202"/>
      <x:c r="J202"/>
      <x:c r="K202" t="str">
        <x:f>IF(ROW()-ROW($K$2)&lt;=SUM($J$3:$J$168),COUNTIF($H$3:$H$168,"&lt;"&amp;(ROW()-ROW($K$2))),"")</x:f>
      </x:c>
      <x:c r="L202" t="str">
        <x:f>IF(K202="","",ROW()-ROW($L$2)-INDEX($H$3:$H$168,K202))</x:f>
      </x:c>
      <x:c r="M202" t="str">
        <x:f>IF(K202="","",IF(L202=1,1,FIND(CHAR(1),SUBSTITUTE(INDEX($B$3:$B$168,K202),CHAR(10),CHAR(1),L202-1))+1))</x:f>
      </x:c>
      <x:c r="N202" t="str">
        <x:f>IF(K202="","",IFERROR(FIND(CHAR(1),SUBSTITUTE(INDEX($B$3:$B$168,K202),CHAR(10),CHAR(1),L202)),LEN(INDEX($B$3:$B$168,K202))+1))</x:f>
      </x:c>
    </x:row>
    <x:row r="203" ht="15" customHeight="1">
      <x:c r="A203" s="81"/>
      <x:c r="B203"/>
      <x:c r="C203"/>
      <x:c r="D203" t="str">
        <x:f>IFERROR(IF(201&lt;=$O$1,INDEX($A$3:$A$168,MATCH(201,$I$3:$I$168,0)),IF(201&lt;=$O$1+$O$2,INDEX($F$3:$F$1994,MATCH(201-$O$1,$G$3:$G$1994,0)),"")),"")</x:f>
      </x:c>
      <x:c r="E203" t="str">
        <x:f>IF(K203="","",IF(N203&lt;=M203,"",TRIM(CLEAN(MID(INDEX($B$3:$B$168,K203),M203,N203-M203)))))</x:f>
      </x:c>
      <x:c r="F203" t="str">
        <x:f>IF(E203="","",IF(E203=TRIM(INDEX($A$3:$A$168,K203)),"",IF(RIGHT(TRIM(INDEX($A$3:$A$168,K203)),1)="]",LEFT(TRIM(INDEX($A$3:$A$168,K203)),LEN(TRIM(INDEX($A$3:$A$168,K203)))-1)&amp;", "&amp;SUBSTITUTE(SUBSTITUTE(SUBSTITUTE(E203," [",", "),"[",", "),"]","")&amp;"]",TRIM(INDEX($A$3:$A$168,K203))&amp;" ["&amp;SUBSTITUTE(SUBSTITUTE(SUBSTITUTE(E203," [",", "),"[",", "),"]","")&amp;"]")))</x:f>
      </x:c>
      <x:c r="G203" t="str">
        <x:f>IF(F203&lt;&gt;"",ROWS($F$3:F203)-COUNTBLANK($F$3:F203),"")</x:f>
      </x:c>
      <x:c r="H203"/>
      <x:c r="I203"/>
      <x:c r="J203"/>
      <x:c r="K203" t="str">
        <x:f>IF(ROW()-ROW($K$2)&lt;=SUM($J$3:$J$168),COUNTIF($H$3:$H$168,"&lt;"&amp;(ROW()-ROW($K$2))),"")</x:f>
      </x:c>
      <x:c r="L203" t="str">
        <x:f>IF(K203="","",ROW()-ROW($L$2)-INDEX($H$3:$H$168,K203))</x:f>
      </x:c>
      <x:c r="M203" t="str">
        <x:f>IF(K203="","",IF(L203=1,1,FIND(CHAR(1),SUBSTITUTE(INDEX($B$3:$B$168,K203),CHAR(10),CHAR(1),L203-1))+1))</x:f>
      </x:c>
      <x:c r="N203" t="str">
        <x:f>IF(K203="","",IFERROR(FIND(CHAR(1),SUBSTITUTE(INDEX($B$3:$B$168,K203),CHAR(10),CHAR(1),L203)),LEN(INDEX($B$3:$B$168,K203))+1))</x:f>
      </x:c>
    </x:row>
    <x:row r="204" ht="15" customHeight="1">
      <x:c r="A204" s="81"/>
      <x:c r="B204"/>
      <x:c r="C204"/>
      <x:c r="D204" t="str">
        <x:f>IFERROR(IF(202&lt;=$O$1,INDEX($A$3:$A$168,MATCH(202,$I$3:$I$168,0)),IF(202&lt;=$O$1+$O$2,INDEX($F$3:$F$1994,MATCH(202-$O$1,$G$3:$G$1994,0)),"")),"")</x:f>
      </x:c>
      <x:c r="E204" t="str">
        <x:f>IF(K204="","",IF(N204&lt;=M204,"",TRIM(CLEAN(MID(INDEX($B$3:$B$168,K204),M204,N204-M204)))))</x:f>
      </x:c>
      <x:c r="F204" t="str">
        <x:f>IF(E204="","",IF(E204=TRIM(INDEX($A$3:$A$168,K204)),"",IF(RIGHT(TRIM(INDEX($A$3:$A$168,K204)),1)="]",LEFT(TRIM(INDEX($A$3:$A$168,K204)),LEN(TRIM(INDEX($A$3:$A$168,K204)))-1)&amp;", "&amp;SUBSTITUTE(SUBSTITUTE(SUBSTITUTE(E204," [",", "),"[",", "),"]","")&amp;"]",TRIM(INDEX($A$3:$A$168,K204))&amp;" ["&amp;SUBSTITUTE(SUBSTITUTE(SUBSTITUTE(E204," [",", "),"[",", "),"]","")&amp;"]")))</x:f>
      </x:c>
      <x:c r="G204" t="str">
        <x:f>IF(F204&lt;&gt;"",ROWS($F$3:F204)-COUNTBLANK($F$3:F204),"")</x:f>
      </x:c>
      <x:c r="H204"/>
      <x:c r="I204"/>
      <x:c r="J204"/>
      <x:c r="K204" t="str">
        <x:f>IF(ROW()-ROW($K$2)&lt;=SUM($J$3:$J$168),COUNTIF($H$3:$H$168,"&lt;"&amp;(ROW()-ROW($K$2))),"")</x:f>
      </x:c>
      <x:c r="L204" t="str">
        <x:f>IF(K204="","",ROW()-ROW($L$2)-INDEX($H$3:$H$168,K204))</x:f>
      </x:c>
      <x:c r="M204" t="str">
        <x:f>IF(K204="","",IF(L204=1,1,FIND(CHAR(1),SUBSTITUTE(INDEX($B$3:$B$168,K204),CHAR(10),CHAR(1),L204-1))+1))</x:f>
      </x:c>
      <x:c r="N204" t="str">
        <x:f>IF(K204="","",IFERROR(FIND(CHAR(1),SUBSTITUTE(INDEX($B$3:$B$168,K204),CHAR(10),CHAR(1),L204)),LEN(INDEX($B$3:$B$168,K204))+1))</x:f>
      </x:c>
    </x:row>
    <x:row r="205" ht="15" customHeight="1">
      <x:c r="A205" s="81"/>
      <x:c r="B205"/>
      <x:c r="C205"/>
      <x:c r="D205" t="str">
        <x:f>IFERROR(IF(203&lt;=$O$1,INDEX($A$3:$A$168,MATCH(203,$I$3:$I$168,0)),IF(203&lt;=$O$1+$O$2,INDEX($F$3:$F$1994,MATCH(203-$O$1,$G$3:$G$1994,0)),"")),"")</x:f>
      </x:c>
      <x:c r="E205" t="str">
        <x:f>IF(K205="","",IF(N205&lt;=M205,"",TRIM(CLEAN(MID(INDEX($B$3:$B$168,K205),M205,N205-M205)))))</x:f>
      </x:c>
      <x:c r="F205" t="str">
        <x:f>IF(E205="","",IF(E205=TRIM(INDEX($A$3:$A$168,K205)),"",IF(RIGHT(TRIM(INDEX($A$3:$A$168,K205)),1)="]",LEFT(TRIM(INDEX($A$3:$A$168,K205)),LEN(TRIM(INDEX($A$3:$A$168,K205)))-1)&amp;", "&amp;SUBSTITUTE(SUBSTITUTE(SUBSTITUTE(E205," [",", "),"[",", "),"]","")&amp;"]",TRIM(INDEX($A$3:$A$168,K205))&amp;" ["&amp;SUBSTITUTE(SUBSTITUTE(SUBSTITUTE(E205," [",", "),"[",", "),"]","")&amp;"]")))</x:f>
      </x:c>
      <x:c r="G205" t="str">
        <x:f>IF(F205&lt;&gt;"",ROWS($F$3:F205)-COUNTBLANK($F$3:F205),"")</x:f>
      </x:c>
      <x:c r="H205"/>
      <x:c r="I205"/>
      <x:c r="J205"/>
      <x:c r="K205" t="str">
        <x:f>IF(ROW()-ROW($K$2)&lt;=SUM($J$3:$J$168),COUNTIF($H$3:$H$168,"&lt;"&amp;(ROW()-ROW($K$2))),"")</x:f>
      </x:c>
      <x:c r="L205" t="str">
        <x:f>IF(K205="","",ROW()-ROW($L$2)-INDEX($H$3:$H$168,K205))</x:f>
      </x:c>
      <x:c r="M205" t="str">
        <x:f>IF(K205="","",IF(L205=1,1,FIND(CHAR(1),SUBSTITUTE(INDEX($B$3:$B$168,K205),CHAR(10),CHAR(1),L205-1))+1))</x:f>
      </x:c>
      <x:c r="N205" t="str">
        <x:f>IF(K205="","",IFERROR(FIND(CHAR(1),SUBSTITUTE(INDEX($B$3:$B$168,K205),CHAR(10),CHAR(1),L205)),LEN(INDEX($B$3:$B$168,K205))+1))</x:f>
      </x:c>
    </x:row>
    <x:row r="206" ht="15" customHeight="1">
      <x:c r="A206" s="81"/>
      <x:c r="B206"/>
      <x:c r="C206"/>
      <x:c r="D206" t="str">
        <x:f>IFERROR(IF(204&lt;=$O$1,INDEX($A$3:$A$168,MATCH(204,$I$3:$I$168,0)),IF(204&lt;=$O$1+$O$2,INDEX($F$3:$F$1994,MATCH(204-$O$1,$G$3:$G$1994,0)),"")),"")</x:f>
      </x:c>
      <x:c r="E206" t="str">
        <x:f>IF(K206="","",IF(N206&lt;=M206,"",TRIM(CLEAN(MID(INDEX($B$3:$B$168,K206),M206,N206-M206)))))</x:f>
      </x:c>
      <x:c r="F206" t="str">
        <x:f>IF(E206="","",IF(E206=TRIM(INDEX($A$3:$A$168,K206)),"",IF(RIGHT(TRIM(INDEX($A$3:$A$168,K206)),1)="]",LEFT(TRIM(INDEX($A$3:$A$168,K206)),LEN(TRIM(INDEX($A$3:$A$168,K206)))-1)&amp;", "&amp;SUBSTITUTE(SUBSTITUTE(SUBSTITUTE(E206," [",", "),"[",", "),"]","")&amp;"]",TRIM(INDEX($A$3:$A$168,K206))&amp;" ["&amp;SUBSTITUTE(SUBSTITUTE(SUBSTITUTE(E206," [",", "),"[",", "),"]","")&amp;"]")))</x:f>
      </x:c>
      <x:c r="G206" t="str">
        <x:f>IF(F206&lt;&gt;"",ROWS($F$3:F206)-COUNTBLANK($F$3:F206),"")</x:f>
      </x:c>
      <x:c r="H206"/>
      <x:c r="I206"/>
      <x:c r="J206"/>
      <x:c r="K206" t="str">
        <x:f>IF(ROW()-ROW($K$2)&lt;=SUM($J$3:$J$168),COUNTIF($H$3:$H$168,"&lt;"&amp;(ROW()-ROW($K$2))),"")</x:f>
      </x:c>
      <x:c r="L206" t="str">
        <x:f>IF(K206="","",ROW()-ROW($L$2)-INDEX($H$3:$H$168,K206))</x:f>
      </x:c>
      <x:c r="M206" t="str">
        <x:f>IF(K206="","",IF(L206=1,1,FIND(CHAR(1),SUBSTITUTE(INDEX($B$3:$B$168,K206),CHAR(10),CHAR(1),L206-1))+1))</x:f>
      </x:c>
      <x:c r="N206" t="str">
        <x:f>IF(K206="","",IFERROR(FIND(CHAR(1),SUBSTITUTE(INDEX($B$3:$B$168,K206),CHAR(10),CHAR(1),L206)),LEN(INDEX($B$3:$B$168,K206))+1))</x:f>
      </x:c>
    </x:row>
    <x:row r="207" ht="15" customHeight="1">
      <x:c r="A207" s="81"/>
      <x:c r="B207"/>
      <x:c r="C207"/>
      <x:c r="D207" t="str">
        <x:f>IFERROR(IF(205&lt;=$O$1,INDEX($A$3:$A$168,MATCH(205,$I$3:$I$168,0)),IF(205&lt;=$O$1+$O$2,INDEX($F$3:$F$1994,MATCH(205-$O$1,$G$3:$G$1994,0)),"")),"")</x:f>
      </x:c>
      <x:c r="E207" t="str">
        <x:f>IF(K207="","",IF(N207&lt;=M207,"",TRIM(CLEAN(MID(INDEX($B$3:$B$168,K207),M207,N207-M207)))))</x:f>
      </x:c>
      <x:c r="F207" t="str">
        <x:f>IF(E207="","",IF(E207=TRIM(INDEX($A$3:$A$168,K207)),"",IF(RIGHT(TRIM(INDEX($A$3:$A$168,K207)),1)="]",LEFT(TRIM(INDEX($A$3:$A$168,K207)),LEN(TRIM(INDEX($A$3:$A$168,K207)))-1)&amp;", "&amp;SUBSTITUTE(SUBSTITUTE(SUBSTITUTE(E207," [",", "),"[",", "),"]","")&amp;"]",TRIM(INDEX($A$3:$A$168,K207))&amp;" ["&amp;SUBSTITUTE(SUBSTITUTE(SUBSTITUTE(E207," [",", "),"[",", "),"]","")&amp;"]")))</x:f>
      </x:c>
      <x:c r="G207" t="str">
        <x:f>IF(F207&lt;&gt;"",ROWS($F$3:F207)-COUNTBLANK($F$3:F207),"")</x:f>
      </x:c>
      <x:c r="H207"/>
      <x:c r="I207"/>
      <x:c r="J207"/>
      <x:c r="K207" t="str">
        <x:f>IF(ROW()-ROW($K$2)&lt;=SUM($J$3:$J$168),COUNTIF($H$3:$H$168,"&lt;"&amp;(ROW()-ROW($K$2))),"")</x:f>
      </x:c>
      <x:c r="L207" t="str">
        <x:f>IF(K207="","",ROW()-ROW($L$2)-INDEX($H$3:$H$168,K207))</x:f>
      </x:c>
      <x:c r="M207" t="str">
        <x:f>IF(K207="","",IF(L207=1,1,FIND(CHAR(1),SUBSTITUTE(INDEX($B$3:$B$168,K207),CHAR(10),CHAR(1),L207-1))+1))</x:f>
      </x:c>
      <x:c r="N207" t="str">
        <x:f>IF(K207="","",IFERROR(FIND(CHAR(1),SUBSTITUTE(INDEX($B$3:$B$168,K207),CHAR(10),CHAR(1),L207)),LEN(INDEX($B$3:$B$168,K207))+1))</x:f>
      </x:c>
    </x:row>
    <x:row r="208" ht="15" customHeight="1">
      <x:c r="A208" s="81"/>
      <x:c r="B208"/>
      <x:c r="C208"/>
      <x:c r="D208" t="str">
        <x:f>IFERROR(IF(206&lt;=$O$1,INDEX($A$3:$A$168,MATCH(206,$I$3:$I$168,0)),IF(206&lt;=$O$1+$O$2,INDEX($F$3:$F$1994,MATCH(206-$O$1,$G$3:$G$1994,0)),"")),"")</x:f>
      </x:c>
      <x:c r="E208" t="str">
        <x:f>IF(K208="","",IF(N208&lt;=M208,"",TRIM(CLEAN(MID(INDEX($B$3:$B$168,K208),M208,N208-M208)))))</x:f>
      </x:c>
      <x:c r="F208" t="str">
        <x:f>IF(E208="","",IF(E208=TRIM(INDEX($A$3:$A$168,K208)),"",IF(RIGHT(TRIM(INDEX($A$3:$A$168,K208)),1)="]",LEFT(TRIM(INDEX($A$3:$A$168,K208)),LEN(TRIM(INDEX($A$3:$A$168,K208)))-1)&amp;", "&amp;SUBSTITUTE(SUBSTITUTE(SUBSTITUTE(E208," [",", "),"[",", "),"]","")&amp;"]",TRIM(INDEX($A$3:$A$168,K208))&amp;" ["&amp;SUBSTITUTE(SUBSTITUTE(SUBSTITUTE(E208," [",", "),"[",", "),"]","")&amp;"]")))</x:f>
      </x:c>
      <x:c r="G208" t="str">
        <x:f>IF(F208&lt;&gt;"",ROWS($F$3:F208)-COUNTBLANK($F$3:F208),"")</x:f>
      </x:c>
      <x:c r="H208"/>
      <x:c r="I208"/>
      <x:c r="J208"/>
      <x:c r="K208" t="str">
        <x:f>IF(ROW()-ROW($K$2)&lt;=SUM($J$3:$J$168),COUNTIF($H$3:$H$168,"&lt;"&amp;(ROW()-ROW($K$2))),"")</x:f>
      </x:c>
      <x:c r="L208" t="str">
        <x:f>IF(K208="","",ROW()-ROW($L$2)-INDEX($H$3:$H$168,K208))</x:f>
      </x:c>
      <x:c r="M208" t="str">
        <x:f>IF(K208="","",IF(L208=1,1,FIND(CHAR(1),SUBSTITUTE(INDEX($B$3:$B$168,K208),CHAR(10),CHAR(1),L208-1))+1))</x:f>
      </x:c>
      <x:c r="N208" t="str">
        <x:f>IF(K208="","",IFERROR(FIND(CHAR(1),SUBSTITUTE(INDEX($B$3:$B$168,K208),CHAR(10),CHAR(1),L208)),LEN(INDEX($B$3:$B$168,K208))+1))</x:f>
      </x:c>
    </x:row>
    <x:row r="209" ht="15" customHeight="1">
      <x:c r="A209" s="81"/>
      <x:c r="B209"/>
      <x:c r="C209"/>
      <x:c r="D209" t="str">
        <x:f>IFERROR(IF(207&lt;=$O$1,INDEX($A$3:$A$168,MATCH(207,$I$3:$I$168,0)),IF(207&lt;=$O$1+$O$2,INDEX($F$3:$F$1994,MATCH(207-$O$1,$G$3:$G$1994,0)),"")),"")</x:f>
      </x:c>
      <x:c r="E209" t="str">
        <x:f>IF(K209="","",IF(N209&lt;=M209,"",TRIM(CLEAN(MID(INDEX($B$3:$B$168,K209),M209,N209-M209)))))</x:f>
      </x:c>
      <x:c r="F209" t="str">
        <x:f>IF(E209="","",IF(E209=TRIM(INDEX($A$3:$A$168,K209)),"",IF(RIGHT(TRIM(INDEX($A$3:$A$168,K209)),1)="]",LEFT(TRIM(INDEX($A$3:$A$168,K209)),LEN(TRIM(INDEX($A$3:$A$168,K209)))-1)&amp;", "&amp;SUBSTITUTE(SUBSTITUTE(SUBSTITUTE(E209," [",", "),"[",", "),"]","")&amp;"]",TRIM(INDEX($A$3:$A$168,K209))&amp;" ["&amp;SUBSTITUTE(SUBSTITUTE(SUBSTITUTE(E209," [",", "),"[",", "),"]","")&amp;"]")))</x:f>
      </x:c>
      <x:c r="G209" t="str">
        <x:f>IF(F209&lt;&gt;"",ROWS($F$3:F209)-COUNTBLANK($F$3:F209),"")</x:f>
      </x:c>
      <x:c r="H209"/>
      <x:c r="I209"/>
      <x:c r="J209"/>
      <x:c r="K209" t="str">
        <x:f>IF(ROW()-ROW($K$2)&lt;=SUM($J$3:$J$168),COUNTIF($H$3:$H$168,"&lt;"&amp;(ROW()-ROW($K$2))),"")</x:f>
      </x:c>
      <x:c r="L209" t="str">
        <x:f>IF(K209="","",ROW()-ROW($L$2)-INDEX($H$3:$H$168,K209))</x:f>
      </x:c>
      <x:c r="M209" t="str">
        <x:f>IF(K209="","",IF(L209=1,1,FIND(CHAR(1),SUBSTITUTE(INDEX($B$3:$B$168,K209),CHAR(10),CHAR(1),L209-1))+1))</x:f>
      </x:c>
      <x:c r="N209" t="str">
        <x:f>IF(K209="","",IFERROR(FIND(CHAR(1),SUBSTITUTE(INDEX($B$3:$B$168,K209),CHAR(10),CHAR(1),L209)),LEN(INDEX($B$3:$B$168,K209))+1))</x:f>
      </x:c>
    </x:row>
    <x:row r="210" ht="15" customHeight="1">
      <x:c r="A210" s="81"/>
      <x:c r="B210"/>
      <x:c r="C210"/>
      <x:c r="D210" t="str">
        <x:f>IFERROR(IF(208&lt;=$O$1,INDEX($A$3:$A$168,MATCH(208,$I$3:$I$168,0)),IF(208&lt;=$O$1+$O$2,INDEX($F$3:$F$1994,MATCH(208-$O$1,$G$3:$G$1994,0)),"")),"")</x:f>
      </x:c>
      <x:c r="E210" t="str">
        <x:f>IF(K210="","",IF(N210&lt;=M210,"",TRIM(CLEAN(MID(INDEX($B$3:$B$168,K210),M210,N210-M210)))))</x:f>
      </x:c>
      <x:c r="F210" t="str">
        <x:f>IF(E210="","",IF(E210=TRIM(INDEX($A$3:$A$168,K210)),"",IF(RIGHT(TRIM(INDEX($A$3:$A$168,K210)),1)="]",LEFT(TRIM(INDEX($A$3:$A$168,K210)),LEN(TRIM(INDEX($A$3:$A$168,K210)))-1)&amp;", "&amp;SUBSTITUTE(SUBSTITUTE(SUBSTITUTE(E210," [",", "),"[",", "),"]","")&amp;"]",TRIM(INDEX($A$3:$A$168,K210))&amp;" ["&amp;SUBSTITUTE(SUBSTITUTE(SUBSTITUTE(E210," [",", "),"[",", "),"]","")&amp;"]")))</x:f>
      </x:c>
      <x:c r="G210" t="str">
        <x:f>IF(F210&lt;&gt;"",ROWS($F$3:F210)-COUNTBLANK($F$3:F210),"")</x:f>
      </x:c>
      <x:c r="H210"/>
      <x:c r="I210"/>
      <x:c r="J210"/>
      <x:c r="K210" t="str">
        <x:f>IF(ROW()-ROW($K$2)&lt;=SUM($J$3:$J$168),COUNTIF($H$3:$H$168,"&lt;"&amp;(ROW()-ROW($K$2))),"")</x:f>
      </x:c>
      <x:c r="L210" t="str">
        <x:f>IF(K210="","",ROW()-ROW($L$2)-INDEX($H$3:$H$168,K210))</x:f>
      </x:c>
      <x:c r="M210" t="str">
        <x:f>IF(K210="","",IF(L210=1,1,FIND(CHAR(1),SUBSTITUTE(INDEX($B$3:$B$168,K210),CHAR(10),CHAR(1),L210-1))+1))</x:f>
      </x:c>
      <x:c r="N210" t="str">
        <x:f>IF(K210="","",IFERROR(FIND(CHAR(1),SUBSTITUTE(INDEX($B$3:$B$168,K210),CHAR(10),CHAR(1),L210)),LEN(INDEX($B$3:$B$168,K210))+1))</x:f>
      </x:c>
    </x:row>
    <x:row r="211" ht="15" customHeight="1">
      <x:c r="A211" s="81"/>
      <x:c r="B211"/>
      <x:c r="C211"/>
      <x:c r="D211" t="str">
        <x:f>IFERROR(IF(209&lt;=$O$1,INDEX($A$3:$A$168,MATCH(209,$I$3:$I$168,0)),IF(209&lt;=$O$1+$O$2,INDEX($F$3:$F$1994,MATCH(209-$O$1,$G$3:$G$1994,0)),"")),"")</x:f>
      </x:c>
      <x:c r="E211" t="str">
        <x:f>IF(K211="","",IF(N211&lt;=M211,"",TRIM(CLEAN(MID(INDEX($B$3:$B$168,K211),M211,N211-M211)))))</x:f>
      </x:c>
      <x:c r="F211" t="str">
        <x:f>IF(E211="","",IF(E211=TRIM(INDEX($A$3:$A$168,K211)),"",IF(RIGHT(TRIM(INDEX($A$3:$A$168,K211)),1)="]",LEFT(TRIM(INDEX($A$3:$A$168,K211)),LEN(TRIM(INDEX($A$3:$A$168,K211)))-1)&amp;", "&amp;SUBSTITUTE(SUBSTITUTE(SUBSTITUTE(E211," [",", "),"[",", "),"]","")&amp;"]",TRIM(INDEX($A$3:$A$168,K211))&amp;" ["&amp;SUBSTITUTE(SUBSTITUTE(SUBSTITUTE(E211," [",", "),"[",", "),"]","")&amp;"]")))</x:f>
      </x:c>
      <x:c r="G211" t="str">
        <x:f>IF(F211&lt;&gt;"",ROWS($F$3:F211)-COUNTBLANK($F$3:F211),"")</x:f>
      </x:c>
      <x:c r="H211"/>
      <x:c r="I211"/>
      <x:c r="J211"/>
      <x:c r="K211" t="str">
        <x:f>IF(ROW()-ROW($K$2)&lt;=SUM($J$3:$J$168),COUNTIF($H$3:$H$168,"&lt;"&amp;(ROW()-ROW($K$2))),"")</x:f>
      </x:c>
      <x:c r="L211" t="str">
        <x:f>IF(K211="","",ROW()-ROW($L$2)-INDEX($H$3:$H$168,K211))</x:f>
      </x:c>
      <x:c r="M211" t="str">
        <x:f>IF(K211="","",IF(L211=1,1,FIND(CHAR(1),SUBSTITUTE(INDEX($B$3:$B$168,K211),CHAR(10),CHAR(1),L211-1))+1))</x:f>
      </x:c>
      <x:c r="N211" t="str">
        <x:f>IF(K211="","",IFERROR(FIND(CHAR(1),SUBSTITUTE(INDEX($B$3:$B$168,K211),CHAR(10),CHAR(1),L211)),LEN(INDEX($B$3:$B$168,K211))+1))</x:f>
      </x:c>
    </x:row>
    <x:row r="212" ht="15" customHeight="1">
      <x:c r="A212" s="81"/>
      <x:c r="B212"/>
      <x:c r="C212"/>
      <x:c r="D212" t="str">
        <x:f>IFERROR(IF(210&lt;=$O$1,INDEX($A$3:$A$168,MATCH(210,$I$3:$I$168,0)),IF(210&lt;=$O$1+$O$2,INDEX($F$3:$F$1994,MATCH(210-$O$1,$G$3:$G$1994,0)),"")),"")</x:f>
      </x:c>
      <x:c r="E212" t="str">
        <x:f>IF(K212="","",IF(N212&lt;=M212,"",TRIM(CLEAN(MID(INDEX($B$3:$B$168,K212),M212,N212-M212)))))</x:f>
      </x:c>
      <x:c r="F212" t="str">
        <x:f>IF(E212="","",IF(E212=TRIM(INDEX($A$3:$A$168,K212)),"",IF(RIGHT(TRIM(INDEX($A$3:$A$168,K212)),1)="]",LEFT(TRIM(INDEX($A$3:$A$168,K212)),LEN(TRIM(INDEX($A$3:$A$168,K212)))-1)&amp;", "&amp;SUBSTITUTE(SUBSTITUTE(SUBSTITUTE(E212," [",", "),"[",", "),"]","")&amp;"]",TRIM(INDEX($A$3:$A$168,K212))&amp;" ["&amp;SUBSTITUTE(SUBSTITUTE(SUBSTITUTE(E212," [",", "),"[",", "),"]","")&amp;"]")))</x:f>
      </x:c>
      <x:c r="G212" t="str">
        <x:f>IF(F212&lt;&gt;"",ROWS($F$3:F212)-COUNTBLANK($F$3:F212),"")</x:f>
      </x:c>
      <x:c r="H212"/>
      <x:c r="I212"/>
      <x:c r="J212"/>
      <x:c r="K212" t="str">
        <x:f>IF(ROW()-ROW($K$2)&lt;=SUM($J$3:$J$168),COUNTIF($H$3:$H$168,"&lt;"&amp;(ROW()-ROW($K$2))),"")</x:f>
      </x:c>
      <x:c r="L212" t="str">
        <x:f>IF(K212="","",ROW()-ROW($L$2)-INDEX($H$3:$H$168,K212))</x:f>
      </x:c>
      <x:c r="M212" t="str">
        <x:f>IF(K212="","",IF(L212=1,1,FIND(CHAR(1),SUBSTITUTE(INDEX($B$3:$B$168,K212),CHAR(10),CHAR(1),L212-1))+1))</x:f>
      </x:c>
      <x:c r="N212" t="str">
        <x:f>IF(K212="","",IFERROR(FIND(CHAR(1),SUBSTITUTE(INDEX($B$3:$B$168,K212),CHAR(10),CHAR(1),L212)),LEN(INDEX($B$3:$B$168,K212))+1))</x:f>
      </x:c>
    </x:row>
    <x:row r="213" ht="15" customHeight="1">
      <x:c r="A213" s="81"/>
      <x:c r="B213"/>
      <x:c r="C213"/>
      <x:c r="D213" t="str">
        <x:f>IFERROR(IF(211&lt;=$O$1,INDEX($A$3:$A$168,MATCH(211,$I$3:$I$168,0)),IF(211&lt;=$O$1+$O$2,INDEX($F$3:$F$1994,MATCH(211-$O$1,$G$3:$G$1994,0)),"")),"")</x:f>
      </x:c>
      <x:c r="E213" t="str">
        <x:f>IF(K213="","",IF(N213&lt;=M213,"",TRIM(CLEAN(MID(INDEX($B$3:$B$168,K213),M213,N213-M213)))))</x:f>
      </x:c>
      <x:c r="F213" t="str">
        <x:f>IF(E213="","",IF(E213=TRIM(INDEX($A$3:$A$168,K213)),"",IF(RIGHT(TRIM(INDEX($A$3:$A$168,K213)),1)="]",LEFT(TRIM(INDEX($A$3:$A$168,K213)),LEN(TRIM(INDEX($A$3:$A$168,K213)))-1)&amp;", "&amp;SUBSTITUTE(SUBSTITUTE(SUBSTITUTE(E213," [",", "),"[",", "),"]","")&amp;"]",TRIM(INDEX($A$3:$A$168,K213))&amp;" ["&amp;SUBSTITUTE(SUBSTITUTE(SUBSTITUTE(E213," [",", "),"[",", "),"]","")&amp;"]")))</x:f>
      </x:c>
      <x:c r="G213" t="str">
        <x:f>IF(F213&lt;&gt;"",ROWS($F$3:F213)-COUNTBLANK($F$3:F213),"")</x:f>
      </x:c>
      <x:c r="H213"/>
      <x:c r="I213"/>
      <x:c r="J213"/>
      <x:c r="K213" t="str">
        <x:f>IF(ROW()-ROW($K$2)&lt;=SUM($J$3:$J$168),COUNTIF($H$3:$H$168,"&lt;"&amp;(ROW()-ROW($K$2))),"")</x:f>
      </x:c>
      <x:c r="L213" t="str">
        <x:f>IF(K213="","",ROW()-ROW($L$2)-INDEX($H$3:$H$168,K213))</x:f>
      </x:c>
      <x:c r="M213" t="str">
        <x:f>IF(K213="","",IF(L213=1,1,FIND(CHAR(1),SUBSTITUTE(INDEX($B$3:$B$168,K213),CHAR(10),CHAR(1),L213-1))+1))</x:f>
      </x:c>
      <x:c r="N213" t="str">
        <x:f>IF(K213="","",IFERROR(FIND(CHAR(1),SUBSTITUTE(INDEX($B$3:$B$168,K213),CHAR(10),CHAR(1),L213)),LEN(INDEX($B$3:$B$168,K213))+1))</x:f>
      </x:c>
    </x:row>
    <x:row r="214" ht="15" customHeight="1">
      <x:c r="A214" s="81"/>
      <x:c r="B214"/>
      <x:c r="C214"/>
      <x:c r="D214" t="str">
        <x:f>IFERROR(IF(212&lt;=$O$1,INDEX($A$3:$A$168,MATCH(212,$I$3:$I$168,0)),IF(212&lt;=$O$1+$O$2,INDEX($F$3:$F$1994,MATCH(212-$O$1,$G$3:$G$1994,0)),"")),"")</x:f>
      </x:c>
      <x:c r="E214" t="str">
        <x:f>IF(K214="","",IF(N214&lt;=M214,"",TRIM(CLEAN(MID(INDEX($B$3:$B$168,K214),M214,N214-M214)))))</x:f>
      </x:c>
      <x:c r="F214" t="str">
        <x:f>IF(E214="","",IF(E214=TRIM(INDEX($A$3:$A$168,K214)),"",IF(RIGHT(TRIM(INDEX($A$3:$A$168,K214)),1)="]",LEFT(TRIM(INDEX($A$3:$A$168,K214)),LEN(TRIM(INDEX($A$3:$A$168,K214)))-1)&amp;", "&amp;SUBSTITUTE(SUBSTITUTE(SUBSTITUTE(E214," [",", "),"[",", "),"]","")&amp;"]",TRIM(INDEX($A$3:$A$168,K214))&amp;" ["&amp;SUBSTITUTE(SUBSTITUTE(SUBSTITUTE(E214," [",", "),"[",", "),"]","")&amp;"]")))</x:f>
      </x:c>
      <x:c r="G214" t="str">
        <x:f>IF(F214&lt;&gt;"",ROWS($F$3:F214)-COUNTBLANK($F$3:F214),"")</x:f>
      </x:c>
      <x:c r="H214"/>
      <x:c r="I214"/>
      <x:c r="J214"/>
      <x:c r="K214" t="str">
        <x:f>IF(ROW()-ROW($K$2)&lt;=SUM($J$3:$J$168),COUNTIF($H$3:$H$168,"&lt;"&amp;(ROW()-ROW($K$2))),"")</x:f>
      </x:c>
      <x:c r="L214" t="str">
        <x:f>IF(K214="","",ROW()-ROW($L$2)-INDEX($H$3:$H$168,K214))</x:f>
      </x:c>
      <x:c r="M214" t="str">
        <x:f>IF(K214="","",IF(L214=1,1,FIND(CHAR(1),SUBSTITUTE(INDEX($B$3:$B$168,K214),CHAR(10),CHAR(1),L214-1))+1))</x:f>
      </x:c>
      <x:c r="N214" t="str">
        <x:f>IF(K214="","",IFERROR(FIND(CHAR(1),SUBSTITUTE(INDEX($B$3:$B$168,K214),CHAR(10),CHAR(1),L214)),LEN(INDEX($B$3:$B$168,K214))+1))</x:f>
      </x:c>
    </x:row>
    <x:row r="215" ht="15" customHeight="1">
      <x:c r="A215" s="81"/>
      <x:c r="B215"/>
      <x:c r="C215"/>
      <x:c r="D215" t="str">
        <x:f>IFERROR(IF(213&lt;=$O$1,INDEX($A$3:$A$168,MATCH(213,$I$3:$I$168,0)),IF(213&lt;=$O$1+$O$2,INDEX($F$3:$F$1994,MATCH(213-$O$1,$G$3:$G$1994,0)),"")),"")</x:f>
      </x:c>
      <x:c r="E215" t="str">
        <x:f>IF(K215="","",IF(N215&lt;=M215,"",TRIM(CLEAN(MID(INDEX($B$3:$B$168,K215),M215,N215-M215)))))</x:f>
      </x:c>
      <x:c r="F215" t="str">
        <x:f>IF(E215="","",IF(E215=TRIM(INDEX($A$3:$A$168,K215)),"",IF(RIGHT(TRIM(INDEX($A$3:$A$168,K215)),1)="]",LEFT(TRIM(INDEX($A$3:$A$168,K215)),LEN(TRIM(INDEX($A$3:$A$168,K215)))-1)&amp;", "&amp;SUBSTITUTE(SUBSTITUTE(SUBSTITUTE(E215," [",", "),"[",", "),"]","")&amp;"]",TRIM(INDEX($A$3:$A$168,K215))&amp;" ["&amp;SUBSTITUTE(SUBSTITUTE(SUBSTITUTE(E215," [",", "),"[",", "),"]","")&amp;"]")))</x:f>
      </x:c>
      <x:c r="G215" t="str">
        <x:f>IF(F215&lt;&gt;"",ROWS($F$3:F215)-COUNTBLANK($F$3:F215),"")</x:f>
      </x:c>
      <x:c r="H215"/>
      <x:c r="I215"/>
      <x:c r="J215"/>
      <x:c r="K215" t="str">
        <x:f>IF(ROW()-ROW($K$2)&lt;=SUM($J$3:$J$168),COUNTIF($H$3:$H$168,"&lt;"&amp;(ROW()-ROW($K$2))),"")</x:f>
      </x:c>
      <x:c r="L215" t="str">
        <x:f>IF(K215="","",ROW()-ROW($L$2)-INDEX($H$3:$H$168,K215))</x:f>
      </x:c>
      <x:c r="M215" t="str">
        <x:f>IF(K215="","",IF(L215=1,1,FIND(CHAR(1),SUBSTITUTE(INDEX($B$3:$B$168,K215),CHAR(10),CHAR(1),L215-1))+1))</x:f>
      </x:c>
      <x:c r="N215" t="str">
        <x:f>IF(K215="","",IFERROR(FIND(CHAR(1),SUBSTITUTE(INDEX($B$3:$B$168,K215),CHAR(10),CHAR(1),L215)),LEN(INDEX($B$3:$B$168,K215))+1))</x:f>
      </x:c>
    </x:row>
    <x:row r="216" ht="15" customHeight="1">
      <x:c r="A216" s="81"/>
      <x:c r="B216"/>
      <x:c r="C216"/>
      <x:c r="D216" t="str">
        <x:f>IFERROR(IF(214&lt;=$O$1,INDEX($A$3:$A$168,MATCH(214,$I$3:$I$168,0)),IF(214&lt;=$O$1+$O$2,INDEX($F$3:$F$1994,MATCH(214-$O$1,$G$3:$G$1994,0)),"")),"")</x:f>
      </x:c>
      <x:c r="E216" t="str">
        <x:f>IF(K216="","",IF(N216&lt;=M216,"",TRIM(CLEAN(MID(INDEX($B$3:$B$168,K216),M216,N216-M216)))))</x:f>
      </x:c>
      <x:c r="F216" t="str">
        <x:f>IF(E216="","",IF(E216=TRIM(INDEX($A$3:$A$168,K216)),"",IF(RIGHT(TRIM(INDEX($A$3:$A$168,K216)),1)="]",LEFT(TRIM(INDEX($A$3:$A$168,K216)),LEN(TRIM(INDEX($A$3:$A$168,K216)))-1)&amp;", "&amp;SUBSTITUTE(SUBSTITUTE(SUBSTITUTE(E216," [",", "),"[",", "),"]","")&amp;"]",TRIM(INDEX($A$3:$A$168,K216))&amp;" ["&amp;SUBSTITUTE(SUBSTITUTE(SUBSTITUTE(E216," [",", "),"[",", "),"]","")&amp;"]")))</x:f>
      </x:c>
      <x:c r="G216" t="str">
        <x:f>IF(F216&lt;&gt;"",ROWS($F$3:F216)-COUNTBLANK($F$3:F216),"")</x:f>
      </x:c>
      <x:c r="H216"/>
      <x:c r="I216"/>
      <x:c r="J216"/>
      <x:c r="K216" t="str">
        <x:f>IF(ROW()-ROW($K$2)&lt;=SUM($J$3:$J$168),COUNTIF($H$3:$H$168,"&lt;"&amp;(ROW()-ROW($K$2))),"")</x:f>
      </x:c>
      <x:c r="L216" t="str">
        <x:f>IF(K216="","",ROW()-ROW($L$2)-INDEX($H$3:$H$168,K216))</x:f>
      </x:c>
      <x:c r="M216" t="str">
        <x:f>IF(K216="","",IF(L216=1,1,FIND(CHAR(1),SUBSTITUTE(INDEX($B$3:$B$168,K216),CHAR(10),CHAR(1),L216-1))+1))</x:f>
      </x:c>
      <x:c r="N216" t="str">
        <x:f>IF(K216="","",IFERROR(FIND(CHAR(1),SUBSTITUTE(INDEX($B$3:$B$168,K216),CHAR(10),CHAR(1),L216)),LEN(INDEX($B$3:$B$168,K216))+1))</x:f>
      </x:c>
    </x:row>
    <x:row r="217" ht="15" customHeight="1">
      <x:c r="A217" s="81"/>
      <x:c r="B217"/>
      <x:c r="C217"/>
      <x:c r="D217" t="str">
        <x:f>IFERROR(IF(215&lt;=$O$1,INDEX($A$3:$A$168,MATCH(215,$I$3:$I$168,0)),IF(215&lt;=$O$1+$O$2,INDEX($F$3:$F$1994,MATCH(215-$O$1,$G$3:$G$1994,0)),"")),"")</x:f>
      </x:c>
      <x:c r="E217" t="str">
        <x:f>IF(K217="","",IF(N217&lt;=M217,"",TRIM(CLEAN(MID(INDEX($B$3:$B$168,K217),M217,N217-M217)))))</x:f>
      </x:c>
      <x:c r="F217" t="str">
        <x:f>IF(E217="","",IF(E217=TRIM(INDEX($A$3:$A$168,K217)),"",IF(RIGHT(TRIM(INDEX($A$3:$A$168,K217)),1)="]",LEFT(TRIM(INDEX($A$3:$A$168,K217)),LEN(TRIM(INDEX($A$3:$A$168,K217)))-1)&amp;", "&amp;SUBSTITUTE(SUBSTITUTE(SUBSTITUTE(E217," [",", "),"[",", "),"]","")&amp;"]",TRIM(INDEX($A$3:$A$168,K217))&amp;" ["&amp;SUBSTITUTE(SUBSTITUTE(SUBSTITUTE(E217," [",", "),"[",", "),"]","")&amp;"]")))</x:f>
      </x:c>
      <x:c r="G217" t="str">
        <x:f>IF(F217&lt;&gt;"",ROWS($F$3:F217)-COUNTBLANK($F$3:F217),"")</x:f>
      </x:c>
      <x:c r="H217"/>
      <x:c r="I217"/>
      <x:c r="J217"/>
      <x:c r="K217" t="str">
        <x:f>IF(ROW()-ROW($K$2)&lt;=SUM($J$3:$J$168),COUNTIF($H$3:$H$168,"&lt;"&amp;(ROW()-ROW($K$2))),"")</x:f>
      </x:c>
      <x:c r="L217" t="str">
        <x:f>IF(K217="","",ROW()-ROW($L$2)-INDEX($H$3:$H$168,K217))</x:f>
      </x:c>
      <x:c r="M217" t="str">
        <x:f>IF(K217="","",IF(L217=1,1,FIND(CHAR(1),SUBSTITUTE(INDEX($B$3:$B$168,K217),CHAR(10),CHAR(1),L217-1))+1))</x:f>
      </x:c>
      <x:c r="N217" t="str">
        <x:f>IF(K217="","",IFERROR(FIND(CHAR(1),SUBSTITUTE(INDEX($B$3:$B$168,K217),CHAR(10),CHAR(1),L217)),LEN(INDEX($B$3:$B$168,K217))+1))</x:f>
      </x:c>
    </x:row>
    <x:row r="218" ht="15" customHeight="1">
      <x:c r="A218" s="81"/>
      <x:c r="B218"/>
      <x:c r="C218"/>
      <x:c r="D218" t="str">
        <x:f>IFERROR(IF(216&lt;=$O$1,INDEX($A$3:$A$168,MATCH(216,$I$3:$I$168,0)),IF(216&lt;=$O$1+$O$2,INDEX($F$3:$F$1994,MATCH(216-$O$1,$G$3:$G$1994,0)),"")),"")</x:f>
      </x:c>
      <x:c r="E218" t="str">
        <x:f>IF(K218="","",IF(N218&lt;=M218,"",TRIM(CLEAN(MID(INDEX($B$3:$B$168,K218),M218,N218-M218)))))</x:f>
      </x:c>
      <x:c r="F218" t="str">
        <x:f>IF(E218="","",IF(E218=TRIM(INDEX($A$3:$A$168,K218)),"",IF(RIGHT(TRIM(INDEX($A$3:$A$168,K218)),1)="]",LEFT(TRIM(INDEX($A$3:$A$168,K218)),LEN(TRIM(INDEX($A$3:$A$168,K218)))-1)&amp;", "&amp;SUBSTITUTE(SUBSTITUTE(SUBSTITUTE(E218," [",", "),"[",", "),"]","")&amp;"]",TRIM(INDEX($A$3:$A$168,K218))&amp;" ["&amp;SUBSTITUTE(SUBSTITUTE(SUBSTITUTE(E218," [",", "),"[",", "),"]","")&amp;"]")))</x:f>
      </x:c>
      <x:c r="G218" t="str">
        <x:f>IF(F218&lt;&gt;"",ROWS($F$3:F218)-COUNTBLANK($F$3:F218),"")</x:f>
      </x:c>
      <x:c r="H218"/>
      <x:c r="I218"/>
      <x:c r="J218"/>
      <x:c r="K218" t="str">
        <x:f>IF(ROW()-ROW($K$2)&lt;=SUM($J$3:$J$168),COUNTIF($H$3:$H$168,"&lt;"&amp;(ROW()-ROW($K$2))),"")</x:f>
      </x:c>
      <x:c r="L218" t="str">
        <x:f>IF(K218="","",ROW()-ROW($L$2)-INDEX($H$3:$H$168,K218))</x:f>
      </x:c>
      <x:c r="M218" t="str">
        <x:f>IF(K218="","",IF(L218=1,1,FIND(CHAR(1),SUBSTITUTE(INDEX($B$3:$B$168,K218),CHAR(10),CHAR(1),L218-1))+1))</x:f>
      </x:c>
      <x:c r="N218" t="str">
        <x:f>IF(K218="","",IFERROR(FIND(CHAR(1),SUBSTITUTE(INDEX($B$3:$B$168,K218),CHAR(10),CHAR(1),L218)),LEN(INDEX($B$3:$B$168,K218))+1))</x:f>
      </x:c>
    </x:row>
    <x:row r="219" ht="15" customHeight="1">
      <x:c r="A219" s="81"/>
      <x:c r="B219"/>
      <x:c r="C219"/>
      <x:c r="D219" t="str">
        <x:f>IFERROR(IF(217&lt;=$O$1,INDEX($A$3:$A$168,MATCH(217,$I$3:$I$168,0)),IF(217&lt;=$O$1+$O$2,INDEX($F$3:$F$1994,MATCH(217-$O$1,$G$3:$G$1994,0)),"")),"")</x:f>
      </x:c>
      <x:c r="E219" t="str">
        <x:f>IF(K219="","",IF(N219&lt;=M219,"",TRIM(CLEAN(MID(INDEX($B$3:$B$168,K219),M219,N219-M219)))))</x:f>
      </x:c>
      <x:c r="F219" t="str">
        <x:f>IF(E219="","",IF(E219=TRIM(INDEX($A$3:$A$168,K219)),"",IF(RIGHT(TRIM(INDEX($A$3:$A$168,K219)),1)="]",LEFT(TRIM(INDEX($A$3:$A$168,K219)),LEN(TRIM(INDEX($A$3:$A$168,K219)))-1)&amp;", "&amp;SUBSTITUTE(SUBSTITUTE(SUBSTITUTE(E219," [",", "),"[",", "),"]","")&amp;"]",TRIM(INDEX($A$3:$A$168,K219))&amp;" ["&amp;SUBSTITUTE(SUBSTITUTE(SUBSTITUTE(E219," [",", "),"[",", "),"]","")&amp;"]")))</x:f>
      </x:c>
      <x:c r="G219" t="str">
        <x:f>IF(F219&lt;&gt;"",ROWS($F$3:F219)-COUNTBLANK($F$3:F219),"")</x:f>
      </x:c>
      <x:c r="H219"/>
      <x:c r="I219"/>
      <x:c r="J219"/>
      <x:c r="K219" t="str">
        <x:f>IF(ROW()-ROW($K$2)&lt;=SUM($J$3:$J$168),COUNTIF($H$3:$H$168,"&lt;"&amp;(ROW()-ROW($K$2))),"")</x:f>
      </x:c>
      <x:c r="L219" t="str">
        <x:f>IF(K219="","",ROW()-ROW($L$2)-INDEX($H$3:$H$168,K219))</x:f>
      </x:c>
      <x:c r="M219" t="str">
        <x:f>IF(K219="","",IF(L219=1,1,FIND(CHAR(1),SUBSTITUTE(INDEX($B$3:$B$168,K219),CHAR(10),CHAR(1),L219-1))+1))</x:f>
      </x:c>
      <x:c r="N219" t="str">
        <x:f>IF(K219="","",IFERROR(FIND(CHAR(1),SUBSTITUTE(INDEX($B$3:$B$168,K219),CHAR(10),CHAR(1),L219)),LEN(INDEX($B$3:$B$168,K219))+1))</x:f>
      </x:c>
    </x:row>
    <x:row r="220" ht="15" customHeight="1">
      <x:c r="A220" s="81"/>
      <x:c r="B220"/>
      <x:c r="C220"/>
      <x:c r="D220" t="str">
        <x:f>IFERROR(IF(218&lt;=$O$1,INDEX($A$3:$A$168,MATCH(218,$I$3:$I$168,0)),IF(218&lt;=$O$1+$O$2,INDEX($F$3:$F$1994,MATCH(218-$O$1,$G$3:$G$1994,0)),"")),"")</x:f>
      </x:c>
      <x:c r="E220" t="str">
        <x:f>IF(K220="","",IF(N220&lt;=M220,"",TRIM(CLEAN(MID(INDEX($B$3:$B$168,K220),M220,N220-M220)))))</x:f>
      </x:c>
      <x:c r="F220" t="str">
        <x:f>IF(E220="","",IF(E220=TRIM(INDEX($A$3:$A$168,K220)),"",IF(RIGHT(TRIM(INDEX($A$3:$A$168,K220)),1)="]",LEFT(TRIM(INDEX($A$3:$A$168,K220)),LEN(TRIM(INDEX($A$3:$A$168,K220)))-1)&amp;", "&amp;SUBSTITUTE(SUBSTITUTE(SUBSTITUTE(E220," [",", "),"[",", "),"]","")&amp;"]",TRIM(INDEX($A$3:$A$168,K220))&amp;" ["&amp;SUBSTITUTE(SUBSTITUTE(SUBSTITUTE(E220," [",", "),"[",", "),"]","")&amp;"]")))</x:f>
      </x:c>
      <x:c r="G220" t="str">
        <x:f>IF(F220&lt;&gt;"",ROWS($F$3:F220)-COUNTBLANK($F$3:F220),"")</x:f>
      </x:c>
      <x:c r="H220"/>
      <x:c r="I220"/>
      <x:c r="J220"/>
      <x:c r="K220" t="str">
        <x:f>IF(ROW()-ROW($K$2)&lt;=SUM($J$3:$J$168),COUNTIF($H$3:$H$168,"&lt;"&amp;(ROW()-ROW($K$2))),"")</x:f>
      </x:c>
      <x:c r="L220" t="str">
        <x:f>IF(K220="","",ROW()-ROW($L$2)-INDEX($H$3:$H$168,K220))</x:f>
      </x:c>
      <x:c r="M220" t="str">
        <x:f>IF(K220="","",IF(L220=1,1,FIND(CHAR(1),SUBSTITUTE(INDEX($B$3:$B$168,K220),CHAR(10),CHAR(1),L220-1))+1))</x:f>
      </x:c>
      <x:c r="N220" t="str">
        <x:f>IF(K220="","",IFERROR(FIND(CHAR(1),SUBSTITUTE(INDEX($B$3:$B$168,K220),CHAR(10),CHAR(1),L220)),LEN(INDEX($B$3:$B$168,K220))+1))</x:f>
      </x:c>
    </x:row>
    <x:row r="221" ht="15" customHeight="1">
      <x:c r="A221" s="81"/>
      <x:c r="B221"/>
      <x:c r="C221"/>
      <x:c r="D221" t="str">
        <x:f>IFERROR(IF(219&lt;=$O$1,INDEX($A$3:$A$168,MATCH(219,$I$3:$I$168,0)),IF(219&lt;=$O$1+$O$2,INDEX($F$3:$F$1994,MATCH(219-$O$1,$G$3:$G$1994,0)),"")),"")</x:f>
      </x:c>
      <x:c r="E221" t="str">
        <x:f>IF(K221="","",IF(N221&lt;=M221,"",TRIM(CLEAN(MID(INDEX($B$3:$B$168,K221),M221,N221-M221)))))</x:f>
      </x:c>
      <x:c r="F221" t="str">
        <x:f>IF(E221="","",IF(E221=TRIM(INDEX($A$3:$A$168,K221)),"",IF(RIGHT(TRIM(INDEX($A$3:$A$168,K221)),1)="]",LEFT(TRIM(INDEX($A$3:$A$168,K221)),LEN(TRIM(INDEX($A$3:$A$168,K221)))-1)&amp;", "&amp;SUBSTITUTE(SUBSTITUTE(SUBSTITUTE(E221," [",", "),"[",", "),"]","")&amp;"]",TRIM(INDEX($A$3:$A$168,K221))&amp;" ["&amp;SUBSTITUTE(SUBSTITUTE(SUBSTITUTE(E221," [",", "),"[",", "),"]","")&amp;"]")))</x:f>
      </x:c>
      <x:c r="G221" t="str">
        <x:f>IF(F221&lt;&gt;"",ROWS($F$3:F221)-COUNTBLANK($F$3:F221),"")</x:f>
      </x:c>
      <x:c r="H221"/>
      <x:c r="I221"/>
      <x:c r="J221"/>
      <x:c r="K221" t="str">
        <x:f>IF(ROW()-ROW($K$2)&lt;=SUM($J$3:$J$168),COUNTIF($H$3:$H$168,"&lt;"&amp;(ROW()-ROW($K$2))),"")</x:f>
      </x:c>
      <x:c r="L221" t="str">
        <x:f>IF(K221="","",ROW()-ROW($L$2)-INDEX($H$3:$H$168,K221))</x:f>
      </x:c>
      <x:c r="M221" t="str">
        <x:f>IF(K221="","",IF(L221=1,1,FIND(CHAR(1),SUBSTITUTE(INDEX($B$3:$B$168,K221),CHAR(10),CHAR(1),L221-1))+1))</x:f>
      </x:c>
      <x:c r="N221" t="str">
        <x:f>IF(K221="","",IFERROR(FIND(CHAR(1),SUBSTITUTE(INDEX($B$3:$B$168,K221),CHAR(10),CHAR(1),L221)),LEN(INDEX($B$3:$B$168,K221))+1))</x:f>
      </x:c>
    </x:row>
    <x:row r="222" ht="15" customHeight="1">
      <x:c r="A222" s="81"/>
      <x:c r="B222"/>
      <x:c r="C222"/>
      <x:c r="D222" t="str">
        <x:f>IFERROR(IF(220&lt;=$O$1,INDEX($A$3:$A$168,MATCH(220,$I$3:$I$168,0)),IF(220&lt;=$O$1+$O$2,INDEX($F$3:$F$1994,MATCH(220-$O$1,$G$3:$G$1994,0)),"")),"")</x:f>
      </x:c>
      <x:c r="E222" t="str">
        <x:f>IF(K222="","",IF(N222&lt;=M222,"",TRIM(CLEAN(MID(INDEX($B$3:$B$168,K222),M222,N222-M222)))))</x:f>
      </x:c>
      <x:c r="F222" t="str">
        <x:f>IF(E222="","",IF(E222=TRIM(INDEX($A$3:$A$168,K222)),"",IF(RIGHT(TRIM(INDEX($A$3:$A$168,K222)),1)="]",LEFT(TRIM(INDEX($A$3:$A$168,K222)),LEN(TRIM(INDEX($A$3:$A$168,K222)))-1)&amp;", "&amp;SUBSTITUTE(SUBSTITUTE(SUBSTITUTE(E222," [",", "),"[",", "),"]","")&amp;"]",TRIM(INDEX($A$3:$A$168,K222))&amp;" ["&amp;SUBSTITUTE(SUBSTITUTE(SUBSTITUTE(E222," [",", "),"[",", "),"]","")&amp;"]")))</x:f>
      </x:c>
      <x:c r="G222" t="str">
        <x:f>IF(F222&lt;&gt;"",ROWS($F$3:F222)-COUNTBLANK($F$3:F222),"")</x:f>
      </x:c>
      <x:c r="H222"/>
      <x:c r="I222"/>
      <x:c r="J222"/>
      <x:c r="K222" t="str">
        <x:f>IF(ROW()-ROW($K$2)&lt;=SUM($J$3:$J$168),COUNTIF($H$3:$H$168,"&lt;"&amp;(ROW()-ROW($K$2))),"")</x:f>
      </x:c>
      <x:c r="L222" t="str">
        <x:f>IF(K222="","",ROW()-ROW($L$2)-INDEX($H$3:$H$168,K222))</x:f>
      </x:c>
      <x:c r="M222" t="str">
        <x:f>IF(K222="","",IF(L222=1,1,FIND(CHAR(1),SUBSTITUTE(INDEX($B$3:$B$168,K222),CHAR(10),CHAR(1),L222-1))+1))</x:f>
      </x:c>
      <x:c r="N222" t="str">
        <x:f>IF(K222="","",IFERROR(FIND(CHAR(1),SUBSTITUTE(INDEX($B$3:$B$168,K222),CHAR(10),CHAR(1),L222)),LEN(INDEX($B$3:$B$168,K222))+1))</x:f>
      </x:c>
    </x:row>
    <x:row r="223" ht="15" customHeight="1">
      <x:c r="A223" s="81"/>
      <x:c r="B223"/>
      <x:c r="C223"/>
      <x:c r="D223" t="str">
        <x:f>IFERROR(IF(221&lt;=$O$1,INDEX($A$3:$A$168,MATCH(221,$I$3:$I$168,0)),IF(221&lt;=$O$1+$O$2,INDEX($F$3:$F$1994,MATCH(221-$O$1,$G$3:$G$1994,0)),"")),"")</x:f>
      </x:c>
      <x:c r="E223" t="str">
        <x:f>IF(K223="","",IF(N223&lt;=M223,"",TRIM(CLEAN(MID(INDEX($B$3:$B$168,K223),M223,N223-M223)))))</x:f>
      </x:c>
      <x:c r="F223" t="str">
        <x:f>IF(E223="","",IF(E223=TRIM(INDEX($A$3:$A$168,K223)),"",IF(RIGHT(TRIM(INDEX($A$3:$A$168,K223)),1)="]",LEFT(TRIM(INDEX($A$3:$A$168,K223)),LEN(TRIM(INDEX($A$3:$A$168,K223)))-1)&amp;", "&amp;SUBSTITUTE(SUBSTITUTE(SUBSTITUTE(E223," [",", "),"[",", "),"]","")&amp;"]",TRIM(INDEX($A$3:$A$168,K223))&amp;" ["&amp;SUBSTITUTE(SUBSTITUTE(SUBSTITUTE(E223," [",", "),"[",", "),"]","")&amp;"]")))</x:f>
      </x:c>
      <x:c r="G223" t="str">
        <x:f>IF(F223&lt;&gt;"",ROWS($F$3:F223)-COUNTBLANK($F$3:F223),"")</x:f>
      </x:c>
      <x:c r="H223"/>
      <x:c r="I223"/>
      <x:c r="J223"/>
      <x:c r="K223" t="str">
        <x:f>IF(ROW()-ROW($K$2)&lt;=SUM($J$3:$J$168),COUNTIF($H$3:$H$168,"&lt;"&amp;(ROW()-ROW($K$2))),"")</x:f>
      </x:c>
      <x:c r="L223" t="str">
        <x:f>IF(K223="","",ROW()-ROW($L$2)-INDEX($H$3:$H$168,K223))</x:f>
      </x:c>
      <x:c r="M223" t="str">
        <x:f>IF(K223="","",IF(L223=1,1,FIND(CHAR(1),SUBSTITUTE(INDEX($B$3:$B$168,K223),CHAR(10),CHAR(1),L223-1))+1))</x:f>
      </x:c>
      <x:c r="N223" t="str">
        <x:f>IF(K223="","",IFERROR(FIND(CHAR(1),SUBSTITUTE(INDEX($B$3:$B$168,K223),CHAR(10),CHAR(1),L223)),LEN(INDEX($B$3:$B$168,K223))+1))</x:f>
      </x:c>
    </x:row>
    <x:row r="224" ht="15" customHeight="1">
      <x:c r="A224" s="81"/>
      <x:c r="B224"/>
      <x:c r="C224"/>
      <x:c r="D224" t="str">
        <x:f>IFERROR(IF(222&lt;=$O$1,INDEX($A$3:$A$168,MATCH(222,$I$3:$I$168,0)),IF(222&lt;=$O$1+$O$2,INDEX($F$3:$F$1994,MATCH(222-$O$1,$G$3:$G$1994,0)),"")),"")</x:f>
      </x:c>
      <x:c r="E224" t="str">
        <x:f>IF(K224="","",IF(N224&lt;=M224,"",TRIM(CLEAN(MID(INDEX($B$3:$B$168,K224),M224,N224-M224)))))</x:f>
      </x:c>
      <x:c r="F224" t="str">
        <x:f>IF(E224="","",IF(E224=TRIM(INDEX($A$3:$A$168,K224)),"",IF(RIGHT(TRIM(INDEX($A$3:$A$168,K224)),1)="]",LEFT(TRIM(INDEX($A$3:$A$168,K224)),LEN(TRIM(INDEX($A$3:$A$168,K224)))-1)&amp;", "&amp;SUBSTITUTE(SUBSTITUTE(SUBSTITUTE(E224," [",", "),"[",", "),"]","")&amp;"]",TRIM(INDEX($A$3:$A$168,K224))&amp;" ["&amp;SUBSTITUTE(SUBSTITUTE(SUBSTITUTE(E224," [",", "),"[",", "),"]","")&amp;"]")))</x:f>
      </x:c>
      <x:c r="G224" t="str">
        <x:f>IF(F224&lt;&gt;"",ROWS($F$3:F224)-COUNTBLANK($F$3:F224),"")</x:f>
      </x:c>
      <x:c r="H224"/>
      <x:c r="I224"/>
      <x:c r="J224"/>
      <x:c r="K224" t="str">
        <x:f>IF(ROW()-ROW($K$2)&lt;=SUM($J$3:$J$168),COUNTIF($H$3:$H$168,"&lt;"&amp;(ROW()-ROW($K$2))),"")</x:f>
      </x:c>
      <x:c r="L224" t="str">
        <x:f>IF(K224="","",ROW()-ROW($L$2)-INDEX($H$3:$H$168,K224))</x:f>
      </x:c>
      <x:c r="M224" t="str">
        <x:f>IF(K224="","",IF(L224=1,1,FIND(CHAR(1),SUBSTITUTE(INDEX($B$3:$B$168,K224),CHAR(10),CHAR(1),L224-1))+1))</x:f>
      </x:c>
      <x:c r="N224" t="str">
        <x:f>IF(K224="","",IFERROR(FIND(CHAR(1),SUBSTITUTE(INDEX($B$3:$B$168,K224),CHAR(10),CHAR(1),L224)),LEN(INDEX($B$3:$B$168,K224))+1))</x:f>
      </x:c>
    </x:row>
    <x:row r="225" ht="15" customHeight="1">
      <x:c r="A225" s="81"/>
      <x:c r="B225"/>
      <x:c r="C225"/>
      <x:c r="D225" t="str">
        <x:f>IFERROR(IF(223&lt;=$O$1,INDEX($A$3:$A$168,MATCH(223,$I$3:$I$168,0)),IF(223&lt;=$O$1+$O$2,INDEX($F$3:$F$1994,MATCH(223-$O$1,$G$3:$G$1994,0)),"")),"")</x:f>
      </x:c>
      <x:c r="E225" t="str">
        <x:f>IF(K225="","",IF(N225&lt;=M225,"",TRIM(CLEAN(MID(INDEX($B$3:$B$168,K225),M225,N225-M225)))))</x:f>
      </x:c>
      <x:c r="F225" t="str">
        <x:f>IF(E225="","",IF(E225=TRIM(INDEX($A$3:$A$168,K225)),"",IF(RIGHT(TRIM(INDEX($A$3:$A$168,K225)),1)="]",LEFT(TRIM(INDEX($A$3:$A$168,K225)),LEN(TRIM(INDEX($A$3:$A$168,K225)))-1)&amp;", "&amp;SUBSTITUTE(SUBSTITUTE(SUBSTITUTE(E225," [",", "),"[",", "),"]","")&amp;"]",TRIM(INDEX($A$3:$A$168,K225))&amp;" ["&amp;SUBSTITUTE(SUBSTITUTE(SUBSTITUTE(E225," [",", "),"[",", "),"]","")&amp;"]")))</x:f>
      </x:c>
      <x:c r="G225" t="str">
        <x:f>IF(F225&lt;&gt;"",ROWS($F$3:F225)-COUNTBLANK($F$3:F225),"")</x:f>
      </x:c>
      <x:c r="H225"/>
      <x:c r="I225"/>
      <x:c r="J225"/>
      <x:c r="K225" t="str">
        <x:f>IF(ROW()-ROW($K$2)&lt;=SUM($J$3:$J$168),COUNTIF($H$3:$H$168,"&lt;"&amp;(ROW()-ROW($K$2))),"")</x:f>
      </x:c>
      <x:c r="L225" t="str">
        <x:f>IF(K225="","",ROW()-ROW($L$2)-INDEX($H$3:$H$168,K225))</x:f>
      </x:c>
      <x:c r="M225" t="str">
        <x:f>IF(K225="","",IF(L225=1,1,FIND(CHAR(1),SUBSTITUTE(INDEX($B$3:$B$168,K225),CHAR(10),CHAR(1),L225-1))+1))</x:f>
      </x:c>
      <x:c r="N225" t="str">
        <x:f>IF(K225="","",IFERROR(FIND(CHAR(1),SUBSTITUTE(INDEX($B$3:$B$168,K225),CHAR(10),CHAR(1),L225)),LEN(INDEX($B$3:$B$168,K225))+1))</x:f>
      </x:c>
    </x:row>
    <x:row r="226" ht="15" customHeight="1">
      <x:c r="A226" s="81"/>
      <x:c r="B226"/>
      <x:c r="C226"/>
      <x:c r="D226" t="str">
        <x:f>IFERROR(IF(224&lt;=$O$1,INDEX($A$3:$A$168,MATCH(224,$I$3:$I$168,0)),IF(224&lt;=$O$1+$O$2,INDEX($F$3:$F$1994,MATCH(224-$O$1,$G$3:$G$1994,0)),"")),"")</x:f>
      </x:c>
      <x:c r="E226" t="str">
        <x:f>IF(K226="","",IF(N226&lt;=M226,"",TRIM(CLEAN(MID(INDEX($B$3:$B$168,K226),M226,N226-M226)))))</x:f>
      </x:c>
      <x:c r="F226" t="str">
        <x:f>IF(E226="","",IF(E226=TRIM(INDEX($A$3:$A$168,K226)),"",IF(RIGHT(TRIM(INDEX($A$3:$A$168,K226)),1)="]",LEFT(TRIM(INDEX($A$3:$A$168,K226)),LEN(TRIM(INDEX($A$3:$A$168,K226)))-1)&amp;", "&amp;SUBSTITUTE(SUBSTITUTE(SUBSTITUTE(E226," [",", "),"[",", "),"]","")&amp;"]",TRIM(INDEX($A$3:$A$168,K226))&amp;" ["&amp;SUBSTITUTE(SUBSTITUTE(SUBSTITUTE(E226," [",", "),"[",", "),"]","")&amp;"]")))</x:f>
      </x:c>
      <x:c r="G226" t="str">
        <x:f>IF(F226&lt;&gt;"",ROWS($F$3:F226)-COUNTBLANK($F$3:F226),"")</x:f>
      </x:c>
      <x:c r="H226"/>
      <x:c r="I226"/>
      <x:c r="J226"/>
      <x:c r="K226" t="str">
        <x:f>IF(ROW()-ROW($K$2)&lt;=SUM($J$3:$J$168),COUNTIF($H$3:$H$168,"&lt;"&amp;(ROW()-ROW($K$2))),"")</x:f>
      </x:c>
      <x:c r="L226" t="str">
        <x:f>IF(K226="","",ROW()-ROW($L$2)-INDEX($H$3:$H$168,K226))</x:f>
      </x:c>
      <x:c r="M226" t="str">
        <x:f>IF(K226="","",IF(L226=1,1,FIND(CHAR(1),SUBSTITUTE(INDEX($B$3:$B$168,K226),CHAR(10),CHAR(1),L226-1))+1))</x:f>
      </x:c>
      <x:c r="N226" t="str">
        <x:f>IF(K226="","",IFERROR(FIND(CHAR(1),SUBSTITUTE(INDEX($B$3:$B$168,K226),CHAR(10),CHAR(1),L226)),LEN(INDEX($B$3:$B$168,K226))+1))</x:f>
      </x:c>
    </x:row>
    <x:row r="227" ht="15" customHeight="1">
      <x:c r="A227" s="81"/>
      <x:c r="B227"/>
      <x:c r="C227"/>
      <x:c r="D227" t="str">
        <x:f>IFERROR(IF(225&lt;=$O$1,INDEX($A$3:$A$168,MATCH(225,$I$3:$I$168,0)),IF(225&lt;=$O$1+$O$2,INDEX($F$3:$F$1994,MATCH(225-$O$1,$G$3:$G$1994,0)),"")),"")</x:f>
      </x:c>
      <x:c r="E227" t="str">
        <x:f>IF(K227="","",IF(N227&lt;=M227,"",TRIM(CLEAN(MID(INDEX($B$3:$B$168,K227),M227,N227-M227)))))</x:f>
      </x:c>
      <x:c r="F227" t="str">
        <x:f>IF(E227="","",IF(E227=TRIM(INDEX($A$3:$A$168,K227)),"",IF(RIGHT(TRIM(INDEX($A$3:$A$168,K227)),1)="]",LEFT(TRIM(INDEX($A$3:$A$168,K227)),LEN(TRIM(INDEX($A$3:$A$168,K227)))-1)&amp;", "&amp;SUBSTITUTE(SUBSTITUTE(SUBSTITUTE(E227," [",", "),"[",", "),"]","")&amp;"]",TRIM(INDEX($A$3:$A$168,K227))&amp;" ["&amp;SUBSTITUTE(SUBSTITUTE(SUBSTITUTE(E227," [",", "),"[",", "),"]","")&amp;"]")))</x:f>
      </x:c>
      <x:c r="G227" t="str">
        <x:f>IF(F227&lt;&gt;"",ROWS($F$3:F227)-COUNTBLANK($F$3:F227),"")</x:f>
      </x:c>
      <x:c r="H227"/>
      <x:c r="I227"/>
      <x:c r="J227"/>
      <x:c r="K227" t="str">
        <x:f>IF(ROW()-ROW($K$2)&lt;=SUM($J$3:$J$168),COUNTIF($H$3:$H$168,"&lt;"&amp;(ROW()-ROW($K$2))),"")</x:f>
      </x:c>
      <x:c r="L227" t="str">
        <x:f>IF(K227="","",ROW()-ROW($L$2)-INDEX($H$3:$H$168,K227))</x:f>
      </x:c>
      <x:c r="M227" t="str">
        <x:f>IF(K227="","",IF(L227=1,1,FIND(CHAR(1),SUBSTITUTE(INDEX($B$3:$B$168,K227),CHAR(10),CHAR(1),L227-1))+1))</x:f>
      </x:c>
      <x:c r="N227" t="str">
        <x:f>IF(K227="","",IFERROR(FIND(CHAR(1),SUBSTITUTE(INDEX($B$3:$B$168,K227),CHAR(10),CHAR(1),L227)),LEN(INDEX($B$3:$B$168,K227))+1))</x:f>
      </x:c>
    </x:row>
    <x:row r="228" ht="15" customHeight="1">
      <x:c r="A228" s="81"/>
      <x:c r="B228"/>
      <x:c r="C228"/>
      <x:c r="D228" t="str">
        <x:f>IFERROR(IF(226&lt;=$O$1,INDEX($A$3:$A$168,MATCH(226,$I$3:$I$168,0)),IF(226&lt;=$O$1+$O$2,INDEX($F$3:$F$1994,MATCH(226-$O$1,$G$3:$G$1994,0)),"")),"")</x:f>
      </x:c>
      <x:c r="E228" t="str">
        <x:f>IF(K228="","",IF(N228&lt;=M228,"",TRIM(CLEAN(MID(INDEX($B$3:$B$168,K228),M228,N228-M228)))))</x:f>
      </x:c>
      <x:c r="F228" t="str">
        <x:f>IF(E228="","",IF(E228=TRIM(INDEX($A$3:$A$168,K228)),"",IF(RIGHT(TRIM(INDEX($A$3:$A$168,K228)),1)="]",LEFT(TRIM(INDEX($A$3:$A$168,K228)),LEN(TRIM(INDEX($A$3:$A$168,K228)))-1)&amp;", "&amp;SUBSTITUTE(SUBSTITUTE(SUBSTITUTE(E228," [",", "),"[",", "),"]","")&amp;"]",TRIM(INDEX($A$3:$A$168,K228))&amp;" ["&amp;SUBSTITUTE(SUBSTITUTE(SUBSTITUTE(E228," [",", "),"[",", "),"]","")&amp;"]")))</x:f>
      </x:c>
      <x:c r="G228" t="str">
        <x:f>IF(F228&lt;&gt;"",ROWS($F$3:F228)-COUNTBLANK($F$3:F228),"")</x:f>
      </x:c>
      <x:c r="H228"/>
      <x:c r="I228"/>
      <x:c r="J228"/>
      <x:c r="K228" t="str">
        <x:f>IF(ROW()-ROW($K$2)&lt;=SUM($J$3:$J$168),COUNTIF($H$3:$H$168,"&lt;"&amp;(ROW()-ROW($K$2))),"")</x:f>
      </x:c>
      <x:c r="L228" t="str">
        <x:f>IF(K228="","",ROW()-ROW($L$2)-INDEX($H$3:$H$168,K228))</x:f>
      </x:c>
      <x:c r="M228" t="str">
        <x:f>IF(K228="","",IF(L228=1,1,FIND(CHAR(1),SUBSTITUTE(INDEX($B$3:$B$168,K228),CHAR(10),CHAR(1),L228-1))+1))</x:f>
      </x:c>
      <x:c r="N228" t="str">
        <x:f>IF(K228="","",IFERROR(FIND(CHAR(1),SUBSTITUTE(INDEX($B$3:$B$168,K228),CHAR(10),CHAR(1),L228)),LEN(INDEX($B$3:$B$168,K228))+1))</x:f>
      </x:c>
    </x:row>
    <x:row r="229" ht="15" customHeight="1">
      <x:c r="A229" s="81"/>
      <x:c r="B229"/>
      <x:c r="C229"/>
      <x:c r="D229" t="str">
        <x:f>IFERROR(IF(227&lt;=$O$1,INDEX($A$3:$A$168,MATCH(227,$I$3:$I$168,0)),IF(227&lt;=$O$1+$O$2,INDEX($F$3:$F$1994,MATCH(227-$O$1,$G$3:$G$1994,0)),"")),"")</x:f>
      </x:c>
      <x:c r="E229" t="str">
        <x:f>IF(K229="","",IF(N229&lt;=M229,"",TRIM(CLEAN(MID(INDEX($B$3:$B$168,K229),M229,N229-M229)))))</x:f>
      </x:c>
      <x:c r="F229" t="str">
        <x:f>IF(E229="","",IF(E229=TRIM(INDEX($A$3:$A$168,K229)),"",IF(RIGHT(TRIM(INDEX($A$3:$A$168,K229)),1)="]",LEFT(TRIM(INDEX($A$3:$A$168,K229)),LEN(TRIM(INDEX($A$3:$A$168,K229)))-1)&amp;", "&amp;SUBSTITUTE(SUBSTITUTE(SUBSTITUTE(E229," [",", "),"[",", "),"]","")&amp;"]",TRIM(INDEX($A$3:$A$168,K229))&amp;" ["&amp;SUBSTITUTE(SUBSTITUTE(SUBSTITUTE(E229," [",", "),"[",", "),"]","")&amp;"]")))</x:f>
      </x:c>
      <x:c r="G229" t="str">
        <x:f>IF(F229&lt;&gt;"",ROWS($F$3:F229)-COUNTBLANK($F$3:F229),"")</x:f>
      </x:c>
      <x:c r="H229"/>
      <x:c r="I229"/>
      <x:c r="J229"/>
      <x:c r="K229" t="str">
        <x:f>IF(ROW()-ROW($K$2)&lt;=SUM($J$3:$J$168),COUNTIF($H$3:$H$168,"&lt;"&amp;(ROW()-ROW($K$2))),"")</x:f>
      </x:c>
      <x:c r="L229" t="str">
        <x:f>IF(K229="","",ROW()-ROW($L$2)-INDEX($H$3:$H$168,K229))</x:f>
      </x:c>
      <x:c r="M229" t="str">
        <x:f>IF(K229="","",IF(L229=1,1,FIND(CHAR(1),SUBSTITUTE(INDEX($B$3:$B$168,K229),CHAR(10),CHAR(1),L229-1))+1))</x:f>
      </x:c>
      <x:c r="N229" t="str">
        <x:f>IF(K229="","",IFERROR(FIND(CHAR(1),SUBSTITUTE(INDEX($B$3:$B$168,K229),CHAR(10),CHAR(1),L229)),LEN(INDEX($B$3:$B$168,K229))+1))</x:f>
      </x:c>
    </x:row>
    <x:row r="230" ht="15" customHeight="1">
      <x:c r="A230" s="81"/>
      <x:c r="B230"/>
      <x:c r="C230"/>
      <x:c r="D230" t="str">
        <x:f>IFERROR(IF(228&lt;=$O$1,INDEX($A$3:$A$168,MATCH(228,$I$3:$I$168,0)),IF(228&lt;=$O$1+$O$2,INDEX($F$3:$F$1994,MATCH(228-$O$1,$G$3:$G$1994,0)),"")),"")</x:f>
      </x:c>
      <x:c r="E230" t="str">
        <x:f>IF(K230="","",IF(N230&lt;=M230,"",TRIM(CLEAN(MID(INDEX($B$3:$B$168,K230),M230,N230-M230)))))</x:f>
      </x:c>
      <x:c r="F230" t="str">
        <x:f>IF(E230="","",IF(E230=TRIM(INDEX($A$3:$A$168,K230)),"",IF(RIGHT(TRIM(INDEX($A$3:$A$168,K230)),1)="]",LEFT(TRIM(INDEX($A$3:$A$168,K230)),LEN(TRIM(INDEX($A$3:$A$168,K230)))-1)&amp;", "&amp;SUBSTITUTE(SUBSTITUTE(SUBSTITUTE(E230," [",", "),"[",", "),"]","")&amp;"]",TRIM(INDEX($A$3:$A$168,K230))&amp;" ["&amp;SUBSTITUTE(SUBSTITUTE(SUBSTITUTE(E230," [",", "),"[",", "),"]","")&amp;"]")))</x:f>
      </x:c>
      <x:c r="G230" t="str">
        <x:f>IF(F230&lt;&gt;"",ROWS($F$3:F230)-COUNTBLANK($F$3:F230),"")</x:f>
      </x:c>
      <x:c r="H230"/>
      <x:c r="I230"/>
      <x:c r="J230"/>
      <x:c r="K230" t="str">
        <x:f>IF(ROW()-ROW($K$2)&lt;=SUM($J$3:$J$168),COUNTIF($H$3:$H$168,"&lt;"&amp;(ROW()-ROW($K$2))),"")</x:f>
      </x:c>
      <x:c r="L230" t="str">
        <x:f>IF(K230="","",ROW()-ROW($L$2)-INDEX($H$3:$H$168,K230))</x:f>
      </x:c>
      <x:c r="M230" t="str">
        <x:f>IF(K230="","",IF(L230=1,1,FIND(CHAR(1),SUBSTITUTE(INDEX($B$3:$B$168,K230),CHAR(10),CHAR(1),L230-1))+1))</x:f>
      </x:c>
      <x:c r="N230" t="str">
        <x:f>IF(K230="","",IFERROR(FIND(CHAR(1),SUBSTITUTE(INDEX($B$3:$B$168,K230),CHAR(10),CHAR(1),L230)),LEN(INDEX($B$3:$B$168,K230))+1))</x:f>
      </x:c>
    </x:row>
    <x:row r="231" ht="15" customHeight="1">
      <x:c r="A231" s="81"/>
      <x:c r="B231"/>
      <x:c r="C231"/>
      <x:c r="D231" t="str">
        <x:f>IFERROR(IF(229&lt;=$O$1,INDEX($A$3:$A$168,MATCH(229,$I$3:$I$168,0)),IF(229&lt;=$O$1+$O$2,INDEX($F$3:$F$1994,MATCH(229-$O$1,$G$3:$G$1994,0)),"")),"")</x:f>
      </x:c>
      <x:c r="E231" t="str">
        <x:f>IF(K231="","",IF(N231&lt;=M231,"",TRIM(CLEAN(MID(INDEX($B$3:$B$168,K231),M231,N231-M231)))))</x:f>
      </x:c>
      <x:c r="F231" t="str">
        <x:f>IF(E231="","",IF(E231=TRIM(INDEX($A$3:$A$168,K231)),"",IF(RIGHT(TRIM(INDEX($A$3:$A$168,K231)),1)="]",LEFT(TRIM(INDEX($A$3:$A$168,K231)),LEN(TRIM(INDEX($A$3:$A$168,K231)))-1)&amp;", "&amp;SUBSTITUTE(SUBSTITUTE(SUBSTITUTE(E231," [",", "),"[",", "),"]","")&amp;"]",TRIM(INDEX($A$3:$A$168,K231))&amp;" ["&amp;SUBSTITUTE(SUBSTITUTE(SUBSTITUTE(E231," [",", "),"[",", "),"]","")&amp;"]")))</x:f>
      </x:c>
      <x:c r="G231" t="str">
        <x:f>IF(F231&lt;&gt;"",ROWS($F$3:F231)-COUNTBLANK($F$3:F231),"")</x:f>
      </x:c>
      <x:c r="H231"/>
      <x:c r="I231"/>
      <x:c r="J231"/>
      <x:c r="K231" t="str">
        <x:f>IF(ROW()-ROW($K$2)&lt;=SUM($J$3:$J$168),COUNTIF($H$3:$H$168,"&lt;"&amp;(ROW()-ROW($K$2))),"")</x:f>
      </x:c>
      <x:c r="L231" t="str">
        <x:f>IF(K231="","",ROW()-ROW($L$2)-INDEX($H$3:$H$168,K231))</x:f>
      </x:c>
      <x:c r="M231" t="str">
        <x:f>IF(K231="","",IF(L231=1,1,FIND(CHAR(1),SUBSTITUTE(INDEX($B$3:$B$168,K231),CHAR(10),CHAR(1),L231-1))+1))</x:f>
      </x:c>
      <x:c r="N231" t="str">
        <x:f>IF(K231="","",IFERROR(FIND(CHAR(1),SUBSTITUTE(INDEX($B$3:$B$168,K231),CHAR(10),CHAR(1),L231)),LEN(INDEX($B$3:$B$168,K231))+1))</x:f>
      </x:c>
    </x:row>
    <x:row r="232" ht="15" customHeight="1">
      <x:c r="A232" s="81"/>
      <x:c r="B232"/>
      <x:c r="C232"/>
      <x:c r="D232" t="str">
        <x:f>IFERROR(IF(230&lt;=$O$1,INDEX($A$3:$A$168,MATCH(230,$I$3:$I$168,0)),IF(230&lt;=$O$1+$O$2,INDEX($F$3:$F$1994,MATCH(230-$O$1,$G$3:$G$1994,0)),"")),"")</x:f>
      </x:c>
      <x:c r="E232" t="str">
        <x:f>IF(K232="","",IF(N232&lt;=M232,"",TRIM(CLEAN(MID(INDEX($B$3:$B$168,K232),M232,N232-M232)))))</x:f>
      </x:c>
      <x:c r="F232" t="str">
        <x:f>IF(E232="","",IF(E232=TRIM(INDEX($A$3:$A$168,K232)),"",IF(RIGHT(TRIM(INDEX($A$3:$A$168,K232)),1)="]",LEFT(TRIM(INDEX($A$3:$A$168,K232)),LEN(TRIM(INDEX($A$3:$A$168,K232)))-1)&amp;", "&amp;SUBSTITUTE(SUBSTITUTE(SUBSTITUTE(E232," [",", "),"[",", "),"]","")&amp;"]",TRIM(INDEX($A$3:$A$168,K232))&amp;" ["&amp;SUBSTITUTE(SUBSTITUTE(SUBSTITUTE(E232," [",", "),"[",", "),"]","")&amp;"]")))</x:f>
      </x:c>
      <x:c r="G232" t="str">
        <x:f>IF(F232&lt;&gt;"",ROWS($F$3:F232)-COUNTBLANK($F$3:F232),"")</x:f>
      </x:c>
      <x:c r="H232"/>
      <x:c r="I232"/>
      <x:c r="J232"/>
      <x:c r="K232" t="str">
        <x:f>IF(ROW()-ROW($K$2)&lt;=SUM($J$3:$J$168),COUNTIF($H$3:$H$168,"&lt;"&amp;(ROW()-ROW($K$2))),"")</x:f>
      </x:c>
      <x:c r="L232" t="str">
        <x:f>IF(K232="","",ROW()-ROW($L$2)-INDEX($H$3:$H$168,K232))</x:f>
      </x:c>
      <x:c r="M232" t="str">
        <x:f>IF(K232="","",IF(L232=1,1,FIND(CHAR(1),SUBSTITUTE(INDEX($B$3:$B$168,K232),CHAR(10),CHAR(1),L232-1))+1))</x:f>
      </x:c>
      <x:c r="N232" t="str">
        <x:f>IF(K232="","",IFERROR(FIND(CHAR(1),SUBSTITUTE(INDEX($B$3:$B$168,K232),CHAR(10),CHAR(1),L232)),LEN(INDEX($B$3:$B$168,K232))+1))</x:f>
      </x:c>
    </x:row>
    <x:row r="233" ht="15" customHeight="1">
      <x:c r="A233" s="81"/>
      <x:c r="B233"/>
      <x:c r="C233"/>
      <x:c r="D233" t="str">
        <x:f>IFERROR(IF(231&lt;=$O$1,INDEX($A$3:$A$168,MATCH(231,$I$3:$I$168,0)),IF(231&lt;=$O$1+$O$2,INDEX($F$3:$F$1994,MATCH(231-$O$1,$G$3:$G$1994,0)),"")),"")</x:f>
      </x:c>
      <x:c r="E233" t="str">
        <x:f>IF(K233="","",IF(N233&lt;=M233,"",TRIM(CLEAN(MID(INDEX($B$3:$B$168,K233),M233,N233-M233)))))</x:f>
      </x:c>
      <x:c r="F233" t="str">
        <x:f>IF(E233="","",IF(E233=TRIM(INDEX($A$3:$A$168,K233)),"",IF(RIGHT(TRIM(INDEX($A$3:$A$168,K233)),1)="]",LEFT(TRIM(INDEX($A$3:$A$168,K233)),LEN(TRIM(INDEX($A$3:$A$168,K233)))-1)&amp;", "&amp;SUBSTITUTE(SUBSTITUTE(SUBSTITUTE(E233," [",", "),"[",", "),"]","")&amp;"]",TRIM(INDEX($A$3:$A$168,K233))&amp;" ["&amp;SUBSTITUTE(SUBSTITUTE(SUBSTITUTE(E233," [",", "),"[",", "),"]","")&amp;"]")))</x:f>
      </x:c>
      <x:c r="G233" t="str">
        <x:f>IF(F233&lt;&gt;"",ROWS($F$3:F233)-COUNTBLANK($F$3:F233),"")</x:f>
      </x:c>
      <x:c r="H233"/>
      <x:c r="I233"/>
      <x:c r="J233"/>
      <x:c r="K233" t="str">
        <x:f>IF(ROW()-ROW($K$2)&lt;=SUM($J$3:$J$168),COUNTIF($H$3:$H$168,"&lt;"&amp;(ROW()-ROW($K$2))),"")</x:f>
      </x:c>
      <x:c r="L233" t="str">
        <x:f>IF(K233="","",ROW()-ROW($L$2)-INDEX($H$3:$H$168,K233))</x:f>
      </x:c>
      <x:c r="M233" t="str">
        <x:f>IF(K233="","",IF(L233=1,1,FIND(CHAR(1),SUBSTITUTE(INDEX($B$3:$B$168,K233),CHAR(10),CHAR(1),L233-1))+1))</x:f>
      </x:c>
      <x:c r="N233" t="str">
        <x:f>IF(K233="","",IFERROR(FIND(CHAR(1),SUBSTITUTE(INDEX($B$3:$B$168,K233),CHAR(10),CHAR(1),L233)),LEN(INDEX($B$3:$B$168,K233))+1))</x:f>
      </x:c>
    </x:row>
    <x:row r="234" ht="15" customHeight="1">
      <x:c r="A234" s="81"/>
      <x:c r="B234"/>
      <x:c r="C234"/>
      <x:c r="D234" t="str">
        <x:f>IFERROR(IF(232&lt;=$O$1,INDEX($A$3:$A$168,MATCH(232,$I$3:$I$168,0)),IF(232&lt;=$O$1+$O$2,INDEX($F$3:$F$1994,MATCH(232-$O$1,$G$3:$G$1994,0)),"")),"")</x:f>
      </x:c>
      <x:c r="E234" t="str">
        <x:f>IF(K234="","",IF(N234&lt;=M234,"",TRIM(CLEAN(MID(INDEX($B$3:$B$168,K234),M234,N234-M234)))))</x:f>
      </x:c>
      <x:c r="F234" t="str">
        <x:f>IF(E234="","",IF(E234=TRIM(INDEX($A$3:$A$168,K234)),"",IF(RIGHT(TRIM(INDEX($A$3:$A$168,K234)),1)="]",LEFT(TRIM(INDEX($A$3:$A$168,K234)),LEN(TRIM(INDEX($A$3:$A$168,K234)))-1)&amp;", "&amp;SUBSTITUTE(SUBSTITUTE(SUBSTITUTE(E234," [",", "),"[",", "),"]","")&amp;"]",TRIM(INDEX($A$3:$A$168,K234))&amp;" ["&amp;SUBSTITUTE(SUBSTITUTE(SUBSTITUTE(E234," [",", "),"[",", "),"]","")&amp;"]")))</x:f>
      </x:c>
      <x:c r="G234" t="str">
        <x:f>IF(F234&lt;&gt;"",ROWS($F$3:F234)-COUNTBLANK($F$3:F234),"")</x:f>
      </x:c>
      <x:c r="H234"/>
      <x:c r="I234"/>
      <x:c r="J234"/>
      <x:c r="K234" t="str">
        <x:f>IF(ROW()-ROW($K$2)&lt;=SUM($J$3:$J$168),COUNTIF($H$3:$H$168,"&lt;"&amp;(ROW()-ROW($K$2))),"")</x:f>
      </x:c>
      <x:c r="L234" t="str">
        <x:f>IF(K234="","",ROW()-ROW($L$2)-INDEX($H$3:$H$168,K234))</x:f>
      </x:c>
      <x:c r="M234" t="str">
        <x:f>IF(K234="","",IF(L234=1,1,FIND(CHAR(1),SUBSTITUTE(INDEX($B$3:$B$168,K234),CHAR(10),CHAR(1),L234-1))+1))</x:f>
      </x:c>
      <x:c r="N234" t="str">
        <x:f>IF(K234="","",IFERROR(FIND(CHAR(1),SUBSTITUTE(INDEX($B$3:$B$168,K234),CHAR(10),CHAR(1),L234)),LEN(INDEX($B$3:$B$168,K234))+1))</x:f>
      </x:c>
    </x:row>
    <x:row r="235" ht="15" customHeight="1">
      <x:c r="A235" s="81"/>
      <x:c r="B235"/>
      <x:c r="C235"/>
      <x:c r="D235" t="str">
        <x:f>IFERROR(IF(233&lt;=$O$1,INDEX($A$3:$A$168,MATCH(233,$I$3:$I$168,0)),IF(233&lt;=$O$1+$O$2,INDEX($F$3:$F$1994,MATCH(233-$O$1,$G$3:$G$1994,0)),"")),"")</x:f>
      </x:c>
      <x:c r="E235" t="str">
        <x:f>IF(K235="","",IF(N235&lt;=M235,"",TRIM(CLEAN(MID(INDEX($B$3:$B$168,K235),M235,N235-M235)))))</x:f>
      </x:c>
      <x:c r="F235" t="str">
        <x:f>IF(E235="","",IF(E235=TRIM(INDEX($A$3:$A$168,K235)),"",IF(RIGHT(TRIM(INDEX($A$3:$A$168,K235)),1)="]",LEFT(TRIM(INDEX($A$3:$A$168,K235)),LEN(TRIM(INDEX($A$3:$A$168,K235)))-1)&amp;", "&amp;SUBSTITUTE(SUBSTITUTE(SUBSTITUTE(E235," [",", "),"[",", "),"]","")&amp;"]",TRIM(INDEX($A$3:$A$168,K235))&amp;" ["&amp;SUBSTITUTE(SUBSTITUTE(SUBSTITUTE(E235," [",", "),"[",", "),"]","")&amp;"]")))</x:f>
      </x:c>
      <x:c r="G235" t="str">
        <x:f>IF(F235&lt;&gt;"",ROWS($F$3:F235)-COUNTBLANK($F$3:F235),"")</x:f>
      </x:c>
      <x:c r="H235"/>
      <x:c r="I235"/>
      <x:c r="J235"/>
      <x:c r="K235" t="str">
        <x:f>IF(ROW()-ROW($K$2)&lt;=SUM($J$3:$J$168),COUNTIF($H$3:$H$168,"&lt;"&amp;(ROW()-ROW($K$2))),"")</x:f>
      </x:c>
      <x:c r="L235" t="str">
        <x:f>IF(K235="","",ROW()-ROW($L$2)-INDEX($H$3:$H$168,K235))</x:f>
      </x:c>
      <x:c r="M235" t="str">
        <x:f>IF(K235="","",IF(L235=1,1,FIND(CHAR(1),SUBSTITUTE(INDEX($B$3:$B$168,K235),CHAR(10),CHAR(1),L235-1))+1))</x:f>
      </x:c>
      <x:c r="N235" t="str">
        <x:f>IF(K235="","",IFERROR(FIND(CHAR(1),SUBSTITUTE(INDEX($B$3:$B$168,K235),CHAR(10),CHAR(1),L235)),LEN(INDEX($B$3:$B$168,K235))+1))</x:f>
      </x:c>
    </x:row>
    <x:row r="236" ht="15" customHeight="1">
      <x:c r="A236" s="81"/>
      <x:c r="B236"/>
      <x:c r="C236"/>
      <x:c r="D236" t="str">
        <x:f>IFERROR(IF(234&lt;=$O$1,INDEX($A$3:$A$168,MATCH(234,$I$3:$I$168,0)),IF(234&lt;=$O$1+$O$2,INDEX($F$3:$F$1994,MATCH(234-$O$1,$G$3:$G$1994,0)),"")),"")</x:f>
      </x:c>
      <x:c r="E236" t="str">
        <x:f>IF(K236="","",IF(N236&lt;=M236,"",TRIM(CLEAN(MID(INDEX($B$3:$B$168,K236),M236,N236-M236)))))</x:f>
      </x:c>
      <x:c r="F236" t="str">
        <x:f>IF(E236="","",IF(E236=TRIM(INDEX($A$3:$A$168,K236)),"",IF(RIGHT(TRIM(INDEX($A$3:$A$168,K236)),1)="]",LEFT(TRIM(INDEX($A$3:$A$168,K236)),LEN(TRIM(INDEX($A$3:$A$168,K236)))-1)&amp;", "&amp;SUBSTITUTE(SUBSTITUTE(SUBSTITUTE(E236," [",", "),"[",", "),"]","")&amp;"]",TRIM(INDEX($A$3:$A$168,K236))&amp;" ["&amp;SUBSTITUTE(SUBSTITUTE(SUBSTITUTE(E236," [",", "),"[",", "),"]","")&amp;"]")))</x:f>
      </x:c>
      <x:c r="G236" t="str">
        <x:f>IF(F236&lt;&gt;"",ROWS($F$3:F236)-COUNTBLANK($F$3:F236),"")</x:f>
      </x:c>
      <x:c r="H236"/>
      <x:c r="I236"/>
      <x:c r="J236"/>
      <x:c r="K236" t="str">
        <x:f>IF(ROW()-ROW($K$2)&lt;=SUM($J$3:$J$168),COUNTIF($H$3:$H$168,"&lt;"&amp;(ROW()-ROW($K$2))),"")</x:f>
      </x:c>
      <x:c r="L236" t="str">
        <x:f>IF(K236="","",ROW()-ROW($L$2)-INDEX($H$3:$H$168,K236))</x:f>
      </x:c>
      <x:c r="M236" t="str">
        <x:f>IF(K236="","",IF(L236=1,1,FIND(CHAR(1),SUBSTITUTE(INDEX($B$3:$B$168,K236),CHAR(10),CHAR(1),L236-1))+1))</x:f>
      </x:c>
      <x:c r="N236" t="str">
        <x:f>IF(K236="","",IFERROR(FIND(CHAR(1),SUBSTITUTE(INDEX($B$3:$B$168,K236),CHAR(10),CHAR(1),L236)),LEN(INDEX($B$3:$B$168,K236))+1))</x:f>
      </x:c>
    </x:row>
    <x:row r="237" ht="15" customHeight="1">
      <x:c r="A237" s="81"/>
      <x:c r="B237"/>
      <x:c r="C237"/>
      <x:c r="D237" t="str">
        <x:f>IFERROR(IF(235&lt;=$O$1,INDEX($A$3:$A$168,MATCH(235,$I$3:$I$168,0)),IF(235&lt;=$O$1+$O$2,INDEX($F$3:$F$1994,MATCH(235-$O$1,$G$3:$G$1994,0)),"")),"")</x:f>
      </x:c>
      <x:c r="E237" t="str">
        <x:f>IF(K237="","",IF(N237&lt;=M237,"",TRIM(CLEAN(MID(INDEX($B$3:$B$168,K237),M237,N237-M237)))))</x:f>
      </x:c>
      <x:c r="F237" t="str">
        <x:f>IF(E237="","",IF(E237=TRIM(INDEX($A$3:$A$168,K237)),"",IF(RIGHT(TRIM(INDEX($A$3:$A$168,K237)),1)="]",LEFT(TRIM(INDEX($A$3:$A$168,K237)),LEN(TRIM(INDEX($A$3:$A$168,K237)))-1)&amp;", "&amp;SUBSTITUTE(SUBSTITUTE(SUBSTITUTE(E237," [",", "),"[",", "),"]","")&amp;"]",TRIM(INDEX($A$3:$A$168,K237))&amp;" ["&amp;SUBSTITUTE(SUBSTITUTE(SUBSTITUTE(E237," [",", "),"[",", "),"]","")&amp;"]")))</x:f>
      </x:c>
      <x:c r="G237" t="str">
        <x:f>IF(F237&lt;&gt;"",ROWS($F$3:F237)-COUNTBLANK($F$3:F237),"")</x:f>
      </x:c>
      <x:c r="H237"/>
      <x:c r="I237"/>
      <x:c r="J237"/>
      <x:c r="K237" t="str">
        <x:f>IF(ROW()-ROW($K$2)&lt;=SUM($J$3:$J$168),COUNTIF($H$3:$H$168,"&lt;"&amp;(ROW()-ROW($K$2))),"")</x:f>
      </x:c>
      <x:c r="L237" t="str">
        <x:f>IF(K237="","",ROW()-ROW($L$2)-INDEX($H$3:$H$168,K237))</x:f>
      </x:c>
      <x:c r="M237" t="str">
        <x:f>IF(K237="","",IF(L237=1,1,FIND(CHAR(1),SUBSTITUTE(INDEX($B$3:$B$168,K237),CHAR(10),CHAR(1),L237-1))+1))</x:f>
      </x:c>
      <x:c r="N237" t="str">
        <x:f>IF(K237="","",IFERROR(FIND(CHAR(1),SUBSTITUTE(INDEX($B$3:$B$168,K237),CHAR(10),CHAR(1),L237)),LEN(INDEX($B$3:$B$168,K237))+1))</x:f>
      </x:c>
    </x:row>
    <x:row r="238" ht="15" customHeight="1">
      <x:c r="A238" s="81"/>
      <x:c r="B238"/>
      <x:c r="C238"/>
      <x:c r="D238" t="str">
        <x:f>IFERROR(IF(236&lt;=$O$1,INDEX($A$3:$A$168,MATCH(236,$I$3:$I$168,0)),IF(236&lt;=$O$1+$O$2,INDEX($F$3:$F$1994,MATCH(236-$O$1,$G$3:$G$1994,0)),"")),"")</x:f>
      </x:c>
      <x:c r="E238" t="str">
        <x:f>IF(K238="","",IF(N238&lt;=M238,"",TRIM(CLEAN(MID(INDEX($B$3:$B$168,K238),M238,N238-M238)))))</x:f>
      </x:c>
      <x:c r="F238" t="str">
        <x:f>IF(E238="","",IF(E238=TRIM(INDEX($A$3:$A$168,K238)),"",IF(RIGHT(TRIM(INDEX($A$3:$A$168,K238)),1)="]",LEFT(TRIM(INDEX($A$3:$A$168,K238)),LEN(TRIM(INDEX($A$3:$A$168,K238)))-1)&amp;", "&amp;SUBSTITUTE(SUBSTITUTE(SUBSTITUTE(E238," [",", "),"[",", "),"]","")&amp;"]",TRIM(INDEX($A$3:$A$168,K238))&amp;" ["&amp;SUBSTITUTE(SUBSTITUTE(SUBSTITUTE(E238," [",", "),"[",", "),"]","")&amp;"]")))</x:f>
      </x:c>
      <x:c r="G238" t="str">
        <x:f>IF(F238&lt;&gt;"",ROWS($F$3:F238)-COUNTBLANK($F$3:F238),"")</x:f>
      </x:c>
      <x:c r="H238"/>
      <x:c r="I238"/>
      <x:c r="J238"/>
      <x:c r="K238" t="str">
        <x:f>IF(ROW()-ROW($K$2)&lt;=SUM($J$3:$J$168),COUNTIF($H$3:$H$168,"&lt;"&amp;(ROW()-ROW($K$2))),"")</x:f>
      </x:c>
      <x:c r="L238" t="str">
        <x:f>IF(K238="","",ROW()-ROW($L$2)-INDEX($H$3:$H$168,K238))</x:f>
      </x:c>
      <x:c r="M238" t="str">
        <x:f>IF(K238="","",IF(L238=1,1,FIND(CHAR(1),SUBSTITUTE(INDEX($B$3:$B$168,K238),CHAR(10),CHAR(1),L238-1))+1))</x:f>
      </x:c>
      <x:c r="N238" t="str">
        <x:f>IF(K238="","",IFERROR(FIND(CHAR(1),SUBSTITUTE(INDEX($B$3:$B$168,K238),CHAR(10),CHAR(1),L238)),LEN(INDEX($B$3:$B$168,K238))+1))</x:f>
      </x:c>
    </x:row>
    <x:row r="239" ht="15" customHeight="1">
      <x:c r="A239" s="81"/>
      <x:c r="B239"/>
      <x:c r="C239"/>
      <x:c r="D239" t="str">
        <x:f>IFERROR(IF(237&lt;=$O$1,INDEX($A$3:$A$168,MATCH(237,$I$3:$I$168,0)),IF(237&lt;=$O$1+$O$2,INDEX($F$3:$F$1994,MATCH(237-$O$1,$G$3:$G$1994,0)),"")),"")</x:f>
      </x:c>
      <x:c r="E239" t="str">
        <x:f>IF(K239="","",IF(N239&lt;=M239,"",TRIM(CLEAN(MID(INDEX($B$3:$B$168,K239),M239,N239-M239)))))</x:f>
      </x:c>
      <x:c r="F239" t="str">
        <x:f>IF(E239="","",IF(E239=TRIM(INDEX($A$3:$A$168,K239)),"",IF(RIGHT(TRIM(INDEX($A$3:$A$168,K239)),1)="]",LEFT(TRIM(INDEX($A$3:$A$168,K239)),LEN(TRIM(INDEX($A$3:$A$168,K239)))-1)&amp;", "&amp;SUBSTITUTE(SUBSTITUTE(SUBSTITUTE(E239," [",", "),"[",", "),"]","")&amp;"]",TRIM(INDEX($A$3:$A$168,K239))&amp;" ["&amp;SUBSTITUTE(SUBSTITUTE(SUBSTITUTE(E239," [",", "),"[",", "),"]","")&amp;"]")))</x:f>
      </x:c>
      <x:c r="G239" t="str">
        <x:f>IF(F239&lt;&gt;"",ROWS($F$3:F239)-COUNTBLANK($F$3:F239),"")</x:f>
      </x:c>
      <x:c r="H239"/>
      <x:c r="I239"/>
      <x:c r="J239"/>
      <x:c r="K239" t="str">
        <x:f>IF(ROW()-ROW($K$2)&lt;=SUM($J$3:$J$168),COUNTIF($H$3:$H$168,"&lt;"&amp;(ROW()-ROW($K$2))),"")</x:f>
      </x:c>
      <x:c r="L239" t="str">
        <x:f>IF(K239="","",ROW()-ROW($L$2)-INDEX($H$3:$H$168,K239))</x:f>
      </x:c>
      <x:c r="M239" t="str">
        <x:f>IF(K239="","",IF(L239=1,1,FIND(CHAR(1),SUBSTITUTE(INDEX($B$3:$B$168,K239),CHAR(10),CHAR(1),L239-1))+1))</x:f>
      </x:c>
      <x:c r="N239" t="str">
        <x:f>IF(K239="","",IFERROR(FIND(CHAR(1),SUBSTITUTE(INDEX($B$3:$B$168,K239),CHAR(10),CHAR(1),L239)),LEN(INDEX($B$3:$B$168,K239))+1))</x:f>
      </x:c>
    </x:row>
    <x:row r="240" ht="15" customHeight="1">
      <x:c r="A240" s="81"/>
      <x:c r="B240"/>
      <x:c r="C240"/>
      <x:c r="D240" t="str">
        <x:f>IFERROR(IF(238&lt;=$O$1,INDEX($A$3:$A$168,MATCH(238,$I$3:$I$168,0)),IF(238&lt;=$O$1+$O$2,INDEX($F$3:$F$1994,MATCH(238-$O$1,$G$3:$G$1994,0)),"")),"")</x:f>
      </x:c>
      <x:c r="E240" t="str">
        <x:f>IF(K240="","",IF(N240&lt;=M240,"",TRIM(CLEAN(MID(INDEX($B$3:$B$168,K240),M240,N240-M240)))))</x:f>
      </x:c>
      <x:c r="F240" t="str">
        <x:f>IF(E240="","",IF(E240=TRIM(INDEX($A$3:$A$168,K240)),"",IF(RIGHT(TRIM(INDEX($A$3:$A$168,K240)),1)="]",LEFT(TRIM(INDEX($A$3:$A$168,K240)),LEN(TRIM(INDEX($A$3:$A$168,K240)))-1)&amp;", "&amp;SUBSTITUTE(SUBSTITUTE(SUBSTITUTE(E240," [",", "),"[",", "),"]","")&amp;"]",TRIM(INDEX($A$3:$A$168,K240))&amp;" ["&amp;SUBSTITUTE(SUBSTITUTE(SUBSTITUTE(E240," [",", "),"[",", "),"]","")&amp;"]")))</x:f>
      </x:c>
      <x:c r="G240" t="str">
        <x:f>IF(F240&lt;&gt;"",ROWS($F$3:F240)-COUNTBLANK($F$3:F240),"")</x:f>
      </x:c>
      <x:c r="H240"/>
      <x:c r="I240"/>
      <x:c r="J240"/>
      <x:c r="K240" t="str">
        <x:f>IF(ROW()-ROW($K$2)&lt;=SUM($J$3:$J$168),COUNTIF($H$3:$H$168,"&lt;"&amp;(ROW()-ROW($K$2))),"")</x:f>
      </x:c>
      <x:c r="L240" t="str">
        <x:f>IF(K240="","",ROW()-ROW($L$2)-INDEX($H$3:$H$168,K240))</x:f>
      </x:c>
      <x:c r="M240" t="str">
        <x:f>IF(K240="","",IF(L240=1,1,FIND(CHAR(1),SUBSTITUTE(INDEX($B$3:$B$168,K240),CHAR(10),CHAR(1),L240-1))+1))</x:f>
      </x:c>
      <x:c r="N240" t="str">
        <x:f>IF(K240="","",IFERROR(FIND(CHAR(1),SUBSTITUTE(INDEX($B$3:$B$168,K240),CHAR(10),CHAR(1),L240)),LEN(INDEX($B$3:$B$168,K240))+1))</x:f>
      </x:c>
    </x:row>
    <x:row r="241" ht="15" customHeight="1">
      <x:c r="A241" s="81"/>
      <x:c r="B241"/>
      <x:c r="C241"/>
      <x:c r="D241" t="str">
        <x:f>IFERROR(IF(239&lt;=$O$1,INDEX($A$3:$A$168,MATCH(239,$I$3:$I$168,0)),IF(239&lt;=$O$1+$O$2,INDEX($F$3:$F$1994,MATCH(239-$O$1,$G$3:$G$1994,0)),"")),"")</x:f>
      </x:c>
      <x:c r="E241" t="str">
        <x:f>IF(K241="","",IF(N241&lt;=M241,"",TRIM(CLEAN(MID(INDEX($B$3:$B$168,K241),M241,N241-M241)))))</x:f>
      </x:c>
      <x:c r="F241" t="str">
        <x:f>IF(E241="","",IF(E241=TRIM(INDEX($A$3:$A$168,K241)),"",IF(RIGHT(TRIM(INDEX($A$3:$A$168,K241)),1)="]",LEFT(TRIM(INDEX($A$3:$A$168,K241)),LEN(TRIM(INDEX($A$3:$A$168,K241)))-1)&amp;", "&amp;SUBSTITUTE(SUBSTITUTE(SUBSTITUTE(E241," [",", "),"[",", "),"]","")&amp;"]",TRIM(INDEX($A$3:$A$168,K241))&amp;" ["&amp;SUBSTITUTE(SUBSTITUTE(SUBSTITUTE(E241," [",", "),"[",", "),"]","")&amp;"]")))</x:f>
      </x:c>
      <x:c r="G241" t="str">
        <x:f>IF(F241&lt;&gt;"",ROWS($F$3:F241)-COUNTBLANK($F$3:F241),"")</x:f>
      </x:c>
      <x:c r="H241"/>
      <x:c r="I241"/>
      <x:c r="J241"/>
      <x:c r="K241" t="str">
        <x:f>IF(ROW()-ROW($K$2)&lt;=SUM($J$3:$J$168),COUNTIF($H$3:$H$168,"&lt;"&amp;(ROW()-ROW($K$2))),"")</x:f>
      </x:c>
      <x:c r="L241" t="str">
        <x:f>IF(K241="","",ROW()-ROW($L$2)-INDEX($H$3:$H$168,K241))</x:f>
      </x:c>
      <x:c r="M241" t="str">
        <x:f>IF(K241="","",IF(L241=1,1,FIND(CHAR(1),SUBSTITUTE(INDEX($B$3:$B$168,K241),CHAR(10),CHAR(1),L241-1))+1))</x:f>
      </x:c>
      <x:c r="N241" t="str">
        <x:f>IF(K241="","",IFERROR(FIND(CHAR(1),SUBSTITUTE(INDEX($B$3:$B$168,K241),CHAR(10),CHAR(1),L241)),LEN(INDEX($B$3:$B$168,K241))+1))</x:f>
      </x:c>
    </x:row>
    <x:row r="242" ht="15" customHeight="1">
      <x:c r="A242" s="81"/>
      <x:c r="B242"/>
      <x:c r="C242"/>
      <x:c r="D242" t="str">
        <x:f>IFERROR(IF(240&lt;=$O$1,INDEX($A$3:$A$168,MATCH(240,$I$3:$I$168,0)),IF(240&lt;=$O$1+$O$2,INDEX($F$3:$F$1994,MATCH(240-$O$1,$G$3:$G$1994,0)),"")),"")</x:f>
      </x:c>
      <x:c r="E242" t="str">
        <x:f>IF(K242="","",IF(N242&lt;=M242,"",TRIM(CLEAN(MID(INDEX($B$3:$B$168,K242),M242,N242-M242)))))</x:f>
      </x:c>
      <x:c r="F242" t="str">
        <x:f>IF(E242="","",IF(E242=TRIM(INDEX($A$3:$A$168,K242)),"",IF(RIGHT(TRIM(INDEX($A$3:$A$168,K242)),1)="]",LEFT(TRIM(INDEX($A$3:$A$168,K242)),LEN(TRIM(INDEX($A$3:$A$168,K242)))-1)&amp;", "&amp;SUBSTITUTE(SUBSTITUTE(SUBSTITUTE(E242," [",", "),"[",", "),"]","")&amp;"]",TRIM(INDEX($A$3:$A$168,K242))&amp;" ["&amp;SUBSTITUTE(SUBSTITUTE(SUBSTITUTE(E242," [",", "),"[",", "),"]","")&amp;"]")))</x:f>
      </x:c>
      <x:c r="G242" t="str">
        <x:f>IF(F242&lt;&gt;"",ROWS($F$3:F242)-COUNTBLANK($F$3:F242),"")</x:f>
      </x:c>
      <x:c r="H242"/>
      <x:c r="I242"/>
      <x:c r="J242"/>
      <x:c r="K242" t="str">
        <x:f>IF(ROW()-ROW($K$2)&lt;=SUM($J$3:$J$168),COUNTIF($H$3:$H$168,"&lt;"&amp;(ROW()-ROW($K$2))),"")</x:f>
      </x:c>
      <x:c r="L242" t="str">
        <x:f>IF(K242="","",ROW()-ROW($L$2)-INDEX($H$3:$H$168,K242))</x:f>
      </x:c>
      <x:c r="M242" t="str">
        <x:f>IF(K242="","",IF(L242=1,1,FIND(CHAR(1),SUBSTITUTE(INDEX($B$3:$B$168,K242),CHAR(10),CHAR(1),L242-1))+1))</x:f>
      </x:c>
      <x:c r="N242" t="str">
        <x:f>IF(K242="","",IFERROR(FIND(CHAR(1),SUBSTITUTE(INDEX($B$3:$B$168,K242),CHAR(10),CHAR(1),L242)),LEN(INDEX($B$3:$B$168,K242))+1))</x:f>
      </x:c>
    </x:row>
    <x:row r="243" ht="15" customHeight="1">
      <x:c r="A243" s="81"/>
      <x:c r="B243"/>
      <x:c r="C243"/>
      <x:c r="D243" t="str">
        <x:f>IFERROR(IF(241&lt;=$O$1,INDEX($A$3:$A$168,MATCH(241,$I$3:$I$168,0)),IF(241&lt;=$O$1+$O$2,INDEX($F$3:$F$1994,MATCH(241-$O$1,$G$3:$G$1994,0)),"")),"")</x:f>
      </x:c>
      <x:c r="E243" t="str">
        <x:f>IF(K243="","",IF(N243&lt;=M243,"",TRIM(CLEAN(MID(INDEX($B$3:$B$168,K243),M243,N243-M243)))))</x:f>
      </x:c>
      <x:c r="F243" t="str">
        <x:f>IF(E243="","",IF(E243=TRIM(INDEX($A$3:$A$168,K243)),"",IF(RIGHT(TRIM(INDEX($A$3:$A$168,K243)),1)="]",LEFT(TRIM(INDEX($A$3:$A$168,K243)),LEN(TRIM(INDEX($A$3:$A$168,K243)))-1)&amp;", "&amp;SUBSTITUTE(SUBSTITUTE(SUBSTITUTE(E243," [",", "),"[",", "),"]","")&amp;"]",TRIM(INDEX($A$3:$A$168,K243))&amp;" ["&amp;SUBSTITUTE(SUBSTITUTE(SUBSTITUTE(E243," [",", "),"[",", "),"]","")&amp;"]")))</x:f>
      </x:c>
      <x:c r="G243" t="str">
        <x:f>IF(F243&lt;&gt;"",ROWS($F$3:F243)-COUNTBLANK($F$3:F243),"")</x:f>
      </x:c>
      <x:c r="H243"/>
      <x:c r="I243"/>
      <x:c r="J243"/>
      <x:c r="K243" t="str">
        <x:f>IF(ROW()-ROW($K$2)&lt;=SUM($J$3:$J$168),COUNTIF($H$3:$H$168,"&lt;"&amp;(ROW()-ROW($K$2))),"")</x:f>
      </x:c>
      <x:c r="L243" t="str">
        <x:f>IF(K243="","",ROW()-ROW($L$2)-INDEX($H$3:$H$168,K243))</x:f>
      </x:c>
      <x:c r="M243" t="str">
        <x:f>IF(K243="","",IF(L243=1,1,FIND(CHAR(1),SUBSTITUTE(INDEX($B$3:$B$168,K243),CHAR(10),CHAR(1),L243-1))+1))</x:f>
      </x:c>
      <x:c r="N243" t="str">
        <x:f>IF(K243="","",IFERROR(FIND(CHAR(1),SUBSTITUTE(INDEX($B$3:$B$168,K243),CHAR(10),CHAR(1),L243)),LEN(INDEX($B$3:$B$168,K243))+1))</x:f>
      </x:c>
    </x:row>
    <x:row r="244" ht="15" customHeight="1">
      <x:c r="A244" s="81"/>
      <x:c r="B244"/>
      <x:c r="C244"/>
      <x:c r="D244" t="str">
        <x:f>IFERROR(IF(242&lt;=$O$1,INDEX($A$3:$A$168,MATCH(242,$I$3:$I$168,0)),IF(242&lt;=$O$1+$O$2,INDEX($F$3:$F$1994,MATCH(242-$O$1,$G$3:$G$1994,0)),"")),"")</x:f>
      </x:c>
      <x:c r="E244" t="str">
        <x:f>IF(K244="","",IF(N244&lt;=M244,"",TRIM(CLEAN(MID(INDEX($B$3:$B$168,K244),M244,N244-M244)))))</x:f>
      </x:c>
      <x:c r="F244" t="str">
        <x:f>IF(E244="","",IF(E244=TRIM(INDEX($A$3:$A$168,K244)),"",IF(RIGHT(TRIM(INDEX($A$3:$A$168,K244)),1)="]",LEFT(TRIM(INDEX($A$3:$A$168,K244)),LEN(TRIM(INDEX($A$3:$A$168,K244)))-1)&amp;", "&amp;SUBSTITUTE(SUBSTITUTE(SUBSTITUTE(E244," [",", "),"[",", "),"]","")&amp;"]",TRIM(INDEX($A$3:$A$168,K244))&amp;" ["&amp;SUBSTITUTE(SUBSTITUTE(SUBSTITUTE(E244," [",", "),"[",", "),"]","")&amp;"]")))</x:f>
      </x:c>
      <x:c r="G244" t="str">
        <x:f>IF(F244&lt;&gt;"",ROWS($F$3:F244)-COUNTBLANK($F$3:F244),"")</x:f>
      </x:c>
      <x:c r="H244"/>
      <x:c r="I244"/>
      <x:c r="J244"/>
      <x:c r="K244" t="str">
        <x:f>IF(ROW()-ROW($K$2)&lt;=SUM($J$3:$J$168),COUNTIF($H$3:$H$168,"&lt;"&amp;(ROW()-ROW($K$2))),"")</x:f>
      </x:c>
      <x:c r="L244" t="str">
        <x:f>IF(K244="","",ROW()-ROW($L$2)-INDEX($H$3:$H$168,K244))</x:f>
      </x:c>
      <x:c r="M244" t="str">
        <x:f>IF(K244="","",IF(L244=1,1,FIND(CHAR(1),SUBSTITUTE(INDEX($B$3:$B$168,K244),CHAR(10),CHAR(1),L244-1))+1))</x:f>
      </x:c>
      <x:c r="N244" t="str">
        <x:f>IF(K244="","",IFERROR(FIND(CHAR(1),SUBSTITUTE(INDEX($B$3:$B$168,K244),CHAR(10),CHAR(1),L244)),LEN(INDEX($B$3:$B$168,K244))+1))</x:f>
      </x:c>
    </x:row>
    <x:row r="245" ht="15" customHeight="1">
      <x:c r="A245" s="81"/>
      <x:c r="B245"/>
      <x:c r="C245"/>
      <x:c r="D245" t="str">
        <x:f>IFERROR(IF(243&lt;=$O$1,INDEX($A$3:$A$168,MATCH(243,$I$3:$I$168,0)),IF(243&lt;=$O$1+$O$2,INDEX($F$3:$F$1994,MATCH(243-$O$1,$G$3:$G$1994,0)),"")),"")</x:f>
      </x:c>
      <x:c r="E245" t="str">
        <x:f>IF(K245="","",IF(N245&lt;=M245,"",TRIM(CLEAN(MID(INDEX($B$3:$B$168,K245),M245,N245-M245)))))</x:f>
      </x:c>
      <x:c r="F245" t="str">
        <x:f>IF(E245="","",IF(E245=TRIM(INDEX($A$3:$A$168,K245)),"",IF(RIGHT(TRIM(INDEX($A$3:$A$168,K245)),1)="]",LEFT(TRIM(INDEX($A$3:$A$168,K245)),LEN(TRIM(INDEX($A$3:$A$168,K245)))-1)&amp;", "&amp;SUBSTITUTE(SUBSTITUTE(SUBSTITUTE(E245," [",", "),"[",", "),"]","")&amp;"]",TRIM(INDEX($A$3:$A$168,K245))&amp;" ["&amp;SUBSTITUTE(SUBSTITUTE(SUBSTITUTE(E245," [",", "),"[",", "),"]","")&amp;"]")))</x:f>
      </x:c>
      <x:c r="G245" t="str">
        <x:f>IF(F245&lt;&gt;"",ROWS($F$3:F245)-COUNTBLANK($F$3:F245),"")</x:f>
      </x:c>
      <x:c r="H245"/>
      <x:c r="I245"/>
      <x:c r="J245"/>
      <x:c r="K245" t="str">
        <x:f>IF(ROW()-ROW($K$2)&lt;=SUM($J$3:$J$168),COUNTIF($H$3:$H$168,"&lt;"&amp;(ROW()-ROW($K$2))),"")</x:f>
      </x:c>
      <x:c r="L245" t="str">
        <x:f>IF(K245="","",ROW()-ROW($L$2)-INDEX($H$3:$H$168,K245))</x:f>
      </x:c>
      <x:c r="M245" t="str">
        <x:f>IF(K245="","",IF(L245=1,1,FIND(CHAR(1),SUBSTITUTE(INDEX($B$3:$B$168,K245),CHAR(10),CHAR(1),L245-1))+1))</x:f>
      </x:c>
      <x:c r="N245" t="str">
        <x:f>IF(K245="","",IFERROR(FIND(CHAR(1),SUBSTITUTE(INDEX($B$3:$B$168,K245),CHAR(10),CHAR(1),L245)),LEN(INDEX($B$3:$B$168,K245))+1))</x:f>
      </x:c>
    </x:row>
    <x:row r="246" ht="15" customHeight="1">
      <x:c r="A246" s="81"/>
      <x:c r="B246"/>
      <x:c r="C246"/>
      <x:c r="D246" t="str">
        <x:f>IFERROR(IF(244&lt;=$O$1,INDEX($A$3:$A$168,MATCH(244,$I$3:$I$168,0)),IF(244&lt;=$O$1+$O$2,INDEX($F$3:$F$1994,MATCH(244-$O$1,$G$3:$G$1994,0)),"")),"")</x:f>
      </x:c>
      <x:c r="E246" t="str">
        <x:f>IF(K246="","",IF(N246&lt;=M246,"",TRIM(CLEAN(MID(INDEX($B$3:$B$168,K246),M246,N246-M246)))))</x:f>
      </x:c>
      <x:c r="F246" t="str">
        <x:f>IF(E246="","",IF(E246=TRIM(INDEX($A$3:$A$168,K246)),"",IF(RIGHT(TRIM(INDEX($A$3:$A$168,K246)),1)="]",LEFT(TRIM(INDEX($A$3:$A$168,K246)),LEN(TRIM(INDEX($A$3:$A$168,K246)))-1)&amp;", "&amp;SUBSTITUTE(SUBSTITUTE(SUBSTITUTE(E246," [",", "),"[",", "),"]","")&amp;"]",TRIM(INDEX($A$3:$A$168,K246))&amp;" ["&amp;SUBSTITUTE(SUBSTITUTE(SUBSTITUTE(E246," [",", "),"[",", "),"]","")&amp;"]")))</x:f>
      </x:c>
      <x:c r="G246" t="str">
        <x:f>IF(F246&lt;&gt;"",ROWS($F$3:F246)-COUNTBLANK($F$3:F246),"")</x:f>
      </x:c>
      <x:c r="H246"/>
      <x:c r="I246"/>
      <x:c r="J246"/>
      <x:c r="K246" t="str">
        <x:f>IF(ROW()-ROW($K$2)&lt;=SUM($J$3:$J$168),COUNTIF($H$3:$H$168,"&lt;"&amp;(ROW()-ROW($K$2))),"")</x:f>
      </x:c>
      <x:c r="L246" t="str">
        <x:f>IF(K246="","",ROW()-ROW($L$2)-INDEX($H$3:$H$168,K246))</x:f>
      </x:c>
      <x:c r="M246" t="str">
        <x:f>IF(K246="","",IF(L246=1,1,FIND(CHAR(1),SUBSTITUTE(INDEX($B$3:$B$168,K246),CHAR(10),CHAR(1),L246-1))+1))</x:f>
      </x:c>
      <x:c r="N246" t="str">
        <x:f>IF(K246="","",IFERROR(FIND(CHAR(1),SUBSTITUTE(INDEX($B$3:$B$168,K246),CHAR(10),CHAR(1),L246)),LEN(INDEX($B$3:$B$168,K246))+1))</x:f>
      </x:c>
    </x:row>
    <x:row r="247" ht="15" customHeight="1">
      <x:c r="A247" s="81"/>
      <x:c r="B247"/>
      <x:c r="C247"/>
      <x:c r="D247" t="str">
        <x:f>IFERROR(IF(245&lt;=$O$1,INDEX($A$3:$A$168,MATCH(245,$I$3:$I$168,0)),IF(245&lt;=$O$1+$O$2,INDEX($F$3:$F$1994,MATCH(245-$O$1,$G$3:$G$1994,0)),"")),"")</x:f>
      </x:c>
      <x:c r="E247" t="str">
        <x:f>IF(K247="","",IF(N247&lt;=M247,"",TRIM(CLEAN(MID(INDEX($B$3:$B$168,K247),M247,N247-M247)))))</x:f>
      </x:c>
      <x:c r="F247" t="str">
        <x:f>IF(E247="","",IF(E247=TRIM(INDEX($A$3:$A$168,K247)),"",IF(RIGHT(TRIM(INDEX($A$3:$A$168,K247)),1)="]",LEFT(TRIM(INDEX($A$3:$A$168,K247)),LEN(TRIM(INDEX($A$3:$A$168,K247)))-1)&amp;", "&amp;SUBSTITUTE(SUBSTITUTE(SUBSTITUTE(E247," [",", "),"[",", "),"]","")&amp;"]",TRIM(INDEX($A$3:$A$168,K247))&amp;" ["&amp;SUBSTITUTE(SUBSTITUTE(SUBSTITUTE(E247," [",", "),"[",", "),"]","")&amp;"]")))</x:f>
      </x:c>
      <x:c r="G247" t="str">
        <x:f>IF(F247&lt;&gt;"",ROWS($F$3:F247)-COUNTBLANK($F$3:F247),"")</x:f>
      </x:c>
      <x:c r="H247"/>
      <x:c r="I247"/>
      <x:c r="J247"/>
      <x:c r="K247" t="str">
        <x:f>IF(ROW()-ROW($K$2)&lt;=SUM($J$3:$J$168),COUNTIF($H$3:$H$168,"&lt;"&amp;(ROW()-ROW($K$2))),"")</x:f>
      </x:c>
      <x:c r="L247" t="str">
        <x:f>IF(K247="","",ROW()-ROW($L$2)-INDEX($H$3:$H$168,K247))</x:f>
      </x:c>
      <x:c r="M247" t="str">
        <x:f>IF(K247="","",IF(L247=1,1,FIND(CHAR(1),SUBSTITUTE(INDEX($B$3:$B$168,K247),CHAR(10),CHAR(1),L247-1))+1))</x:f>
      </x:c>
      <x:c r="N247" t="str">
        <x:f>IF(K247="","",IFERROR(FIND(CHAR(1),SUBSTITUTE(INDEX($B$3:$B$168,K247),CHAR(10),CHAR(1),L247)),LEN(INDEX($B$3:$B$168,K247))+1))</x:f>
      </x:c>
    </x:row>
    <x:row r="248" ht="15" customHeight="1">
      <x:c r="A248" s="81"/>
      <x:c r="B248"/>
      <x:c r="C248"/>
      <x:c r="D248" t="str">
        <x:f>IFERROR(IF(246&lt;=$O$1,INDEX($A$3:$A$168,MATCH(246,$I$3:$I$168,0)),IF(246&lt;=$O$1+$O$2,INDEX($F$3:$F$1994,MATCH(246-$O$1,$G$3:$G$1994,0)),"")),"")</x:f>
      </x:c>
      <x:c r="E248" t="str">
        <x:f>IF(K248="","",IF(N248&lt;=M248,"",TRIM(CLEAN(MID(INDEX($B$3:$B$168,K248),M248,N248-M248)))))</x:f>
      </x:c>
      <x:c r="F248" t="str">
        <x:f>IF(E248="","",IF(E248=TRIM(INDEX($A$3:$A$168,K248)),"",IF(RIGHT(TRIM(INDEX($A$3:$A$168,K248)),1)="]",LEFT(TRIM(INDEX($A$3:$A$168,K248)),LEN(TRIM(INDEX($A$3:$A$168,K248)))-1)&amp;", "&amp;SUBSTITUTE(SUBSTITUTE(SUBSTITUTE(E248," [",", "),"[",", "),"]","")&amp;"]",TRIM(INDEX($A$3:$A$168,K248))&amp;" ["&amp;SUBSTITUTE(SUBSTITUTE(SUBSTITUTE(E248," [",", "),"[",", "),"]","")&amp;"]")))</x:f>
      </x:c>
      <x:c r="G248" t="str">
        <x:f>IF(F248&lt;&gt;"",ROWS($F$3:F248)-COUNTBLANK($F$3:F248),"")</x:f>
      </x:c>
      <x:c r="H248"/>
      <x:c r="I248"/>
      <x:c r="J248"/>
      <x:c r="K248" t="str">
        <x:f>IF(ROW()-ROW($K$2)&lt;=SUM($J$3:$J$168),COUNTIF($H$3:$H$168,"&lt;"&amp;(ROW()-ROW($K$2))),"")</x:f>
      </x:c>
      <x:c r="L248" t="str">
        <x:f>IF(K248="","",ROW()-ROW($L$2)-INDEX($H$3:$H$168,K248))</x:f>
      </x:c>
      <x:c r="M248" t="str">
        <x:f>IF(K248="","",IF(L248=1,1,FIND(CHAR(1),SUBSTITUTE(INDEX($B$3:$B$168,K248),CHAR(10),CHAR(1),L248-1))+1))</x:f>
      </x:c>
      <x:c r="N248" t="str">
        <x:f>IF(K248="","",IFERROR(FIND(CHAR(1),SUBSTITUTE(INDEX($B$3:$B$168,K248),CHAR(10),CHAR(1),L248)),LEN(INDEX($B$3:$B$168,K248))+1))</x:f>
      </x:c>
    </x:row>
    <x:row r="249" ht="15" customHeight="1">
      <x:c r="A249" s="81"/>
      <x:c r="B249"/>
      <x:c r="C249"/>
      <x:c r="D249" t="str">
        <x:f>IFERROR(IF(247&lt;=$O$1,INDEX($A$3:$A$168,MATCH(247,$I$3:$I$168,0)),IF(247&lt;=$O$1+$O$2,INDEX($F$3:$F$1994,MATCH(247-$O$1,$G$3:$G$1994,0)),"")),"")</x:f>
      </x:c>
      <x:c r="E249" t="str">
        <x:f>IF(K249="","",IF(N249&lt;=M249,"",TRIM(CLEAN(MID(INDEX($B$3:$B$168,K249),M249,N249-M249)))))</x:f>
      </x:c>
      <x:c r="F249" t="str">
        <x:f>IF(E249="","",IF(E249=TRIM(INDEX($A$3:$A$168,K249)),"",IF(RIGHT(TRIM(INDEX($A$3:$A$168,K249)),1)="]",LEFT(TRIM(INDEX($A$3:$A$168,K249)),LEN(TRIM(INDEX($A$3:$A$168,K249)))-1)&amp;", "&amp;SUBSTITUTE(SUBSTITUTE(SUBSTITUTE(E249," [",", "),"[",", "),"]","")&amp;"]",TRIM(INDEX($A$3:$A$168,K249))&amp;" ["&amp;SUBSTITUTE(SUBSTITUTE(SUBSTITUTE(E249," [",", "),"[",", "),"]","")&amp;"]")))</x:f>
      </x:c>
      <x:c r="G249" t="str">
        <x:f>IF(F249&lt;&gt;"",ROWS($F$3:F249)-COUNTBLANK($F$3:F249),"")</x:f>
      </x:c>
      <x:c r="H249"/>
      <x:c r="I249"/>
      <x:c r="J249"/>
      <x:c r="K249" t="str">
        <x:f>IF(ROW()-ROW($K$2)&lt;=SUM($J$3:$J$168),COUNTIF($H$3:$H$168,"&lt;"&amp;(ROW()-ROW($K$2))),"")</x:f>
      </x:c>
      <x:c r="L249" t="str">
        <x:f>IF(K249="","",ROW()-ROW($L$2)-INDEX($H$3:$H$168,K249))</x:f>
      </x:c>
      <x:c r="M249" t="str">
        <x:f>IF(K249="","",IF(L249=1,1,FIND(CHAR(1),SUBSTITUTE(INDEX($B$3:$B$168,K249),CHAR(10),CHAR(1),L249-1))+1))</x:f>
      </x:c>
      <x:c r="N249" t="str">
        <x:f>IF(K249="","",IFERROR(FIND(CHAR(1),SUBSTITUTE(INDEX($B$3:$B$168,K249),CHAR(10),CHAR(1),L249)),LEN(INDEX($B$3:$B$168,K249))+1))</x:f>
      </x:c>
    </x:row>
    <x:row r="250" ht="15" customHeight="1">
      <x:c r="A250" s="81"/>
      <x:c r="B250"/>
      <x:c r="C250"/>
      <x:c r="D250" t="str">
        <x:f>IFERROR(IF(248&lt;=$O$1,INDEX($A$3:$A$168,MATCH(248,$I$3:$I$168,0)),IF(248&lt;=$O$1+$O$2,INDEX($F$3:$F$1994,MATCH(248-$O$1,$G$3:$G$1994,0)),"")),"")</x:f>
      </x:c>
      <x:c r="E250" t="str">
        <x:f>IF(K250="","",IF(N250&lt;=M250,"",TRIM(CLEAN(MID(INDEX($B$3:$B$168,K250),M250,N250-M250)))))</x:f>
      </x:c>
      <x:c r="F250" t="str">
        <x:f>IF(E250="","",IF(E250=TRIM(INDEX($A$3:$A$168,K250)),"",IF(RIGHT(TRIM(INDEX($A$3:$A$168,K250)),1)="]",LEFT(TRIM(INDEX($A$3:$A$168,K250)),LEN(TRIM(INDEX($A$3:$A$168,K250)))-1)&amp;", "&amp;SUBSTITUTE(SUBSTITUTE(SUBSTITUTE(E250," [",", "),"[",", "),"]","")&amp;"]",TRIM(INDEX($A$3:$A$168,K250))&amp;" ["&amp;SUBSTITUTE(SUBSTITUTE(SUBSTITUTE(E250," [",", "),"[",", "),"]","")&amp;"]")))</x:f>
      </x:c>
      <x:c r="G250" t="str">
        <x:f>IF(F250&lt;&gt;"",ROWS($F$3:F250)-COUNTBLANK($F$3:F250),"")</x:f>
      </x:c>
      <x:c r="H250"/>
      <x:c r="I250"/>
      <x:c r="J250"/>
      <x:c r="K250" t="str">
        <x:f>IF(ROW()-ROW($K$2)&lt;=SUM($J$3:$J$168),COUNTIF($H$3:$H$168,"&lt;"&amp;(ROW()-ROW($K$2))),"")</x:f>
      </x:c>
      <x:c r="L250" t="str">
        <x:f>IF(K250="","",ROW()-ROW($L$2)-INDEX($H$3:$H$168,K250))</x:f>
      </x:c>
      <x:c r="M250" t="str">
        <x:f>IF(K250="","",IF(L250=1,1,FIND(CHAR(1),SUBSTITUTE(INDEX($B$3:$B$168,K250),CHAR(10),CHAR(1),L250-1))+1))</x:f>
      </x:c>
      <x:c r="N250" t="str">
        <x:f>IF(K250="","",IFERROR(FIND(CHAR(1),SUBSTITUTE(INDEX($B$3:$B$168,K250),CHAR(10),CHAR(1),L250)),LEN(INDEX($B$3:$B$168,K250))+1))</x:f>
      </x:c>
    </x:row>
    <x:row r="251" ht="15" customHeight="1">
      <x:c r="A251" s="81"/>
      <x:c r="B251"/>
      <x:c r="C251"/>
      <x:c r="D251" t="str">
        <x:f>IFERROR(IF(249&lt;=$O$1,INDEX($A$3:$A$168,MATCH(249,$I$3:$I$168,0)),IF(249&lt;=$O$1+$O$2,INDEX($F$3:$F$1994,MATCH(249-$O$1,$G$3:$G$1994,0)),"")),"")</x:f>
      </x:c>
      <x:c r="E251" t="str">
        <x:f>IF(K251="","",IF(N251&lt;=M251,"",TRIM(CLEAN(MID(INDEX($B$3:$B$168,K251),M251,N251-M251)))))</x:f>
      </x:c>
      <x:c r="F251" t="str">
        <x:f>IF(E251="","",IF(E251=TRIM(INDEX($A$3:$A$168,K251)),"",IF(RIGHT(TRIM(INDEX($A$3:$A$168,K251)),1)="]",LEFT(TRIM(INDEX($A$3:$A$168,K251)),LEN(TRIM(INDEX($A$3:$A$168,K251)))-1)&amp;", "&amp;SUBSTITUTE(SUBSTITUTE(SUBSTITUTE(E251," [",", "),"[",", "),"]","")&amp;"]",TRIM(INDEX($A$3:$A$168,K251))&amp;" ["&amp;SUBSTITUTE(SUBSTITUTE(SUBSTITUTE(E251," [",", "),"[",", "),"]","")&amp;"]")))</x:f>
      </x:c>
      <x:c r="G251" t="str">
        <x:f>IF(F251&lt;&gt;"",ROWS($F$3:F251)-COUNTBLANK($F$3:F251),"")</x:f>
      </x:c>
      <x:c r="H251"/>
      <x:c r="I251"/>
      <x:c r="J251"/>
      <x:c r="K251" t="str">
        <x:f>IF(ROW()-ROW($K$2)&lt;=SUM($J$3:$J$168),COUNTIF($H$3:$H$168,"&lt;"&amp;(ROW()-ROW($K$2))),"")</x:f>
      </x:c>
      <x:c r="L251" t="str">
        <x:f>IF(K251="","",ROW()-ROW($L$2)-INDEX($H$3:$H$168,K251))</x:f>
      </x:c>
      <x:c r="M251" t="str">
        <x:f>IF(K251="","",IF(L251=1,1,FIND(CHAR(1),SUBSTITUTE(INDEX($B$3:$B$168,K251),CHAR(10),CHAR(1),L251-1))+1))</x:f>
      </x:c>
      <x:c r="N251" t="str">
        <x:f>IF(K251="","",IFERROR(FIND(CHAR(1),SUBSTITUTE(INDEX($B$3:$B$168,K251),CHAR(10),CHAR(1),L251)),LEN(INDEX($B$3:$B$168,K251))+1))</x:f>
      </x:c>
    </x:row>
    <x:row r="252" ht="15" customHeight="1">
      <x:c r="A252" s="81"/>
      <x:c r="B252"/>
      <x:c r="C252"/>
      <x:c r="D252" t="str">
        <x:f>IFERROR(IF(250&lt;=$O$1,INDEX($A$3:$A$168,MATCH(250,$I$3:$I$168,0)),IF(250&lt;=$O$1+$O$2,INDEX($F$3:$F$1994,MATCH(250-$O$1,$G$3:$G$1994,0)),"")),"")</x:f>
      </x:c>
      <x:c r="E252" t="str">
        <x:f>IF(K252="","",IF(N252&lt;=M252,"",TRIM(CLEAN(MID(INDEX($B$3:$B$168,K252),M252,N252-M252)))))</x:f>
      </x:c>
      <x:c r="F252" t="str">
        <x:f>IF(E252="","",IF(E252=TRIM(INDEX($A$3:$A$168,K252)),"",IF(RIGHT(TRIM(INDEX($A$3:$A$168,K252)),1)="]",LEFT(TRIM(INDEX($A$3:$A$168,K252)),LEN(TRIM(INDEX($A$3:$A$168,K252)))-1)&amp;", "&amp;SUBSTITUTE(SUBSTITUTE(SUBSTITUTE(E252," [",", "),"[",", "),"]","")&amp;"]",TRIM(INDEX($A$3:$A$168,K252))&amp;" ["&amp;SUBSTITUTE(SUBSTITUTE(SUBSTITUTE(E252," [",", "),"[",", "),"]","")&amp;"]")))</x:f>
      </x:c>
      <x:c r="G252" t="str">
        <x:f>IF(F252&lt;&gt;"",ROWS($F$3:F252)-COUNTBLANK($F$3:F252),"")</x:f>
      </x:c>
      <x:c r="H252"/>
      <x:c r="I252"/>
      <x:c r="J252"/>
      <x:c r="K252" t="str">
        <x:f>IF(ROW()-ROW($K$2)&lt;=SUM($J$3:$J$168),COUNTIF($H$3:$H$168,"&lt;"&amp;(ROW()-ROW($K$2))),"")</x:f>
      </x:c>
      <x:c r="L252" t="str">
        <x:f>IF(K252="","",ROW()-ROW($L$2)-INDEX($H$3:$H$168,K252))</x:f>
      </x:c>
      <x:c r="M252" t="str">
        <x:f>IF(K252="","",IF(L252=1,1,FIND(CHAR(1),SUBSTITUTE(INDEX($B$3:$B$168,K252),CHAR(10),CHAR(1),L252-1))+1))</x:f>
      </x:c>
      <x:c r="N252" t="str">
        <x:f>IF(K252="","",IFERROR(FIND(CHAR(1),SUBSTITUTE(INDEX($B$3:$B$168,K252),CHAR(10),CHAR(1),L252)),LEN(INDEX($B$3:$B$168,K252))+1))</x:f>
      </x:c>
    </x:row>
    <x:row r="253" ht="15" customHeight="1">
      <x:c r="A253" s="81"/>
      <x:c r="B253"/>
      <x:c r="C253"/>
      <x:c r="D253" t="str">
        <x:f>IFERROR(IF(251&lt;=$O$1,INDEX($A$3:$A$168,MATCH(251,$I$3:$I$168,0)),IF(251&lt;=$O$1+$O$2,INDEX($F$3:$F$1994,MATCH(251-$O$1,$G$3:$G$1994,0)),"")),"")</x:f>
      </x:c>
      <x:c r="E253" t="str">
        <x:f>IF(K253="","",IF(N253&lt;=M253,"",TRIM(CLEAN(MID(INDEX($B$3:$B$168,K253),M253,N253-M253)))))</x:f>
      </x:c>
      <x:c r="F253" t="str">
        <x:f>IF(E253="","",IF(E253=TRIM(INDEX($A$3:$A$168,K253)),"",IF(RIGHT(TRIM(INDEX($A$3:$A$168,K253)),1)="]",LEFT(TRIM(INDEX($A$3:$A$168,K253)),LEN(TRIM(INDEX($A$3:$A$168,K253)))-1)&amp;", "&amp;SUBSTITUTE(SUBSTITUTE(SUBSTITUTE(E253," [",", "),"[",", "),"]","")&amp;"]",TRIM(INDEX($A$3:$A$168,K253))&amp;" ["&amp;SUBSTITUTE(SUBSTITUTE(SUBSTITUTE(E253," [",", "),"[",", "),"]","")&amp;"]")))</x:f>
      </x:c>
      <x:c r="G253" t="str">
        <x:f>IF(F253&lt;&gt;"",ROWS($F$3:F253)-COUNTBLANK($F$3:F253),"")</x:f>
      </x:c>
      <x:c r="H253"/>
      <x:c r="I253"/>
      <x:c r="J253"/>
      <x:c r="K253" t="str">
        <x:f>IF(ROW()-ROW($K$2)&lt;=SUM($J$3:$J$168),COUNTIF($H$3:$H$168,"&lt;"&amp;(ROW()-ROW($K$2))),"")</x:f>
      </x:c>
      <x:c r="L253" t="str">
        <x:f>IF(K253="","",ROW()-ROW($L$2)-INDEX($H$3:$H$168,K253))</x:f>
      </x:c>
      <x:c r="M253" t="str">
        <x:f>IF(K253="","",IF(L253=1,1,FIND(CHAR(1),SUBSTITUTE(INDEX($B$3:$B$168,K253),CHAR(10),CHAR(1),L253-1))+1))</x:f>
      </x:c>
      <x:c r="N253" t="str">
        <x:f>IF(K253="","",IFERROR(FIND(CHAR(1),SUBSTITUTE(INDEX($B$3:$B$168,K253),CHAR(10),CHAR(1),L253)),LEN(INDEX($B$3:$B$168,K253))+1))</x:f>
      </x:c>
    </x:row>
    <x:row r="254" ht="15" customHeight="1">
      <x:c r="A254" s="81"/>
      <x:c r="B254"/>
      <x:c r="C254"/>
      <x:c r="D254" t="str">
        <x:f>IFERROR(IF(252&lt;=$O$1,INDEX($A$3:$A$168,MATCH(252,$I$3:$I$168,0)),IF(252&lt;=$O$1+$O$2,INDEX($F$3:$F$1994,MATCH(252-$O$1,$G$3:$G$1994,0)),"")),"")</x:f>
      </x:c>
      <x:c r="E254" t="str">
        <x:f>IF(K254="","",IF(N254&lt;=M254,"",TRIM(CLEAN(MID(INDEX($B$3:$B$168,K254),M254,N254-M254)))))</x:f>
      </x:c>
      <x:c r="F254" t="str">
        <x:f>IF(E254="","",IF(E254=TRIM(INDEX($A$3:$A$168,K254)),"",IF(RIGHT(TRIM(INDEX($A$3:$A$168,K254)),1)="]",LEFT(TRIM(INDEX($A$3:$A$168,K254)),LEN(TRIM(INDEX($A$3:$A$168,K254)))-1)&amp;", "&amp;SUBSTITUTE(SUBSTITUTE(SUBSTITUTE(E254," [",", "),"[",", "),"]","")&amp;"]",TRIM(INDEX($A$3:$A$168,K254))&amp;" ["&amp;SUBSTITUTE(SUBSTITUTE(SUBSTITUTE(E254," [",", "),"[",", "),"]","")&amp;"]")))</x:f>
      </x:c>
      <x:c r="G254" t="str">
        <x:f>IF(F254&lt;&gt;"",ROWS($F$3:F254)-COUNTBLANK($F$3:F254),"")</x:f>
      </x:c>
      <x:c r="H254"/>
      <x:c r="I254"/>
      <x:c r="J254"/>
      <x:c r="K254" t="str">
        <x:f>IF(ROW()-ROW($K$2)&lt;=SUM($J$3:$J$168),COUNTIF($H$3:$H$168,"&lt;"&amp;(ROW()-ROW($K$2))),"")</x:f>
      </x:c>
      <x:c r="L254" t="str">
        <x:f>IF(K254="","",ROW()-ROW($L$2)-INDEX($H$3:$H$168,K254))</x:f>
      </x:c>
      <x:c r="M254" t="str">
        <x:f>IF(K254="","",IF(L254=1,1,FIND(CHAR(1),SUBSTITUTE(INDEX($B$3:$B$168,K254),CHAR(10),CHAR(1),L254-1))+1))</x:f>
      </x:c>
      <x:c r="N254" t="str">
        <x:f>IF(K254="","",IFERROR(FIND(CHAR(1),SUBSTITUTE(INDEX($B$3:$B$168,K254),CHAR(10),CHAR(1),L254)),LEN(INDEX($B$3:$B$168,K254))+1))</x:f>
      </x:c>
    </x:row>
    <x:row r="255" ht="15" customHeight="1">
      <x:c r="A255" s="81"/>
      <x:c r="B255"/>
      <x:c r="C255"/>
      <x:c r="D255" t="str">
        <x:f>IFERROR(IF(253&lt;=$O$1,INDEX($A$3:$A$168,MATCH(253,$I$3:$I$168,0)),IF(253&lt;=$O$1+$O$2,INDEX($F$3:$F$1994,MATCH(253-$O$1,$G$3:$G$1994,0)),"")),"")</x:f>
      </x:c>
      <x:c r="E255" t="str">
        <x:f>IF(K255="","",IF(N255&lt;=M255,"",TRIM(CLEAN(MID(INDEX($B$3:$B$168,K255),M255,N255-M255)))))</x:f>
      </x:c>
      <x:c r="F255" t="str">
        <x:f>IF(E255="","",IF(E255=TRIM(INDEX($A$3:$A$168,K255)),"",IF(RIGHT(TRIM(INDEX($A$3:$A$168,K255)),1)="]",LEFT(TRIM(INDEX($A$3:$A$168,K255)),LEN(TRIM(INDEX($A$3:$A$168,K255)))-1)&amp;", "&amp;SUBSTITUTE(SUBSTITUTE(SUBSTITUTE(E255," [",", "),"[",", "),"]","")&amp;"]",TRIM(INDEX($A$3:$A$168,K255))&amp;" ["&amp;SUBSTITUTE(SUBSTITUTE(SUBSTITUTE(E255," [",", "),"[",", "),"]","")&amp;"]")))</x:f>
      </x:c>
      <x:c r="G255" t="str">
        <x:f>IF(F255&lt;&gt;"",ROWS($F$3:F255)-COUNTBLANK($F$3:F255),"")</x:f>
      </x:c>
      <x:c r="H255"/>
      <x:c r="I255"/>
      <x:c r="J255"/>
      <x:c r="K255" t="str">
        <x:f>IF(ROW()-ROW($K$2)&lt;=SUM($J$3:$J$168),COUNTIF($H$3:$H$168,"&lt;"&amp;(ROW()-ROW($K$2))),"")</x:f>
      </x:c>
      <x:c r="L255" t="str">
        <x:f>IF(K255="","",ROW()-ROW($L$2)-INDEX($H$3:$H$168,K255))</x:f>
      </x:c>
      <x:c r="M255" t="str">
        <x:f>IF(K255="","",IF(L255=1,1,FIND(CHAR(1),SUBSTITUTE(INDEX($B$3:$B$168,K255),CHAR(10),CHAR(1),L255-1))+1))</x:f>
      </x:c>
      <x:c r="N255" t="str">
        <x:f>IF(K255="","",IFERROR(FIND(CHAR(1),SUBSTITUTE(INDEX($B$3:$B$168,K255),CHAR(10),CHAR(1),L255)),LEN(INDEX($B$3:$B$168,K255))+1))</x:f>
      </x:c>
    </x:row>
    <x:row r="256" ht="15" customHeight="1">
      <x:c r="A256" s="81"/>
      <x:c r="B256"/>
      <x:c r="C256"/>
      <x:c r="D256" t="str">
        <x:f>IFERROR(IF(254&lt;=$O$1,INDEX($A$3:$A$168,MATCH(254,$I$3:$I$168,0)),IF(254&lt;=$O$1+$O$2,INDEX($F$3:$F$1994,MATCH(254-$O$1,$G$3:$G$1994,0)),"")),"")</x:f>
      </x:c>
      <x:c r="E256" t="str">
        <x:f>IF(K256="","",IF(N256&lt;=M256,"",TRIM(CLEAN(MID(INDEX($B$3:$B$168,K256),M256,N256-M256)))))</x:f>
      </x:c>
      <x:c r="F256" t="str">
        <x:f>IF(E256="","",IF(E256=TRIM(INDEX($A$3:$A$168,K256)),"",IF(RIGHT(TRIM(INDEX($A$3:$A$168,K256)),1)="]",LEFT(TRIM(INDEX($A$3:$A$168,K256)),LEN(TRIM(INDEX($A$3:$A$168,K256)))-1)&amp;", "&amp;SUBSTITUTE(SUBSTITUTE(SUBSTITUTE(E256," [",", "),"[",", "),"]","")&amp;"]",TRIM(INDEX($A$3:$A$168,K256))&amp;" ["&amp;SUBSTITUTE(SUBSTITUTE(SUBSTITUTE(E256," [",", "),"[",", "),"]","")&amp;"]")))</x:f>
      </x:c>
      <x:c r="G256" t="str">
        <x:f>IF(F256&lt;&gt;"",ROWS($F$3:F256)-COUNTBLANK($F$3:F256),"")</x:f>
      </x:c>
      <x:c r="H256"/>
      <x:c r="I256"/>
      <x:c r="J256"/>
      <x:c r="K256" t="str">
        <x:f>IF(ROW()-ROW($K$2)&lt;=SUM($J$3:$J$168),COUNTIF($H$3:$H$168,"&lt;"&amp;(ROW()-ROW($K$2))),"")</x:f>
      </x:c>
      <x:c r="L256" t="str">
        <x:f>IF(K256="","",ROW()-ROW($L$2)-INDEX($H$3:$H$168,K256))</x:f>
      </x:c>
      <x:c r="M256" t="str">
        <x:f>IF(K256="","",IF(L256=1,1,FIND(CHAR(1),SUBSTITUTE(INDEX($B$3:$B$168,K256),CHAR(10),CHAR(1),L256-1))+1))</x:f>
      </x:c>
      <x:c r="N256" t="str">
        <x:f>IF(K256="","",IFERROR(FIND(CHAR(1),SUBSTITUTE(INDEX($B$3:$B$168,K256),CHAR(10),CHAR(1),L256)),LEN(INDEX($B$3:$B$168,K256))+1))</x:f>
      </x:c>
    </x:row>
    <x:row r="257" ht="15" customHeight="1">
      <x:c r="A257" s="81"/>
      <x:c r="B257"/>
      <x:c r="C257"/>
      <x:c r="D257" t="str">
        <x:f>IFERROR(IF(255&lt;=$O$1,INDEX($A$3:$A$168,MATCH(255,$I$3:$I$168,0)),IF(255&lt;=$O$1+$O$2,INDEX($F$3:$F$1994,MATCH(255-$O$1,$G$3:$G$1994,0)),"")),"")</x:f>
      </x:c>
      <x:c r="E257" t="str">
        <x:f>IF(K257="","",IF(N257&lt;=M257,"",TRIM(CLEAN(MID(INDEX($B$3:$B$168,K257),M257,N257-M257)))))</x:f>
      </x:c>
      <x:c r="F257" t="str">
        <x:f>IF(E257="","",IF(E257=TRIM(INDEX($A$3:$A$168,K257)),"",IF(RIGHT(TRIM(INDEX($A$3:$A$168,K257)),1)="]",LEFT(TRIM(INDEX($A$3:$A$168,K257)),LEN(TRIM(INDEX($A$3:$A$168,K257)))-1)&amp;", "&amp;SUBSTITUTE(SUBSTITUTE(SUBSTITUTE(E257," [",", "),"[",", "),"]","")&amp;"]",TRIM(INDEX($A$3:$A$168,K257))&amp;" ["&amp;SUBSTITUTE(SUBSTITUTE(SUBSTITUTE(E257," [",", "),"[",", "),"]","")&amp;"]")))</x:f>
      </x:c>
      <x:c r="G257" t="str">
        <x:f>IF(F257&lt;&gt;"",ROWS($F$3:F257)-COUNTBLANK($F$3:F257),"")</x:f>
      </x:c>
      <x:c r="H257"/>
      <x:c r="I257"/>
      <x:c r="J257"/>
      <x:c r="K257" t="str">
        <x:f>IF(ROW()-ROW($K$2)&lt;=SUM($J$3:$J$168),COUNTIF($H$3:$H$168,"&lt;"&amp;(ROW()-ROW($K$2))),"")</x:f>
      </x:c>
      <x:c r="L257" t="str">
        <x:f>IF(K257="","",ROW()-ROW($L$2)-INDEX($H$3:$H$168,K257))</x:f>
      </x:c>
      <x:c r="M257" t="str">
        <x:f>IF(K257="","",IF(L257=1,1,FIND(CHAR(1),SUBSTITUTE(INDEX($B$3:$B$168,K257),CHAR(10),CHAR(1),L257-1))+1))</x:f>
      </x:c>
      <x:c r="N257" t="str">
        <x:f>IF(K257="","",IFERROR(FIND(CHAR(1),SUBSTITUTE(INDEX($B$3:$B$168,K257),CHAR(10),CHAR(1),L257)),LEN(INDEX($B$3:$B$168,K257))+1))</x:f>
      </x:c>
    </x:row>
    <x:row r="258" ht="15" customHeight="1">
      <x:c r="A258" s="81"/>
      <x:c r="B258"/>
      <x:c r="C258"/>
      <x:c r="D258" t="str">
        <x:f>IFERROR(IF(256&lt;=$O$1,INDEX($A$3:$A$168,MATCH(256,$I$3:$I$168,0)),IF(256&lt;=$O$1+$O$2,INDEX($F$3:$F$1994,MATCH(256-$O$1,$G$3:$G$1994,0)),"")),"")</x:f>
      </x:c>
      <x:c r="E258" t="str">
        <x:f>IF(K258="","",IF(N258&lt;=M258,"",TRIM(CLEAN(MID(INDEX($B$3:$B$168,K258),M258,N258-M258)))))</x:f>
      </x:c>
      <x:c r="F258" t="str">
        <x:f>IF(E258="","",IF(E258=TRIM(INDEX($A$3:$A$168,K258)),"",IF(RIGHT(TRIM(INDEX($A$3:$A$168,K258)),1)="]",LEFT(TRIM(INDEX($A$3:$A$168,K258)),LEN(TRIM(INDEX($A$3:$A$168,K258)))-1)&amp;", "&amp;SUBSTITUTE(SUBSTITUTE(SUBSTITUTE(E258," [",", "),"[",", "),"]","")&amp;"]",TRIM(INDEX($A$3:$A$168,K258))&amp;" ["&amp;SUBSTITUTE(SUBSTITUTE(SUBSTITUTE(E258," [",", "),"[",", "),"]","")&amp;"]")))</x:f>
      </x:c>
      <x:c r="G258" t="str">
        <x:f>IF(F258&lt;&gt;"",ROWS($F$3:F258)-COUNTBLANK($F$3:F258),"")</x:f>
      </x:c>
      <x:c r="H258"/>
      <x:c r="I258"/>
      <x:c r="J258"/>
      <x:c r="K258" t="str">
        <x:f>IF(ROW()-ROW($K$2)&lt;=SUM($J$3:$J$168),COUNTIF($H$3:$H$168,"&lt;"&amp;(ROW()-ROW($K$2))),"")</x:f>
      </x:c>
      <x:c r="L258" t="str">
        <x:f>IF(K258="","",ROW()-ROW($L$2)-INDEX($H$3:$H$168,K258))</x:f>
      </x:c>
      <x:c r="M258" t="str">
        <x:f>IF(K258="","",IF(L258=1,1,FIND(CHAR(1),SUBSTITUTE(INDEX($B$3:$B$168,K258),CHAR(10),CHAR(1),L258-1))+1))</x:f>
      </x:c>
      <x:c r="N258" t="str">
        <x:f>IF(K258="","",IFERROR(FIND(CHAR(1),SUBSTITUTE(INDEX($B$3:$B$168,K258),CHAR(10),CHAR(1),L258)),LEN(INDEX($B$3:$B$168,K258))+1))</x:f>
      </x:c>
    </x:row>
    <x:row r="259" ht="15" customHeight="1">
      <x:c r="A259" s="81"/>
      <x:c r="B259"/>
      <x:c r="C259"/>
      <x:c r="D259" t="str">
        <x:f>IFERROR(IF(257&lt;=$O$1,INDEX($A$3:$A$168,MATCH(257,$I$3:$I$168,0)),IF(257&lt;=$O$1+$O$2,INDEX($F$3:$F$1994,MATCH(257-$O$1,$G$3:$G$1994,0)),"")),"")</x:f>
      </x:c>
      <x:c r="E259" t="str">
        <x:f>IF(K259="","",IF(N259&lt;=M259,"",TRIM(CLEAN(MID(INDEX($B$3:$B$168,K259),M259,N259-M259)))))</x:f>
      </x:c>
      <x:c r="F259" t="str">
        <x:f>IF(E259="","",IF(E259=TRIM(INDEX($A$3:$A$168,K259)),"",IF(RIGHT(TRIM(INDEX($A$3:$A$168,K259)),1)="]",LEFT(TRIM(INDEX($A$3:$A$168,K259)),LEN(TRIM(INDEX($A$3:$A$168,K259)))-1)&amp;", "&amp;SUBSTITUTE(SUBSTITUTE(SUBSTITUTE(E259," [",", "),"[",", "),"]","")&amp;"]",TRIM(INDEX($A$3:$A$168,K259))&amp;" ["&amp;SUBSTITUTE(SUBSTITUTE(SUBSTITUTE(E259," [",", "),"[",", "),"]","")&amp;"]")))</x:f>
      </x:c>
      <x:c r="G259" t="str">
        <x:f>IF(F259&lt;&gt;"",ROWS($F$3:F259)-COUNTBLANK($F$3:F259),"")</x:f>
      </x:c>
      <x:c r="H259"/>
      <x:c r="I259"/>
      <x:c r="J259"/>
      <x:c r="K259" t="str">
        <x:f>IF(ROW()-ROW($K$2)&lt;=SUM($J$3:$J$168),COUNTIF($H$3:$H$168,"&lt;"&amp;(ROW()-ROW($K$2))),"")</x:f>
      </x:c>
      <x:c r="L259" t="str">
        <x:f>IF(K259="","",ROW()-ROW($L$2)-INDEX($H$3:$H$168,K259))</x:f>
      </x:c>
      <x:c r="M259" t="str">
        <x:f>IF(K259="","",IF(L259=1,1,FIND(CHAR(1),SUBSTITUTE(INDEX($B$3:$B$168,K259),CHAR(10),CHAR(1),L259-1))+1))</x:f>
      </x:c>
      <x:c r="N259" t="str">
        <x:f>IF(K259="","",IFERROR(FIND(CHAR(1),SUBSTITUTE(INDEX($B$3:$B$168,K259),CHAR(10),CHAR(1),L259)),LEN(INDEX($B$3:$B$168,K259))+1))</x:f>
      </x:c>
    </x:row>
    <x:row r="260" ht="15" customHeight="1">
      <x:c r="A260" s="81"/>
      <x:c r="B260"/>
      <x:c r="C260"/>
      <x:c r="D260" t="str">
        <x:f>IFERROR(IF(258&lt;=$O$1,INDEX($A$3:$A$168,MATCH(258,$I$3:$I$168,0)),IF(258&lt;=$O$1+$O$2,INDEX($F$3:$F$1994,MATCH(258-$O$1,$G$3:$G$1994,0)),"")),"")</x:f>
      </x:c>
      <x:c r="E260" t="str">
        <x:f>IF(K260="","",IF(N260&lt;=M260,"",TRIM(CLEAN(MID(INDEX($B$3:$B$168,K260),M260,N260-M260)))))</x:f>
      </x:c>
      <x:c r="F260" t="str">
        <x:f>IF(E260="","",IF(E260=TRIM(INDEX($A$3:$A$168,K260)),"",IF(RIGHT(TRIM(INDEX($A$3:$A$168,K260)),1)="]",LEFT(TRIM(INDEX($A$3:$A$168,K260)),LEN(TRIM(INDEX($A$3:$A$168,K260)))-1)&amp;", "&amp;SUBSTITUTE(SUBSTITUTE(SUBSTITUTE(E260," [",", "),"[",", "),"]","")&amp;"]",TRIM(INDEX($A$3:$A$168,K260))&amp;" ["&amp;SUBSTITUTE(SUBSTITUTE(SUBSTITUTE(E260," [",", "),"[",", "),"]","")&amp;"]")))</x:f>
      </x:c>
      <x:c r="G260" t="str">
        <x:f>IF(F260&lt;&gt;"",ROWS($F$3:F260)-COUNTBLANK($F$3:F260),"")</x:f>
      </x:c>
      <x:c r="H260"/>
      <x:c r="I260"/>
      <x:c r="J260"/>
      <x:c r="K260" t="str">
        <x:f>IF(ROW()-ROW($K$2)&lt;=SUM($J$3:$J$168),COUNTIF($H$3:$H$168,"&lt;"&amp;(ROW()-ROW($K$2))),"")</x:f>
      </x:c>
      <x:c r="L260" t="str">
        <x:f>IF(K260="","",ROW()-ROW($L$2)-INDEX($H$3:$H$168,K260))</x:f>
      </x:c>
      <x:c r="M260" t="str">
        <x:f>IF(K260="","",IF(L260=1,1,FIND(CHAR(1),SUBSTITUTE(INDEX($B$3:$B$168,K260),CHAR(10),CHAR(1),L260-1))+1))</x:f>
      </x:c>
      <x:c r="N260" t="str">
        <x:f>IF(K260="","",IFERROR(FIND(CHAR(1),SUBSTITUTE(INDEX($B$3:$B$168,K260),CHAR(10),CHAR(1),L260)),LEN(INDEX($B$3:$B$168,K260))+1))</x:f>
      </x:c>
    </x:row>
    <x:row r="261" ht="15" customHeight="1">
      <x:c r="A261" s="81"/>
      <x:c r="B261"/>
      <x:c r="C261"/>
      <x:c r="D261" t="str">
        <x:f>IFERROR(IF(259&lt;=$O$1,INDEX($A$3:$A$168,MATCH(259,$I$3:$I$168,0)),IF(259&lt;=$O$1+$O$2,INDEX($F$3:$F$1994,MATCH(259-$O$1,$G$3:$G$1994,0)),"")),"")</x:f>
      </x:c>
      <x:c r="E261" t="str">
        <x:f>IF(K261="","",IF(N261&lt;=M261,"",TRIM(CLEAN(MID(INDEX($B$3:$B$168,K261),M261,N261-M261)))))</x:f>
      </x:c>
      <x:c r="F261" t="str">
        <x:f>IF(E261="","",IF(E261=TRIM(INDEX($A$3:$A$168,K261)),"",IF(RIGHT(TRIM(INDEX($A$3:$A$168,K261)),1)="]",LEFT(TRIM(INDEX($A$3:$A$168,K261)),LEN(TRIM(INDEX($A$3:$A$168,K261)))-1)&amp;", "&amp;SUBSTITUTE(SUBSTITUTE(SUBSTITUTE(E261," [",", "),"[",", "),"]","")&amp;"]",TRIM(INDEX($A$3:$A$168,K261))&amp;" ["&amp;SUBSTITUTE(SUBSTITUTE(SUBSTITUTE(E261," [",", "),"[",", "),"]","")&amp;"]")))</x:f>
      </x:c>
      <x:c r="G261" t="str">
        <x:f>IF(F261&lt;&gt;"",ROWS($F$3:F261)-COUNTBLANK($F$3:F261),"")</x:f>
      </x:c>
      <x:c r="H261"/>
      <x:c r="I261"/>
      <x:c r="J261"/>
      <x:c r="K261" t="str">
        <x:f>IF(ROW()-ROW($K$2)&lt;=SUM($J$3:$J$168),COUNTIF($H$3:$H$168,"&lt;"&amp;(ROW()-ROW($K$2))),"")</x:f>
      </x:c>
      <x:c r="L261" t="str">
        <x:f>IF(K261="","",ROW()-ROW($L$2)-INDEX($H$3:$H$168,K261))</x:f>
      </x:c>
      <x:c r="M261" t="str">
        <x:f>IF(K261="","",IF(L261=1,1,FIND(CHAR(1),SUBSTITUTE(INDEX($B$3:$B$168,K261),CHAR(10),CHAR(1),L261-1))+1))</x:f>
      </x:c>
      <x:c r="N261" t="str">
        <x:f>IF(K261="","",IFERROR(FIND(CHAR(1),SUBSTITUTE(INDEX($B$3:$B$168,K261),CHAR(10),CHAR(1),L261)),LEN(INDEX($B$3:$B$168,K261))+1))</x:f>
      </x:c>
    </x:row>
    <x:row r="262" ht="15" customHeight="1">
      <x:c r="A262" s="81"/>
      <x:c r="B262"/>
      <x:c r="C262"/>
      <x:c r="D262" t="str">
        <x:f>IFERROR(IF(260&lt;=$O$1,INDEX($A$3:$A$168,MATCH(260,$I$3:$I$168,0)),IF(260&lt;=$O$1+$O$2,INDEX($F$3:$F$1994,MATCH(260-$O$1,$G$3:$G$1994,0)),"")),"")</x:f>
      </x:c>
      <x:c r="E262" t="str">
        <x:f>IF(K262="","",IF(N262&lt;=M262,"",TRIM(CLEAN(MID(INDEX($B$3:$B$168,K262),M262,N262-M262)))))</x:f>
      </x:c>
      <x:c r="F262" t="str">
        <x:f>IF(E262="","",IF(E262=TRIM(INDEX($A$3:$A$168,K262)),"",IF(RIGHT(TRIM(INDEX($A$3:$A$168,K262)),1)="]",LEFT(TRIM(INDEX($A$3:$A$168,K262)),LEN(TRIM(INDEX($A$3:$A$168,K262)))-1)&amp;", "&amp;SUBSTITUTE(SUBSTITUTE(SUBSTITUTE(E262," [",", "),"[",", "),"]","")&amp;"]",TRIM(INDEX($A$3:$A$168,K262))&amp;" ["&amp;SUBSTITUTE(SUBSTITUTE(SUBSTITUTE(E262," [",", "),"[",", "),"]","")&amp;"]")))</x:f>
      </x:c>
      <x:c r="G262" t="str">
        <x:f>IF(F262&lt;&gt;"",ROWS($F$3:F262)-COUNTBLANK($F$3:F262),"")</x:f>
      </x:c>
      <x:c r="H262"/>
      <x:c r="I262"/>
      <x:c r="J262"/>
      <x:c r="K262" t="str">
        <x:f>IF(ROW()-ROW($K$2)&lt;=SUM($J$3:$J$168),COUNTIF($H$3:$H$168,"&lt;"&amp;(ROW()-ROW($K$2))),"")</x:f>
      </x:c>
      <x:c r="L262" t="str">
        <x:f>IF(K262="","",ROW()-ROW($L$2)-INDEX($H$3:$H$168,K262))</x:f>
      </x:c>
      <x:c r="M262" t="str">
        <x:f>IF(K262="","",IF(L262=1,1,FIND(CHAR(1),SUBSTITUTE(INDEX($B$3:$B$168,K262),CHAR(10),CHAR(1),L262-1))+1))</x:f>
      </x:c>
      <x:c r="N262" t="str">
        <x:f>IF(K262="","",IFERROR(FIND(CHAR(1),SUBSTITUTE(INDEX($B$3:$B$168,K262),CHAR(10),CHAR(1),L262)),LEN(INDEX($B$3:$B$168,K262))+1))</x:f>
      </x:c>
    </x:row>
    <x:row r="263" ht="15" customHeight="1">
      <x:c r="A263" s="81"/>
      <x:c r="B263"/>
      <x:c r="C263"/>
      <x:c r="D263" t="str">
        <x:f>IFERROR(IF(261&lt;=$O$1,INDEX($A$3:$A$168,MATCH(261,$I$3:$I$168,0)),IF(261&lt;=$O$1+$O$2,INDEX($F$3:$F$1994,MATCH(261-$O$1,$G$3:$G$1994,0)),"")),"")</x:f>
      </x:c>
      <x:c r="E263" t="str">
        <x:f>IF(K263="","",IF(N263&lt;=M263,"",TRIM(CLEAN(MID(INDEX($B$3:$B$168,K263),M263,N263-M263)))))</x:f>
      </x:c>
      <x:c r="F263" t="str">
        <x:f>IF(E263="","",IF(E263=TRIM(INDEX($A$3:$A$168,K263)),"",IF(RIGHT(TRIM(INDEX($A$3:$A$168,K263)),1)="]",LEFT(TRIM(INDEX($A$3:$A$168,K263)),LEN(TRIM(INDEX($A$3:$A$168,K263)))-1)&amp;", "&amp;SUBSTITUTE(SUBSTITUTE(SUBSTITUTE(E263," [",", "),"[",", "),"]","")&amp;"]",TRIM(INDEX($A$3:$A$168,K263))&amp;" ["&amp;SUBSTITUTE(SUBSTITUTE(SUBSTITUTE(E263," [",", "),"[",", "),"]","")&amp;"]")))</x:f>
      </x:c>
      <x:c r="G263" t="str">
        <x:f>IF(F263&lt;&gt;"",ROWS($F$3:F263)-COUNTBLANK($F$3:F263),"")</x:f>
      </x:c>
      <x:c r="H263"/>
      <x:c r="I263"/>
      <x:c r="J263"/>
      <x:c r="K263" t="str">
        <x:f>IF(ROW()-ROW($K$2)&lt;=SUM($J$3:$J$168),COUNTIF($H$3:$H$168,"&lt;"&amp;(ROW()-ROW($K$2))),"")</x:f>
      </x:c>
      <x:c r="L263" t="str">
        <x:f>IF(K263="","",ROW()-ROW($L$2)-INDEX($H$3:$H$168,K263))</x:f>
      </x:c>
      <x:c r="M263" t="str">
        <x:f>IF(K263="","",IF(L263=1,1,FIND(CHAR(1),SUBSTITUTE(INDEX($B$3:$B$168,K263),CHAR(10),CHAR(1),L263-1))+1))</x:f>
      </x:c>
      <x:c r="N263" t="str">
        <x:f>IF(K263="","",IFERROR(FIND(CHAR(1),SUBSTITUTE(INDEX($B$3:$B$168,K263),CHAR(10),CHAR(1),L263)),LEN(INDEX($B$3:$B$168,K263))+1))</x:f>
      </x:c>
    </x:row>
    <x:row r="264" ht="15" customHeight="1">
      <x:c r="A264" s="81"/>
      <x:c r="B264"/>
      <x:c r="C264"/>
      <x:c r="D264" t="str">
        <x:f>IFERROR(IF(262&lt;=$O$1,INDEX($A$3:$A$168,MATCH(262,$I$3:$I$168,0)),IF(262&lt;=$O$1+$O$2,INDEX($F$3:$F$1994,MATCH(262-$O$1,$G$3:$G$1994,0)),"")),"")</x:f>
      </x:c>
      <x:c r="E264" t="str">
        <x:f>IF(K264="","",IF(N264&lt;=M264,"",TRIM(CLEAN(MID(INDEX($B$3:$B$168,K264),M264,N264-M264)))))</x:f>
      </x:c>
      <x:c r="F264" t="str">
        <x:f>IF(E264="","",IF(E264=TRIM(INDEX($A$3:$A$168,K264)),"",IF(RIGHT(TRIM(INDEX($A$3:$A$168,K264)),1)="]",LEFT(TRIM(INDEX($A$3:$A$168,K264)),LEN(TRIM(INDEX($A$3:$A$168,K264)))-1)&amp;", "&amp;SUBSTITUTE(SUBSTITUTE(SUBSTITUTE(E264," [",", "),"[",", "),"]","")&amp;"]",TRIM(INDEX($A$3:$A$168,K264))&amp;" ["&amp;SUBSTITUTE(SUBSTITUTE(SUBSTITUTE(E264," [",", "),"[",", "),"]","")&amp;"]")))</x:f>
      </x:c>
      <x:c r="G264" t="str">
        <x:f>IF(F264&lt;&gt;"",ROWS($F$3:F264)-COUNTBLANK($F$3:F264),"")</x:f>
      </x:c>
      <x:c r="H264"/>
      <x:c r="I264"/>
      <x:c r="J264"/>
      <x:c r="K264" t="str">
        <x:f>IF(ROW()-ROW($K$2)&lt;=SUM($J$3:$J$168),COUNTIF($H$3:$H$168,"&lt;"&amp;(ROW()-ROW($K$2))),"")</x:f>
      </x:c>
      <x:c r="L264" t="str">
        <x:f>IF(K264="","",ROW()-ROW($L$2)-INDEX($H$3:$H$168,K264))</x:f>
      </x:c>
      <x:c r="M264" t="str">
        <x:f>IF(K264="","",IF(L264=1,1,FIND(CHAR(1),SUBSTITUTE(INDEX($B$3:$B$168,K264),CHAR(10),CHAR(1),L264-1))+1))</x:f>
      </x:c>
      <x:c r="N264" t="str">
        <x:f>IF(K264="","",IFERROR(FIND(CHAR(1),SUBSTITUTE(INDEX($B$3:$B$168,K264),CHAR(10),CHAR(1),L264)),LEN(INDEX($B$3:$B$168,K264))+1))</x:f>
      </x:c>
    </x:row>
    <x:row r="265" ht="15" customHeight="1">
      <x:c r="A265" s="81"/>
      <x:c r="B265"/>
      <x:c r="C265"/>
      <x:c r="D265" t="str">
        <x:f>IFERROR(IF(263&lt;=$O$1,INDEX($A$3:$A$168,MATCH(263,$I$3:$I$168,0)),IF(263&lt;=$O$1+$O$2,INDEX($F$3:$F$1994,MATCH(263-$O$1,$G$3:$G$1994,0)),"")),"")</x:f>
      </x:c>
      <x:c r="E265" t="str">
        <x:f>IF(K265="","",IF(N265&lt;=M265,"",TRIM(CLEAN(MID(INDEX($B$3:$B$168,K265),M265,N265-M265)))))</x:f>
      </x:c>
      <x:c r="F265" t="str">
        <x:f>IF(E265="","",IF(E265=TRIM(INDEX($A$3:$A$168,K265)),"",IF(RIGHT(TRIM(INDEX($A$3:$A$168,K265)),1)="]",LEFT(TRIM(INDEX($A$3:$A$168,K265)),LEN(TRIM(INDEX($A$3:$A$168,K265)))-1)&amp;", "&amp;SUBSTITUTE(SUBSTITUTE(SUBSTITUTE(E265," [",", "),"[",", "),"]","")&amp;"]",TRIM(INDEX($A$3:$A$168,K265))&amp;" ["&amp;SUBSTITUTE(SUBSTITUTE(SUBSTITUTE(E265," [",", "),"[",", "),"]","")&amp;"]")))</x:f>
      </x:c>
      <x:c r="G265" t="str">
        <x:f>IF(F265&lt;&gt;"",ROWS($F$3:F265)-COUNTBLANK($F$3:F265),"")</x:f>
      </x:c>
      <x:c r="H265"/>
      <x:c r="I265"/>
      <x:c r="J265"/>
      <x:c r="K265" t="str">
        <x:f>IF(ROW()-ROW($K$2)&lt;=SUM($J$3:$J$168),COUNTIF($H$3:$H$168,"&lt;"&amp;(ROW()-ROW($K$2))),"")</x:f>
      </x:c>
      <x:c r="L265" t="str">
        <x:f>IF(K265="","",ROW()-ROW($L$2)-INDEX($H$3:$H$168,K265))</x:f>
      </x:c>
      <x:c r="M265" t="str">
        <x:f>IF(K265="","",IF(L265=1,1,FIND(CHAR(1),SUBSTITUTE(INDEX($B$3:$B$168,K265),CHAR(10),CHAR(1),L265-1))+1))</x:f>
      </x:c>
      <x:c r="N265" t="str">
        <x:f>IF(K265="","",IFERROR(FIND(CHAR(1),SUBSTITUTE(INDEX($B$3:$B$168,K265),CHAR(10),CHAR(1),L265)),LEN(INDEX($B$3:$B$168,K265))+1))</x:f>
      </x:c>
    </x:row>
    <x:row r="266" ht="15" customHeight="1">
      <x:c r="A266" s="81"/>
      <x:c r="B266"/>
      <x:c r="C266"/>
      <x:c r="D266" t="str">
        <x:f>IFERROR(IF(264&lt;=$O$1,INDEX($A$3:$A$168,MATCH(264,$I$3:$I$168,0)),IF(264&lt;=$O$1+$O$2,INDEX($F$3:$F$1994,MATCH(264-$O$1,$G$3:$G$1994,0)),"")),"")</x:f>
      </x:c>
      <x:c r="E266" t="str">
        <x:f>IF(K266="","",IF(N266&lt;=M266,"",TRIM(CLEAN(MID(INDEX($B$3:$B$168,K266),M266,N266-M266)))))</x:f>
      </x:c>
      <x:c r="F266" t="str">
        <x:f>IF(E266="","",IF(E266=TRIM(INDEX($A$3:$A$168,K266)),"",IF(RIGHT(TRIM(INDEX($A$3:$A$168,K266)),1)="]",LEFT(TRIM(INDEX($A$3:$A$168,K266)),LEN(TRIM(INDEX($A$3:$A$168,K266)))-1)&amp;", "&amp;SUBSTITUTE(SUBSTITUTE(SUBSTITUTE(E266," [",", "),"[",", "),"]","")&amp;"]",TRIM(INDEX($A$3:$A$168,K266))&amp;" ["&amp;SUBSTITUTE(SUBSTITUTE(SUBSTITUTE(E266," [",", "),"[",", "),"]","")&amp;"]")))</x:f>
      </x:c>
      <x:c r="G266" t="str">
        <x:f>IF(F266&lt;&gt;"",ROWS($F$3:F266)-COUNTBLANK($F$3:F266),"")</x:f>
      </x:c>
      <x:c r="H266"/>
      <x:c r="I266"/>
      <x:c r="J266"/>
      <x:c r="K266" t="str">
        <x:f>IF(ROW()-ROW($K$2)&lt;=SUM($J$3:$J$168),COUNTIF($H$3:$H$168,"&lt;"&amp;(ROW()-ROW($K$2))),"")</x:f>
      </x:c>
      <x:c r="L266" t="str">
        <x:f>IF(K266="","",ROW()-ROW($L$2)-INDEX($H$3:$H$168,K266))</x:f>
      </x:c>
      <x:c r="M266" t="str">
        <x:f>IF(K266="","",IF(L266=1,1,FIND(CHAR(1),SUBSTITUTE(INDEX($B$3:$B$168,K266),CHAR(10),CHAR(1),L266-1))+1))</x:f>
      </x:c>
      <x:c r="N266" t="str">
        <x:f>IF(K266="","",IFERROR(FIND(CHAR(1),SUBSTITUTE(INDEX($B$3:$B$168,K266),CHAR(10),CHAR(1),L266)),LEN(INDEX($B$3:$B$168,K266))+1))</x:f>
      </x:c>
    </x:row>
    <x:row r="267" ht="15" customHeight="1">
      <x:c r="A267" s="81"/>
      <x:c r="B267"/>
      <x:c r="C267"/>
      <x:c r="D267" t="str">
        <x:f>IFERROR(IF(265&lt;=$O$1,INDEX($A$3:$A$168,MATCH(265,$I$3:$I$168,0)),IF(265&lt;=$O$1+$O$2,INDEX($F$3:$F$1994,MATCH(265-$O$1,$G$3:$G$1994,0)),"")),"")</x:f>
      </x:c>
      <x:c r="E267" t="str">
        <x:f>IF(K267="","",IF(N267&lt;=M267,"",TRIM(CLEAN(MID(INDEX($B$3:$B$168,K267),M267,N267-M267)))))</x:f>
      </x:c>
      <x:c r="F267" t="str">
        <x:f>IF(E267="","",IF(E267=TRIM(INDEX($A$3:$A$168,K267)),"",IF(RIGHT(TRIM(INDEX($A$3:$A$168,K267)),1)="]",LEFT(TRIM(INDEX($A$3:$A$168,K267)),LEN(TRIM(INDEX($A$3:$A$168,K267)))-1)&amp;", "&amp;SUBSTITUTE(SUBSTITUTE(SUBSTITUTE(E267," [",", "),"[",", "),"]","")&amp;"]",TRIM(INDEX($A$3:$A$168,K267))&amp;" ["&amp;SUBSTITUTE(SUBSTITUTE(SUBSTITUTE(E267," [",", "),"[",", "),"]","")&amp;"]")))</x:f>
      </x:c>
      <x:c r="G267" t="str">
        <x:f>IF(F267&lt;&gt;"",ROWS($F$3:F267)-COUNTBLANK($F$3:F267),"")</x:f>
      </x:c>
      <x:c r="H267"/>
      <x:c r="I267"/>
      <x:c r="J267"/>
      <x:c r="K267" t="str">
        <x:f>IF(ROW()-ROW($K$2)&lt;=SUM($J$3:$J$168),COUNTIF($H$3:$H$168,"&lt;"&amp;(ROW()-ROW($K$2))),"")</x:f>
      </x:c>
      <x:c r="L267" t="str">
        <x:f>IF(K267="","",ROW()-ROW($L$2)-INDEX($H$3:$H$168,K267))</x:f>
      </x:c>
      <x:c r="M267" t="str">
        <x:f>IF(K267="","",IF(L267=1,1,FIND(CHAR(1),SUBSTITUTE(INDEX($B$3:$B$168,K267),CHAR(10),CHAR(1),L267-1))+1))</x:f>
      </x:c>
      <x:c r="N267" t="str">
        <x:f>IF(K267="","",IFERROR(FIND(CHAR(1),SUBSTITUTE(INDEX($B$3:$B$168,K267),CHAR(10),CHAR(1),L267)),LEN(INDEX($B$3:$B$168,K267))+1))</x:f>
      </x:c>
    </x:row>
    <x:row r="268" ht="15" customHeight="1">
      <x:c r="A268" s="81"/>
      <x:c r="B268"/>
      <x:c r="C268"/>
      <x:c r="D268" t="str">
        <x:f>IFERROR(IF(266&lt;=$O$1,INDEX($A$3:$A$168,MATCH(266,$I$3:$I$168,0)),IF(266&lt;=$O$1+$O$2,INDEX($F$3:$F$1994,MATCH(266-$O$1,$G$3:$G$1994,0)),"")),"")</x:f>
      </x:c>
      <x:c r="E268" t="str">
        <x:f>IF(K268="","",IF(N268&lt;=M268,"",TRIM(CLEAN(MID(INDEX($B$3:$B$168,K268),M268,N268-M268)))))</x:f>
      </x:c>
      <x:c r="F268" t="str">
        <x:f>IF(E268="","",IF(E268=TRIM(INDEX($A$3:$A$168,K268)),"",IF(RIGHT(TRIM(INDEX($A$3:$A$168,K268)),1)="]",LEFT(TRIM(INDEX($A$3:$A$168,K268)),LEN(TRIM(INDEX($A$3:$A$168,K268)))-1)&amp;", "&amp;SUBSTITUTE(SUBSTITUTE(SUBSTITUTE(E268," [",", "),"[",", "),"]","")&amp;"]",TRIM(INDEX($A$3:$A$168,K268))&amp;" ["&amp;SUBSTITUTE(SUBSTITUTE(SUBSTITUTE(E268," [",", "),"[",", "),"]","")&amp;"]")))</x:f>
      </x:c>
      <x:c r="G268" t="str">
        <x:f>IF(F268&lt;&gt;"",ROWS($F$3:F268)-COUNTBLANK($F$3:F268),"")</x:f>
      </x:c>
      <x:c r="H268"/>
      <x:c r="I268"/>
      <x:c r="J268"/>
      <x:c r="K268" t="str">
        <x:f>IF(ROW()-ROW($K$2)&lt;=SUM($J$3:$J$168),COUNTIF($H$3:$H$168,"&lt;"&amp;(ROW()-ROW($K$2))),"")</x:f>
      </x:c>
      <x:c r="L268" t="str">
        <x:f>IF(K268="","",ROW()-ROW($L$2)-INDEX($H$3:$H$168,K268))</x:f>
      </x:c>
      <x:c r="M268" t="str">
        <x:f>IF(K268="","",IF(L268=1,1,FIND(CHAR(1),SUBSTITUTE(INDEX($B$3:$B$168,K268),CHAR(10),CHAR(1),L268-1))+1))</x:f>
      </x:c>
      <x:c r="N268" t="str">
        <x:f>IF(K268="","",IFERROR(FIND(CHAR(1),SUBSTITUTE(INDEX($B$3:$B$168,K268),CHAR(10),CHAR(1),L268)),LEN(INDEX($B$3:$B$168,K268))+1))</x:f>
      </x:c>
    </x:row>
    <x:row r="269" ht="15" customHeight="1">
      <x:c r="A269" s="81"/>
      <x:c r="B269"/>
      <x:c r="C269"/>
      <x:c r="D269" t="str">
        <x:f>IFERROR(IF(267&lt;=$O$1,INDEX($A$3:$A$168,MATCH(267,$I$3:$I$168,0)),IF(267&lt;=$O$1+$O$2,INDEX($F$3:$F$1994,MATCH(267-$O$1,$G$3:$G$1994,0)),"")),"")</x:f>
      </x:c>
      <x:c r="E269" t="str">
        <x:f>IF(K269="","",IF(N269&lt;=M269,"",TRIM(CLEAN(MID(INDEX($B$3:$B$168,K269),M269,N269-M269)))))</x:f>
      </x:c>
      <x:c r="F269" t="str">
        <x:f>IF(E269="","",IF(E269=TRIM(INDEX($A$3:$A$168,K269)),"",IF(RIGHT(TRIM(INDEX($A$3:$A$168,K269)),1)="]",LEFT(TRIM(INDEX($A$3:$A$168,K269)),LEN(TRIM(INDEX($A$3:$A$168,K269)))-1)&amp;", "&amp;SUBSTITUTE(SUBSTITUTE(SUBSTITUTE(E269," [",", "),"[",", "),"]","")&amp;"]",TRIM(INDEX($A$3:$A$168,K269))&amp;" ["&amp;SUBSTITUTE(SUBSTITUTE(SUBSTITUTE(E269," [",", "),"[",", "),"]","")&amp;"]")))</x:f>
      </x:c>
      <x:c r="G269" t="str">
        <x:f>IF(F269&lt;&gt;"",ROWS($F$3:F269)-COUNTBLANK($F$3:F269),"")</x:f>
      </x:c>
      <x:c r="H269"/>
      <x:c r="I269"/>
      <x:c r="J269"/>
      <x:c r="K269" t="str">
        <x:f>IF(ROW()-ROW($K$2)&lt;=SUM($J$3:$J$168),COUNTIF($H$3:$H$168,"&lt;"&amp;(ROW()-ROW($K$2))),"")</x:f>
      </x:c>
      <x:c r="L269" t="str">
        <x:f>IF(K269="","",ROW()-ROW($L$2)-INDEX($H$3:$H$168,K269))</x:f>
      </x:c>
      <x:c r="M269" t="str">
        <x:f>IF(K269="","",IF(L269=1,1,FIND(CHAR(1),SUBSTITUTE(INDEX($B$3:$B$168,K269),CHAR(10),CHAR(1),L269-1))+1))</x:f>
      </x:c>
      <x:c r="N269" t="str">
        <x:f>IF(K269="","",IFERROR(FIND(CHAR(1),SUBSTITUTE(INDEX($B$3:$B$168,K269),CHAR(10),CHAR(1),L269)),LEN(INDEX($B$3:$B$168,K269))+1))</x:f>
      </x:c>
    </x:row>
    <x:row r="270" ht="15" customHeight="1">
      <x:c r="A270" s="81"/>
      <x:c r="B270"/>
      <x:c r="C270"/>
      <x:c r="D270" t="str">
        <x:f>IFERROR(IF(268&lt;=$O$1,INDEX($A$3:$A$168,MATCH(268,$I$3:$I$168,0)),IF(268&lt;=$O$1+$O$2,INDEX($F$3:$F$1994,MATCH(268-$O$1,$G$3:$G$1994,0)),"")),"")</x:f>
      </x:c>
      <x:c r="E270" t="str">
        <x:f>IF(K270="","",IF(N270&lt;=M270,"",TRIM(CLEAN(MID(INDEX($B$3:$B$168,K270),M270,N270-M270)))))</x:f>
      </x:c>
      <x:c r="F270" t="str">
        <x:f>IF(E270="","",IF(E270=TRIM(INDEX($A$3:$A$168,K270)),"",IF(RIGHT(TRIM(INDEX($A$3:$A$168,K270)),1)="]",LEFT(TRIM(INDEX($A$3:$A$168,K270)),LEN(TRIM(INDEX($A$3:$A$168,K270)))-1)&amp;", "&amp;SUBSTITUTE(SUBSTITUTE(SUBSTITUTE(E270," [",", "),"[",", "),"]","")&amp;"]",TRIM(INDEX($A$3:$A$168,K270))&amp;" ["&amp;SUBSTITUTE(SUBSTITUTE(SUBSTITUTE(E270," [",", "),"[",", "),"]","")&amp;"]")))</x:f>
      </x:c>
      <x:c r="G270" t="str">
        <x:f>IF(F270&lt;&gt;"",ROWS($F$3:F270)-COUNTBLANK($F$3:F270),"")</x:f>
      </x:c>
      <x:c r="H270"/>
      <x:c r="I270"/>
      <x:c r="J270"/>
      <x:c r="K270" t="str">
        <x:f>IF(ROW()-ROW($K$2)&lt;=SUM($J$3:$J$168),COUNTIF($H$3:$H$168,"&lt;"&amp;(ROW()-ROW($K$2))),"")</x:f>
      </x:c>
      <x:c r="L270" t="str">
        <x:f>IF(K270="","",ROW()-ROW($L$2)-INDEX($H$3:$H$168,K270))</x:f>
      </x:c>
      <x:c r="M270" t="str">
        <x:f>IF(K270="","",IF(L270=1,1,FIND(CHAR(1),SUBSTITUTE(INDEX($B$3:$B$168,K270),CHAR(10),CHAR(1),L270-1))+1))</x:f>
      </x:c>
      <x:c r="N270" t="str">
        <x:f>IF(K270="","",IFERROR(FIND(CHAR(1),SUBSTITUTE(INDEX($B$3:$B$168,K270),CHAR(10),CHAR(1),L270)),LEN(INDEX($B$3:$B$168,K270))+1))</x:f>
      </x:c>
    </x:row>
    <x:row r="271" ht="15" customHeight="1">
      <x:c r="A271" s="81"/>
      <x:c r="B271"/>
      <x:c r="C271"/>
      <x:c r="D271" t="str">
        <x:f>IFERROR(IF(269&lt;=$O$1,INDEX($A$3:$A$168,MATCH(269,$I$3:$I$168,0)),IF(269&lt;=$O$1+$O$2,INDEX($F$3:$F$1994,MATCH(269-$O$1,$G$3:$G$1994,0)),"")),"")</x:f>
      </x:c>
      <x:c r="E271" t="str">
        <x:f>IF(K271="","",IF(N271&lt;=M271,"",TRIM(CLEAN(MID(INDEX($B$3:$B$168,K271),M271,N271-M271)))))</x:f>
      </x:c>
      <x:c r="F271" t="str">
        <x:f>IF(E271="","",IF(E271=TRIM(INDEX($A$3:$A$168,K271)),"",IF(RIGHT(TRIM(INDEX($A$3:$A$168,K271)),1)="]",LEFT(TRIM(INDEX($A$3:$A$168,K271)),LEN(TRIM(INDEX($A$3:$A$168,K271)))-1)&amp;", "&amp;SUBSTITUTE(SUBSTITUTE(SUBSTITUTE(E271," [",", "),"[",", "),"]","")&amp;"]",TRIM(INDEX($A$3:$A$168,K271))&amp;" ["&amp;SUBSTITUTE(SUBSTITUTE(SUBSTITUTE(E271," [",", "),"[",", "),"]","")&amp;"]")))</x:f>
      </x:c>
      <x:c r="G271" t="str">
        <x:f>IF(F271&lt;&gt;"",ROWS($F$3:F271)-COUNTBLANK($F$3:F271),"")</x:f>
      </x:c>
      <x:c r="H271"/>
      <x:c r="I271"/>
      <x:c r="J271"/>
      <x:c r="K271" t="str">
        <x:f>IF(ROW()-ROW($K$2)&lt;=SUM($J$3:$J$168),COUNTIF($H$3:$H$168,"&lt;"&amp;(ROW()-ROW($K$2))),"")</x:f>
      </x:c>
      <x:c r="L271" t="str">
        <x:f>IF(K271="","",ROW()-ROW($L$2)-INDEX($H$3:$H$168,K271))</x:f>
      </x:c>
      <x:c r="M271" t="str">
        <x:f>IF(K271="","",IF(L271=1,1,FIND(CHAR(1),SUBSTITUTE(INDEX($B$3:$B$168,K271),CHAR(10),CHAR(1),L271-1))+1))</x:f>
      </x:c>
      <x:c r="N271" t="str">
        <x:f>IF(K271="","",IFERROR(FIND(CHAR(1),SUBSTITUTE(INDEX($B$3:$B$168,K271),CHAR(10),CHAR(1),L271)),LEN(INDEX($B$3:$B$168,K271))+1))</x:f>
      </x:c>
    </x:row>
    <x:row r="272" ht="15" customHeight="1">
      <x:c r="A272" s="81"/>
      <x:c r="B272"/>
      <x:c r="C272"/>
      <x:c r="D272" t="str">
        <x:f>IFERROR(IF(270&lt;=$O$1,INDEX($A$3:$A$168,MATCH(270,$I$3:$I$168,0)),IF(270&lt;=$O$1+$O$2,INDEX($F$3:$F$1994,MATCH(270-$O$1,$G$3:$G$1994,0)),"")),"")</x:f>
      </x:c>
      <x:c r="E272" t="str">
        <x:f>IF(K272="","",IF(N272&lt;=M272,"",TRIM(CLEAN(MID(INDEX($B$3:$B$168,K272),M272,N272-M272)))))</x:f>
      </x:c>
      <x:c r="F272" t="str">
        <x:f>IF(E272="","",IF(E272=TRIM(INDEX($A$3:$A$168,K272)),"",IF(RIGHT(TRIM(INDEX($A$3:$A$168,K272)),1)="]",LEFT(TRIM(INDEX($A$3:$A$168,K272)),LEN(TRIM(INDEX($A$3:$A$168,K272)))-1)&amp;", "&amp;SUBSTITUTE(SUBSTITUTE(SUBSTITUTE(E272," [",", "),"[",", "),"]","")&amp;"]",TRIM(INDEX($A$3:$A$168,K272))&amp;" ["&amp;SUBSTITUTE(SUBSTITUTE(SUBSTITUTE(E272," [",", "),"[",", "),"]","")&amp;"]")))</x:f>
      </x:c>
      <x:c r="G272" t="str">
        <x:f>IF(F272&lt;&gt;"",ROWS($F$3:F272)-COUNTBLANK($F$3:F272),"")</x:f>
      </x:c>
      <x:c r="H272"/>
      <x:c r="I272"/>
      <x:c r="J272"/>
      <x:c r="K272" t="str">
        <x:f>IF(ROW()-ROW($K$2)&lt;=SUM($J$3:$J$168),COUNTIF($H$3:$H$168,"&lt;"&amp;(ROW()-ROW($K$2))),"")</x:f>
      </x:c>
      <x:c r="L272" t="str">
        <x:f>IF(K272="","",ROW()-ROW($L$2)-INDEX($H$3:$H$168,K272))</x:f>
      </x:c>
      <x:c r="M272" t="str">
        <x:f>IF(K272="","",IF(L272=1,1,FIND(CHAR(1),SUBSTITUTE(INDEX($B$3:$B$168,K272),CHAR(10),CHAR(1),L272-1))+1))</x:f>
      </x:c>
      <x:c r="N272" t="str">
        <x:f>IF(K272="","",IFERROR(FIND(CHAR(1),SUBSTITUTE(INDEX($B$3:$B$168,K272),CHAR(10),CHAR(1),L272)),LEN(INDEX($B$3:$B$168,K272))+1))</x:f>
      </x:c>
    </x:row>
    <x:row r="273" ht="15" customHeight="1">
      <x:c r="A273" s="81"/>
      <x:c r="B273"/>
      <x:c r="C273"/>
      <x:c r="D273" t="str">
        <x:f>IFERROR(IF(271&lt;=$O$1,INDEX($A$3:$A$168,MATCH(271,$I$3:$I$168,0)),IF(271&lt;=$O$1+$O$2,INDEX($F$3:$F$1994,MATCH(271-$O$1,$G$3:$G$1994,0)),"")),"")</x:f>
      </x:c>
      <x:c r="E273" t="str">
        <x:f>IF(K273="","",IF(N273&lt;=M273,"",TRIM(CLEAN(MID(INDEX($B$3:$B$168,K273),M273,N273-M273)))))</x:f>
      </x:c>
      <x:c r="F273" t="str">
        <x:f>IF(E273="","",IF(E273=TRIM(INDEX($A$3:$A$168,K273)),"",IF(RIGHT(TRIM(INDEX($A$3:$A$168,K273)),1)="]",LEFT(TRIM(INDEX($A$3:$A$168,K273)),LEN(TRIM(INDEX($A$3:$A$168,K273)))-1)&amp;", "&amp;SUBSTITUTE(SUBSTITUTE(SUBSTITUTE(E273," [",", "),"[",", "),"]","")&amp;"]",TRIM(INDEX($A$3:$A$168,K273))&amp;" ["&amp;SUBSTITUTE(SUBSTITUTE(SUBSTITUTE(E273," [",", "),"[",", "),"]","")&amp;"]")))</x:f>
      </x:c>
      <x:c r="G273" t="str">
        <x:f>IF(F273&lt;&gt;"",ROWS($F$3:F273)-COUNTBLANK($F$3:F273),"")</x:f>
      </x:c>
      <x:c r="H273"/>
      <x:c r="I273"/>
      <x:c r="J273"/>
      <x:c r="K273" t="str">
        <x:f>IF(ROW()-ROW($K$2)&lt;=SUM($J$3:$J$168),COUNTIF($H$3:$H$168,"&lt;"&amp;(ROW()-ROW($K$2))),"")</x:f>
      </x:c>
      <x:c r="L273" t="str">
        <x:f>IF(K273="","",ROW()-ROW($L$2)-INDEX($H$3:$H$168,K273))</x:f>
      </x:c>
      <x:c r="M273" t="str">
        <x:f>IF(K273="","",IF(L273=1,1,FIND(CHAR(1),SUBSTITUTE(INDEX($B$3:$B$168,K273),CHAR(10),CHAR(1),L273-1))+1))</x:f>
      </x:c>
      <x:c r="N273" t="str">
        <x:f>IF(K273="","",IFERROR(FIND(CHAR(1),SUBSTITUTE(INDEX($B$3:$B$168,K273),CHAR(10),CHAR(1),L273)),LEN(INDEX($B$3:$B$168,K273))+1))</x:f>
      </x:c>
    </x:row>
    <x:row r="274" ht="15" customHeight="1">
      <x:c r="A274" s="81"/>
      <x:c r="B274"/>
      <x:c r="C274"/>
      <x:c r="D274" t="str">
        <x:f>IFERROR(IF(272&lt;=$O$1,INDEX($A$3:$A$168,MATCH(272,$I$3:$I$168,0)),IF(272&lt;=$O$1+$O$2,INDEX($F$3:$F$1994,MATCH(272-$O$1,$G$3:$G$1994,0)),"")),"")</x:f>
      </x:c>
      <x:c r="E274" t="str">
        <x:f>IF(K274="","",IF(N274&lt;=M274,"",TRIM(CLEAN(MID(INDEX($B$3:$B$168,K274),M274,N274-M274)))))</x:f>
      </x:c>
      <x:c r="F274" t="str">
        <x:f>IF(E274="","",IF(E274=TRIM(INDEX($A$3:$A$168,K274)),"",IF(RIGHT(TRIM(INDEX($A$3:$A$168,K274)),1)="]",LEFT(TRIM(INDEX($A$3:$A$168,K274)),LEN(TRIM(INDEX($A$3:$A$168,K274)))-1)&amp;", "&amp;SUBSTITUTE(SUBSTITUTE(SUBSTITUTE(E274," [",", "),"[",", "),"]","")&amp;"]",TRIM(INDEX($A$3:$A$168,K274))&amp;" ["&amp;SUBSTITUTE(SUBSTITUTE(SUBSTITUTE(E274," [",", "),"[",", "),"]","")&amp;"]")))</x:f>
      </x:c>
      <x:c r="G274" t="str">
        <x:f>IF(F274&lt;&gt;"",ROWS($F$3:F274)-COUNTBLANK($F$3:F274),"")</x:f>
      </x:c>
      <x:c r="H274"/>
      <x:c r="I274"/>
      <x:c r="J274"/>
      <x:c r="K274" t="str">
        <x:f>IF(ROW()-ROW($K$2)&lt;=SUM($J$3:$J$168),COUNTIF($H$3:$H$168,"&lt;"&amp;(ROW()-ROW($K$2))),"")</x:f>
      </x:c>
      <x:c r="L274" t="str">
        <x:f>IF(K274="","",ROW()-ROW($L$2)-INDEX($H$3:$H$168,K274))</x:f>
      </x:c>
      <x:c r="M274" t="str">
        <x:f>IF(K274="","",IF(L274=1,1,FIND(CHAR(1),SUBSTITUTE(INDEX($B$3:$B$168,K274),CHAR(10),CHAR(1),L274-1))+1))</x:f>
      </x:c>
      <x:c r="N274" t="str">
        <x:f>IF(K274="","",IFERROR(FIND(CHAR(1),SUBSTITUTE(INDEX($B$3:$B$168,K274),CHAR(10),CHAR(1),L274)),LEN(INDEX($B$3:$B$168,K274))+1))</x:f>
      </x:c>
    </x:row>
    <x:row r="275" ht="15" customHeight="1">
      <x:c r="A275" s="81"/>
      <x:c r="B275"/>
      <x:c r="C275"/>
      <x:c r="D275" t="str">
        <x:f>IFERROR(IF(273&lt;=$O$1,INDEX($A$3:$A$168,MATCH(273,$I$3:$I$168,0)),IF(273&lt;=$O$1+$O$2,INDEX($F$3:$F$1994,MATCH(273-$O$1,$G$3:$G$1994,0)),"")),"")</x:f>
      </x:c>
      <x:c r="E275" t="str">
        <x:f>IF(K275="","",IF(N275&lt;=M275,"",TRIM(CLEAN(MID(INDEX($B$3:$B$168,K275),M275,N275-M275)))))</x:f>
      </x:c>
      <x:c r="F275" t="str">
        <x:f>IF(E275="","",IF(E275=TRIM(INDEX($A$3:$A$168,K275)),"",IF(RIGHT(TRIM(INDEX($A$3:$A$168,K275)),1)="]",LEFT(TRIM(INDEX($A$3:$A$168,K275)),LEN(TRIM(INDEX($A$3:$A$168,K275)))-1)&amp;", "&amp;SUBSTITUTE(SUBSTITUTE(SUBSTITUTE(E275," [",", "),"[",", "),"]","")&amp;"]",TRIM(INDEX($A$3:$A$168,K275))&amp;" ["&amp;SUBSTITUTE(SUBSTITUTE(SUBSTITUTE(E275," [",", "),"[",", "),"]","")&amp;"]")))</x:f>
      </x:c>
      <x:c r="G275" t="str">
        <x:f>IF(F275&lt;&gt;"",ROWS($F$3:F275)-COUNTBLANK($F$3:F275),"")</x:f>
      </x:c>
      <x:c r="H275"/>
      <x:c r="I275"/>
      <x:c r="J275"/>
      <x:c r="K275" t="str">
        <x:f>IF(ROW()-ROW($K$2)&lt;=SUM($J$3:$J$168),COUNTIF($H$3:$H$168,"&lt;"&amp;(ROW()-ROW($K$2))),"")</x:f>
      </x:c>
      <x:c r="L275" t="str">
        <x:f>IF(K275="","",ROW()-ROW($L$2)-INDEX($H$3:$H$168,K275))</x:f>
      </x:c>
      <x:c r="M275" t="str">
        <x:f>IF(K275="","",IF(L275=1,1,FIND(CHAR(1),SUBSTITUTE(INDEX($B$3:$B$168,K275),CHAR(10),CHAR(1),L275-1))+1))</x:f>
      </x:c>
      <x:c r="N275" t="str">
        <x:f>IF(K275="","",IFERROR(FIND(CHAR(1),SUBSTITUTE(INDEX($B$3:$B$168,K275),CHAR(10),CHAR(1),L275)),LEN(INDEX($B$3:$B$168,K275))+1))</x:f>
      </x:c>
    </x:row>
    <x:row r="276" ht="15" customHeight="1">
      <x:c r="A276" s="81"/>
      <x:c r="B276"/>
      <x:c r="C276"/>
      <x:c r="D276" t="str">
        <x:f>IFERROR(IF(274&lt;=$O$1,INDEX($A$3:$A$168,MATCH(274,$I$3:$I$168,0)),IF(274&lt;=$O$1+$O$2,INDEX($F$3:$F$1994,MATCH(274-$O$1,$G$3:$G$1994,0)),"")),"")</x:f>
      </x:c>
      <x:c r="E276" t="str">
        <x:f>IF(K276="","",IF(N276&lt;=M276,"",TRIM(CLEAN(MID(INDEX($B$3:$B$168,K276),M276,N276-M276)))))</x:f>
      </x:c>
      <x:c r="F276" t="str">
        <x:f>IF(E276="","",IF(E276=TRIM(INDEX($A$3:$A$168,K276)),"",IF(RIGHT(TRIM(INDEX($A$3:$A$168,K276)),1)="]",LEFT(TRIM(INDEX($A$3:$A$168,K276)),LEN(TRIM(INDEX($A$3:$A$168,K276)))-1)&amp;", "&amp;SUBSTITUTE(SUBSTITUTE(SUBSTITUTE(E276," [",", "),"[",", "),"]","")&amp;"]",TRIM(INDEX($A$3:$A$168,K276))&amp;" ["&amp;SUBSTITUTE(SUBSTITUTE(SUBSTITUTE(E276," [",", "),"[",", "),"]","")&amp;"]")))</x:f>
      </x:c>
      <x:c r="G276" t="str">
        <x:f>IF(F276&lt;&gt;"",ROWS($F$3:F276)-COUNTBLANK($F$3:F276),"")</x:f>
      </x:c>
      <x:c r="H276"/>
      <x:c r="I276"/>
      <x:c r="J276"/>
      <x:c r="K276" t="str">
        <x:f>IF(ROW()-ROW($K$2)&lt;=SUM($J$3:$J$168),COUNTIF($H$3:$H$168,"&lt;"&amp;(ROW()-ROW($K$2))),"")</x:f>
      </x:c>
      <x:c r="L276" t="str">
        <x:f>IF(K276="","",ROW()-ROW($L$2)-INDEX($H$3:$H$168,K276))</x:f>
      </x:c>
      <x:c r="M276" t="str">
        <x:f>IF(K276="","",IF(L276=1,1,FIND(CHAR(1),SUBSTITUTE(INDEX($B$3:$B$168,K276),CHAR(10),CHAR(1),L276-1))+1))</x:f>
      </x:c>
      <x:c r="N276" t="str">
        <x:f>IF(K276="","",IFERROR(FIND(CHAR(1),SUBSTITUTE(INDEX($B$3:$B$168,K276),CHAR(10),CHAR(1),L276)),LEN(INDEX($B$3:$B$168,K276))+1))</x:f>
      </x:c>
    </x:row>
    <x:row r="277" ht="15" customHeight="1">
      <x:c r="A277" s="81"/>
      <x:c r="B277"/>
      <x:c r="C277"/>
      <x:c r="D277" t="str">
        <x:f>IFERROR(IF(275&lt;=$O$1,INDEX($A$3:$A$168,MATCH(275,$I$3:$I$168,0)),IF(275&lt;=$O$1+$O$2,INDEX($F$3:$F$1994,MATCH(275-$O$1,$G$3:$G$1994,0)),"")),"")</x:f>
      </x:c>
      <x:c r="E277" t="str">
        <x:f>IF(K277="","",IF(N277&lt;=M277,"",TRIM(CLEAN(MID(INDEX($B$3:$B$168,K277),M277,N277-M277)))))</x:f>
      </x:c>
      <x:c r="F277" t="str">
        <x:f>IF(E277="","",IF(E277=TRIM(INDEX($A$3:$A$168,K277)),"",IF(RIGHT(TRIM(INDEX($A$3:$A$168,K277)),1)="]",LEFT(TRIM(INDEX($A$3:$A$168,K277)),LEN(TRIM(INDEX($A$3:$A$168,K277)))-1)&amp;", "&amp;SUBSTITUTE(SUBSTITUTE(SUBSTITUTE(E277," [",", "),"[",", "),"]","")&amp;"]",TRIM(INDEX($A$3:$A$168,K277))&amp;" ["&amp;SUBSTITUTE(SUBSTITUTE(SUBSTITUTE(E277," [",", "),"[",", "),"]","")&amp;"]")))</x:f>
      </x:c>
      <x:c r="G277" t="str">
        <x:f>IF(F277&lt;&gt;"",ROWS($F$3:F277)-COUNTBLANK($F$3:F277),"")</x:f>
      </x:c>
      <x:c r="H277"/>
      <x:c r="I277"/>
      <x:c r="J277"/>
      <x:c r="K277" t="str">
        <x:f>IF(ROW()-ROW($K$2)&lt;=SUM($J$3:$J$168),COUNTIF($H$3:$H$168,"&lt;"&amp;(ROW()-ROW($K$2))),"")</x:f>
      </x:c>
      <x:c r="L277" t="str">
        <x:f>IF(K277="","",ROW()-ROW($L$2)-INDEX($H$3:$H$168,K277))</x:f>
      </x:c>
      <x:c r="M277" t="str">
        <x:f>IF(K277="","",IF(L277=1,1,FIND(CHAR(1),SUBSTITUTE(INDEX($B$3:$B$168,K277),CHAR(10),CHAR(1),L277-1))+1))</x:f>
      </x:c>
      <x:c r="N277" t="str">
        <x:f>IF(K277="","",IFERROR(FIND(CHAR(1),SUBSTITUTE(INDEX($B$3:$B$168,K277),CHAR(10),CHAR(1),L277)),LEN(INDEX($B$3:$B$168,K277))+1))</x:f>
      </x:c>
    </x:row>
    <x:row r="278" ht="15" customHeight="1">
      <x:c r="A278" s="81"/>
      <x:c r="B278"/>
      <x:c r="C278"/>
      <x:c r="D278" t="str">
        <x:f>IFERROR(IF(276&lt;=$O$1,INDEX($A$3:$A$168,MATCH(276,$I$3:$I$168,0)),IF(276&lt;=$O$1+$O$2,INDEX($F$3:$F$1994,MATCH(276-$O$1,$G$3:$G$1994,0)),"")),"")</x:f>
      </x:c>
      <x:c r="E278" t="str">
        <x:f>IF(K278="","",IF(N278&lt;=M278,"",TRIM(CLEAN(MID(INDEX($B$3:$B$168,K278),M278,N278-M278)))))</x:f>
      </x:c>
      <x:c r="F278" t="str">
        <x:f>IF(E278="","",IF(E278=TRIM(INDEX($A$3:$A$168,K278)),"",IF(RIGHT(TRIM(INDEX($A$3:$A$168,K278)),1)="]",LEFT(TRIM(INDEX($A$3:$A$168,K278)),LEN(TRIM(INDEX($A$3:$A$168,K278)))-1)&amp;", "&amp;SUBSTITUTE(SUBSTITUTE(SUBSTITUTE(E278," [",", "),"[",", "),"]","")&amp;"]",TRIM(INDEX($A$3:$A$168,K278))&amp;" ["&amp;SUBSTITUTE(SUBSTITUTE(SUBSTITUTE(E278," [",", "),"[",", "),"]","")&amp;"]")))</x:f>
      </x:c>
      <x:c r="G278" t="str">
        <x:f>IF(F278&lt;&gt;"",ROWS($F$3:F278)-COUNTBLANK($F$3:F278),"")</x:f>
      </x:c>
      <x:c r="H278"/>
      <x:c r="I278"/>
      <x:c r="J278"/>
      <x:c r="K278" t="str">
        <x:f>IF(ROW()-ROW($K$2)&lt;=SUM($J$3:$J$168),COUNTIF($H$3:$H$168,"&lt;"&amp;(ROW()-ROW($K$2))),"")</x:f>
      </x:c>
      <x:c r="L278" t="str">
        <x:f>IF(K278="","",ROW()-ROW($L$2)-INDEX($H$3:$H$168,K278))</x:f>
      </x:c>
      <x:c r="M278" t="str">
        <x:f>IF(K278="","",IF(L278=1,1,FIND(CHAR(1),SUBSTITUTE(INDEX($B$3:$B$168,K278),CHAR(10),CHAR(1),L278-1))+1))</x:f>
      </x:c>
      <x:c r="N278" t="str">
        <x:f>IF(K278="","",IFERROR(FIND(CHAR(1),SUBSTITUTE(INDEX($B$3:$B$168,K278),CHAR(10),CHAR(1),L278)),LEN(INDEX($B$3:$B$168,K278))+1))</x:f>
      </x:c>
    </x:row>
    <x:row r="279" ht="15" customHeight="1">
      <x:c r="A279" s="81"/>
      <x:c r="B279"/>
      <x:c r="C279"/>
      <x:c r="D279" t="str">
        <x:f>IFERROR(IF(277&lt;=$O$1,INDEX($A$3:$A$168,MATCH(277,$I$3:$I$168,0)),IF(277&lt;=$O$1+$O$2,INDEX($F$3:$F$1994,MATCH(277-$O$1,$G$3:$G$1994,0)),"")),"")</x:f>
      </x:c>
      <x:c r="E279" t="str">
        <x:f>IF(K279="","",IF(N279&lt;=M279,"",TRIM(CLEAN(MID(INDEX($B$3:$B$168,K279),M279,N279-M279)))))</x:f>
      </x:c>
      <x:c r="F279" t="str">
        <x:f>IF(E279="","",IF(E279=TRIM(INDEX($A$3:$A$168,K279)),"",IF(RIGHT(TRIM(INDEX($A$3:$A$168,K279)),1)="]",LEFT(TRIM(INDEX($A$3:$A$168,K279)),LEN(TRIM(INDEX($A$3:$A$168,K279)))-1)&amp;", "&amp;SUBSTITUTE(SUBSTITUTE(SUBSTITUTE(E279," [",", "),"[",", "),"]","")&amp;"]",TRIM(INDEX($A$3:$A$168,K279))&amp;" ["&amp;SUBSTITUTE(SUBSTITUTE(SUBSTITUTE(E279," [",", "),"[",", "),"]","")&amp;"]")))</x:f>
      </x:c>
      <x:c r="G279" t="str">
        <x:f>IF(F279&lt;&gt;"",ROWS($F$3:F279)-COUNTBLANK($F$3:F279),"")</x:f>
      </x:c>
      <x:c r="H279"/>
      <x:c r="I279"/>
      <x:c r="J279"/>
      <x:c r="K279" t="str">
        <x:f>IF(ROW()-ROW($K$2)&lt;=SUM($J$3:$J$168),COUNTIF($H$3:$H$168,"&lt;"&amp;(ROW()-ROW($K$2))),"")</x:f>
      </x:c>
      <x:c r="L279" t="str">
        <x:f>IF(K279="","",ROW()-ROW($L$2)-INDEX($H$3:$H$168,K279))</x:f>
      </x:c>
      <x:c r="M279" t="str">
        <x:f>IF(K279="","",IF(L279=1,1,FIND(CHAR(1),SUBSTITUTE(INDEX($B$3:$B$168,K279),CHAR(10),CHAR(1),L279-1))+1))</x:f>
      </x:c>
      <x:c r="N279" t="str">
        <x:f>IF(K279="","",IFERROR(FIND(CHAR(1),SUBSTITUTE(INDEX($B$3:$B$168,K279),CHAR(10),CHAR(1),L279)),LEN(INDEX($B$3:$B$168,K279))+1))</x:f>
      </x:c>
    </x:row>
    <x:row r="280" ht="15" customHeight="1">
      <x:c r="A280" s="81"/>
      <x:c r="B280"/>
      <x:c r="C280"/>
      <x:c r="D280" t="str">
        <x:f>IFERROR(IF(278&lt;=$O$1,INDEX($A$3:$A$168,MATCH(278,$I$3:$I$168,0)),IF(278&lt;=$O$1+$O$2,INDEX($F$3:$F$1994,MATCH(278-$O$1,$G$3:$G$1994,0)),"")),"")</x:f>
      </x:c>
      <x:c r="E280" t="str">
        <x:f>IF(K280="","",IF(N280&lt;=M280,"",TRIM(CLEAN(MID(INDEX($B$3:$B$168,K280),M280,N280-M280)))))</x:f>
      </x:c>
      <x:c r="F280" t="str">
        <x:f>IF(E280="","",IF(E280=TRIM(INDEX($A$3:$A$168,K280)),"",IF(RIGHT(TRIM(INDEX($A$3:$A$168,K280)),1)="]",LEFT(TRIM(INDEX($A$3:$A$168,K280)),LEN(TRIM(INDEX($A$3:$A$168,K280)))-1)&amp;", "&amp;SUBSTITUTE(SUBSTITUTE(SUBSTITUTE(E280," [",", "),"[",", "),"]","")&amp;"]",TRIM(INDEX($A$3:$A$168,K280))&amp;" ["&amp;SUBSTITUTE(SUBSTITUTE(SUBSTITUTE(E280," [",", "),"[",", "),"]","")&amp;"]")))</x:f>
      </x:c>
      <x:c r="G280" t="str">
        <x:f>IF(F280&lt;&gt;"",ROWS($F$3:F280)-COUNTBLANK($F$3:F280),"")</x:f>
      </x:c>
      <x:c r="H280"/>
      <x:c r="I280"/>
      <x:c r="J280"/>
      <x:c r="K280" t="str">
        <x:f>IF(ROW()-ROW($K$2)&lt;=SUM($J$3:$J$168),COUNTIF($H$3:$H$168,"&lt;"&amp;(ROW()-ROW($K$2))),"")</x:f>
      </x:c>
      <x:c r="L280" t="str">
        <x:f>IF(K280="","",ROW()-ROW($L$2)-INDEX($H$3:$H$168,K280))</x:f>
      </x:c>
      <x:c r="M280" t="str">
        <x:f>IF(K280="","",IF(L280=1,1,FIND(CHAR(1),SUBSTITUTE(INDEX($B$3:$B$168,K280),CHAR(10),CHAR(1),L280-1))+1))</x:f>
      </x:c>
      <x:c r="N280" t="str">
        <x:f>IF(K280="","",IFERROR(FIND(CHAR(1),SUBSTITUTE(INDEX($B$3:$B$168,K280),CHAR(10),CHAR(1),L280)),LEN(INDEX($B$3:$B$168,K280))+1))</x:f>
      </x:c>
    </x:row>
    <x:row r="281" ht="15" customHeight="1">
      <x:c r="A281" s="81"/>
      <x:c r="B281"/>
      <x:c r="C281"/>
      <x:c r="D281" t="str">
        <x:f>IFERROR(IF(279&lt;=$O$1,INDEX($A$3:$A$168,MATCH(279,$I$3:$I$168,0)),IF(279&lt;=$O$1+$O$2,INDEX($F$3:$F$1994,MATCH(279-$O$1,$G$3:$G$1994,0)),"")),"")</x:f>
      </x:c>
      <x:c r="E281" t="str">
        <x:f>IF(K281="","",IF(N281&lt;=M281,"",TRIM(CLEAN(MID(INDEX($B$3:$B$168,K281),M281,N281-M281)))))</x:f>
      </x:c>
      <x:c r="F281" t="str">
        <x:f>IF(E281="","",IF(E281=TRIM(INDEX($A$3:$A$168,K281)),"",IF(RIGHT(TRIM(INDEX($A$3:$A$168,K281)),1)="]",LEFT(TRIM(INDEX($A$3:$A$168,K281)),LEN(TRIM(INDEX($A$3:$A$168,K281)))-1)&amp;", "&amp;SUBSTITUTE(SUBSTITUTE(SUBSTITUTE(E281," [",", "),"[",", "),"]","")&amp;"]",TRIM(INDEX($A$3:$A$168,K281))&amp;" ["&amp;SUBSTITUTE(SUBSTITUTE(SUBSTITUTE(E281," [",", "),"[",", "),"]","")&amp;"]")))</x:f>
      </x:c>
      <x:c r="G281" t="str">
        <x:f>IF(F281&lt;&gt;"",ROWS($F$3:F281)-COUNTBLANK($F$3:F281),"")</x:f>
      </x:c>
      <x:c r="H281"/>
      <x:c r="I281"/>
      <x:c r="J281"/>
      <x:c r="K281" t="str">
        <x:f>IF(ROW()-ROW($K$2)&lt;=SUM($J$3:$J$168),COUNTIF($H$3:$H$168,"&lt;"&amp;(ROW()-ROW($K$2))),"")</x:f>
      </x:c>
      <x:c r="L281" t="str">
        <x:f>IF(K281="","",ROW()-ROW($L$2)-INDEX($H$3:$H$168,K281))</x:f>
      </x:c>
      <x:c r="M281" t="str">
        <x:f>IF(K281="","",IF(L281=1,1,FIND(CHAR(1),SUBSTITUTE(INDEX($B$3:$B$168,K281),CHAR(10),CHAR(1),L281-1))+1))</x:f>
      </x:c>
      <x:c r="N281" t="str">
        <x:f>IF(K281="","",IFERROR(FIND(CHAR(1),SUBSTITUTE(INDEX($B$3:$B$168,K281),CHAR(10),CHAR(1),L281)),LEN(INDEX($B$3:$B$168,K281))+1))</x:f>
      </x:c>
    </x:row>
    <x:row r="282" ht="15" customHeight="1">
      <x:c r="A282" s="81"/>
      <x:c r="B282"/>
      <x:c r="C282"/>
      <x:c r="D282" t="str">
        <x:f>IFERROR(IF(280&lt;=$O$1,INDEX($A$3:$A$168,MATCH(280,$I$3:$I$168,0)),IF(280&lt;=$O$1+$O$2,INDEX($F$3:$F$1994,MATCH(280-$O$1,$G$3:$G$1994,0)),"")),"")</x:f>
      </x:c>
      <x:c r="E282" t="str">
        <x:f>IF(K282="","",IF(N282&lt;=M282,"",TRIM(CLEAN(MID(INDEX($B$3:$B$168,K282),M282,N282-M282)))))</x:f>
      </x:c>
      <x:c r="F282" t="str">
        <x:f>IF(E282="","",IF(E282=TRIM(INDEX($A$3:$A$168,K282)),"",IF(RIGHT(TRIM(INDEX($A$3:$A$168,K282)),1)="]",LEFT(TRIM(INDEX($A$3:$A$168,K282)),LEN(TRIM(INDEX($A$3:$A$168,K282)))-1)&amp;", "&amp;SUBSTITUTE(SUBSTITUTE(SUBSTITUTE(E282," [",", "),"[",", "),"]","")&amp;"]",TRIM(INDEX($A$3:$A$168,K282))&amp;" ["&amp;SUBSTITUTE(SUBSTITUTE(SUBSTITUTE(E282," [",", "),"[",", "),"]","")&amp;"]")))</x:f>
      </x:c>
      <x:c r="G282" t="str">
        <x:f>IF(F282&lt;&gt;"",ROWS($F$3:F282)-COUNTBLANK($F$3:F282),"")</x:f>
      </x:c>
      <x:c r="H282"/>
      <x:c r="I282"/>
      <x:c r="J282"/>
      <x:c r="K282" t="str">
        <x:f>IF(ROW()-ROW($K$2)&lt;=SUM($J$3:$J$168),COUNTIF($H$3:$H$168,"&lt;"&amp;(ROW()-ROW($K$2))),"")</x:f>
      </x:c>
      <x:c r="L282" t="str">
        <x:f>IF(K282="","",ROW()-ROW($L$2)-INDEX($H$3:$H$168,K282))</x:f>
      </x:c>
      <x:c r="M282" t="str">
        <x:f>IF(K282="","",IF(L282=1,1,FIND(CHAR(1),SUBSTITUTE(INDEX($B$3:$B$168,K282),CHAR(10),CHAR(1),L282-1))+1))</x:f>
      </x:c>
      <x:c r="N282" t="str">
        <x:f>IF(K282="","",IFERROR(FIND(CHAR(1),SUBSTITUTE(INDEX($B$3:$B$168,K282),CHAR(10),CHAR(1),L282)),LEN(INDEX($B$3:$B$168,K282))+1))</x:f>
      </x:c>
    </x:row>
    <x:row r="283" ht="15" customHeight="1">
      <x:c r="A283" s="81"/>
      <x:c r="B283"/>
      <x:c r="C283"/>
      <x:c r="D283" t="str">
        <x:f>IFERROR(IF(281&lt;=$O$1,INDEX($A$3:$A$168,MATCH(281,$I$3:$I$168,0)),IF(281&lt;=$O$1+$O$2,INDEX($F$3:$F$1994,MATCH(281-$O$1,$G$3:$G$1994,0)),"")),"")</x:f>
      </x:c>
      <x:c r="E283" t="str">
        <x:f>IF(K283="","",IF(N283&lt;=M283,"",TRIM(CLEAN(MID(INDEX($B$3:$B$168,K283),M283,N283-M283)))))</x:f>
      </x:c>
      <x:c r="F283" t="str">
        <x:f>IF(E283="","",IF(E283=TRIM(INDEX($A$3:$A$168,K283)),"",IF(RIGHT(TRIM(INDEX($A$3:$A$168,K283)),1)="]",LEFT(TRIM(INDEX($A$3:$A$168,K283)),LEN(TRIM(INDEX($A$3:$A$168,K283)))-1)&amp;", "&amp;SUBSTITUTE(SUBSTITUTE(SUBSTITUTE(E283," [",", "),"[",", "),"]","")&amp;"]",TRIM(INDEX($A$3:$A$168,K283))&amp;" ["&amp;SUBSTITUTE(SUBSTITUTE(SUBSTITUTE(E283," [",", "),"[",", "),"]","")&amp;"]")))</x:f>
      </x:c>
      <x:c r="G283" t="str">
        <x:f>IF(F283&lt;&gt;"",ROWS($F$3:F283)-COUNTBLANK($F$3:F283),"")</x:f>
      </x:c>
      <x:c r="H283"/>
      <x:c r="I283"/>
      <x:c r="J283"/>
      <x:c r="K283" t="str">
        <x:f>IF(ROW()-ROW($K$2)&lt;=SUM($J$3:$J$168),COUNTIF($H$3:$H$168,"&lt;"&amp;(ROW()-ROW($K$2))),"")</x:f>
      </x:c>
      <x:c r="L283" t="str">
        <x:f>IF(K283="","",ROW()-ROW($L$2)-INDEX($H$3:$H$168,K283))</x:f>
      </x:c>
      <x:c r="M283" t="str">
        <x:f>IF(K283="","",IF(L283=1,1,FIND(CHAR(1),SUBSTITUTE(INDEX($B$3:$B$168,K283),CHAR(10),CHAR(1),L283-1))+1))</x:f>
      </x:c>
      <x:c r="N283" t="str">
        <x:f>IF(K283="","",IFERROR(FIND(CHAR(1),SUBSTITUTE(INDEX($B$3:$B$168,K283),CHAR(10),CHAR(1),L283)),LEN(INDEX($B$3:$B$168,K283))+1))</x:f>
      </x:c>
    </x:row>
    <x:row r="284" ht="15" customHeight="1">
      <x:c r="A284" s="81"/>
      <x:c r="B284"/>
      <x:c r="C284"/>
      <x:c r="D284" t="str">
        <x:f>IFERROR(IF(282&lt;=$O$1,INDEX($A$3:$A$168,MATCH(282,$I$3:$I$168,0)),IF(282&lt;=$O$1+$O$2,INDEX($F$3:$F$1994,MATCH(282-$O$1,$G$3:$G$1994,0)),"")),"")</x:f>
      </x:c>
      <x:c r="E284" t="str">
        <x:f>IF(K284="","",IF(N284&lt;=M284,"",TRIM(CLEAN(MID(INDEX($B$3:$B$168,K284),M284,N284-M284)))))</x:f>
      </x:c>
      <x:c r="F284" t="str">
        <x:f>IF(E284="","",IF(E284=TRIM(INDEX($A$3:$A$168,K284)),"",IF(RIGHT(TRIM(INDEX($A$3:$A$168,K284)),1)="]",LEFT(TRIM(INDEX($A$3:$A$168,K284)),LEN(TRIM(INDEX($A$3:$A$168,K284)))-1)&amp;", "&amp;SUBSTITUTE(SUBSTITUTE(SUBSTITUTE(E284," [",", "),"[",", "),"]","")&amp;"]",TRIM(INDEX($A$3:$A$168,K284))&amp;" ["&amp;SUBSTITUTE(SUBSTITUTE(SUBSTITUTE(E284," [",", "),"[",", "),"]","")&amp;"]")))</x:f>
      </x:c>
      <x:c r="G284" t="str">
        <x:f>IF(F284&lt;&gt;"",ROWS($F$3:F284)-COUNTBLANK($F$3:F284),"")</x:f>
      </x:c>
      <x:c r="H284"/>
      <x:c r="I284"/>
      <x:c r="J284"/>
      <x:c r="K284" t="str">
        <x:f>IF(ROW()-ROW($K$2)&lt;=SUM($J$3:$J$168),COUNTIF($H$3:$H$168,"&lt;"&amp;(ROW()-ROW($K$2))),"")</x:f>
      </x:c>
      <x:c r="L284" t="str">
        <x:f>IF(K284="","",ROW()-ROW($L$2)-INDEX($H$3:$H$168,K284))</x:f>
      </x:c>
      <x:c r="M284" t="str">
        <x:f>IF(K284="","",IF(L284=1,1,FIND(CHAR(1),SUBSTITUTE(INDEX($B$3:$B$168,K284),CHAR(10),CHAR(1),L284-1))+1))</x:f>
      </x:c>
      <x:c r="N284" t="str">
        <x:f>IF(K284="","",IFERROR(FIND(CHAR(1),SUBSTITUTE(INDEX($B$3:$B$168,K284),CHAR(10),CHAR(1),L284)),LEN(INDEX($B$3:$B$168,K284))+1))</x:f>
      </x:c>
    </x:row>
    <x:row r="285" ht="15" customHeight="1">
      <x:c r="A285" s="81"/>
      <x:c r="B285"/>
      <x:c r="C285"/>
      <x:c r="D285" t="str">
        <x:f>IFERROR(IF(283&lt;=$O$1,INDEX($A$3:$A$168,MATCH(283,$I$3:$I$168,0)),IF(283&lt;=$O$1+$O$2,INDEX($F$3:$F$1994,MATCH(283-$O$1,$G$3:$G$1994,0)),"")),"")</x:f>
      </x:c>
      <x:c r="E285" t="str">
        <x:f>IF(K285="","",IF(N285&lt;=M285,"",TRIM(CLEAN(MID(INDEX($B$3:$B$168,K285),M285,N285-M285)))))</x:f>
      </x:c>
      <x:c r="F285" t="str">
        <x:f>IF(E285="","",IF(E285=TRIM(INDEX($A$3:$A$168,K285)),"",IF(RIGHT(TRIM(INDEX($A$3:$A$168,K285)),1)="]",LEFT(TRIM(INDEX($A$3:$A$168,K285)),LEN(TRIM(INDEX($A$3:$A$168,K285)))-1)&amp;", "&amp;SUBSTITUTE(SUBSTITUTE(SUBSTITUTE(E285," [",", "),"[",", "),"]","")&amp;"]",TRIM(INDEX($A$3:$A$168,K285))&amp;" ["&amp;SUBSTITUTE(SUBSTITUTE(SUBSTITUTE(E285," [",", "),"[",", "),"]","")&amp;"]")))</x:f>
      </x:c>
      <x:c r="G285" t="str">
        <x:f>IF(F285&lt;&gt;"",ROWS($F$3:F285)-COUNTBLANK($F$3:F285),"")</x:f>
      </x:c>
      <x:c r="H285"/>
      <x:c r="I285"/>
      <x:c r="J285"/>
      <x:c r="K285" t="str">
        <x:f>IF(ROW()-ROW($K$2)&lt;=SUM($J$3:$J$168),COUNTIF($H$3:$H$168,"&lt;"&amp;(ROW()-ROW($K$2))),"")</x:f>
      </x:c>
      <x:c r="L285" t="str">
        <x:f>IF(K285="","",ROW()-ROW($L$2)-INDEX($H$3:$H$168,K285))</x:f>
      </x:c>
      <x:c r="M285" t="str">
        <x:f>IF(K285="","",IF(L285=1,1,FIND(CHAR(1),SUBSTITUTE(INDEX($B$3:$B$168,K285),CHAR(10),CHAR(1),L285-1))+1))</x:f>
      </x:c>
      <x:c r="N285" t="str">
        <x:f>IF(K285="","",IFERROR(FIND(CHAR(1),SUBSTITUTE(INDEX($B$3:$B$168,K285),CHAR(10),CHAR(1),L285)),LEN(INDEX($B$3:$B$168,K285))+1))</x:f>
      </x:c>
    </x:row>
    <x:row r="286" ht="15" customHeight="1">
      <x:c r="A286" s="81"/>
      <x:c r="B286"/>
      <x:c r="C286"/>
      <x:c r="D286" t="str">
        <x:f>IFERROR(IF(284&lt;=$O$1,INDEX($A$3:$A$168,MATCH(284,$I$3:$I$168,0)),IF(284&lt;=$O$1+$O$2,INDEX($F$3:$F$1994,MATCH(284-$O$1,$G$3:$G$1994,0)),"")),"")</x:f>
      </x:c>
      <x:c r="E286" t="str">
        <x:f>IF(K286="","",IF(N286&lt;=M286,"",TRIM(CLEAN(MID(INDEX($B$3:$B$168,K286),M286,N286-M286)))))</x:f>
      </x:c>
      <x:c r="F286" t="str">
        <x:f>IF(E286="","",IF(E286=TRIM(INDEX($A$3:$A$168,K286)),"",IF(RIGHT(TRIM(INDEX($A$3:$A$168,K286)),1)="]",LEFT(TRIM(INDEX($A$3:$A$168,K286)),LEN(TRIM(INDEX($A$3:$A$168,K286)))-1)&amp;", "&amp;SUBSTITUTE(SUBSTITUTE(SUBSTITUTE(E286," [",", "),"[",", "),"]","")&amp;"]",TRIM(INDEX($A$3:$A$168,K286))&amp;" ["&amp;SUBSTITUTE(SUBSTITUTE(SUBSTITUTE(E286," [",", "),"[",", "),"]","")&amp;"]")))</x:f>
      </x:c>
      <x:c r="G286" t="str">
        <x:f>IF(F286&lt;&gt;"",ROWS($F$3:F286)-COUNTBLANK($F$3:F286),"")</x:f>
      </x:c>
      <x:c r="H286"/>
      <x:c r="I286"/>
      <x:c r="J286"/>
      <x:c r="K286" t="str">
        <x:f>IF(ROW()-ROW($K$2)&lt;=SUM($J$3:$J$168),COUNTIF($H$3:$H$168,"&lt;"&amp;(ROW()-ROW($K$2))),"")</x:f>
      </x:c>
      <x:c r="L286" t="str">
        <x:f>IF(K286="","",ROW()-ROW($L$2)-INDEX($H$3:$H$168,K286))</x:f>
      </x:c>
      <x:c r="M286" t="str">
        <x:f>IF(K286="","",IF(L286=1,1,FIND(CHAR(1),SUBSTITUTE(INDEX($B$3:$B$168,K286),CHAR(10),CHAR(1),L286-1))+1))</x:f>
      </x:c>
      <x:c r="N286" t="str">
        <x:f>IF(K286="","",IFERROR(FIND(CHAR(1),SUBSTITUTE(INDEX($B$3:$B$168,K286),CHAR(10),CHAR(1),L286)),LEN(INDEX($B$3:$B$168,K286))+1))</x:f>
      </x:c>
    </x:row>
    <x:row r="287" ht="15" customHeight="1">
      <x:c r="A287" s="81"/>
      <x:c r="B287"/>
      <x:c r="C287"/>
      <x:c r="D287" t="str">
        <x:f>IFERROR(IF(285&lt;=$O$1,INDEX($A$3:$A$168,MATCH(285,$I$3:$I$168,0)),IF(285&lt;=$O$1+$O$2,INDEX($F$3:$F$1994,MATCH(285-$O$1,$G$3:$G$1994,0)),"")),"")</x:f>
      </x:c>
      <x:c r="E287" t="str">
        <x:f>IF(K287="","",IF(N287&lt;=M287,"",TRIM(CLEAN(MID(INDEX($B$3:$B$168,K287),M287,N287-M287)))))</x:f>
      </x:c>
      <x:c r="F287" t="str">
        <x:f>IF(E287="","",IF(E287=TRIM(INDEX($A$3:$A$168,K287)),"",IF(RIGHT(TRIM(INDEX($A$3:$A$168,K287)),1)="]",LEFT(TRIM(INDEX($A$3:$A$168,K287)),LEN(TRIM(INDEX($A$3:$A$168,K287)))-1)&amp;", "&amp;SUBSTITUTE(SUBSTITUTE(SUBSTITUTE(E287," [",", "),"[",", "),"]","")&amp;"]",TRIM(INDEX($A$3:$A$168,K287))&amp;" ["&amp;SUBSTITUTE(SUBSTITUTE(SUBSTITUTE(E287," [",", "),"[",", "),"]","")&amp;"]")))</x:f>
      </x:c>
      <x:c r="G287" t="str">
        <x:f>IF(F287&lt;&gt;"",ROWS($F$3:F287)-COUNTBLANK($F$3:F287),"")</x:f>
      </x:c>
      <x:c r="H287"/>
      <x:c r="I287"/>
      <x:c r="J287"/>
      <x:c r="K287" t="str">
        <x:f>IF(ROW()-ROW($K$2)&lt;=SUM($J$3:$J$168),COUNTIF($H$3:$H$168,"&lt;"&amp;(ROW()-ROW($K$2))),"")</x:f>
      </x:c>
      <x:c r="L287" t="str">
        <x:f>IF(K287="","",ROW()-ROW($L$2)-INDEX($H$3:$H$168,K287))</x:f>
      </x:c>
      <x:c r="M287" t="str">
        <x:f>IF(K287="","",IF(L287=1,1,FIND(CHAR(1),SUBSTITUTE(INDEX($B$3:$B$168,K287),CHAR(10),CHAR(1),L287-1))+1))</x:f>
      </x:c>
      <x:c r="N287" t="str">
        <x:f>IF(K287="","",IFERROR(FIND(CHAR(1),SUBSTITUTE(INDEX($B$3:$B$168,K287),CHAR(10),CHAR(1),L287)),LEN(INDEX($B$3:$B$168,K287))+1))</x:f>
      </x:c>
    </x:row>
    <x:row r="288" ht="15" customHeight="1">
      <x:c r="A288" s="81"/>
      <x:c r="B288"/>
      <x:c r="C288"/>
      <x:c r="D288" t="str">
        <x:f>IFERROR(IF(286&lt;=$O$1,INDEX($A$3:$A$168,MATCH(286,$I$3:$I$168,0)),IF(286&lt;=$O$1+$O$2,INDEX($F$3:$F$1994,MATCH(286-$O$1,$G$3:$G$1994,0)),"")),"")</x:f>
      </x:c>
      <x:c r="E288" t="str">
        <x:f>IF(K288="","",IF(N288&lt;=M288,"",TRIM(CLEAN(MID(INDEX($B$3:$B$168,K288),M288,N288-M288)))))</x:f>
      </x:c>
      <x:c r="F288" t="str">
        <x:f>IF(E288="","",IF(E288=TRIM(INDEX($A$3:$A$168,K288)),"",IF(RIGHT(TRIM(INDEX($A$3:$A$168,K288)),1)="]",LEFT(TRIM(INDEX($A$3:$A$168,K288)),LEN(TRIM(INDEX($A$3:$A$168,K288)))-1)&amp;", "&amp;SUBSTITUTE(SUBSTITUTE(SUBSTITUTE(E288," [",", "),"[",", "),"]","")&amp;"]",TRIM(INDEX($A$3:$A$168,K288))&amp;" ["&amp;SUBSTITUTE(SUBSTITUTE(SUBSTITUTE(E288," [",", "),"[",", "),"]","")&amp;"]")))</x:f>
      </x:c>
      <x:c r="G288" t="str">
        <x:f>IF(F288&lt;&gt;"",ROWS($F$3:F288)-COUNTBLANK($F$3:F288),"")</x:f>
      </x:c>
      <x:c r="H288"/>
      <x:c r="I288"/>
      <x:c r="J288"/>
      <x:c r="K288" t="str">
        <x:f>IF(ROW()-ROW($K$2)&lt;=SUM($J$3:$J$168),COUNTIF($H$3:$H$168,"&lt;"&amp;(ROW()-ROW($K$2))),"")</x:f>
      </x:c>
      <x:c r="L288" t="str">
        <x:f>IF(K288="","",ROW()-ROW($L$2)-INDEX($H$3:$H$168,K288))</x:f>
      </x:c>
      <x:c r="M288" t="str">
        <x:f>IF(K288="","",IF(L288=1,1,FIND(CHAR(1),SUBSTITUTE(INDEX($B$3:$B$168,K288),CHAR(10),CHAR(1),L288-1))+1))</x:f>
      </x:c>
      <x:c r="N288" t="str">
        <x:f>IF(K288="","",IFERROR(FIND(CHAR(1),SUBSTITUTE(INDEX($B$3:$B$168,K288),CHAR(10),CHAR(1),L288)),LEN(INDEX($B$3:$B$168,K288))+1))</x:f>
      </x:c>
    </x:row>
    <x:row r="289" ht="15" customHeight="1">
      <x:c r="A289" s="81"/>
      <x:c r="B289"/>
      <x:c r="C289"/>
      <x:c r="D289" t="str">
        <x:f>IFERROR(IF(287&lt;=$O$1,INDEX($A$3:$A$168,MATCH(287,$I$3:$I$168,0)),IF(287&lt;=$O$1+$O$2,INDEX($F$3:$F$1994,MATCH(287-$O$1,$G$3:$G$1994,0)),"")),"")</x:f>
      </x:c>
      <x:c r="E289" t="str">
        <x:f>IF(K289="","",IF(N289&lt;=M289,"",TRIM(CLEAN(MID(INDEX($B$3:$B$168,K289),M289,N289-M289)))))</x:f>
      </x:c>
      <x:c r="F289" t="str">
        <x:f>IF(E289="","",IF(E289=TRIM(INDEX($A$3:$A$168,K289)),"",IF(RIGHT(TRIM(INDEX($A$3:$A$168,K289)),1)="]",LEFT(TRIM(INDEX($A$3:$A$168,K289)),LEN(TRIM(INDEX($A$3:$A$168,K289)))-1)&amp;", "&amp;SUBSTITUTE(SUBSTITUTE(SUBSTITUTE(E289," [",", "),"[",", "),"]","")&amp;"]",TRIM(INDEX($A$3:$A$168,K289))&amp;" ["&amp;SUBSTITUTE(SUBSTITUTE(SUBSTITUTE(E289," [",", "),"[",", "),"]","")&amp;"]")))</x:f>
      </x:c>
      <x:c r="G289" t="str">
        <x:f>IF(F289&lt;&gt;"",ROWS($F$3:F289)-COUNTBLANK($F$3:F289),"")</x:f>
      </x:c>
      <x:c r="H289"/>
      <x:c r="I289"/>
      <x:c r="J289"/>
      <x:c r="K289" t="str">
        <x:f>IF(ROW()-ROW($K$2)&lt;=SUM($J$3:$J$168),COUNTIF($H$3:$H$168,"&lt;"&amp;(ROW()-ROW($K$2))),"")</x:f>
      </x:c>
      <x:c r="L289" t="str">
        <x:f>IF(K289="","",ROW()-ROW($L$2)-INDEX($H$3:$H$168,K289))</x:f>
      </x:c>
      <x:c r="M289" t="str">
        <x:f>IF(K289="","",IF(L289=1,1,FIND(CHAR(1),SUBSTITUTE(INDEX($B$3:$B$168,K289),CHAR(10),CHAR(1),L289-1))+1))</x:f>
      </x:c>
      <x:c r="N289" t="str">
        <x:f>IF(K289="","",IFERROR(FIND(CHAR(1),SUBSTITUTE(INDEX($B$3:$B$168,K289),CHAR(10),CHAR(1),L289)),LEN(INDEX($B$3:$B$168,K289))+1))</x:f>
      </x:c>
    </x:row>
    <x:row r="290" ht="15" customHeight="1">
      <x:c r="A290" s="81"/>
      <x:c r="B290"/>
      <x:c r="C290"/>
      <x:c r="D290" t="str">
        <x:f>IFERROR(IF(288&lt;=$O$1,INDEX($A$3:$A$168,MATCH(288,$I$3:$I$168,0)),IF(288&lt;=$O$1+$O$2,INDEX($F$3:$F$1994,MATCH(288-$O$1,$G$3:$G$1994,0)),"")),"")</x:f>
      </x:c>
      <x:c r="E290" t="str">
        <x:f>IF(K290="","",IF(N290&lt;=M290,"",TRIM(CLEAN(MID(INDEX($B$3:$B$168,K290),M290,N290-M290)))))</x:f>
      </x:c>
      <x:c r="F290" t="str">
        <x:f>IF(E290="","",IF(E290=TRIM(INDEX($A$3:$A$168,K290)),"",IF(RIGHT(TRIM(INDEX($A$3:$A$168,K290)),1)="]",LEFT(TRIM(INDEX($A$3:$A$168,K290)),LEN(TRIM(INDEX($A$3:$A$168,K290)))-1)&amp;", "&amp;SUBSTITUTE(SUBSTITUTE(SUBSTITUTE(E290," [",", "),"[",", "),"]","")&amp;"]",TRIM(INDEX($A$3:$A$168,K290))&amp;" ["&amp;SUBSTITUTE(SUBSTITUTE(SUBSTITUTE(E290," [",", "),"[",", "),"]","")&amp;"]")))</x:f>
      </x:c>
      <x:c r="G290" t="str">
        <x:f>IF(F290&lt;&gt;"",ROWS($F$3:F290)-COUNTBLANK($F$3:F290),"")</x:f>
      </x:c>
      <x:c r="H290"/>
      <x:c r="I290"/>
      <x:c r="J290"/>
      <x:c r="K290" t="str">
        <x:f>IF(ROW()-ROW($K$2)&lt;=SUM($J$3:$J$168),COUNTIF($H$3:$H$168,"&lt;"&amp;(ROW()-ROW($K$2))),"")</x:f>
      </x:c>
      <x:c r="L290" t="str">
        <x:f>IF(K290="","",ROW()-ROW($L$2)-INDEX($H$3:$H$168,K290))</x:f>
      </x:c>
      <x:c r="M290" t="str">
        <x:f>IF(K290="","",IF(L290=1,1,FIND(CHAR(1),SUBSTITUTE(INDEX($B$3:$B$168,K290),CHAR(10),CHAR(1),L290-1))+1))</x:f>
      </x:c>
      <x:c r="N290" t="str">
        <x:f>IF(K290="","",IFERROR(FIND(CHAR(1),SUBSTITUTE(INDEX($B$3:$B$168,K290),CHAR(10),CHAR(1),L290)),LEN(INDEX($B$3:$B$168,K290))+1))</x:f>
      </x:c>
    </x:row>
    <x:row r="291" ht="15" customHeight="1">
      <x:c r="A291" s="81"/>
      <x:c r="B291"/>
      <x:c r="C291"/>
      <x:c r="D291" t="str">
        <x:f>IFERROR(IF(289&lt;=$O$1,INDEX($A$3:$A$168,MATCH(289,$I$3:$I$168,0)),IF(289&lt;=$O$1+$O$2,INDEX($F$3:$F$1994,MATCH(289-$O$1,$G$3:$G$1994,0)),"")),"")</x:f>
      </x:c>
      <x:c r="E291" t="str">
        <x:f>IF(K291="","",IF(N291&lt;=M291,"",TRIM(CLEAN(MID(INDEX($B$3:$B$168,K291),M291,N291-M291)))))</x:f>
      </x:c>
      <x:c r="F291" t="str">
        <x:f>IF(E291="","",IF(E291=TRIM(INDEX($A$3:$A$168,K291)),"",IF(RIGHT(TRIM(INDEX($A$3:$A$168,K291)),1)="]",LEFT(TRIM(INDEX($A$3:$A$168,K291)),LEN(TRIM(INDEX($A$3:$A$168,K291)))-1)&amp;", "&amp;SUBSTITUTE(SUBSTITUTE(SUBSTITUTE(E291," [",", "),"[",", "),"]","")&amp;"]",TRIM(INDEX($A$3:$A$168,K291))&amp;" ["&amp;SUBSTITUTE(SUBSTITUTE(SUBSTITUTE(E291," [",", "),"[",", "),"]","")&amp;"]")))</x:f>
      </x:c>
      <x:c r="G291" t="str">
        <x:f>IF(F291&lt;&gt;"",ROWS($F$3:F291)-COUNTBLANK($F$3:F291),"")</x:f>
      </x:c>
      <x:c r="H291"/>
      <x:c r="I291"/>
      <x:c r="J291"/>
      <x:c r="K291" t="str">
        <x:f>IF(ROW()-ROW($K$2)&lt;=SUM($J$3:$J$168),COUNTIF($H$3:$H$168,"&lt;"&amp;(ROW()-ROW($K$2))),"")</x:f>
      </x:c>
      <x:c r="L291" t="str">
        <x:f>IF(K291="","",ROW()-ROW($L$2)-INDEX($H$3:$H$168,K291))</x:f>
      </x:c>
      <x:c r="M291" t="str">
        <x:f>IF(K291="","",IF(L291=1,1,FIND(CHAR(1),SUBSTITUTE(INDEX($B$3:$B$168,K291),CHAR(10),CHAR(1),L291-1))+1))</x:f>
      </x:c>
      <x:c r="N291" t="str">
        <x:f>IF(K291="","",IFERROR(FIND(CHAR(1),SUBSTITUTE(INDEX($B$3:$B$168,K291),CHAR(10),CHAR(1),L291)),LEN(INDEX($B$3:$B$168,K291))+1))</x:f>
      </x:c>
    </x:row>
    <x:row r="292" ht="15" customHeight="1">
      <x:c r="A292" s="81"/>
      <x:c r="B292"/>
      <x:c r="C292"/>
      <x:c r="D292" t="str">
        <x:f>IFERROR(IF(290&lt;=$O$1,INDEX($A$3:$A$168,MATCH(290,$I$3:$I$168,0)),IF(290&lt;=$O$1+$O$2,INDEX($F$3:$F$1994,MATCH(290-$O$1,$G$3:$G$1994,0)),"")),"")</x:f>
      </x:c>
      <x:c r="E292" t="str">
        <x:f>IF(K292="","",IF(N292&lt;=M292,"",TRIM(CLEAN(MID(INDEX($B$3:$B$168,K292),M292,N292-M292)))))</x:f>
      </x:c>
      <x:c r="F292" t="str">
        <x:f>IF(E292="","",IF(E292=TRIM(INDEX($A$3:$A$168,K292)),"",IF(RIGHT(TRIM(INDEX($A$3:$A$168,K292)),1)="]",LEFT(TRIM(INDEX($A$3:$A$168,K292)),LEN(TRIM(INDEX($A$3:$A$168,K292)))-1)&amp;", "&amp;SUBSTITUTE(SUBSTITUTE(SUBSTITUTE(E292," [",", "),"[",", "),"]","")&amp;"]",TRIM(INDEX($A$3:$A$168,K292))&amp;" ["&amp;SUBSTITUTE(SUBSTITUTE(SUBSTITUTE(E292," [",", "),"[",", "),"]","")&amp;"]")))</x:f>
      </x:c>
      <x:c r="G292" t="str">
        <x:f>IF(F292&lt;&gt;"",ROWS($F$3:F292)-COUNTBLANK($F$3:F292),"")</x:f>
      </x:c>
      <x:c r="H292"/>
      <x:c r="I292"/>
      <x:c r="J292"/>
      <x:c r="K292" t="str">
        <x:f>IF(ROW()-ROW($K$2)&lt;=SUM($J$3:$J$168),COUNTIF($H$3:$H$168,"&lt;"&amp;(ROW()-ROW($K$2))),"")</x:f>
      </x:c>
      <x:c r="L292" t="str">
        <x:f>IF(K292="","",ROW()-ROW($L$2)-INDEX($H$3:$H$168,K292))</x:f>
      </x:c>
      <x:c r="M292" t="str">
        <x:f>IF(K292="","",IF(L292=1,1,FIND(CHAR(1),SUBSTITUTE(INDEX($B$3:$B$168,K292),CHAR(10),CHAR(1),L292-1))+1))</x:f>
      </x:c>
      <x:c r="N292" t="str">
        <x:f>IF(K292="","",IFERROR(FIND(CHAR(1),SUBSTITUTE(INDEX($B$3:$B$168,K292),CHAR(10),CHAR(1),L292)),LEN(INDEX($B$3:$B$168,K292))+1))</x:f>
      </x:c>
    </x:row>
    <x:row r="293" ht="15" customHeight="1">
      <x:c r="A293" s="81"/>
      <x:c r="B293"/>
      <x:c r="C293"/>
      <x:c r="D293" t="str">
        <x:f>IFERROR(IF(291&lt;=$O$1,INDEX($A$3:$A$168,MATCH(291,$I$3:$I$168,0)),IF(291&lt;=$O$1+$O$2,INDEX($F$3:$F$1994,MATCH(291-$O$1,$G$3:$G$1994,0)),"")),"")</x:f>
      </x:c>
      <x:c r="E293" t="str">
        <x:f>IF(K293="","",IF(N293&lt;=M293,"",TRIM(CLEAN(MID(INDEX($B$3:$B$168,K293),M293,N293-M293)))))</x:f>
      </x:c>
      <x:c r="F293" t="str">
        <x:f>IF(E293="","",IF(E293=TRIM(INDEX($A$3:$A$168,K293)),"",IF(RIGHT(TRIM(INDEX($A$3:$A$168,K293)),1)="]",LEFT(TRIM(INDEX($A$3:$A$168,K293)),LEN(TRIM(INDEX($A$3:$A$168,K293)))-1)&amp;", "&amp;SUBSTITUTE(SUBSTITUTE(SUBSTITUTE(E293," [",", "),"[",", "),"]","")&amp;"]",TRIM(INDEX($A$3:$A$168,K293))&amp;" ["&amp;SUBSTITUTE(SUBSTITUTE(SUBSTITUTE(E293," [",", "),"[",", "),"]","")&amp;"]")))</x:f>
      </x:c>
      <x:c r="G293" t="str">
        <x:f>IF(F293&lt;&gt;"",ROWS($F$3:F293)-COUNTBLANK($F$3:F293),"")</x:f>
      </x:c>
      <x:c r="H293"/>
      <x:c r="I293"/>
      <x:c r="J293"/>
      <x:c r="K293" t="str">
        <x:f>IF(ROW()-ROW($K$2)&lt;=SUM($J$3:$J$168),COUNTIF($H$3:$H$168,"&lt;"&amp;(ROW()-ROW($K$2))),"")</x:f>
      </x:c>
      <x:c r="L293" t="str">
        <x:f>IF(K293="","",ROW()-ROW($L$2)-INDEX($H$3:$H$168,K293))</x:f>
      </x:c>
      <x:c r="M293" t="str">
        <x:f>IF(K293="","",IF(L293=1,1,FIND(CHAR(1),SUBSTITUTE(INDEX($B$3:$B$168,K293),CHAR(10),CHAR(1),L293-1))+1))</x:f>
      </x:c>
      <x:c r="N293" t="str">
        <x:f>IF(K293="","",IFERROR(FIND(CHAR(1),SUBSTITUTE(INDEX($B$3:$B$168,K293),CHAR(10),CHAR(1),L293)),LEN(INDEX($B$3:$B$168,K293))+1))</x:f>
      </x:c>
    </x:row>
    <x:row r="294" ht="15" customHeight="1">
      <x:c r="A294" s="81"/>
      <x:c r="B294"/>
      <x:c r="C294"/>
      <x:c r="D294" t="str">
        <x:f>IFERROR(IF(292&lt;=$O$1,INDEX($A$3:$A$168,MATCH(292,$I$3:$I$168,0)),IF(292&lt;=$O$1+$O$2,INDEX($F$3:$F$1994,MATCH(292-$O$1,$G$3:$G$1994,0)),"")),"")</x:f>
      </x:c>
      <x:c r="E294" t="str">
        <x:f>IF(K294="","",IF(N294&lt;=M294,"",TRIM(CLEAN(MID(INDEX($B$3:$B$168,K294),M294,N294-M294)))))</x:f>
      </x:c>
      <x:c r="F294" t="str">
        <x:f>IF(E294="","",IF(E294=TRIM(INDEX($A$3:$A$168,K294)),"",IF(RIGHT(TRIM(INDEX($A$3:$A$168,K294)),1)="]",LEFT(TRIM(INDEX($A$3:$A$168,K294)),LEN(TRIM(INDEX($A$3:$A$168,K294)))-1)&amp;", "&amp;SUBSTITUTE(SUBSTITUTE(SUBSTITUTE(E294," [",", "),"[",", "),"]","")&amp;"]",TRIM(INDEX($A$3:$A$168,K294))&amp;" ["&amp;SUBSTITUTE(SUBSTITUTE(SUBSTITUTE(E294," [",", "),"[",", "),"]","")&amp;"]")))</x:f>
      </x:c>
      <x:c r="G294" t="str">
        <x:f>IF(F294&lt;&gt;"",ROWS($F$3:F294)-COUNTBLANK($F$3:F294),"")</x:f>
      </x:c>
      <x:c r="H294"/>
      <x:c r="I294"/>
      <x:c r="J294"/>
      <x:c r="K294" t="str">
        <x:f>IF(ROW()-ROW($K$2)&lt;=SUM($J$3:$J$168),COUNTIF($H$3:$H$168,"&lt;"&amp;(ROW()-ROW($K$2))),"")</x:f>
      </x:c>
      <x:c r="L294" t="str">
        <x:f>IF(K294="","",ROW()-ROW($L$2)-INDEX($H$3:$H$168,K294))</x:f>
      </x:c>
      <x:c r="M294" t="str">
        <x:f>IF(K294="","",IF(L294=1,1,FIND(CHAR(1),SUBSTITUTE(INDEX($B$3:$B$168,K294),CHAR(10),CHAR(1),L294-1))+1))</x:f>
      </x:c>
      <x:c r="N294" t="str">
        <x:f>IF(K294="","",IFERROR(FIND(CHAR(1),SUBSTITUTE(INDEX($B$3:$B$168,K294),CHAR(10),CHAR(1),L294)),LEN(INDEX($B$3:$B$168,K294))+1))</x:f>
      </x:c>
    </x:row>
    <x:row r="295" ht="15" customHeight="1">
      <x:c r="A295" s="81"/>
      <x:c r="B295"/>
      <x:c r="C295"/>
      <x:c r="D295" t="str">
        <x:f>IFERROR(IF(293&lt;=$O$1,INDEX($A$3:$A$168,MATCH(293,$I$3:$I$168,0)),IF(293&lt;=$O$1+$O$2,INDEX($F$3:$F$1994,MATCH(293-$O$1,$G$3:$G$1994,0)),"")),"")</x:f>
      </x:c>
      <x:c r="E295" t="str">
        <x:f>IF(K295="","",IF(N295&lt;=M295,"",TRIM(CLEAN(MID(INDEX($B$3:$B$168,K295),M295,N295-M295)))))</x:f>
      </x:c>
      <x:c r="F295" t="str">
        <x:f>IF(E295="","",IF(E295=TRIM(INDEX($A$3:$A$168,K295)),"",IF(RIGHT(TRIM(INDEX($A$3:$A$168,K295)),1)="]",LEFT(TRIM(INDEX($A$3:$A$168,K295)),LEN(TRIM(INDEX($A$3:$A$168,K295)))-1)&amp;", "&amp;SUBSTITUTE(SUBSTITUTE(SUBSTITUTE(E295," [",", "),"[",", "),"]","")&amp;"]",TRIM(INDEX($A$3:$A$168,K295))&amp;" ["&amp;SUBSTITUTE(SUBSTITUTE(SUBSTITUTE(E295," [",", "),"[",", "),"]","")&amp;"]")))</x:f>
      </x:c>
      <x:c r="G295" t="str">
        <x:f>IF(F295&lt;&gt;"",ROWS($F$3:F295)-COUNTBLANK($F$3:F295),"")</x:f>
      </x:c>
      <x:c r="H295"/>
      <x:c r="I295"/>
      <x:c r="J295"/>
      <x:c r="K295" t="str">
        <x:f>IF(ROW()-ROW($K$2)&lt;=SUM($J$3:$J$168),COUNTIF($H$3:$H$168,"&lt;"&amp;(ROW()-ROW($K$2))),"")</x:f>
      </x:c>
      <x:c r="L295" t="str">
        <x:f>IF(K295="","",ROW()-ROW($L$2)-INDEX($H$3:$H$168,K295))</x:f>
      </x:c>
      <x:c r="M295" t="str">
        <x:f>IF(K295="","",IF(L295=1,1,FIND(CHAR(1),SUBSTITUTE(INDEX($B$3:$B$168,K295),CHAR(10),CHAR(1),L295-1))+1))</x:f>
      </x:c>
      <x:c r="N295" t="str">
        <x:f>IF(K295="","",IFERROR(FIND(CHAR(1),SUBSTITUTE(INDEX($B$3:$B$168,K295),CHAR(10),CHAR(1),L295)),LEN(INDEX($B$3:$B$168,K295))+1))</x:f>
      </x:c>
    </x:row>
    <x:row r="296" ht="15" customHeight="1">
      <x:c r="A296" s="81"/>
      <x:c r="B296"/>
      <x:c r="C296"/>
      <x:c r="D296" t="str">
        <x:f>IFERROR(IF(294&lt;=$O$1,INDEX($A$3:$A$168,MATCH(294,$I$3:$I$168,0)),IF(294&lt;=$O$1+$O$2,INDEX($F$3:$F$1994,MATCH(294-$O$1,$G$3:$G$1994,0)),"")),"")</x:f>
      </x:c>
      <x:c r="E296" t="str">
        <x:f>IF(K296="","",IF(N296&lt;=M296,"",TRIM(CLEAN(MID(INDEX($B$3:$B$168,K296),M296,N296-M296)))))</x:f>
      </x:c>
      <x:c r="F296" t="str">
        <x:f>IF(E296="","",IF(E296=TRIM(INDEX($A$3:$A$168,K296)),"",IF(RIGHT(TRIM(INDEX($A$3:$A$168,K296)),1)="]",LEFT(TRIM(INDEX($A$3:$A$168,K296)),LEN(TRIM(INDEX($A$3:$A$168,K296)))-1)&amp;", "&amp;SUBSTITUTE(SUBSTITUTE(SUBSTITUTE(E296," [",", "),"[",", "),"]","")&amp;"]",TRIM(INDEX($A$3:$A$168,K296))&amp;" ["&amp;SUBSTITUTE(SUBSTITUTE(SUBSTITUTE(E296," [",", "),"[",", "),"]","")&amp;"]")))</x:f>
      </x:c>
      <x:c r="G296" t="str">
        <x:f>IF(F296&lt;&gt;"",ROWS($F$3:F296)-COUNTBLANK($F$3:F296),"")</x:f>
      </x:c>
      <x:c r="H296"/>
      <x:c r="I296"/>
      <x:c r="J296"/>
      <x:c r="K296" t="str">
        <x:f>IF(ROW()-ROW($K$2)&lt;=SUM($J$3:$J$168),COUNTIF($H$3:$H$168,"&lt;"&amp;(ROW()-ROW($K$2))),"")</x:f>
      </x:c>
      <x:c r="L296" t="str">
        <x:f>IF(K296="","",ROW()-ROW($L$2)-INDEX($H$3:$H$168,K296))</x:f>
      </x:c>
      <x:c r="M296" t="str">
        <x:f>IF(K296="","",IF(L296=1,1,FIND(CHAR(1),SUBSTITUTE(INDEX($B$3:$B$168,K296),CHAR(10),CHAR(1),L296-1))+1))</x:f>
      </x:c>
      <x:c r="N296" t="str">
        <x:f>IF(K296="","",IFERROR(FIND(CHAR(1),SUBSTITUTE(INDEX($B$3:$B$168,K296),CHAR(10),CHAR(1),L296)),LEN(INDEX($B$3:$B$168,K296))+1))</x:f>
      </x:c>
    </x:row>
    <x:row r="297" ht="15" customHeight="1">
      <x:c r="A297" s="81"/>
      <x:c r="B297"/>
      <x:c r="C297"/>
      <x:c r="D297" t="str">
        <x:f>IFERROR(IF(295&lt;=$O$1,INDEX($A$3:$A$168,MATCH(295,$I$3:$I$168,0)),IF(295&lt;=$O$1+$O$2,INDEX($F$3:$F$1994,MATCH(295-$O$1,$G$3:$G$1994,0)),"")),"")</x:f>
      </x:c>
      <x:c r="E297" t="str">
        <x:f>IF(K297="","",IF(N297&lt;=M297,"",TRIM(CLEAN(MID(INDEX($B$3:$B$168,K297),M297,N297-M297)))))</x:f>
      </x:c>
      <x:c r="F297" t="str">
        <x:f>IF(E297="","",IF(E297=TRIM(INDEX($A$3:$A$168,K297)),"",IF(RIGHT(TRIM(INDEX($A$3:$A$168,K297)),1)="]",LEFT(TRIM(INDEX($A$3:$A$168,K297)),LEN(TRIM(INDEX($A$3:$A$168,K297)))-1)&amp;", "&amp;SUBSTITUTE(SUBSTITUTE(SUBSTITUTE(E297," [",", "),"[",", "),"]","")&amp;"]",TRIM(INDEX($A$3:$A$168,K297))&amp;" ["&amp;SUBSTITUTE(SUBSTITUTE(SUBSTITUTE(E297," [",", "),"[",", "),"]","")&amp;"]")))</x:f>
      </x:c>
      <x:c r="G297" t="str">
        <x:f>IF(F297&lt;&gt;"",ROWS($F$3:F297)-COUNTBLANK($F$3:F297),"")</x:f>
      </x:c>
      <x:c r="H297"/>
      <x:c r="I297"/>
      <x:c r="J297"/>
      <x:c r="K297" t="str">
        <x:f>IF(ROW()-ROW($K$2)&lt;=SUM($J$3:$J$168),COUNTIF($H$3:$H$168,"&lt;"&amp;(ROW()-ROW($K$2))),"")</x:f>
      </x:c>
      <x:c r="L297" t="str">
        <x:f>IF(K297="","",ROW()-ROW($L$2)-INDEX($H$3:$H$168,K297))</x:f>
      </x:c>
      <x:c r="M297" t="str">
        <x:f>IF(K297="","",IF(L297=1,1,FIND(CHAR(1),SUBSTITUTE(INDEX($B$3:$B$168,K297),CHAR(10),CHAR(1),L297-1))+1))</x:f>
      </x:c>
      <x:c r="N297" t="str">
        <x:f>IF(K297="","",IFERROR(FIND(CHAR(1),SUBSTITUTE(INDEX($B$3:$B$168,K297),CHAR(10),CHAR(1),L297)),LEN(INDEX($B$3:$B$168,K297))+1))</x:f>
      </x:c>
    </x:row>
    <x:row r="298" ht="15" customHeight="1">
      <x:c r="A298" s="81"/>
      <x:c r="B298"/>
      <x:c r="C298"/>
      <x:c r="D298" t="str">
        <x:f>IFERROR(IF(296&lt;=$O$1,INDEX($A$3:$A$168,MATCH(296,$I$3:$I$168,0)),IF(296&lt;=$O$1+$O$2,INDEX($F$3:$F$1994,MATCH(296-$O$1,$G$3:$G$1994,0)),"")),"")</x:f>
      </x:c>
      <x:c r="E298" t="str">
        <x:f>IF(K298="","",IF(N298&lt;=M298,"",TRIM(CLEAN(MID(INDEX($B$3:$B$168,K298),M298,N298-M298)))))</x:f>
      </x:c>
      <x:c r="F298" t="str">
        <x:f>IF(E298="","",IF(E298=TRIM(INDEX($A$3:$A$168,K298)),"",IF(RIGHT(TRIM(INDEX($A$3:$A$168,K298)),1)="]",LEFT(TRIM(INDEX($A$3:$A$168,K298)),LEN(TRIM(INDEX($A$3:$A$168,K298)))-1)&amp;", "&amp;SUBSTITUTE(SUBSTITUTE(SUBSTITUTE(E298," [",", "),"[",", "),"]","")&amp;"]",TRIM(INDEX($A$3:$A$168,K298))&amp;" ["&amp;SUBSTITUTE(SUBSTITUTE(SUBSTITUTE(E298," [",", "),"[",", "),"]","")&amp;"]")))</x:f>
      </x:c>
      <x:c r="G298" t="str">
        <x:f>IF(F298&lt;&gt;"",ROWS($F$3:F298)-COUNTBLANK($F$3:F298),"")</x:f>
      </x:c>
      <x:c r="H298"/>
      <x:c r="I298"/>
      <x:c r="J298"/>
      <x:c r="K298" t="str">
        <x:f>IF(ROW()-ROW($K$2)&lt;=SUM($J$3:$J$168),COUNTIF($H$3:$H$168,"&lt;"&amp;(ROW()-ROW($K$2))),"")</x:f>
      </x:c>
      <x:c r="L298" t="str">
        <x:f>IF(K298="","",ROW()-ROW($L$2)-INDEX($H$3:$H$168,K298))</x:f>
      </x:c>
      <x:c r="M298" t="str">
        <x:f>IF(K298="","",IF(L298=1,1,FIND(CHAR(1),SUBSTITUTE(INDEX($B$3:$B$168,K298),CHAR(10),CHAR(1),L298-1))+1))</x:f>
      </x:c>
      <x:c r="N298" t="str">
        <x:f>IF(K298="","",IFERROR(FIND(CHAR(1),SUBSTITUTE(INDEX($B$3:$B$168,K298),CHAR(10),CHAR(1),L298)),LEN(INDEX($B$3:$B$168,K298))+1))</x:f>
      </x:c>
    </x:row>
    <x:row r="299" ht="15" customHeight="1">
      <x:c r="A299" s="81"/>
      <x:c r="B299"/>
      <x:c r="C299"/>
      <x:c r="D299" t="str">
        <x:f>IFERROR(IF(297&lt;=$O$1,INDEX($A$3:$A$168,MATCH(297,$I$3:$I$168,0)),IF(297&lt;=$O$1+$O$2,INDEX($F$3:$F$1994,MATCH(297-$O$1,$G$3:$G$1994,0)),"")),"")</x:f>
      </x:c>
      <x:c r="E299" t="str">
        <x:f>IF(K299="","",IF(N299&lt;=M299,"",TRIM(CLEAN(MID(INDEX($B$3:$B$168,K299),M299,N299-M299)))))</x:f>
      </x:c>
      <x:c r="F299" t="str">
        <x:f>IF(E299="","",IF(E299=TRIM(INDEX($A$3:$A$168,K299)),"",IF(RIGHT(TRIM(INDEX($A$3:$A$168,K299)),1)="]",LEFT(TRIM(INDEX($A$3:$A$168,K299)),LEN(TRIM(INDEX($A$3:$A$168,K299)))-1)&amp;", "&amp;SUBSTITUTE(SUBSTITUTE(SUBSTITUTE(E299," [",", "),"[",", "),"]","")&amp;"]",TRIM(INDEX($A$3:$A$168,K299))&amp;" ["&amp;SUBSTITUTE(SUBSTITUTE(SUBSTITUTE(E299," [",", "),"[",", "),"]","")&amp;"]")))</x:f>
      </x:c>
      <x:c r="G299" t="str">
        <x:f>IF(F299&lt;&gt;"",ROWS($F$3:F299)-COUNTBLANK($F$3:F299),"")</x:f>
      </x:c>
      <x:c r="H299"/>
      <x:c r="I299"/>
      <x:c r="J299"/>
      <x:c r="K299" t="str">
        <x:f>IF(ROW()-ROW($K$2)&lt;=SUM($J$3:$J$168),COUNTIF($H$3:$H$168,"&lt;"&amp;(ROW()-ROW($K$2))),"")</x:f>
      </x:c>
      <x:c r="L299" t="str">
        <x:f>IF(K299="","",ROW()-ROW($L$2)-INDEX($H$3:$H$168,K299))</x:f>
      </x:c>
      <x:c r="M299" t="str">
        <x:f>IF(K299="","",IF(L299=1,1,FIND(CHAR(1),SUBSTITUTE(INDEX($B$3:$B$168,K299),CHAR(10),CHAR(1),L299-1))+1))</x:f>
      </x:c>
      <x:c r="N299" t="str">
        <x:f>IF(K299="","",IFERROR(FIND(CHAR(1),SUBSTITUTE(INDEX($B$3:$B$168,K299),CHAR(10),CHAR(1),L299)),LEN(INDEX($B$3:$B$168,K299))+1))</x:f>
      </x:c>
    </x:row>
    <x:row r="300" ht="15" customHeight="1">
      <x:c r="A300" s="81"/>
      <x:c r="B300"/>
      <x:c r="C300"/>
      <x:c r="D300" t="str">
        <x:f>IFERROR(IF(298&lt;=$O$1,INDEX($A$3:$A$168,MATCH(298,$I$3:$I$168,0)),IF(298&lt;=$O$1+$O$2,INDEX($F$3:$F$1994,MATCH(298-$O$1,$G$3:$G$1994,0)),"")),"")</x:f>
      </x:c>
      <x:c r="E300" t="str">
        <x:f>IF(K300="","",IF(N300&lt;=M300,"",TRIM(CLEAN(MID(INDEX($B$3:$B$168,K300),M300,N300-M300)))))</x:f>
      </x:c>
      <x:c r="F300" t="str">
        <x:f>IF(E300="","",IF(E300=TRIM(INDEX($A$3:$A$168,K300)),"",IF(RIGHT(TRIM(INDEX($A$3:$A$168,K300)),1)="]",LEFT(TRIM(INDEX($A$3:$A$168,K300)),LEN(TRIM(INDEX($A$3:$A$168,K300)))-1)&amp;", "&amp;SUBSTITUTE(SUBSTITUTE(SUBSTITUTE(E300," [",", "),"[",", "),"]","")&amp;"]",TRIM(INDEX($A$3:$A$168,K300))&amp;" ["&amp;SUBSTITUTE(SUBSTITUTE(SUBSTITUTE(E300," [",", "),"[",", "),"]","")&amp;"]")))</x:f>
      </x:c>
      <x:c r="G300" t="str">
        <x:f>IF(F300&lt;&gt;"",ROWS($F$3:F300)-COUNTBLANK($F$3:F300),"")</x:f>
      </x:c>
      <x:c r="H300"/>
      <x:c r="I300"/>
      <x:c r="J300"/>
      <x:c r="K300" t="str">
        <x:f>IF(ROW()-ROW($K$2)&lt;=SUM($J$3:$J$168),COUNTIF($H$3:$H$168,"&lt;"&amp;(ROW()-ROW($K$2))),"")</x:f>
      </x:c>
      <x:c r="L300" t="str">
        <x:f>IF(K300="","",ROW()-ROW($L$2)-INDEX($H$3:$H$168,K300))</x:f>
      </x:c>
      <x:c r="M300" t="str">
        <x:f>IF(K300="","",IF(L300=1,1,FIND(CHAR(1),SUBSTITUTE(INDEX($B$3:$B$168,K300),CHAR(10),CHAR(1),L300-1))+1))</x:f>
      </x:c>
      <x:c r="N300" t="str">
        <x:f>IF(K300="","",IFERROR(FIND(CHAR(1),SUBSTITUTE(INDEX($B$3:$B$168,K300),CHAR(10),CHAR(1),L300)),LEN(INDEX($B$3:$B$168,K300))+1))</x:f>
      </x:c>
    </x:row>
    <x:row r="301" ht="15" customHeight="1">
      <x:c r="A301" s="81"/>
      <x:c r="B301"/>
      <x:c r="C301"/>
      <x:c r="D301" t="str">
        <x:f>IFERROR(IF(299&lt;=$O$1,INDEX($A$3:$A$168,MATCH(299,$I$3:$I$168,0)),IF(299&lt;=$O$1+$O$2,INDEX($F$3:$F$1994,MATCH(299-$O$1,$G$3:$G$1994,0)),"")),"")</x:f>
      </x:c>
      <x:c r="E301" t="str">
        <x:f>IF(K301="","",IF(N301&lt;=M301,"",TRIM(CLEAN(MID(INDEX($B$3:$B$168,K301),M301,N301-M301)))))</x:f>
      </x:c>
      <x:c r="F301" t="str">
        <x:f>IF(E301="","",IF(E301=TRIM(INDEX($A$3:$A$168,K301)),"",IF(RIGHT(TRIM(INDEX($A$3:$A$168,K301)),1)="]",LEFT(TRIM(INDEX($A$3:$A$168,K301)),LEN(TRIM(INDEX($A$3:$A$168,K301)))-1)&amp;", "&amp;SUBSTITUTE(SUBSTITUTE(SUBSTITUTE(E301," [",", "),"[",", "),"]","")&amp;"]",TRIM(INDEX($A$3:$A$168,K301))&amp;" ["&amp;SUBSTITUTE(SUBSTITUTE(SUBSTITUTE(E301," [",", "),"[",", "),"]","")&amp;"]")))</x:f>
      </x:c>
      <x:c r="G301" t="str">
        <x:f>IF(F301&lt;&gt;"",ROWS($F$3:F301)-COUNTBLANK($F$3:F301),"")</x:f>
      </x:c>
      <x:c r="H301"/>
      <x:c r="I301"/>
      <x:c r="J301"/>
      <x:c r="K301" t="str">
        <x:f>IF(ROW()-ROW($K$2)&lt;=SUM($J$3:$J$168),COUNTIF($H$3:$H$168,"&lt;"&amp;(ROW()-ROW($K$2))),"")</x:f>
      </x:c>
      <x:c r="L301" t="str">
        <x:f>IF(K301="","",ROW()-ROW($L$2)-INDEX($H$3:$H$168,K301))</x:f>
      </x:c>
      <x:c r="M301" t="str">
        <x:f>IF(K301="","",IF(L301=1,1,FIND(CHAR(1),SUBSTITUTE(INDEX($B$3:$B$168,K301),CHAR(10),CHAR(1),L301-1))+1))</x:f>
      </x:c>
      <x:c r="N301" t="str">
        <x:f>IF(K301="","",IFERROR(FIND(CHAR(1),SUBSTITUTE(INDEX($B$3:$B$168,K301),CHAR(10),CHAR(1),L301)),LEN(INDEX($B$3:$B$168,K301))+1))</x:f>
      </x:c>
    </x:row>
    <x:row r="302" ht="15" customHeight="1">
      <x:c r="A302" s="81"/>
      <x:c r="B302"/>
      <x:c r="C302"/>
      <x:c r="D302" t="str">
        <x:f>IFERROR(IF(300&lt;=$O$1,INDEX($A$3:$A$168,MATCH(300,$I$3:$I$168,0)),IF(300&lt;=$O$1+$O$2,INDEX($F$3:$F$1994,MATCH(300-$O$1,$G$3:$G$1994,0)),"")),"")</x:f>
      </x:c>
      <x:c r="E302" t="str">
        <x:f>IF(K302="","",IF(N302&lt;=M302,"",TRIM(CLEAN(MID(INDEX($B$3:$B$168,K302),M302,N302-M302)))))</x:f>
      </x:c>
      <x:c r="F302" t="str">
        <x:f>IF(E302="","",IF(E302=TRIM(INDEX($A$3:$A$168,K302)),"",IF(RIGHT(TRIM(INDEX($A$3:$A$168,K302)),1)="]",LEFT(TRIM(INDEX($A$3:$A$168,K302)),LEN(TRIM(INDEX($A$3:$A$168,K302)))-1)&amp;", "&amp;SUBSTITUTE(SUBSTITUTE(SUBSTITUTE(E302," [",", "),"[",", "),"]","")&amp;"]",TRIM(INDEX($A$3:$A$168,K302))&amp;" ["&amp;SUBSTITUTE(SUBSTITUTE(SUBSTITUTE(E302," [",", "),"[",", "),"]","")&amp;"]")))</x:f>
      </x:c>
      <x:c r="G302" t="str">
        <x:f>IF(F302&lt;&gt;"",ROWS($F$3:F302)-COUNTBLANK($F$3:F302),"")</x:f>
      </x:c>
      <x:c r="H302"/>
      <x:c r="I302"/>
      <x:c r="J302"/>
      <x:c r="K302" t="str">
        <x:f>IF(ROW()-ROW($K$2)&lt;=SUM($J$3:$J$168),COUNTIF($H$3:$H$168,"&lt;"&amp;(ROW()-ROW($K$2))),"")</x:f>
      </x:c>
      <x:c r="L302" t="str">
        <x:f>IF(K302="","",ROW()-ROW($L$2)-INDEX($H$3:$H$168,K302))</x:f>
      </x:c>
      <x:c r="M302" t="str">
        <x:f>IF(K302="","",IF(L302=1,1,FIND(CHAR(1),SUBSTITUTE(INDEX($B$3:$B$168,K302),CHAR(10),CHAR(1),L302-1))+1))</x:f>
      </x:c>
      <x:c r="N302" t="str">
        <x:f>IF(K302="","",IFERROR(FIND(CHAR(1),SUBSTITUTE(INDEX($B$3:$B$168,K302),CHAR(10),CHAR(1),L302)),LEN(INDEX($B$3:$B$168,K302))+1))</x:f>
      </x:c>
    </x:row>
    <x:row r="303" ht="15" customHeight="1">
      <x:c r="A303" s="81"/>
      <x:c r="B303"/>
      <x:c r="C303"/>
      <x:c r="D303" t="str">
        <x:f>IFERROR(IF(301&lt;=$O$1,INDEX($A$3:$A$168,MATCH(301,$I$3:$I$168,0)),IF(301&lt;=$O$1+$O$2,INDEX($F$3:$F$1994,MATCH(301-$O$1,$G$3:$G$1994,0)),"")),"")</x:f>
      </x:c>
      <x:c r="E303" t="str">
        <x:f>IF(K303="","",IF(N303&lt;=M303,"",TRIM(CLEAN(MID(INDEX($B$3:$B$168,K303),M303,N303-M303)))))</x:f>
      </x:c>
      <x:c r="F303" t="str">
        <x:f>IF(E303="","",IF(E303=TRIM(INDEX($A$3:$A$168,K303)),"",IF(RIGHT(TRIM(INDEX($A$3:$A$168,K303)),1)="]",LEFT(TRIM(INDEX($A$3:$A$168,K303)),LEN(TRIM(INDEX($A$3:$A$168,K303)))-1)&amp;", "&amp;SUBSTITUTE(SUBSTITUTE(SUBSTITUTE(E303," [",", "),"[",", "),"]","")&amp;"]",TRIM(INDEX($A$3:$A$168,K303))&amp;" ["&amp;SUBSTITUTE(SUBSTITUTE(SUBSTITUTE(E303," [",", "),"[",", "),"]","")&amp;"]")))</x:f>
      </x:c>
      <x:c r="G303" t="str">
        <x:f>IF(F303&lt;&gt;"",ROWS($F$3:F303)-COUNTBLANK($F$3:F303),"")</x:f>
      </x:c>
      <x:c r="H303"/>
      <x:c r="I303"/>
      <x:c r="J303"/>
      <x:c r="K303" t="str">
        <x:f>IF(ROW()-ROW($K$2)&lt;=SUM($J$3:$J$168),COUNTIF($H$3:$H$168,"&lt;"&amp;(ROW()-ROW($K$2))),"")</x:f>
      </x:c>
      <x:c r="L303" t="str">
        <x:f>IF(K303="","",ROW()-ROW($L$2)-INDEX($H$3:$H$168,K303))</x:f>
      </x:c>
      <x:c r="M303" t="str">
        <x:f>IF(K303="","",IF(L303=1,1,FIND(CHAR(1),SUBSTITUTE(INDEX($B$3:$B$168,K303),CHAR(10),CHAR(1),L303-1))+1))</x:f>
      </x:c>
      <x:c r="N303" t="str">
        <x:f>IF(K303="","",IFERROR(FIND(CHAR(1),SUBSTITUTE(INDEX($B$3:$B$168,K303),CHAR(10),CHAR(1),L303)),LEN(INDEX($B$3:$B$168,K303))+1))</x:f>
      </x:c>
    </x:row>
    <x:row r="304" ht="15" customHeight="1">
      <x:c r="A304" s="81"/>
      <x:c r="B304"/>
      <x:c r="C304"/>
      <x:c r="D304" t="str">
        <x:f>IFERROR(IF(302&lt;=$O$1,INDEX($A$3:$A$168,MATCH(302,$I$3:$I$168,0)),IF(302&lt;=$O$1+$O$2,INDEX($F$3:$F$1994,MATCH(302-$O$1,$G$3:$G$1994,0)),"")),"")</x:f>
      </x:c>
      <x:c r="E304" t="str">
        <x:f>IF(K304="","",IF(N304&lt;=M304,"",TRIM(CLEAN(MID(INDEX($B$3:$B$168,K304),M304,N304-M304)))))</x:f>
      </x:c>
      <x:c r="F304" t="str">
        <x:f>IF(E304="","",IF(E304=TRIM(INDEX($A$3:$A$168,K304)),"",IF(RIGHT(TRIM(INDEX($A$3:$A$168,K304)),1)="]",LEFT(TRIM(INDEX($A$3:$A$168,K304)),LEN(TRIM(INDEX($A$3:$A$168,K304)))-1)&amp;", "&amp;SUBSTITUTE(SUBSTITUTE(SUBSTITUTE(E304," [",", "),"[",", "),"]","")&amp;"]",TRIM(INDEX($A$3:$A$168,K304))&amp;" ["&amp;SUBSTITUTE(SUBSTITUTE(SUBSTITUTE(E304," [",", "),"[",", "),"]","")&amp;"]")))</x:f>
      </x:c>
      <x:c r="G304" t="str">
        <x:f>IF(F304&lt;&gt;"",ROWS($F$3:F304)-COUNTBLANK($F$3:F304),"")</x:f>
      </x:c>
      <x:c r="H304"/>
      <x:c r="I304"/>
      <x:c r="J304"/>
      <x:c r="K304" t="str">
        <x:f>IF(ROW()-ROW($K$2)&lt;=SUM($J$3:$J$168),COUNTIF($H$3:$H$168,"&lt;"&amp;(ROW()-ROW($K$2))),"")</x:f>
      </x:c>
      <x:c r="L304" t="str">
        <x:f>IF(K304="","",ROW()-ROW($L$2)-INDEX($H$3:$H$168,K304))</x:f>
      </x:c>
      <x:c r="M304" t="str">
        <x:f>IF(K304="","",IF(L304=1,1,FIND(CHAR(1),SUBSTITUTE(INDEX($B$3:$B$168,K304),CHAR(10),CHAR(1),L304-1))+1))</x:f>
      </x:c>
      <x:c r="N304" t="str">
        <x:f>IF(K304="","",IFERROR(FIND(CHAR(1),SUBSTITUTE(INDEX($B$3:$B$168,K304),CHAR(10),CHAR(1),L304)),LEN(INDEX($B$3:$B$168,K304))+1))</x:f>
      </x:c>
    </x:row>
    <x:row r="305">
      <x:c r="A305"/>
      <x:c r="B305"/>
      <x:c r="C305"/>
      <x:c r="D305" t="str">
        <x:f>IFERROR(IF(303&lt;=$O$1,INDEX($A$3:$A$168,MATCH(303,$I$3:$I$168,0)),IF(303&lt;=$O$1+$O$2,INDEX($F$3:$F$1994,MATCH(303-$O$1,$G$3:$G$1994,0)),"")),"")</x:f>
      </x:c>
      <x:c r="E305" t="str">
        <x:f>IF(K305="","",IF(N305&lt;=M305,"",TRIM(CLEAN(MID(INDEX($B$3:$B$168,K305),M305,N305-M305)))))</x:f>
      </x:c>
      <x:c r="F305" t="str">
        <x:f>IF(E305="","",IF(E305=TRIM(INDEX($A$3:$A$168,K305)),"",IF(RIGHT(TRIM(INDEX($A$3:$A$168,K305)),1)="]",LEFT(TRIM(INDEX($A$3:$A$168,K305)),LEN(TRIM(INDEX($A$3:$A$168,K305)))-1)&amp;", "&amp;SUBSTITUTE(SUBSTITUTE(SUBSTITUTE(E305," [",", "),"[",", "),"]","")&amp;"]",TRIM(INDEX($A$3:$A$168,K305))&amp;" ["&amp;SUBSTITUTE(SUBSTITUTE(SUBSTITUTE(E305," [",", "),"[",", "),"]","")&amp;"]")))</x:f>
      </x:c>
      <x:c r="G305" t="str">
        <x:f>IF(F305&lt;&gt;"",ROWS($F$3:F305)-COUNTBLANK($F$3:F305),"")</x:f>
      </x:c>
      <x:c r="H305"/>
      <x:c r="I305"/>
      <x:c r="J305"/>
      <x:c r="K305" t="str">
        <x:f>IF(ROW()-ROW($K$2)&lt;=SUM($J$3:$J$168),COUNTIF($H$3:$H$168,"&lt;"&amp;(ROW()-ROW($K$2))),"")</x:f>
      </x:c>
      <x:c r="L305" t="str">
        <x:f>IF(K305="","",ROW()-ROW($L$2)-INDEX($H$3:$H$168,K305))</x:f>
      </x:c>
      <x:c r="M305" t="str">
        <x:f>IF(K305="","",IF(L305=1,1,FIND(CHAR(1),SUBSTITUTE(INDEX($B$3:$B$168,K305),CHAR(10),CHAR(1),L305-1))+1))</x:f>
      </x:c>
      <x:c r="N305" t="str">
        <x:f>IF(K305="","",IFERROR(FIND(CHAR(1),SUBSTITUTE(INDEX($B$3:$B$168,K305),CHAR(10),CHAR(1),L305)),LEN(INDEX($B$3:$B$168,K305))+1))</x:f>
      </x:c>
    </x:row>
    <x:row r="306">
      <x:c r="A306"/>
      <x:c r="B306"/>
      <x:c r="C306"/>
      <x:c r="D306" t="str">
        <x:f>IFERROR(IF(304&lt;=$O$1,INDEX($A$3:$A$168,MATCH(304,$I$3:$I$168,0)),IF(304&lt;=$O$1+$O$2,INDEX($F$3:$F$1994,MATCH(304-$O$1,$G$3:$G$1994,0)),"")),"")</x:f>
      </x:c>
      <x:c r="E306" t="str">
        <x:f>IF(K306="","",IF(N306&lt;=M306,"",TRIM(CLEAN(MID(INDEX($B$3:$B$168,K306),M306,N306-M306)))))</x:f>
      </x:c>
      <x:c r="F306" t="str">
        <x:f>IF(E306="","",IF(E306=TRIM(INDEX($A$3:$A$168,K306)),"",IF(RIGHT(TRIM(INDEX($A$3:$A$168,K306)),1)="]",LEFT(TRIM(INDEX($A$3:$A$168,K306)),LEN(TRIM(INDEX($A$3:$A$168,K306)))-1)&amp;", "&amp;SUBSTITUTE(SUBSTITUTE(SUBSTITUTE(E306," [",", "),"[",", "),"]","")&amp;"]",TRIM(INDEX($A$3:$A$168,K306))&amp;" ["&amp;SUBSTITUTE(SUBSTITUTE(SUBSTITUTE(E306," [",", "),"[",", "),"]","")&amp;"]")))</x:f>
      </x:c>
      <x:c r="G306" t="str">
        <x:f>IF(F306&lt;&gt;"",ROWS($F$3:F306)-COUNTBLANK($F$3:F306),"")</x:f>
      </x:c>
      <x:c r="H306"/>
      <x:c r="I306"/>
      <x:c r="J306"/>
      <x:c r="K306" t="str">
        <x:f>IF(ROW()-ROW($K$2)&lt;=SUM($J$3:$J$168),COUNTIF($H$3:$H$168,"&lt;"&amp;(ROW()-ROW($K$2))),"")</x:f>
      </x:c>
      <x:c r="L306" t="str">
        <x:f>IF(K306="","",ROW()-ROW($L$2)-INDEX($H$3:$H$168,K306))</x:f>
      </x:c>
      <x:c r="M306" t="str">
        <x:f>IF(K306="","",IF(L306=1,1,FIND(CHAR(1),SUBSTITUTE(INDEX($B$3:$B$168,K306),CHAR(10),CHAR(1),L306-1))+1))</x:f>
      </x:c>
      <x:c r="N306" t="str">
        <x:f>IF(K306="","",IFERROR(FIND(CHAR(1),SUBSTITUTE(INDEX($B$3:$B$168,K306),CHAR(10),CHAR(1),L306)),LEN(INDEX($B$3:$B$168,K306))+1))</x:f>
      </x:c>
    </x:row>
    <x:row r="307">
      <x:c r="A307"/>
      <x:c r="B307"/>
      <x:c r="C307"/>
      <x:c r="D307" t="str">
        <x:f>IFERROR(IF(305&lt;=$O$1,INDEX($A$3:$A$168,MATCH(305,$I$3:$I$168,0)),IF(305&lt;=$O$1+$O$2,INDEX($F$3:$F$1994,MATCH(305-$O$1,$G$3:$G$1994,0)),"")),"")</x:f>
      </x:c>
      <x:c r="E307" t="str">
        <x:f>IF(K307="","",IF(N307&lt;=M307,"",TRIM(CLEAN(MID(INDEX($B$3:$B$168,K307),M307,N307-M307)))))</x:f>
      </x:c>
      <x:c r="F307" t="str">
        <x:f>IF(E307="","",IF(E307=TRIM(INDEX($A$3:$A$168,K307)),"",IF(RIGHT(TRIM(INDEX($A$3:$A$168,K307)),1)="]",LEFT(TRIM(INDEX($A$3:$A$168,K307)),LEN(TRIM(INDEX($A$3:$A$168,K307)))-1)&amp;", "&amp;SUBSTITUTE(SUBSTITUTE(SUBSTITUTE(E307," [",", "),"[",", "),"]","")&amp;"]",TRIM(INDEX($A$3:$A$168,K307))&amp;" ["&amp;SUBSTITUTE(SUBSTITUTE(SUBSTITUTE(E307," [",", "),"[",", "),"]","")&amp;"]")))</x:f>
      </x:c>
      <x:c r="G307" t="str">
        <x:f>IF(F307&lt;&gt;"",ROWS($F$3:F307)-COUNTBLANK($F$3:F307),"")</x:f>
      </x:c>
      <x:c r="H307"/>
      <x:c r="I307"/>
      <x:c r="J307"/>
      <x:c r="K307" t="str">
        <x:f>IF(ROW()-ROW($K$2)&lt;=SUM($J$3:$J$168),COUNTIF($H$3:$H$168,"&lt;"&amp;(ROW()-ROW($K$2))),"")</x:f>
      </x:c>
      <x:c r="L307" t="str">
        <x:f>IF(K307="","",ROW()-ROW($L$2)-INDEX($H$3:$H$168,K307))</x:f>
      </x:c>
      <x:c r="M307" t="str">
        <x:f>IF(K307="","",IF(L307=1,1,FIND(CHAR(1),SUBSTITUTE(INDEX($B$3:$B$168,K307),CHAR(10),CHAR(1),L307-1))+1))</x:f>
      </x:c>
      <x:c r="N307" t="str">
        <x:f>IF(K307="","",IFERROR(FIND(CHAR(1),SUBSTITUTE(INDEX($B$3:$B$168,K307),CHAR(10),CHAR(1),L307)),LEN(INDEX($B$3:$B$168,K307))+1))</x:f>
      </x:c>
    </x:row>
    <x:row r="308">
      <x:c r="A308"/>
      <x:c r="B308"/>
      <x:c r="C308"/>
      <x:c r="D308" t="str">
        <x:f>IFERROR(IF(306&lt;=$O$1,INDEX($A$3:$A$168,MATCH(306,$I$3:$I$168,0)),IF(306&lt;=$O$1+$O$2,INDEX($F$3:$F$1994,MATCH(306-$O$1,$G$3:$G$1994,0)),"")),"")</x:f>
      </x:c>
      <x:c r="E308" t="str">
        <x:f>IF(K308="","",IF(N308&lt;=M308,"",TRIM(CLEAN(MID(INDEX($B$3:$B$168,K308),M308,N308-M308)))))</x:f>
      </x:c>
      <x:c r="F308" t="str">
        <x:f>IF(E308="","",IF(E308=TRIM(INDEX($A$3:$A$168,K308)),"",IF(RIGHT(TRIM(INDEX($A$3:$A$168,K308)),1)="]",LEFT(TRIM(INDEX($A$3:$A$168,K308)),LEN(TRIM(INDEX($A$3:$A$168,K308)))-1)&amp;", "&amp;SUBSTITUTE(SUBSTITUTE(SUBSTITUTE(E308," [",", "),"[",", "),"]","")&amp;"]",TRIM(INDEX($A$3:$A$168,K308))&amp;" ["&amp;SUBSTITUTE(SUBSTITUTE(SUBSTITUTE(E308," [",", "),"[",", "),"]","")&amp;"]")))</x:f>
      </x:c>
      <x:c r="G308" t="str">
        <x:f>IF(F308&lt;&gt;"",ROWS($F$3:F308)-COUNTBLANK($F$3:F308),"")</x:f>
      </x:c>
      <x:c r="H308"/>
      <x:c r="I308"/>
      <x:c r="J308"/>
      <x:c r="K308" t="str">
        <x:f>IF(ROW()-ROW($K$2)&lt;=SUM($J$3:$J$168),COUNTIF($H$3:$H$168,"&lt;"&amp;(ROW()-ROW($K$2))),"")</x:f>
      </x:c>
      <x:c r="L308" t="str">
        <x:f>IF(K308="","",ROW()-ROW($L$2)-INDEX($H$3:$H$168,K308))</x:f>
      </x:c>
      <x:c r="M308" t="str">
        <x:f>IF(K308="","",IF(L308=1,1,FIND(CHAR(1),SUBSTITUTE(INDEX($B$3:$B$168,K308),CHAR(10),CHAR(1),L308-1))+1))</x:f>
      </x:c>
      <x:c r="N308" t="str">
        <x:f>IF(K308="","",IFERROR(FIND(CHAR(1),SUBSTITUTE(INDEX($B$3:$B$168,K308),CHAR(10),CHAR(1),L308)),LEN(INDEX($B$3:$B$168,K308))+1))</x:f>
      </x:c>
    </x:row>
    <x:row r="309">
      <x:c r="A309"/>
      <x:c r="B309"/>
      <x:c r="C309"/>
      <x:c r="D309" t="str">
        <x:f>IFERROR(IF(307&lt;=$O$1,INDEX($A$3:$A$168,MATCH(307,$I$3:$I$168,0)),IF(307&lt;=$O$1+$O$2,INDEX($F$3:$F$1994,MATCH(307-$O$1,$G$3:$G$1994,0)),"")),"")</x:f>
      </x:c>
      <x:c r="E309" t="str">
        <x:f>IF(K309="","",IF(N309&lt;=M309,"",TRIM(CLEAN(MID(INDEX($B$3:$B$168,K309),M309,N309-M309)))))</x:f>
      </x:c>
      <x:c r="F309" t="str">
        <x:f>IF(E309="","",IF(E309=TRIM(INDEX($A$3:$A$168,K309)),"",IF(RIGHT(TRIM(INDEX($A$3:$A$168,K309)),1)="]",LEFT(TRIM(INDEX($A$3:$A$168,K309)),LEN(TRIM(INDEX($A$3:$A$168,K309)))-1)&amp;", "&amp;SUBSTITUTE(SUBSTITUTE(SUBSTITUTE(E309," [",", "),"[",", "),"]","")&amp;"]",TRIM(INDEX($A$3:$A$168,K309))&amp;" ["&amp;SUBSTITUTE(SUBSTITUTE(SUBSTITUTE(E309," [",", "),"[",", "),"]","")&amp;"]")))</x:f>
      </x:c>
      <x:c r="G309" t="str">
        <x:f>IF(F309&lt;&gt;"",ROWS($F$3:F309)-COUNTBLANK($F$3:F309),"")</x:f>
      </x:c>
      <x:c r="H309"/>
      <x:c r="I309"/>
      <x:c r="J309"/>
      <x:c r="K309" t="str">
        <x:f>IF(ROW()-ROW($K$2)&lt;=SUM($J$3:$J$168),COUNTIF($H$3:$H$168,"&lt;"&amp;(ROW()-ROW($K$2))),"")</x:f>
      </x:c>
      <x:c r="L309" t="str">
        <x:f>IF(K309="","",ROW()-ROW($L$2)-INDEX($H$3:$H$168,K309))</x:f>
      </x:c>
      <x:c r="M309" t="str">
        <x:f>IF(K309="","",IF(L309=1,1,FIND(CHAR(1),SUBSTITUTE(INDEX($B$3:$B$168,K309),CHAR(10),CHAR(1),L309-1))+1))</x:f>
      </x:c>
      <x:c r="N309" t="str">
        <x:f>IF(K309="","",IFERROR(FIND(CHAR(1),SUBSTITUTE(INDEX($B$3:$B$168,K309),CHAR(10),CHAR(1),L309)),LEN(INDEX($B$3:$B$168,K309))+1))</x:f>
      </x:c>
    </x:row>
    <x:row r="310">
      <x:c r="A310"/>
      <x:c r="B310"/>
      <x:c r="C310"/>
      <x:c r="D310" t="str">
        <x:f>IFERROR(IF(308&lt;=$O$1,INDEX($A$3:$A$168,MATCH(308,$I$3:$I$168,0)),IF(308&lt;=$O$1+$O$2,INDEX($F$3:$F$1994,MATCH(308-$O$1,$G$3:$G$1994,0)),"")),"")</x:f>
      </x:c>
      <x:c r="E310" t="str">
        <x:f>IF(K310="","",IF(N310&lt;=M310,"",TRIM(CLEAN(MID(INDEX($B$3:$B$168,K310),M310,N310-M310)))))</x:f>
      </x:c>
      <x:c r="F310" t="str">
        <x:f>IF(E310="","",IF(E310=TRIM(INDEX($A$3:$A$168,K310)),"",IF(RIGHT(TRIM(INDEX($A$3:$A$168,K310)),1)="]",LEFT(TRIM(INDEX($A$3:$A$168,K310)),LEN(TRIM(INDEX($A$3:$A$168,K310)))-1)&amp;", "&amp;SUBSTITUTE(SUBSTITUTE(SUBSTITUTE(E310," [",", "),"[",", "),"]","")&amp;"]",TRIM(INDEX($A$3:$A$168,K310))&amp;" ["&amp;SUBSTITUTE(SUBSTITUTE(SUBSTITUTE(E310," [",", "),"[",", "),"]","")&amp;"]")))</x:f>
      </x:c>
      <x:c r="G310" t="str">
        <x:f>IF(F310&lt;&gt;"",ROWS($F$3:F310)-COUNTBLANK($F$3:F310),"")</x:f>
      </x:c>
      <x:c r="H310"/>
      <x:c r="I310"/>
      <x:c r="J310"/>
      <x:c r="K310" t="str">
        <x:f>IF(ROW()-ROW($K$2)&lt;=SUM($J$3:$J$168),COUNTIF($H$3:$H$168,"&lt;"&amp;(ROW()-ROW($K$2))),"")</x:f>
      </x:c>
      <x:c r="L310" t="str">
        <x:f>IF(K310="","",ROW()-ROW($L$2)-INDEX($H$3:$H$168,K310))</x:f>
      </x:c>
      <x:c r="M310" t="str">
        <x:f>IF(K310="","",IF(L310=1,1,FIND(CHAR(1),SUBSTITUTE(INDEX($B$3:$B$168,K310),CHAR(10),CHAR(1),L310-1))+1))</x:f>
      </x:c>
      <x:c r="N310" t="str">
        <x:f>IF(K310="","",IFERROR(FIND(CHAR(1),SUBSTITUTE(INDEX($B$3:$B$168,K310),CHAR(10),CHAR(1),L310)),LEN(INDEX($B$3:$B$168,K310))+1))</x:f>
      </x:c>
    </x:row>
    <x:row r="311">
      <x:c r="A311"/>
      <x:c r="B311"/>
      <x:c r="C311"/>
      <x:c r="D311" t="str">
        <x:f>IFERROR(IF(309&lt;=$O$1,INDEX($A$3:$A$168,MATCH(309,$I$3:$I$168,0)),IF(309&lt;=$O$1+$O$2,INDEX($F$3:$F$1994,MATCH(309-$O$1,$G$3:$G$1994,0)),"")),"")</x:f>
      </x:c>
      <x:c r="E311" t="str">
        <x:f>IF(K311="","",IF(N311&lt;=M311,"",TRIM(CLEAN(MID(INDEX($B$3:$B$168,K311),M311,N311-M311)))))</x:f>
      </x:c>
      <x:c r="F311" t="str">
        <x:f>IF(E311="","",IF(E311=TRIM(INDEX($A$3:$A$168,K311)),"",IF(RIGHT(TRIM(INDEX($A$3:$A$168,K311)),1)="]",LEFT(TRIM(INDEX($A$3:$A$168,K311)),LEN(TRIM(INDEX($A$3:$A$168,K311)))-1)&amp;", "&amp;SUBSTITUTE(SUBSTITUTE(SUBSTITUTE(E311," [",", "),"[",", "),"]","")&amp;"]",TRIM(INDEX($A$3:$A$168,K311))&amp;" ["&amp;SUBSTITUTE(SUBSTITUTE(SUBSTITUTE(E311," [",", "),"[",", "),"]","")&amp;"]")))</x:f>
      </x:c>
      <x:c r="G311" t="str">
        <x:f>IF(F311&lt;&gt;"",ROWS($F$3:F311)-COUNTBLANK($F$3:F311),"")</x:f>
      </x:c>
      <x:c r="H311"/>
      <x:c r="I311"/>
      <x:c r="J311"/>
      <x:c r="K311" t="str">
        <x:f>IF(ROW()-ROW($K$2)&lt;=SUM($J$3:$J$168),COUNTIF($H$3:$H$168,"&lt;"&amp;(ROW()-ROW($K$2))),"")</x:f>
      </x:c>
      <x:c r="L311" t="str">
        <x:f>IF(K311="","",ROW()-ROW($L$2)-INDEX($H$3:$H$168,K311))</x:f>
      </x:c>
      <x:c r="M311" t="str">
        <x:f>IF(K311="","",IF(L311=1,1,FIND(CHAR(1),SUBSTITUTE(INDEX($B$3:$B$168,K311),CHAR(10),CHAR(1),L311-1))+1))</x:f>
      </x:c>
      <x:c r="N311" t="str">
        <x:f>IF(K311="","",IFERROR(FIND(CHAR(1),SUBSTITUTE(INDEX($B$3:$B$168,K311),CHAR(10),CHAR(1),L311)),LEN(INDEX($B$3:$B$168,K311))+1))</x:f>
      </x:c>
    </x:row>
    <x:row r="312">
      <x:c r="A312"/>
      <x:c r="B312"/>
      <x:c r="C312"/>
      <x:c r="D312" t="str">
        <x:f>IFERROR(IF(310&lt;=$O$1,INDEX($A$3:$A$168,MATCH(310,$I$3:$I$168,0)),IF(310&lt;=$O$1+$O$2,INDEX($F$3:$F$1994,MATCH(310-$O$1,$G$3:$G$1994,0)),"")),"")</x:f>
      </x:c>
      <x:c r="E312" t="str">
        <x:f>IF(K312="","",IF(N312&lt;=M312,"",TRIM(CLEAN(MID(INDEX($B$3:$B$168,K312),M312,N312-M312)))))</x:f>
      </x:c>
      <x:c r="F312" t="str">
        <x:f>IF(E312="","",IF(E312=TRIM(INDEX($A$3:$A$168,K312)),"",IF(RIGHT(TRIM(INDEX($A$3:$A$168,K312)),1)="]",LEFT(TRIM(INDEX($A$3:$A$168,K312)),LEN(TRIM(INDEX($A$3:$A$168,K312)))-1)&amp;", "&amp;SUBSTITUTE(SUBSTITUTE(SUBSTITUTE(E312," [",", "),"[",", "),"]","")&amp;"]",TRIM(INDEX($A$3:$A$168,K312))&amp;" ["&amp;SUBSTITUTE(SUBSTITUTE(SUBSTITUTE(E312," [",", "),"[",", "),"]","")&amp;"]")))</x:f>
      </x:c>
      <x:c r="G312" t="str">
        <x:f>IF(F312&lt;&gt;"",ROWS($F$3:F312)-COUNTBLANK($F$3:F312),"")</x:f>
      </x:c>
      <x:c r="H312"/>
      <x:c r="I312"/>
      <x:c r="J312"/>
      <x:c r="K312" t="str">
        <x:f>IF(ROW()-ROW($K$2)&lt;=SUM($J$3:$J$168),COUNTIF($H$3:$H$168,"&lt;"&amp;(ROW()-ROW($K$2))),"")</x:f>
      </x:c>
      <x:c r="L312" t="str">
        <x:f>IF(K312="","",ROW()-ROW($L$2)-INDEX($H$3:$H$168,K312))</x:f>
      </x:c>
      <x:c r="M312" t="str">
        <x:f>IF(K312="","",IF(L312=1,1,FIND(CHAR(1),SUBSTITUTE(INDEX($B$3:$B$168,K312),CHAR(10),CHAR(1),L312-1))+1))</x:f>
      </x:c>
      <x:c r="N312" t="str">
        <x:f>IF(K312="","",IFERROR(FIND(CHAR(1),SUBSTITUTE(INDEX($B$3:$B$168,K312),CHAR(10),CHAR(1),L312)),LEN(INDEX($B$3:$B$168,K312))+1))</x:f>
      </x:c>
    </x:row>
    <x:row r="313">
      <x:c r="A313"/>
      <x:c r="B313"/>
      <x:c r="C313"/>
      <x:c r="D313" t="str">
        <x:f>IFERROR(IF(311&lt;=$O$1,INDEX($A$3:$A$168,MATCH(311,$I$3:$I$168,0)),IF(311&lt;=$O$1+$O$2,INDEX($F$3:$F$1994,MATCH(311-$O$1,$G$3:$G$1994,0)),"")),"")</x:f>
      </x:c>
      <x:c r="E313" t="str">
        <x:f>IF(K313="","",IF(N313&lt;=M313,"",TRIM(CLEAN(MID(INDEX($B$3:$B$168,K313),M313,N313-M313)))))</x:f>
      </x:c>
      <x:c r="F313" t="str">
        <x:f>IF(E313="","",IF(E313=TRIM(INDEX($A$3:$A$168,K313)),"",IF(RIGHT(TRIM(INDEX($A$3:$A$168,K313)),1)="]",LEFT(TRIM(INDEX($A$3:$A$168,K313)),LEN(TRIM(INDEX($A$3:$A$168,K313)))-1)&amp;", "&amp;SUBSTITUTE(SUBSTITUTE(SUBSTITUTE(E313," [",", "),"[",", "),"]","")&amp;"]",TRIM(INDEX($A$3:$A$168,K313))&amp;" ["&amp;SUBSTITUTE(SUBSTITUTE(SUBSTITUTE(E313," [",", "),"[",", "),"]","")&amp;"]")))</x:f>
      </x:c>
      <x:c r="G313" t="str">
        <x:f>IF(F313&lt;&gt;"",ROWS($F$3:F313)-COUNTBLANK($F$3:F313),"")</x:f>
      </x:c>
      <x:c r="H313"/>
      <x:c r="I313"/>
      <x:c r="J313"/>
      <x:c r="K313" t="str">
        <x:f>IF(ROW()-ROW($K$2)&lt;=SUM($J$3:$J$168),COUNTIF($H$3:$H$168,"&lt;"&amp;(ROW()-ROW($K$2))),"")</x:f>
      </x:c>
      <x:c r="L313" t="str">
        <x:f>IF(K313="","",ROW()-ROW($L$2)-INDEX($H$3:$H$168,K313))</x:f>
      </x:c>
      <x:c r="M313" t="str">
        <x:f>IF(K313="","",IF(L313=1,1,FIND(CHAR(1),SUBSTITUTE(INDEX($B$3:$B$168,K313),CHAR(10),CHAR(1),L313-1))+1))</x:f>
      </x:c>
      <x:c r="N313" t="str">
        <x:f>IF(K313="","",IFERROR(FIND(CHAR(1),SUBSTITUTE(INDEX($B$3:$B$168,K313),CHAR(10),CHAR(1),L313)),LEN(INDEX($B$3:$B$168,K313))+1))</x:f>
      </x:c>
    </x:row>
    <x:row r="314">
      <x:c r="A314"/>
      <x:c r="B314"/>
      <x:c r="C314"/>
      <x:c r="D314" t="str">
        <x:f>IFERROR(IF(312&lt;=$O$1,INDEX($A$3:$A$168,MATCH(312,$I$3:$I$168,0)),IF(312&lt;=$O$1+$O$2,INDEX($F$3:$F$1994,MATCH(312-$O$1,$G$3:$G$1994,0)),"")),"")</x:f>
      </x:c>
      <x:c r="E314" t="str">
        <x:f>IF(K314="","",IF(N314&lt;=M314,"",TRIM(CLEAN(MID(INDEX($B$3:$B$168,K314),M314,N314-M314)))))</x:f>
      </x:c>
      <x:c r="F314" t="str">
        <x:f>IF(E314="","",IF(E314=TRIM(INDEX($A$3:$A$168,K314)),"",IF(RIGHT(TRIM(INDEX($A$3:$A$168,K314)),1)="]",LEFT(TRIM(INDEX($A$3:$A$168,K314)),LEN(TRIM(INDEX($A$3:$A$168,K314)))-1)&amp;", "&amp;SUBSTITUTE(SUBSTITUTE(SUBSTITUTE(E314," [",", "),"[",", "),"]","")&amp;"]",TRIM(INDEX($A$3:$A$168,K314))&amp;" ["&amp;SUBSTITUTE(SUBSTITUTE(SUBSTITUTE(E314," [",", "),"[",", "),"]","")&amp;"]")))</x:f>
      </x:c>
      <x:c r="G314" t="str">
        <x:f>IF(F314&lt;&gt;"",ROWS($F$3:F314)-COUNTBLANK($F$3:F314),"")</x:f>
      </x:c>
      <x:c r="H314"/>
      <x:c r="I314"/>
      <x:c r="J314"/>
      <x:c r="K314" t="str">
        <x:f>IF(ROW()-ROW($K$2)&lt;=SUM($J$3:$J$168),COUNTIF($H$3:$H$168,"&lt;"&amp;(ROW()-ROW($K$2))),"")</x:f>
      </x:c>
      <x:c r="L314" t="str">
        <x:f>IF(K314="","",ROW()-ROW($L$2)-INDEX($H$3:$H$168,K314))</x:f>
      </x:c>
      <x:c r="M314" t="str">
        <x:f>IF(K314="","",IF(L314=1,1,FIND(CHAR(1),SUBSTITUTE(INDEX($B$3:$B$168,K314),CHAR(10),CHAR(1),L314-1))+1))</x:f>
      </x:c>
      <x:c r="N314" t="str">
        <x:f>IF(K314="","",IFERROR(FIND(CHAR(1),SUBSTITUTE(INDEX($B$3:$B$168,K314),CHAR(10),CHAR(1),L314)),LEN(INDEX($B$3:$B$168,K314))+1))</x:f>
      </x:c>
    </x:row>
    <x:row r="315">
      <x:c r="A315"/>
      <x:c r="B315"/>
      <x:c r="C315"/>
      <x:c r="D315" t="str">
        <x:f>IFERROR(IF(313&lt;=$O$1,INDEX($A$3:$A$168,MATCH(313,$I$3:$I$168,0)),IF(313&lt;=$O$1+$O$2,INDEX($F$3:$F$1994,MATCH(313-$O$1,$G$3:$G$1994,0)),"")),"")</x:f>
      </x:c>
      <x:c r="E315" t="str">
        <x:f>IF(K315="","",IF(N315&lt;=M315,"",TRIM(CLEAN(MID(INDEX($B$3:$B$168,K315),M315,N315-M315)))))</x:f>
      </x:c>
      <x:c r="F315" t="str">
        <x:f>IF(E315="","",IF(E315=TRIM(INDEX($A$3:$A$168,K315)),"",IF(RIGHT(TRIM(INDEX($A$3:$A$168,K315)),1)="]",LEFT(TRIM(INDEX($A$3:$A$168,K315)),LEN(TRIM(INDEX($A$3:$A$168,K315)))-1)&amp;", "&amp;SUBSTITUTE(SUBSTITUTE(SUBSTITUTE(E315," [",", "),"[",", "),"]","")&amp;"]",TRIM(INDEX($A$3:$A$168,K315))&amp;" ["&amp;SUBSTITUTE(SUBSTITUTE(SUBSTITUTE(E315," [",", "),"[",", "),"]","")&amp;"]")))</x:f>
      </x:c>
      <x:c r="G315" t="str">
        <x:f>IF(F315&lt;&gt;"",ROWS($F$3:F315)-COUNTBLANK($F$3:F315),"")</x:f>
      </x:c>
      <x:c r="H315"/>
      <x:c r="I315"/>
      <x:c r="J315"/>
      <x:c r="K315" t="str">
        <x:f>IF(ROW()-ROW($K$2)&lt;=SUM($J$3:$J$168),COUNTIF($H$3:$H$168,"&lt;"&amp;(ROW()-ROW($K$2))),"")</x:f>
      </x:c>
      <x:c r="L315" t="str">
        <x:f>IF(K315="","",ROW()-ROW($L$2)-INDEX($H$3:$H$168,K315))</x:f>
      </x:c>
      <x:c r="M315" t="str">
        <x:f>IF(K315="","",IF(L315=1,1,FIND(CHAR(1),SUBSTITUTE(INDEX($B$3:$B$168,K315),CHAR(10),CHAR(1),L315-1))+1))</x:f>
      </x:c>
      <x:c r="N315" t="str">
        <x:f>IF(K315="","",IFERROR(FIND(CHAR(1),SUBSTITUTE(INDEX($B$3:$B$168,K315),CHAR(10),CHAR(1),L315)),LEN(INDEX($B$3:$B$168,K315))+1))</x:f>
      </x:c>
    </x:row>
    <x:row r="316">
      <x:c r="A316"/>
      <x:c r="B316"/>
      <x:c r="C316"/>
      <x:c r="D316" t="str">
        <x:f>IFERROR(IF(314&lt;=$O$1,INDEX($A$3:$A$168,MATCH(314,$I$3:$I$168,0)),IF(314&lt;=$O$1+$O$2,INDEX($F$3:$F$1994,MATCH(314-$O$1,$G$3:$G$1994,0)),"")),"")</x:f>
      </x:c>
      <x:c r="E316" t="str">
        <x:f>IF(K316="","",IF(N316&lt;=M316,"",TRIM(CLEAN(MID(INDEX($B$3:$B$168,K316),M316,N316-M316)))))</x:f>
      </x:c>
      <x:c r="F316" t="str">
        <x:f>IF(E316="","",IF(E316=TRIM(INDEX($A$3:$A$168,K316)),"",IF(RIGHT(TRIM(INDEX($A$3:$A$168,K316)),1)="]",LEFT(TRIM(INDEX($A$3:$A$168,K316)),LEN(TRIM(INDEX($A$3:$A$168,K316)))-1)&amp;", "&amp;SUBSTITUTE(SUBSTITUTE(SUBSTITUTE(E316," [",", "),"[",", "),"]","")&amp;"]",TRIM(INDEX($A$3:$A$168,K316))&amp;" ["&amp;SUBSTITUTE(SUBSTITUTE(SUBSTITUTE(E316," [",", "),"[",", "),"]","")&amp;"]")))</x:f>
      </x:c>
      <x:c r="G316" t="str">
        <x:f>IF(F316&lt;&gt;"",ROWS($F$3:F316)-COUNTBLANK($F$3:F316),"")</x:f>
      </x:c>
      <x:c r="H316"/>
      <x:c r="I316"/>
      <x:c r="J316"/>
      <x:c r="K316" t="str">
        <x:f>IF(ROW()-ROW($K$2)&lt;=SUM($J$3:$J$168),COUNTIF($H$3:$H$168,"&lt;"&amp;(ROW()-ROW($K$2))),"")</x:f>
      </x:c>
      <x:c r="L316" t="str">
        <x:f>IF(K316="","",ROW()-ROW($L$2)-INDEX($H$3:$H$168,K316))</x:f>
      </x:c>
      <x:c r="M316" t="str">
        <x:f>IF(K316="","",IF(L316=1,1,FIND(CHAR(1),SUBSTITUTE(INDEX($B$3:$B$168,K316),CHAR(10),CHAR(1),L316-1))+1))</x:f>
      </x:c>
      <x:c r="N316" t="str">
        <x:f>IF(K316="","",IFERROR(FIND(CHAR(1),SUBSTITUTE(INDEX($B$3:$B$168,K316),CHAR(10),CHAR(1),L316)),LEN(INDEX($B$3:$B$168,K316))+1))</x:f>
      </x:c>
    </x:row>
    <x:row r="317">
      <x:c r="A317"/>
      <x:c r="B317"/>
      <x:c r="C317"/>
      <x:c r="D317" t="str">
        <x:f>IFERROR(IF(315&lt;=$O$1,INDEX($A$3:$A$168,MATCH(315,$I$3:$I$168,0)),IF(315&lt;=$O$1+$O$2,INDEX($F$3:$F$1994,MATCH(315-$O$1,$G$3:$G$1994,0)),"")),"")</x:f>
      </x:c>
      <x:c r="E317" t="str">
        <x:f>IF(K317="","",IF(N317&lt;=M317,"",TRIM(CLEAN(MID(INDEX($B$3:$B$168,K317),M317,N317-M317)))))</x:f>
      </x:c>
      <x:c r="F317" t="str">
        <x:f>IF(E317="","",IF(E317=TRIM(INDEX($A$3:$A$168,K317)),"",IF(RIGHT(TRIM(INDEX($A$3:$A$168,K317)),1)="]",LEFT(TRIM(INDEX($A$3:$A$168,K317)),LEN(TRIM(INDEX($A$3:$A$168,K317)))-1)&amp;", "&amp;SUBSTITUTE(SUBSTITUTE(SUBSTITUTE(E317," [",", "),"[",", "),"]","")&amp;"]",TRIM(INDEX($A$3:$A$168,K317))&amp;" ["&amp;SUBSTITUTE(SUBSTITUTE(SUBSTITUTE(E317," [",", "),"[",", "),"]","")&amp;"]")))</x:f>
      </x:c>
      <x:c r="G317" t="str">
        <x:f>IF(F317&lt;&gt;"",ROWS($F$3:F317)-COUNTBLANK($F$3:F317),"")</x:f>
      </x:c>
      <x:c r="H317"/>
      <x:c r="I317"/>
      <x:c r="J317"/>
      <x:c r="K317" t="str">
        <x:f>IF(ROW()-ROW($K$2)&lt;=SUM($J$3:$J$168),COUNTIF($H$3:$H$168,"&lt;"&amp;(ROW()-ROW($K$2))),"")</x:f>
      </x:c>
      <x:c r="L317" t="str">
        <x:f>IF(K317="","",ROW()-ROW($L$2)-INDEX($H$3:$H$168,K317))</x:f>
      </x:c>
      <x:c r="M317" t="str">
        <x:f>IF(K317="","",IF(L317=1,1,FIND(CHAR(1),SUBSTITUTE(INDEX($B$3:$B$168,K317),CHAR(10),CHAR(1),L317-1))+1))</x:f>
      </x:c>
      <x:c r="N317" t="str">
        <x:f>IF(K317="","",IFERROR(FIND(CHAR(1),SUBSTITUTE(INDEX($B$3:$B$168,K317),CHAR(10),CHAR(1),L317)),LEN(INDEX($B$3:$B$168,K317))+1))</x:f>
      </x:c>
    </x:row>
    <x:row r="318">
      <x:c r="A318"/>
      <x:c r="B318"/>
      <x:c r="C318"/>
      <x:c r="D318" t="str">
        <x:f>IFERROR(IF(316&lt;=$O$1,INDEX($A$3:$A$168,MATCH(316,$I$3:$I$168,0)),IF(316&lt;=$O$1+$O$2,INDEX($F$3:$F$1994,MATCH(316-$O$1,$G$3:$G$1994,0)),"")),"")</x:f>
      </x:c>
      <x:c r="E318" t="str">
        <x:f>IF(K318="","",IF(N318&lt;=M318,"",TRIM(CLEAN(MID(INDEX($B$3:$B$168,K318),M318,N318-M318)))))</x:f>
      </x:c>
      <x:c r="F318" t="str">
        <x:f>IF(E318="","",IF(E318=TRIM(INDEX($A$3:$A$168,K318)),"",IF(RIGHT(TRIM(INDEX($A$3:$A$168,K318)),1)="]",LEFT(TRIM(INDEX($A$3:$A$168,K318)),LEN(TRIM(INDEX($A$3:$A$168,K318)))-1)&amp;", "&amp;SUBSTITUTE(SUBSTITUTE(SUBSTITUTE(E318," [",", "),"[",", "),"]","")&amp;"]",TRIM(INDEX($A$3:$A$168,K318))&amp;" ["&amp;SUBSTITUTE(SUBSTITUTE(SUBSTITUTE(E318," [",", "),"[",", "),"]","")&amp;"]")))</x:f>
      </x:c>
      <x:c r="G318" t="str">
        <x:f>IF(F318&lt;&gt;"",ROWS($F$3:F318)-COUNTBLANK($F$3:F318),"")</x:f>
      </x:c>
      <x:c r="H318"/>
      <x:c r="I318"/>
      <x:c r="J318"/>
      <x:c r="K318" t="str">
        <x:f>IF(ROW()-ROW($K$2)&lt;=SUM($J$3:$J$168),COUNTIF($H$3:$H$168,"&lt;"&amp;(ROW()-ROW($K$2))),"")</x:f>
      </x:c>
      <x:c r="L318" t="str">
        <x:f>IF(K318="","",ROW()-ROW($L$2)-INDEX($H$3:$H$168,K318))</x:f>
      </x:c>
      <x:c r="M318" t="str">
        <x:f>IF(K318="","",IF(L318=1,1,FIND(CHAR(1),SUBSTITUTE(INDEX($B$3:$B$168,K318),CHAR(10),CHAR(1),L318-1))+1))</x:f>
      </x:c>
      <x:c r="N318" t="str">
        <x:f>IF(K318="","",IFERROR(FIND(CHAR(1),SUBSTITUTE(INDEX($B$3:$B$168,K318),CHAR(10),CHAR(1),L318)),LEN(INDEX($B$3:$B$168,K318))+1))</x:f>
      </x:c>
    </x:row>
    <x:row r="319">
      <x:c r="A319"/>
      <x:c r="B319"/>
      <x:c r="C319"/>
      <x:c r="D319" t="str">
        <x:f>IFERROR(IF(317&lt;=$O$1,INDEX($A$3:$A$168,MATCH(317,$I$3:$I$168,0)),IF(317&lt;=$O$1+$O$2,INDEX($F$3:$F$1994,MATCH(317-$O$1,$G$3:$G$1994,0)),"")),"")</x:f>
      </x:c>
      <x:c r="E319" t="str">
        <x:f>IF(K319="","",IF(N319&lt;=M319,"",TRIM(CLEAN(MID(INDEX($B$3:$B$168,K319),M319,N319-M319)))))</x:f>
      </x:c>
      <x:c r="F319" t="str">
        <x:f>IF(E319="","",IF(E319=TRIM(INDEX($A$3:$A$168,K319)),"",IF(RIGHT(TRIM(INDEX($A$3:$A$168,K319)),1)="]",LEFT(TRIM(INDEX($A$3:$A$168,K319)),LEN(TRIM(INDEX($A$3:$A$168,K319)))-1)&amp;", "&amp;SUBSTITUTE(SUBSTITUTE(SUBSTITUTE(E319," [",", "),"[",", "),"]","")&amp;"]",TRIM(INDEX($A$3:$A$168,K319))&amp;" ["&amp;SUBSTITUTE(SUBSTITUTE(SUBSTITUTE(E319," [",", "),"[",", "),"]","")&amp;"]")))</x:f>
      </x:c>
      <x:c r="G319" t="str">
        <x:f>IF(F319&lt;&gt;"",ROWS($F$3:F319)-COUNTBLANK($F$3:F319),"")</x:f>
      </x:c>
      <x:c r="H319"/>
      <x:c r="I319"/>
      <x:c r="J319"/>
      <x:c r="K319" t="str">
        <x:f>IF(ROW()-ROW($K$2)&lt;=SUM($J$3:$J$168),COUNTIF($H$3:$H$168,"&lt;"&amp;(ROW()-ROW($K$2))),"")</x:f>
      </x:c>
      <x:c r="L319" t="str">
        <x:f>IF(K319="","",ROW()-ROW($L$2)-INDEX($H$3:$H$168,K319))</x:f>
      </x:c>
      <x:c r="M319" t="str">
        <x:f>IF(K319="","",IF(L319=1,1,FIND(CHAR(1),SUBSTITUTE(INDEX($B$3:$B$168,K319),CHAR(10),CHAR(1),L319-1))+1))</x:f>
      </x:c>
      <x:c r="N319" t="str">
        <x:f>IF(K319="","",IFERROR(FIND(CHAR(1),SUBSTITUTE(INDEX($B$3:$B$168,K319),CHAR(10),CHAR(1),L319)),LEN(INDEX($B$3:$B$168,K319))+1))</x:f>
      </x:c>
    </x:row>
    <x:row r="320">
      <x:c r="A320"/>
      <x:c r="B320"/>
      <x:c r="C320"/>
      <x:c r="D320" t="str">
        <x:f>IFERROR(IF(318&lt;=$O$1,INDEX($A$3:$A$168,MATCH(318,$I$3:$I$168,0)),IF(318&lt;=$O$1+$O$2,INDEX($F$3:$F$1994,MATCH(318-$O$1,$G$3:$G$1994,0)),"")),"")</x:f>
      </x:c>
      <x:c r="E320" t="str">
        <x:f>IF(K320="","",IF(N320&lt;=M320,"",TRIM(CLEAN(MID(INDEX($B$3:$B$168,K320),M320,N320-M320)))))</x:f>
      </x:c>
      <x:c r="F320" t="str">
        <x:f>IF(E320="","",IF(E320=TRIM(INDEX($A$3:$A$168,K320)),"",IF(RIGHT(TRIM(INDEX($A$3:$A$168,K320)),1)="]",LEFT(TRIM(INDEX($A$3:$A$168,K320)),LEN(TRIM(INDEX($A$3:$A$168,K320)))-1)&amp;", "&amp;SUBSTITUTE(SUBSTITUTE(SUBSTITUTE(E320," [",", "),"[",", "),"]","")&amp;"]",TRIM(INDEX($A$3:$A$168,K320))&amp;" ["&amp;SUBSTITUTE(SUBSTITUTE(SUBSTITUTE(E320," [",", "),"[",", "),"]","")&amp;"]")))</x:f>
      </x:c>
      <x:c r="G320" t="str">
        <x:f>IF(F320&lt;&gt;"",ROWS($F$3:F320)-COUNTBLANK($F$3:F320),"")</x:f>
      </x:c>
      <x:c r="H320"/>
      <x:c r="I320"/>
      <x:c r="J320"/>
      <x:c r="K320" t="str">
        <x:f>IF(ROW()-ROW($K$2)&lt;=SUM($J$3:$J$168),COUNTIF($H$3:$H$168,"&lt;"&amp;(ROW()-ROW($K$2))),"")</x:f>
      </x:c>
      <x:c r="L320" t="str">
        <x:f>IF(K320="","",ROW()-ROW($L$2)-INDEX($H$3:$H$168,K320))</x:f>
      </x:c>
      <x:c r="M320" t="str">
        <x:f>IF(K320="","",IF(L320=1,1,FIND(CHAR(1),SUBSTITUTE(INDEX($B$3:$B$168,K320),CHAR(10),CHAR(1),L320-1))+1))</x:f>
      </x:c>
      <x:c r="N320" t="str">
        <x:f>IF(K320="","",IFERROR(FIND(CHAR(1),SUBSTITUTE(INDEX($B$3:$B$168,K320),CHAR(10),CHAR(1),L320)),LEN(INDEX($B$3:$B$168,K320))+1))</x:f>
      </x:c>
    </x:row>
    <x:row r="321">
      <x:c r="A321"/>
      <x:c r="B321"/>
      <x:c r="C321"/>
      <x:c r="D321" t="str">
        <x:f>IFERROR(IF(319&lt;=$O$1,INDEX($A$3:$A$168,MATCH(319,$I$3:$I$168,0)),IF(319&lt;=$O$1+$O$2,INDEX($F$3:$F$1994,MATCH(319-$O$1,$G$3:$G$1994,0)),"")),"")</x:f>
      </x:c>
      <x:c r="E321" t="str">
        <x:f>IF(K321="","",IF(N321&lt;=M321,"",TRIM(CLEAN(MID(INDEX($B$3:$B$168,K321),M321,N321-M321)))))</x:f>
      </x:c>
      <x:c r="F321" t="str">
        <x:f>IF(E321="","",IF(E321=TRIM(INDEX($A$3:$A$168,K321)),"",IF(RIGHT(TRIM(INDEX($A$3:$A$168,K321)),1)="]",LEFT(TRIM(INDEX($A$3:$A$168,K321)),LEN(TRIM(INDEX($A$3:$A$168,K321)))-1)&amp;", "&amp;SUBSTITUTE(SUBSTITUTE(SUBSTITUTE(E321," [",", "),"[",", "),"]","")&amp;"]",TRIM(INDEX($A$3:$A$168,K321))&amp;" ["&amp;SUBSTITUTE(SUBSTITUTE(SUBSTITUTE(E321," [",", "),"[",", "),"]","")&amp;"]")))</x:f>
      </x:c>
      <x:c r="G321" t="str">
        <x:f>IF(F321&lt;&gt;"",ROWS($F$3:F321)-COUNTBLANK($F$3:F321),"")</x:f>
      </x:c>
      <x:c r="H321"/>
      <x:c r="I321"/>
      <x:c r="J321"/>
      <x:c r="K321" t="str">
        <x:f>IF(ROW()-ROW($K$2)&lt;=SUM($J$3:$J$168),COUNTIF($H$3:$H$168,"&lt;"&amp;(ROW()-ROW($K$2))),"")</x:f>
      </x:c>
      <x:c r="L321" t="str">
        <x:f>IF(K321="","",ROW()-ROW($L$2)-INDEX($H$3:$H$168,K321))</x:f>
      </x:c>
      <x:c r="M321" t="str">
        <x:f>IF(K321="","",IF(L321=1,1,FIND(CHAR(1),SUBSTITUTE(INDEX($B$3:$B$168,K321),CHAR(10),CHAR(1),L321-1))+1))</x:f>
      </x:c>
      <x:c r="N321" t="str">
        <x:f>IF(K321="","",IFERROR(FIND(CHAR(1),SUBSTITUTE(INDEX($B$3:$B$168,K321),CHAR(10),CHAR(1),L321)),LEN(INDEX($B$3:$B$168,K321))+1))</x:f>
      </x:c>
    </x:row>
    <x:row r="322">
      <x:c r="A322"/>
      <x:c r="B322"/>
      <x:c r="C322"/>
      <x:c r="D322" t="str">
        <x:f>IFERROR(IF(320&lt;=$O$1,INDEX($A$3:$A$168,MATCH(320,$I$3:$I$168,0)),IF(320&lt;=$O$1+$O$2,INDEX($F$3:$F$1994,MATCH(320-$O$1,$G$3:$G$1994,0)),"")),"")</x:f>
      </x:c>
      <x:c r="E322" t="str">
        <x:f>IF(K322="","",IF(N322&lt;=M322,"",TRIM(CLEAN(MID(INDEX($B$3:$B$168,K322),M322,N322-M322)))))</x:f>
      </x:c>
      <x:c r="F322" t="str">
        <x:f>IF(E322="","",IF(E322=TRIM(INDEX($A$3:$A$168,K322)),"",IF(RIGHT(TRIM(INDEX($A$3:$A$168,K322)),1)="]",LEFT(TRIM(INDEX($A$3:$A$168,K322)),LEN(TRIM(INDEX($A$3:$A$168,K322)))-1)&amp;", "&amp;SUBSTITUTE(SUBSTITUTE(SUBSTITUTE(E322," [",", "),"[",", "),"]","")&amp;"]",TRIM(INDEX($A$3:$A$168,K322))&amp;" ["&amp;SUBSTITUTE(SUBSTITUTE(SUBSTITUTE(E322," [",", "),"[",", "),"]","")&amp;"]")))</x:f>
      </x:c>
      <x:c r="G322" t="str">
        <x:f>IF(F322&lt;&gt;"",ROWS($F$3:F322)-COUNTBLANK($F$3:F322),"")</x:f>
      </x:c>
      <x:c r="H322"/>
      <x:c r="I322"/>
      <x:c r="J322"/>
      <x:c r="K322" t="str">
        <x:f>IF(ROW()-ROW($K$2)&lt;=SUM($J$3:$J$168),COUNTIF($H$3:$H$168,"&lt;"&amp;(ROW()-ROW($K$2))),"")</x:f>
      </x:c>
      <x:c r="L322" t="str">
        <x:f>IF(K322="","",ROW()-ROW($L$2)-INDEX($H$3:$H$168,K322))</x:f>
      </x:c>
      <x:c r="M322" t="str">
        <x:f>IF(K322="","",IF(L322=1,1,FIND(CHAR(1),SUBSTITUTE(INDEX($B$3:$B$168,K322),CHAR(10),CHAR(1),L322-1))+1))</x:f>
      </x:c>
      <x:c r="N322" t="str">
        <x:f>IF(K322="","",IFERROR(FIND(CHAR(1),SUBSTITUTE(INDEX($B$3:$B$168,K322),CHAR(10),CHAR(1),L322)),LEN(INDEX($B$3:$B$168,K322))+1))</x:f>
      </x:c>
    </x:row>
    <x:row r="323">
      <x:c r="A323"/>
      <x:c r="B323"/>
      <x:c r="C323"/>
      <x:c r="D323" t="str">
        <x:f>IFERROR(IF(321&lt;=$O$1,INDEX($A$3:$A$168,MATCH(321,$I$3:$I$168,0)),IF(321&lt;=$O$1+$O$2,INDEX($F$3:$F$1994,MATCH(321-$O$1,$G$3:$G$1994,0)),"")),"")</x:f>
      </x:c>
      <x:c r="E323" t="str">
        <x:f>IF(K323="","",IF(N323&lt;=M323,"",TRIM(CLEAN(MID(INDEX($B$3:$B$168,K323),M323,N323-M323)))))</x:f>
      </x:c>
      <x:c r="F323" t="str">
        <x:f>IF(E323="","",IF(E323=TRIM(INDEX($A$3:$A$168,K323)),"",IF(RIGHT(TRIM(INDEX($A$3:$A$168,K323)),1)="]",LEFT(TRIM(INDEX($A$3:$A$168,K323)),LEN(TRIM(INDEX($A$3:$A$168,K323)))-1)&amp;", "&amp;SUBSTITUTE(SUBSTITUTE(SUBSTITUTE(E323," [",", "),"[",", "),"]","")&amp;"]",TRIM(INDEX($A$3:$A$168,K323))&amp;" ["&amp;SUBSTITUTE(SUBSTITUTE(SUBSTITUTE(E323," [",", "),"[",", "),"]","")&amp;"]")))</x:f>
      </x:c>
      <x:c r="G323" t="str">
        <x:f>IF(F323&lt;&gt;"",ROWS($F$3:F323)-COUNTBLANK($F$3:F323),"")</x:f>
      </x:c>
      <x:c r="H323"/>
      <x:c r="I323"/>
      <x:c r="J323"/>
      <x:c r="K323" t="str">
        <x:f>IF(ROW()-ROW($K$2)&lt;=SUM($J$3:$J$168),COUNTIF($H$3:$H$168,"&lt;"&amp;(ROW()-ROW($K$2))),"")</x:f>
      </x:c>
      <x:c r="L323" t="str">
        <x:f>IF(K323="","",ROW()-ROW($L$2)-INDEX($H$3:$H$168,K323))</x:f>
      </x:c>
      <x:c r="M323" t="str">
        <x:f>IF(K323="","",IF(L323=1,1,FIND(CHAR(1),SUBSTITUTE(INDEX($B$3:$B$168,K323),CHAR(10),CHAR(1),L323-1))+1))</x:f>
      </x:c>
      <x:c r="N323" t="str">
        <x:f>IF(K323="","",IFERROR(FIND(CHAR(1),SUBSTITUTE(INDEX($B$3:$B$168,K323),CHAR(10),CHAR(1),L323)),LEN(INDEX($B$3:$B$168,K323))+1))</x:f>
      </x:c>
    </x:row>
    <x:row r="324">
      <x:c r="A324"/>
      <x:c r="B324"/>
      <x:c r="C324"/>
      <x:c r="D324" t="str">
        <x:f>IFERROR(IF(322&lt;=$O$1,INDEX($A$3:$A$168,MATCH(322,$I$3:$I$168,0)),IF(322&lt;=$O$1+$O$2,INDEX($F$3:$F$1994,MATCH(322-$O$1,$G$3:$G$1994,0)),"")),"")</x:f>
      </x:c>
      <x:c r="E324" t="str">
        <x:f>IF(K324="","",IF(N324&lt;=M324,"",TRIM(CLEAN(MID(INDEX($B$3:$B$168,K324),M324,N324-M324)))))</x:f>
      </x:c>
      <x:c r="F324" t="str">
        <x:f>IF(E324="","",IF(E324=TRIM(INDEX($A$3:$A$168,K324)),"",IF(RIGHT(TRIM(INDEX($A$3:$A$168,K324)),1)="]",LEFT(TRIM(INDEX($A$3:$A$168,K324)),LEN(TRIM(INDEX($A$3:$A$168,K324)))-1)&amp;", "&amp;SUBSTITUTE(SUBSTITUTE(SUBSTITUTE(E324," [",", "),"[",", "),"]","")&amp;"]",TRIM(INDEX($A$3:$A$168,K324))&amp;" ["&amp;SUBSTITUTE(SUBSTITUTE(SUBSTITUTE(E324," [",", "),"[",", "),"]","")&amp;"]")))</x:f>
      </x:c>
      <x:c r="G324" t="str">
        <x:f>IF(F324&lt;&gt;"",ROWS($F$3:F324)-COUNTBLANK($F$3:F324),"")</x:f>
      </x:c>
      <x:c r="H324"/>
      <x:c r="I324"/>
      <x:c r="J324"/>
      <x:c r="K324" t="str">
        <x:f>IF(ROW()-ROW($K$2)&lt;=SUM($J$3:$J$168),COUNTIF($H$3:$H$168,"&lt;"&amp;(ROW()-ROW($K$2))),"")</x:f>
      </x:c>
      <x:c r="L324" t="str">
        <x:f>IF(K324="","",ROW()-ROW($L$2)-INDEX($H$3:$H$168,K324))</x:f>
      </x:c>
      <x:c r="M324" t="str">
        <x:f>IF(K324="","",IF(L324=1,1,FIND(CHAR(1),SUBSTITUTE(INDEX($B$3:$B$168,K324),CHAR(10),CHAR(1),L324-1))+1))</x:f>
      </x:c>
      <x:c r="N324" t="str">
        <x:f>IF(K324="","",IFERROR(FIND(CHAR(1),SUBSTITUTE(INDEX($B$3:$B$168,K324),CHAR(10),CHAR(1),L324)),LEN(INDEX($B$3:$B$168,K324))+1))</x:f>
      </x:c>
    </x:row>
    <x:row r="325">
      <x:c r="A325"/>
      <x:c r="B325"/>
      <x:c r="C325"/>
      <x:c r="D325" t="str">
        <x:f>IFERROR(IF(323&lt;=$O$1,INDEX($A$3:$A$168,MATCH(323,$I$3:$I$168,0)),IF(323&lt;=$O$1+$O$2,INDEX($F$3:$F$1994,MATCH(323-$O$1,$G$3:$G$1994,0)),"")),"")</x:f>
      </x:c>
      <x:c r="E325" t="str">
        <x:f>IF(K325="","",IF(N325&lt;=M325,"",TRIM(CLEAN(MID(INDEX($B$3:$B$168,K325),M325,N325-M325)))))</x:f>
      </x:c>
      <x:c r="F325" t="str">
        <x:f>IF(E325="","",IF(E325=TRIM(INDEX($A$3:$A$168,K325)),"",IF(RIGHT(TRIM(INDEX($A$3:$A$168,K325)),1)="]",LEFT(TRIM(INDEX($A$3:$A$168,K325)),LEN(TRIM(INDEX($A$3:$A$168,K325)))-1)&amp;", "&amp;SUBSTITUTE(SUBSTITUTE(SUBSTITUTE(E325," [",", "),"[",", "),"]","")&amp;"]",TRIM(INDEX($A$3:$A$168,K325))&amp;" ["&amp;SUBSTITUTE(SUBSTITUTE(SUBSTITUTE(E325," [",", "),"[",", "),"]","")&amp;"]")))</x:f>
      </x:c>
      <x:c r="G325" t="str">
        <x:f>IF(F325&lt;&gt;"",ROWS($F$3:F325)-COUNTBLANK($F$3:F325),"")</x:f>
      </x:c>
      <x:c r="H325"/>
      <x:c r="I325"/>
      <x:c r="J325"/>
      <x:c r="K325" t="str">
        <x:f>IF(ROW()-ROW($K$2)&lt;=SUM($J$3:$J$168),COUNTIF($H$3:$H$168,"&lt;"&amp;(ROW()-ROW($K$2))),"")</x:f>
      </x:c>
      <x:c r="L325" t="str">
        <x:f>IF(K325="","",ROW()-ROW($L$2)-INDEX($H$3:$H$168,K325))</x:f>
      </x:c>
      <x:c r="M325" t="str">
        <x:f>IF(K325="","",IF(L325=1,1,FIND(CHAR(1),SUBSTITUTE(INDEX($B$3:$B$168,K325),CHAR(10),CHAR(1),L325-1))+1))</x:f>
      </x:c>
      <x:c r="N325" t="str">
        <x:f>IF(K325="","",IFERROR(FIND(CHAR(1),SUBSTITUTE(INDEX($B$3:$B$168,K325),CHAR(10),CHAR(1),L325)),LEN(INDEX($B$3:$B$168,K325))+1))</x:f>
      </x:c>
    </x:row>
    <x:row r="326">
      <x:c r="A326"/>
      <x:c r="B326"/>
      <x:c r="C326"/>
      <x:c r="D326" t="str">
        <x:f>IFERROR(IF(324&lt;=$O$1,INDEX($A$3:$A$168,MATCH(324,$I$3:$I$168,0)),IF(324&lt;=$O$1+$O$2,INDEX($F$3:$F$1994,MATCH(324-$O$1,$G$3:$G$1994,0)),"")),"")</x:f>
      </x:c>
      <x:c r="E326" t="str">
        <x:f>IF(K326="","",IF(N326&lt;=M326,"",TRIM(CLEAN(MID(INDEX($B$3:$B$168,K326),M326,N326-M326)))))</x:f>
      </x:c>
      <x:c r="F326" t="str">
        <x:f>IF(E326="","",IF(E326=TRIM(INDEX($A$3:$A$168,K326)),"",IF(RIGHT(TRIM(INDEX($A$3:$A$168,K326)),1)="]",LEFT(TRIM(INDEX($A$3:$A$168,K326)),LEN(TRIM(INDEX($A$3:$A$168,K326)))-1)&amp;", "&amp;SUBSTITUTE(SUBSTITUTE(SUBSTITUTE(E326," [",", "),"[",", "),"]","")&amp;"]",TRIM(INDEX($A$3:$A$168,K326))&amp;" ["&amp;SUBSTITUTE(SUBSTITUTE(SUBSTITUTE(E326," [",", "),"[",", "),"]","")&amp;"]")))</x:f>
      </x:c>
      <x:c r="G326" t="str">
        <x:f>IF(F326&lt;&gt;"",ROWS($F$3:F326)-COUNTBLANK($F$3:F326),"")</x:f>
      </x:c>
      <x:c r="H326"/>
      <x:c r="I326"/>
      <x:c r="J326"/>
      <x:c r="K326" t="str">
        <x:f>IF(ROW()-ROW($K$2)&lt;=SUM($J$3:$J$168),COUNTIF($H$3:$H$168,"&lt;"&amp;(ROW()-ROW($K$2))),"")</x:f>
      </x:c>
      <x:c r="L326" t="str">
        <x:f>IF(K326="","",ROW()-ROW($L$2)-INDEX($H$3:$H$168,K326))</x:f>
      </x:c>
      <x:c r="M326" t="str">
        <x:f>IF(K326="","",IF(L326=1,1,FIND(CHAR(1),SUBSTITUTE(INDEX($B$3:$B$168,K326),CHAR(10),CHAR(1),L326-1))+1))</x:f>
      </x:c>
      <x:c r="N326" t="str">
        <x:f>IF(K326="","",IFERROR(FIND(CHAR(1),SUBSTITUTE(INDEX($B$3:$B$168,K326),CHAR(10),CHAR(1),L326)),LEN(INDEX($B$3:$B$168,K326))+1))</x:f>
      </x:c>
    </x:row>
    <x:row r="327">
      <x:c r="A327"/>
      <x:c r="B327"/>
      <x:c r="C327"/>
      <x:c r="D327" t="str">
        <x:f>IFERROR(IF(325&lt;=$O$1,INDEX($A$3:$A$168,MATCH(325,$I$3:$I$168,0)),IF(325&lt;=$O$1+$O$2,INDEX($F$3:$F$1994,MATCH(325-$O$1,$G$3:$G$1994,0)),"")),"")</x:f>
      </x:c>
      <x:c r="E327" t="str">
        <x:f>IF(K327="","",IF(N327&lt;=M327,"",TRIM(CLEAN(MID(INDEX($B$3:$B$168,K327),M327,N327-M327)))))</x:f>
      </x:c>
      <x:c r="F327" t="str">
        <x:f>IF(E327="","",IF(E327=TRIM(INDEX($A$3:$A$168,K327)),"",IF(RIGHT(TRIM(INDEX($A$3:$A$168,K327)),1)="]",LEFT(TRIM(INDEX($A$3:$A$168,K327)),LEN(TRIM(INDEX($A$3:$A$168,K327)))-1)&amp;", "&amp;SUBSTITUTE(SUBSTITUTE(SUBSTITUTE(E327," [",", "),"[",", "),"]","")&amp;"]",TRIM(INDEX($A$3:$A$168,K327))&amp;" ["&amp;SUBSTITUTE(SUBSTITUTE(SUBSTITUTE(E327," [",", "),"[",", "),"]","")&amp;"]")))</x:f>
      </x:c>
      <x:c r="G327" t="str">
        <x:f>IF(F327&lt;&gt;"",ROWS($F$3:F327)-COUNTBLANK($F$3:F327),"")</x:f>
      </x:c>
      <x:c r="H327"/>
      <x:c r="I327"/>
      <x:c r="J327"/>
      <x:c r="K327" t="str">
        <x:f>IF(ROW()-ROW($K$2)&lt;=SUM($J$3:$J$168),COUNTIF($H$3:$H$168,"&lt;"&amp;(ROW()-ROW($K$2))),"")</x:f>
      </x:c>
      <x:c r="L327" t="str">
        <x:f>IF(K327="","",ROW()-ROW($L$2)-INDEX($H$3:$H$168,K327))</x:f>
      </x:c>
      <x:c r="M327" t="str">
        <x:f>IF(K327="","",IF(L327=1,1,FIND(CHAR(1),SUBSTITUTE(INDEX($B$3:$B$168,K327),CHAR(10),CHAR(1),L327-1))+1))</x:f>
      </x:c>
      <x:c r="N327" t="str">
        <x:f>IF(K327="","",IFERROR(FIND(CHAR(1),SUBSTITUTE(INDEX($B$3:$B$168,K327),CHAR(10),CHAR(1),L327)),LEN(INDEX($B$3:$B$168,K327))+1))</x:f>
      </x:c>
    </x:row>
    <x:row r="328">
      <x:c r="A328"/>
      <x:c r="B328"/>
      <x:c r="C328"/>
      <x:c r="D328" t="str">
        <x:f>IFERROR(IF(326&lt;=$O$1,INDEX($A$3:$A$168,MATCH(326,$I$3:$I$168,0)),IF(326&lt;=$O$1+$O$2,INDEX($F$3:$F$1994,MATCH(326-$O$1,$G$3:$G$1994,0)),"")),"")</x:f>
      </x:c>
      <x:c r="E328" t="str">
        <x:f>IF(K328="","",IF(N328&lt;=M328,"",TRIM(CLEAN(MID(INDEX($B$3:$B$168,K328),M328,N328-M328)))))</x:f>
      </x:c>
      <x:c r="F328" t="str">
        <x:f>IF(E328="","",IF(E328=TRIM(INDEX($A$3:$A$168,K328)),"",IF(RIGHT(TRIM(INDEX($A$3:$A$168,K328)),1)="]",LEFT(TRIM(INDEX($A$3:$A$168,K328)),LEN(TRIM(INDEX($A$3:$A$168,K328)))-1)&amp;", "&amp;SUBSTITUTE(SUBSTITUTE(SUBSTITUTE(E328," [",", "),"[",", "),"]","")&amp;"]",TRIM(INDEX($A$3:$A$168,K328))&amp;" ["&amp;SUBSTITUTE(SUBSTITUTE(SUBSTITUTE(E328," [",", "),"[",", "),"]","")&amp;"]")))</x:f>
      </x:c>
      <x:c r="G328" t="str">
        <x:f>IF(F328&lt;&gt;"",ROWS($F$3:F328)-COUNTBLANK($F$3:F328),"")</x:f>
      </x:c>
      <x:c r="H328"/>
      <x:c r="I328"/>
      <x:c r="J328"/>
      <x:c r="K328" t="str">
        <x:f>IF(ROW()-ROW($K$2)&lt;=SUM($J$3:$J$168),COUNTIF($H$3:$H$168,"&lt;"&amp;(ROW()-ROW($K$2))),"")</x:f>
      </x:c>
      <x:c r="L328" t="str">
        <x:f>IF(K328="","",ROW()-ROW($L$2)-INDEX($H$3:$H$168,K328))</x:f>
      </x:c>
      <x:c r="M328" t="str">
        <x:f>IF(K328="","",IF(L328=1,1,FIND(CHAR(1),SUBSTITUTE(INDEX($B$3:$B$168,K328),CHAR(10),CHAR(1),L328-1))+1))</x:f>
      </x:c>
      <x:c r="N328" t="str">
        <x:f>IF(K328="","",IFERROR(FIND(CHAR(1),SUBSTITUTE(INDEX($B$3:$B$168,K328),CHAR(10),CHAR(1),L328)),LEN(INDEX($B$3:$B$168,K328))+1))</x:f>
      </x:c>
    </x:row>
    <x:row r="329">
      <x:c r="A329"/>
      <x:c r="B329"/>
      <x:c r="C329"/>
      <x:c r="D329" t="str">
        <x:f>IFERROR(IF(327&lt;=$O$1,INDEX($A$3:$A$168,MATCH(327,$I$3:$I$168,0)),IF(327&lt;=$O$1+$O$2,INDEX($F$3:$F$1994,MATCH(327-$O$1,$G$3:$G$1994,0)),"")),"")</x:f>
      </x:c>
      <x:c r="E329" t="str">
        <x:f>IF(K329="","",IF(N329&lt;=M329,"",TRIM(CLEAN(MID(INDEX($B$3:$B$168,K329),M329,N329-M329)))))</x:f>
      </x:c>
      <x:c r="F329" t="str">
        <x:f>IF(E329="","",IF(E329=TRIM(INDEX($A$3:$A$168,K329)),"",IF(RIGHT(TRIM(INDEX($A$3:$A$168,K329)),1)="]",LEFT(TRIM(INDEX($A$3:$A$168,K329)),LEN(TRIM(INDEX($A$3:$A$168,K329)))-1)&amp;", "&amp;SUBSTITUTE(SUBSTITUTE(SUBSTITUTE(E329," [",", "),"[",", "),"]","")&amp;"]",TRIM(INDEX($A$3:$A$168,K329))&amp;" ["&amp;SUBSTITUTE(SUBSTITUTE(SUBSTITUTE(E329," [",", "),"[",", "),"]","")&amp;"]")))</x:f>
      </x:c>
      <x:c r="G329" t="str">
        <x:f>IF(F329&lt;&gt;"",ROWS($F$3:F329)-COUNTBLANK($F$3:F329),"")</x:f>
      </x:c>
      <x:c r="H329"/>
      <x:c r="I329"/>
      <x:c r="J329"/>
      <x:c r="K329" t="str">
        <x:f>IF(ROW()-ROW($K$2)&lt;=SUM($J$3:$J$168),COUNTIF($H$3:$H$168,"&lt;"&amp;(ROW()-ROW($K$2))),"")</x:f>
      </x:c>
      <x:c r="L329" t="str">
        <x:f>IF(K329="","",ROW()-ROW($L$2)-INDEX($H$3:$H$168,K329))</x:f>
      </x:c>
      <x:c r="M329" t="str">
        <x:f>IF(K329="","",IF(L329=1,1,FIND(CHAR(1),SUBSTITUTE(INDEX($B$3:$B$168,K329),CHAR(10),CHAR(1),L329-1))+1))</x:f>
      </x:c>
      <x:c r="N329" t="str">
        <x:f>IF(K329="","",IFERROR(FIND(CHAR(1),SUBSTITUTE(INDEX($B$3:$B$168,K329),CHAR(10),CHAR(1),L329)),LEN(INDEX($B$3:$B$168,K329))+1))</x:f>
      </x:c>
    </x:row>
    <x:row r="330">
      <x:c r="A330"/>
      <x:c r="B330"/>
      <x:c r="C330"/>
      <x:c r="D330" t="str">
        <x:f>IFERROR(IF(328&lt;=$O$1,INDEX($A$3:$A$168,MATCH(328,$I$3:$I$168,0)),IF(328&lt;=$O$1+$O$2,INDEX($F$3:$F$1994,MATCH(328-$O$1,$G$3:$G$1994,0)),"")),"")</x:f>
      </x:c>
      <x:c r="E330" t="str">
        <x:f>IF(K330="","",IF(N330&lt;=M330,"",TRIM(CLEAN(MID(INDEX($B$3:$B$168,K330),M330,N330-M330)))))</x:f>
      </x:c>
      <x:c r="F330" t="str">
        <x:f>IF(E330="","",IF(E330=TRIM(INDEX($A$3:$A$168,K330)),"",IF(RIGHT(TRIM(INDEX($A$3:$A$168,K330)),1)="]",LEFT(TRIM(INDEX($A$3:$A$168,K330)),LEN(TRIM(INDEX($A$3:$A$168,K330)))-1)&amp;", "&amp;SUBSTITUTE(SUBSTITUTE(SUBSTITUTE(E330," [",", "),"[",", "),"]","")&amp;"]",TRIM(INDEX($A$3:$A$168,K330))&amp;" ["&amp;SUBSTITUTE(SUBSTITUTE(SUBSTITUTE(E330," [",", "),"[",", "),"]","")&amp;"]")))</x:f>
      </x:c>
      <x:c r="G330" t="str">
        <x:f>IF(F330&lt;&gt;"",ROWS($F$3:F330)-COUNTBLANK($F$3:F330),"")</x:f>
      </x:c>
      <x:c r="H330"/>
      <x:c r="I330"/>
      <x:c r="J330"/>
      <x:c r="K330" t="str">
        <x:f>IF(ROW()-ROW($K$2)&lt;=SUM($J$3:$J$168),COUNTIF($H$3:$H$168,"&lt;"&amp;(ROW()-ROW($K$2))),"")</x:f>
      </x:c>
      <x:c r="L330" t="str">
        <x:f>IF(K330="","",ROW()-ROW($L$2)-INDEX($H$3:$H$168,K330))</x:f>
      </x:c>
      <x:c r="M330" t="str">
        <x:f>IF(K330="","",IF(L330=1,1,FIND(CHAR(1),SUBSTITUTE(INDEX($B$3:$B$168,K330),CHAR(10),CHAR(1),L330-1))+1))</x:f>
      </x:c>
      <x:c r="N330" t="str">
        <x:f>IF(K330="","",IFERROR(FIND(CHAR(1),SUBSTITUTE(INDEX($B$3:$B$168,K330),CHAR(10),CHAR(1),L330)),LEN(INDEX($B$3:$B$168,K330))+1))</x:f>
      </x:c>
    </x:row>
    <x:row r="331">
      <x:c r="A331"/>
      <x:c r="B331"/>
      <x:c r="C331"/>
      <x:c r="D331" t="str">
        <x:f>IFERROR(IF(329&lt;=$O$1,INDEX($A$3:$A$168,MATCH(329,$I$3:$I$168,0)),IF(329&lt;=$O$1+$O$2,INDEX($F$3:$F$1994,MATCH(329-$O$1,$G$3:$G$1994,0)),"")),"")</x:f>
      </x:c>
      <x:c r="E331" t="str">
        <x:f>IF(K331="","",IF(N331&lt;=M331,"",TRIM(CLEAN(MID(INDEX($B$3:$B$168,K331),M331,N331-M331)))))</x:f>
      </x:c>
      <x:c r="F331" t="str">
        <x:f>IF(E331="","",IF(E331=TRIM(INDEX($A$3:$A$168,K331)),"",IF(RIGHT(TRIM(INDEX($A$3:$A$168,K331)),1)="]",LEFT(TRIM(INDEX($A$3:$A$168,K331)),LEN(TRIM(INDEX($A$3:$A$168,K331)))-1)&amp;", "&amp;SUBSTITUTE(SUBSTITUTE(SUBSTITUTE(E331," [",", "),"[",", "),"]","")&amp;"]",TRIM(INDEX($A$3:$A$168,K331))&amp;" ["&amp;SUBSTITUTE(SUBSTITUTE(SUBSTITUTE(E331," [",", "),"[",", "),"]","")&amp;"]")))</x:f>
      </x:c>
      <x:c r="G331" t="str">
        <x:f>IF(F331&lt;&gt;"",ROWS($F$3:F331)-COUNTBLANK($F$3:F331),"")</x:f>
      </x:c>
      <x:c r="H331"/>
      <x:c r="I331"/>
      <x:c r="J331"/>
      <x:c r="K331" t="str">
        <x:f>IF(ROW()-ROW($K$2)&lt;=SUM($J$3:$J$168),COUNTIF($H$3:$H$168,"&lt;"&amp;(ROW()-ROW($K$2))),"")</x:f>
      </x:c>
      <x:c r="L331" t="str">
        <x:f>IF(K331="","",ROW()-ROW($L$2)-INDEX($H$3:$H$168,K331))</x:f>
      </x:c>
      <x:c r="M331" t="str">
        <x:f>IF(K331="","",IF(L331=1,1,FIND(CHAR(1),SUBSTITUTE(INDEX($B$3:$B$168,K331),CHAR(10),CHAR(1),L331-1))+1))</x:f>
      </x:c>
      <x:c r="N331" t="str">
        <x:f>IF(K331="","",IFERROR(FIND(CHAR(1),SUBSTITUTE(INDEX($B$3:$B$168,K331),CHAR(10),CHAR(1),L331)),LEN(INDEX($B$3:$B$168,K331))+1))</x:f>
      </x:c>
    </x:row>
    <x:row r="332">
      <x:c r="A332"/>
      <x:c r="B332"/>
      <x:c r="C332"/>
      <x:c r="D332" t="str">
        <x:f>IFERROR(IF(330&lt;=$O$1,INDEX($A$3:$A$168,MATCH(330,$I$3:$I$168,0)),IF(330&lt;=$O$1+$O$2,INDEX($F$3:$F$1994,MATCH(330-$O$1,$G$3:$G$1994,0)),"")),"")</x:f>
      </x:c>
      <x:c r="E332" t="str">
        <x:f>IF(K332="","",IF(N332&lt;=M332,"",TRIM(CLEAN(MID(INDEX($B$3:$B$168,K332),M332,N332-M332)))))</x:f>
      </x:c>
      <x:c r="F332" t="str">
        <x:f>IF(E332="","",IF(E332=TRIM(INDEX($A$3:$A$168,K332)),"",IF(RIGHT(TRIM(INDEX($A$3:$A$168,K332)),1)="]",LEFT(TRIM(INDEX($A$3:$A$168,K332)),LEN(TRIM(INDEX($A$3:$A$168,K332)))-1)&amp;", "&amp;SUBSTITUTE(SUBSTITUTE(SUBSTITUTE(E332," [",", "),"[",", "),"]","")&amp;"]",TRIM(INDEX($A$3:$A$168,K332))&amp;" ["&amp;SUBSTITUTE(SUBSTITUTE(SUBSTITUTE(E332," [",", "),"[",", "),"]","")&amp;"]")))</x:f>
      </x:c>
      <x:c r="G332" t="str">
        <x:f>IF(F332&lt;&gt;"",ROWS($F$3:F332)-COUNTBLANK($F$3:F332),"")</x:f>
      </x:c>
      <x:c r="H332"/>
      <x:c r="I332"/>
      <x:c r="J332"/>
      <x:c r="K332" t="str">
        <x:f>IF(ROW()-ROW($K$2)&lt;=SUM($J$3:$J$168),COUNTIF($H$3:$H$168,"&lt;"&amp;(ROW()-ROW($K$2))),"")</x:f>
      </x:c>
      <x:c r="L332" t="str">
        <x:f>IF(K332="","",ROW()-ROW($L$2)-INDEX($H$3:$H$168,K332))</x:f>
      </x:c>
      <x:c r="M332" t="str">
        <x:f>IF(K332="","",IF(L332=1,1,FIND(CHAR(1),SUBSTITUTE(INDEX($B$3:$B$168,K332),CHAR(10),CHAR(1),L332-1))+1))</x:f>
      </x:c>
      <x:c r="N332" t="str">
        <x:f>IF(K332="","",IFERROR(FIND(CHAR(1),SUBSTITUTE(INDEX($B$3:$B$168,K332),CHAR(10),CHAR(1),L332)),LEN(INDEX($B$3:$B$168,K332))+1))</x:f>
      </x:c>
    </x:row>
    <x:row r="333">
      <x:c r="A333"/>
      <x:c r="B333"/>
      <x:c r="C333"/>
      <x:c r="D333" t="str">
        <x:f>IFERROR(IF(331&lt;=$O$1,INDEX($A$3:$A$168,MATCH(331,$I$3:$I$168,0)),IF(331&lt;=$O$1+$O$2,INDEX($F$3:$F$1994,MATCH(331-$O$1,$G$3:$G$1994,0)),"")),"")</x:f>
      </x:c>
      <x:c r="E333" t="str">
        <x:f>IF(K333="","",IF(N333&lt;=M333,"",TRIM(CLEAN(MID(INDEX($B$3:$B$168,K333),M333,N333-M333)))))</x:f>
      </x:c>
      <x:c r="F333" t="str">
        <x:f>IF(E333="","",IF(E333=TRIM(INDEX($A$3:$A$168,K333)),"",IF(RIGHT(TRIM(INDEX($A$3:$A$168,K333)),1)="]",LEFT(TRIM(INDEX($A$3:$A$168,K333)),LEN(TRIM(INDEX($A$3:$A$168,K333)))-1)&amp;", "&amp;SUBSTITUTE(SUBSTITUTE(SUBSTITUTE(E333," [",", "),"[",", "),"]","")&amp;"]",TRIM(INDEX($A$3:$A$168,K333))&amp;" ["&amp;SUBSTITUTE(SUBSTITUTE(SUBSTITUTE(E333," [",", "),"[",", "),"]","")&amp;"]")))</x:f>
      </x:c>
      <x:c r="G333" t="str">
        <x:f>IF(F333&lt;&gt;"",ROWS($F$3:F333)-COUNTBLANK($F$3:F333),"")</x:f>
      </x:c>
      <x:c r="H333"/>
      <x:c r="I333"/>
      <x:c r="J333"/>
      <x:c r="K333" t="str">
        <x:f>IF(ROW()-ROW($K$2)&lt;=SUM($J$3:$J$168),COUNTIF($H$3:$H$168,"&lt;"&amp;(ROW()-ROW($K$2))),"")</x:f>
      </x:c>
      <x:c r="L333" t="str">
        <x:f>IF(K333="","",ROW()-ROW($L$2)-INDEX($H$3:$H$168,K333))</x:f>
      </x:c>
      <x:c r="M333" t="str">
        <x:f>IF(K333="","",IF(L333=1,1,FIND(CHAR(1),SUBSTITUTE(INDEX($B$3:$B$168,K333),CHAR(10),CHAR(1),L333-1))+1))</x:f>
      </x:c>
      <x:c r="N333" t="str">
        <x:f>IF(K333="","",IFERROR(FIND(CHAR(1),SUBSTITUTE(INDEX($B$3:$B$168,K333),CHAR(10),CHAR(1),L333)),LEN(INDEX($B$3:$B$168,K333))+1))</x:f>
      </x:c>
    </x:row>
    <x:row r="334">
      <x:c r="A334"/>
      <x:c r="B334"/>
      <x:c r="C334"/>
      <x:c r="D334" t="str">
        <x:f>IFERROR(IF(332&lt;=$O$1,INDEX($A$3:$A$168,MATCH(332,$I$3:$I$168,0)),IF(332&lt;=$O$1+$O$2,INDEX($F$3:$F$1994,MATCH(332-$O$1,$G$3:$G$1994,0)),"")),"")</x:f>
      </x:c>
      <x:c r="E334" t="str">
        <x:f>IF(K334="","",IF(N334&lt;=M334,"",TRIM(CLEAN(MID(INDEX($B$3:$B$168,K334),M334,N334-M334)))))</x:f>
      </x:c>
      <x:c r="F334" t="str">
        <x:f>IF(E334="","",IF(E334=TRIM(INDEX($A$3:$A$168,K334)),"",IF(RIGHT(TRIM(INDEX($A$3:$A$168,K334)),1)="]",LEFT(TRIM(INDEX($A$3:$A$168,K334)),LEN(TRIM(INDEX($A$3:$A$168,K334)))-1)&amp;", "&amp;SUBSTITUTE(SUBSTITUTE(SUBSTITUTE(E334," [",", "),"[",", "),"]","")&amp;"]",TRIM(INDEX($A$3:$A$168,K334))&amp;" ["&amp;SUBSTITUTE(SUBSTITUTE(SUBSTITUTE(E334," [",", "),"[",", "),"]","")&amp;"]")))</x:f>
      </x:c>
      <x:c r="G334" t="str">
        <x:f>IF(F334&lt;&gt;"",ROWS($F$3:F334)-COUNTBLANK($F$3:F334),"")</x:f>
      </x:c>
      <x:c r="H334"/>
      <x:c r="I334"/>
      <x:c r="J334"/>
      <x:c r="K334" t="str">
        <x:f>IF(ROW()-ROW($K$2)&lt;=SUM($J$3:$J$168),COUNTIF($H$3:$H$168,"&lt;"&amp;(ROW()-ROW($K$2))),"")</x:f>
      </x:c>
      <x:c r="L334" t="str">
        <x:f>IF(K334="","",ROW()-ROW($L$2)-INDEX($H$3:$H$168,K334))</x:f>
      </x:c>
      <x:c r="M334" t="str">
        <x:f>IF(K334="","",IF(L334=1,1,FIND(CHAR(1),SUBSTITUTE(INDEX($B$3:$B$168,K334),CHAR(10),CHAR(1),L334-1))+1))</x:f>
      </x:c>
      <x:c r="N334" t="str">
        <x:f>IF(K334="","",IFERROR(FIND(CHAR(1),SUBSTITUTE(INDEX($B$3:$B$168,K334),CHAR(10),CHAR(1),L334)),LEN(INDEX($B$3:$B$168,K334))+1))</x:f>
      </x:c>
    </x:row>
    <x:row r="335">
      <x:c r="A335"/>
      <x:c r="B335"/>
      <x:c r="C335"/>
      <x:c r="D335" t="str">
        <x:f>IFERROR(IF(333&lt;=$O$1,INDEX($A$3:$A$168,MATCH(333,$I$3:$I$168,0)),IF(333&lt;=$O$1+$O$2,INDEX($F$3:$F$1994,MATCH(333-$O$1,$G$3:$G$1994,0)),"")),"")</x:f>
      </x:c>
      <x:c r="E335" t="str">
        <x:f>IF(K335="","",IF(N335&lt;=M335,"",TRIM(CLEAN(MID(INDEX($B$3:$B$168,K335),M335,N335-M335)))))</x:f>
      </x:c>
      <x:c r="F335" t="str">
        <x:f>IF(E335="","",IF(E335=TRIM(INDEX($A$3:$A$168,K335)),"",IF(RIGHT(TRIM(INDEX($A$3:$A$168,K335)),1)="]",LEFT(TRIM(INDEX($A$3:$A$168,K335)),LEN(TRIM(INDEX($A$3:$A$168,K335)))-1)&amp;", "&amp;SUBSTITUTE(SUBSTITUTE(SUBSTITUTE(E335," [",", "),"[",", "),"]","")&amp;"]",TRIM(INDEX($A$3:$A$168,K335))&amp;" ["&amp;SUBSTITUTE(SUBSTITUTE(SUBSTITUTE(E335," [",", "),"[",", "),"]","")&amp;"]")))</x:f>
      </x:c>
      <x:c r="G335" t="str">
        <x:f>IF(F335&lt;&gt;"",ROWS($F$3:F335)-COUNTBLANK($F$3:F335),"")</x:f>
      </x:c>
      <x:c r="H335"/>
      <x:c r="I335"/>
      <x:c r="J335"/>
      <x:c r="K335" t="str">
        <x:f>IF(ROW()-ROW($K$2)&lt;=SUM($J$3:$J$168),COUNTIF($H$3:$H$168,"&lt;"&amp;(ROW()-ROW($K$2))),"")</x:f>
      </x:c>
      <x:c r="L335" t="str">
        <x:f>IF(K335="","",ROW()-ROW($L$2)-INDEX($H$3:$H$168,K335))</x:f>
      </x:c>
      <x:c r="M335" t="str">
        <x:f>IF(K335="","",IF(L335=1,1,FIND(CHAR(1),SUBSTITUTE(INDEX($B$3:$B$168,K335),CHAR(10),CHAR(1),L335-1))+1))</x:f>
      </x:c>
      <x:c r="N335" t="str">
        <x:f>IF(K335="","",IFERROR(FIND(CHAR(1),SUBSTITUTE(INDEX($B$3:$B$168,K335),CHAR(10),CHAR(1),L335)),LEN(INDEX($B$3:$B$168,K335))+1))</x:f>
      </x:c>
    </x:row>
    <x:row r="336">
      <x:c r="A336"/>
      <x:c r="B336"/>
      <x:c r="C336"/>
      <x:c r="D336" t="str">
        <x:f>IFERROR(IF(334&lt;=$O$1,INDEX($A$3:$A$168,MATCH(334,$I$3:$I$168,0)),IF(334&lt;=$O$1+$O$2,INDEX($F$3:$F$1994,MATCH(334-$O$1,$G$3:$G$1994,0)),"")),"")</x:f>
      </x:c>
      <x:c r="E336" t="str">
        <x:f>IF(K336="","",IF(N336&lt;=M336,"",TRIM(CLEAN(MID(INDEX($B$3:$B$168,K336),M336,N336-M336)))))</x:f>
      </x:c>
      <x:c r="F336" t="str">
        <x:f>IF(E336="","",IF(E336=TRIM(INDEX($A$3:$A$168,K336)),"",IF(RIGHT(TRIM(INDEX($A$3:$A$168,K336)),1)="]",LEFT(TRIM(INDEX($A$3:$A$168,K336)),LEN(TRIM(INDEX($A$3:$A$168,K336)))-1)&amp;", "&amp;SUBSTITUTE(SUBSTITUTE(SUBSTITUTE(E336," [",", "),"[",", "),"]","")&amp;"]",TRIM(INDEX($A$3:$A$168,K336))&amp;" ["&amp;SUBSTITUTE(SUBSTITUTE(SUBSTITUTE(E336," [",", "),"[",", "),"]","")&amp;"]")))</x:f>
      </x:c>
      <x:c r="G336" t="str">
        <x:f>IF(F336&lt;&gt;"",ROWS($F$3:F336)-COUNTBLANK($F$3:F336),"")</x:f>
      </x:c>
      <x:c r="H336"/>
      <x:c r="I336"/>
      <x:c r="J336"/>
      <x:c r="K336" t="str">
        <x:f>IF(ROW()-ROW($K$2)&lt;=SUM($J$3:$J$168),COUNTIF($H$3:$H$168,"&lt;"&amp;(ROW()-ROW($K$2))),"")</x:f>
      </x:c>
      <x:c r="L336" t="str">
        <x:f>IF(K336="","",ROW()-ROW($L$2)-INDEX($H$3:$H$168,K336))</x:f>
      </x:c>
      <x:c r="M336" t="str">
        <x:f>IF(K336="","",IF(L336=1,1,FIND(CHAR(1),SUBSTITUTE(INDEX($B$3:$B$168,K336),CHAR(10),CHAR(1),L336-1))+1))</x:f>
      </x:c>
      <x:c r="N336" t="str">
        <x:f>IF(K336="","",IFERROR(FIND(CHAR(1),SUBSTITUTE(INDEX($B$3:$B$168,K336),CHAR(10),CHAR(1),L336)),LEN(INDEX($B$3:$B$168,K336))+1))</x:f>
      </x:c>
    </x:row>
    <x:row r="337">
      <x:c r="A337"/>
      <x:c r="B337"/>
      <x:c r="C337"/>
      <x:c r="D337" t="str">
        <x:f>IFERROR(IF(335&lt;=$O$1,INDEX($A$3:$A$168,MATCH(335,$I$3:$I$168,0)),IF(335&lt;=$O$1+$O$2,INDEX($F$3:$F$1994,MATCH(335-$O$1,$G$3:$G$1994,0)),"")),"")</x:f>
      </x:c>
      <x:c r="E337" t="str">
        <x:f>IF(K337="","",IF(N337&lt;=M337,"",TRIM(CLEAN(MID(INDEX($B$3:$B$168,K337),M337,N337-M337)))))</x:f>
      </x:c>
      <x:c r="F337" t="str">
        <x:f>IF(E337="","",IF(E337=TRIM(INDEX($A$3:$A$168,K337)),"",IF(RIGHT(TRIM(INDEX($A$3:$A$168,K337)),1)="]",LEFT(TRIM(INDEX($A$3:$A$168,K337)),LEN(TRIM(INDEX($A$3:$A$168,K337)))-1)&amp;", "&amp;SUBSTITUTE(SUBSTITUTE(SUBSTITUTE(E337," [",", "),"[",", "),"]","")&amp;"]",TRIM(INDEX($A$3:$A$168,K337))&amp;" ["&amp;SUBSTITUTE(SUBSTITUTE(SUBSTITUTE(E337," [",", "),"[",", "),"]","")&amp;"]")))</x:f>
      </x:c>
      <x:c r="G337" t="str">
        <x:f>IF(F337&lt;&gt;"",ROWS($F$3:F337)-COUNTBLANK($F$3:F337),"")</x:f>
      </x:c>
      <x:c r="H337"/>
      <x:c r="I337"/>
      <x:c r="J337"/>
      <x:c r="K337" t="str">
        <x:f>IF(ROW()-ROW($K$2)&lt;=SUM($J$3:$J$168),COUNTIF($H$3:$H$168,"&lt;"&amp;(ROW()-ROW($K$2))),"")</x:f>
      </x:c>
      <x:c r="L337" t="str">
        <x:f>IF(K337="","",ROW()-ROW($L$2)-INDEX($H$3:$H$168,K337))</x:f>
      </x:c>
      <x:c r="M337" t="str">
        <x:f>IF(K337="","",IF(L337=1,1,FIND(CHAR(1),SUBSTITUTE(INDEX($B$3:$B$168,K337),CHAR(10),CHAR(1),L337-1))+1))</x:f>
      </x:c>
      <x:c r="N337" t="str">
        <x:f>IF(K337="","",IFERROR(FIND(CHAR(1),SUBSTITUTE(INDEX($B$3:$B$168,K337),CHAR(10),CHAR(1),L337)),LEN(INDEX($B$3:$B$168,K337))+1))</x:f>
      </x:c>
    </x:row>
    <x:row r="338">
      <x:c r="A338"/>
      <x:c r="B338"/>
      <x:c r="C338"/>
      <x:c r="D338" t="str">
        <x:f>IFERROR(IF(336&lt;=$O$1,INDEX($A$3:$A$168,MATCH(336,$I$3:$I$168,0)),IF(336&lt;=$O$1+$O$2,INDEX($F$3:$F$1994,MATCH(336-$O$1,$G$3:$G$1994,0)),"")),"")</x:f>
      </x:c>
      <x:c r="E338" t="str">
        <x:f>IF(K338="","",IF(N338&lt;=M338,"",TRIM(CLEAN(MID(INDEX($B$3:$B$168,K338),M338,N338-M338)))))</x:f>
      </x:c>
      <x:c r="F338" t="str">
        <x:f>IF(E338="","",IF(E338=TRIM(INDEX($A$3:$A$168,K338)),"",IF(RIGHT(TRIM(INDEX($A$3:$A$168,K338)),1)="]",LEFT(TRIM(INDEX($A$3:$A$168,K338)),LEN(TRIM(INDEX($A$3:$A$168,K338)))-1)&amp;", "&amp;SUBSTITUTE(SUBSTITUTE(SUBSTITUTE(E338," [",", "),"[",", "),"]","")&amp;"]",TRIM(INDEX($A$3:$A$168,K338))&amp;" ["&amp;SUBSTITUTE(SUBSTITUTE(SUBSTITUTE(E338," [",", "),"[",", "),"]","")&amp;"]")))</x:f>
      </x:c>
      <x:c r="G338" t="str">
        <x:f>IF(F338&lt;&gt;"",ROWS($F$3:F338)-COUNTBLANK($F$3:F338),"")</x:f>
      </x:c>
      <x:c r="H338"/>
      <x:c r="I338"/>
      <x:c r="J338"/>
      <x:c r="K338" t="str">
        <x:f>IF(ROW()-ROW($K$2)&lt;=SUM($J$3:$J$168),COUNTIF($H$3:$H$168,"&lt;"&amp;(ROW()-ROW($K$2))),"")</x:f>
      </x:c>
      <x:c r="L338" t="str">
        <x:f>IF(K338="","",ROW()-ROW($L$2)-INDEX($H$3:$H$168,K338))</x:f>
      </x:c>
      <x:c r="M338" t="str">
        <x:f>IF(K338="","",IF(L338=1,1,FIND(CHAR(1),SUBSTITUTE(INDEX($B$3:$B$168,K338),CHAR(10),CHAR(1),L338-1))+1))</x:f>
      </x:c>
      <x:c r="N338" t="str">
        <x:f>IF(K338="","",IFERROR(FIND(CHAR(1),SUBSTITUTE(INDEX($B$3:$B$168,K338),CHAR(10),CHAR(1),L338)),LEN(INDEX($B$3:$B$168,K338))+1))</x:f>
      </x:c>
    </x:row>
    <x:row r="339">
      <x:c r="A339"/>
      <x:c r="B339"/>
      <x:c r="C339"/>
      <x:c r="D339" t="str">
        <x:f>IFERROR(IF(337&lt;=$O$1,INDEX($A$3:$A$168,MATCH(337,$I$3:$I$168,0)),IF(337&lt;=$O$1+$O$2,INDEX($F$3:$F$1994,MATCH(337-$O$1,$G$3:$G$1994,0)),"")),"")</x:f>
      </x:c>
      <x:c r="E339" t="str">
        <x:f>IF(K339="","",IF(N339&lt;=M339,"",TRIM(CLEAN(MID(INDEX($B$3:$B$168,K339),M339,N339-M339)))))</x:f>
      </x:c>
      <x:c r="F339" t="str">
        <x:f>IF(E339="","",IF(E339=TRIM(INDEX($A$3:$A$168,K339)),"",IF(RIGHT(TRIM(INDEX($A$3:$A$168,K339)),1)="]",LEFT(TRIM(INDEX($A$3:$A$168,K339)),LEN(TRIM(INDEX($A$3:$A$168,K339)))-1)&amp;", "&amp;SUBSTITUTE(SUBSTITUTE(SUBSTITUTE(E339," [",", "),"[",", "),"]","")&amp;"]",TRIM(INDEX($A$3:$A$168,K339))&amp;" ["&amp;SUBSTITUTE(SUBSTITUTE(SUBSTITUTE(E339," [",", "),"[",", "),"]","")&amp;"]")))</x:f>
      </x:c>
      <x:c r="G339" t="str">
        <x:f>IF(F339&lt;&gt;"",ROWS($F$3:F339)-COUNTBLANK($F$3:F339),"")</x:f>
      </x:c>
      <x:c r="H339"/>
      <x:c r="I339"/>
      <x:c r="J339"/>
      <x:c r="K339" t="str">
        <x:f>IF(ROW()-ROW($K$2)&lt;=SUM($J$3:$J$168),COUNTIF($H$3:$H$168,"&lt;"&amp;(ROW()-ROW($K$2))),"")</x:f>
      </x:c>
      <x:c r="L339" t="str">
        <x:f>IF(K339="","",ROW()-ROW($L$2)-INDEX($H$3:$H$168,K339))</x:f>
      </x:c>
      <x:c r="M339" t="str">
        <x:f>IF(K339="","",IF(L339=1,1,FIND(CHAR(1),SUBSTITUTE(INDEX($B$3:$B$168,K339),CHAR(10),CHAR(1),L339-1))+1))</x:f>
      </x:c>
      <x:c r="N339" t="str">
        <x:f>IF(K339="","",IFERROR(FIND(CHAR(1),SUBSTITUTE(INDEX($B$3:$B$168,K339),CHAR(10),CHAR(1),L339)),LEN(INDEX($B$3:$B$168,K339))+1))</x:f>
      </x:c>
    </x:row>
    <x:row r="340">
      <x:c r="A340"/>
      <x:c r="B340"/>
      <x:c r="C340"/>
      <x:c r="D340" t="str">
        <x:f>IFERROR(IF(338&lt;=$O$1,INDEX($A$3:$A$168,MATCH(338,$I$3:$I$168,0)),IF(338&lt;=$O$1+$O$2,INDEX($F$3:$F$1994,MATCH(338-$O$1,$G$3:$G$1994,0)),"")),"")</x:f>
      </x:c>
      <x:c r="E340" t="str">
        <x:f>IF(K340="","",IF(N340&lt;=M340,"",TRIM(CLEAN(MID(INDEX($B$3:$B$168,K340),M340,N340-M340)))))</x:f>
      </x:c>
      <x:c r="F340" t="str">
        <x:f>IF(E340="","",IF(E340=TRIM(INDEX($A$3:$A$168,K340)),"",IF(RIGHT(TRIM(INDEX($A$3:$A$168,K340)),1)="]",LEFT(TRIM(INDEX($A$3:$A$168,K340)),LEN(TRIM(INDEX($A$3:$A$168,K340)))-1)&amp;", "&amp;SUBSTITUTE(SUBSTITUTE(SUBSTITUTE(E340," [",", "),"[",", "),"]","")&amp;"]",TRIM(INDEX($A$3:$A$168,K340))&amp;" ["&amp;SUBSTITUTE(SUBSTITUTE(SUBSTITUTE(E340," [",", "),"[",", "),"]","")&amp;"]")))</x:f>
      </x:c>
      <x:c r="G340" t="str">
        <x:f>IF(F340&lt;&gt;"",ROWS($F$3:F340)-COUNTBLANK($F$3:F340),"")</x:f>
      </x:c>
      <x:c r="H340"/>
      <x:c r="I340"/>
      <x:c r="J340"/>
      <x:c r="K340" t="str">
        <x:f>IF(ROW()-ROW($K$2)&lt;=SUM($J$3:$J$168),COUNTIF($H$3:$H$168,"&lt;"&amp;(ROW()-ROW($K$2))),"")</x:f>
      </x:c>
      <x:c r="L340" t="str">
        <x:f>IF(K340="","",ROW()-ROW($L$2)-INDEX($H$3:$H$168,K340))</x:f>
      </x:c>
      <x:c r="M340" t="str">
        <x:f>IF(K340="","",IF(L340=1,1,FIND(CHAR(1),SUBSTITUTE(INDEX($B$3:$B$168,K340),CHAR(10),CHAR(1),L340-1))+1))</x:f>
      </x:c>
      <x:c r="N340" t="str">
        <x:f>IF(K340="","",IFERROR(FIND(CHAR(1),SUBSTITUTE(INDEX($B$3:$B$168,K340),CHAR(10),CHAR(1),L340)),LEN(INDEX($B$3:$B$168,K340))+1))</x:f>
      </x:c>
    </x:row>
    <x:row r="341">
      <x:c r="A341"/>
      <x:c r="B341"/>
      <x:c r="C341"/>
      <x:c r="D341" t="str">
        <x:f>IFERROR(IF(339&lt;=$O$1,INDEX($A$3:$A$168,MATCH(339,$I$3:$I$168,0)),IF(339&lt;=$O$1+$O$2,INDEX($F$3:$F$1994,MATCH(339-$O$1,$G$3:$G$1994,0)),"")),"")</x:f>
      </x:c>
      <x:c r="E341" t="str">
        <x:f>IF(K341="","",IF(N341&lt;=M341,"",TRIM(CLEAN(MID(INDEX($B$3:$B$168,K341),M341,N341-M341)))))</x:f>
      </x:c>
      <x:c r="F341" t="str">
        <x:f>IF(E341="","",IF(E341=TRIM(INDEX($A$3:$A$168,K341)),"",IF(RIGHT(TRIM(INDEX($A$3:$A$168,K341)),1)="]",LEFT(TRIM(INDEX($A$3:$A$168,K341)),LEN(TRIM(INDEX($A$3:$A$168,K341)))-1)&amp;", "&amp;SUBSTITUTE(SUBSTITUTE(SUBSTITUTE(E341," [",", "),"[",", "),"]","")&amp;"]",TRIM(INDEX($A$3:$A$168,K341))&amp;" ["&amp;SUBSTITUTE(SUBSTITUTE(SUBSTITUTE(E341," [",", "),"[",", "),"]","")&amp;"]")))</x:f>
      </x:c>
      <x:c r="G341" t="str">
        <x:f>IF(F341&lt;&gt;"",ROWS($F$3:F341)-COUNTBLANK($F$3:F341),"")</x:f>
      </x:c>
      <x:c r="H341"/>
      <x:c r="I341"/>
      <x:c r="J341"/>
      <x:c r="K341" t="str">
        <x:f>IF(ROW()-ROW($K$2)&lt;=SUM($J$3:$J$168),COUNTIF($H$3:$H$168,"&lt;"&amp;(ROW()-ROW($K$2))),"")</x:f>
      </x:c>
      <x:c r="L341" t="str">
        <x:f>IF(K341="","",ROW()-ROW($L$2)-INDEX($H$3:$H$168,K341))</x:f>
      </x:c>
      <x:c r="M341" t="str">
        <x:f>IF(K341="","",IF(L341=1,1,FIND(CHAR(1),SUBSTITUTE(INDEX($B$3:$B$168,K341),CHAR(10),CHAR(1),L341-1))+1))</x:f>
      </x:c>
      <x:c r="N341" t="str">
        <x:f>IF(K341="","",IFERROR(FIND(CHAR(1),SUBSTITUTE(INDEX($B$3:$B$168,K341),CHAR(10),CHAR(1),L341)),LEN(INDEX($B$3:$B$168,K341))+1))</x:f>
      </x:c>
    </x:row>
    <x:row r="342">
      <x:c r="A342"/>
      <x:c r="B342"/>
      <x:c r="C342"/>
      <x:c r="D342" t="str">
        <x:f>IFERROR(IF(340&lt;=$O$1,INDEX($A$3:$A$168,MATCH(340,$I$3:$I$168,0)),IF(340&lt;=$O$1+$O$2,INDEX($F$3:$F$1994,MATCH(340-$O$1,$G$3:$G$1994,0)),"")),"")</x:f>
      </x:c>
      <x:c r="E342" t="str">
        <x:f>IF(K342="","",IF(N342&lt;=M342,"",TRIM(CLEAN(MID(INDEX($B$3:$B$168,K342),M342,N342-M342)))))</x:f>
      </x:c>
      <x:c r="F342" t="str">
        <x:f>IF(E342="","",IF(E342=TRIM(INDEX($A$3:$A$168,K342)),"",IF(RIGHT(TRIM(INDEX($A$3:$A$168,K342)),1)="]",LEFT(TRIM(INDEX($A$3:$A$168,K342)),LEN(TRIM(INDEX($A$3:$A$168,K342)))-1)&amp;", "&amp;SUBSTITUTE(SUBSTITUTE(SUBSTITUTE(E342," [",", "),"[",", "),"]","")&amp;"]",TRIM(INDEX($A$3:$A$168,K342))&amp;" ["&amp;SUBSTITUTE(SUBSTITUTE(SUBSTITUTE(E342," [",", "),"[",", "),"]","")&amp;"]")))</x:f>
      </x:c>
      <x:c r="G342" t="str">
        <x:f>IF(F342&lt;&gt;"",ROWS($F$3:F342)-COUNTBLANK($F$3:F342),"")</x:f>
      </x:c>
      <x:c r="H342"/>
      <x:c r="I342"/>
      <x:c r="J342"/>
      <x:c r="K342" t="str">
        <x:f>IF(ROW()-ROW($K$2)&lt;=SUM($J$3:$J$168),COUNTIF($H$3:$H$168,"&lt;"&amp;(ROW()-ROW($K$2))),"")</x:f>
      </x:c>
      <x:c r="L342" t="str">
        <x:f>IF(K342="","",ROW()-ROW($L$2)-INDEX($H$3:$H$168,K342))</x:f>
      </x:c>
      <x:c r="M342" t="str">
        <x:f>IF(K342="","",IF(L342=1,1,FIND(CHAR(1),SUBSTITUTE(INDEX($B$3:$B$168,K342),CHAR(10),CHAR(1),L342-1))+1))</x:f>
      </x:c>
      <x:c r="N342" t="str">
        <x:f>IF(K342="","",IFERROR(FIND(CHAR(1),SUBSTITUTE(INDEX($B$3:$B$168,K342),CHAR(10),CHAR(1),L342)),LEN(INDEX($B$3:$B$168,K342))+1))</x:f>
      </x:c>
    </x:row>
    <x:row r="343">
      <x:c r="A343"/>
      <x:c r="B343"/>
      <x:c r="C343"/>
      <x:c r="D343" t="str">
        <x:f>IFERROR(IF(341&lt;=$O$1,INDEX($A$3:$A$168,MATCH(341,$I$3:$I$168,0)),IF(341&lt;=$O$1+$O$2,INDEX($F$3:$F$1994,MATCH(341-$O$1,$G$3:$G$1994,0)),"")),"")</x:f>
      </x:c>
      <x:c r="E343" t="str">
        <x:f>IF(K343="","",IF(N343&lt;=M343,"",TRIM(CLEAN(MID(INDEX($B$3:$B$168,K343),M343,N343-M343)))))</x:f>
      </x:c>
      <x:c r="F343" t="str">
        <x:f>IF(E343="","",IF(E343=TRIM(INDEX($A$3:$A$168,K343)),"",IF(RIGHT(TRIM(INDEX($A$3:$A$168,K343)),1)="]",LEFT(TRIM(INDEX($A$3:$A$168,K343)),LEN(TRIM(INDEX($A$3:$A$168,K343)))-1)&amp;", "&amp;SUBSTITUTE(SUBSTITUTE(SUBSTITUTE(E343," [",", "),"[",", "),"]","")&amp;"]",TRIM(INDEX($A$3:$A$168,K343))&amp;" ["&amp;SUBSTITUTE(SUBSTITUTE(SUBSTITUTE(E343," [",", "),"[",", "),"]","")&amp;"]")))</x:f>
      </x:c>
      <x:c r="G343" t="str">
        <x:f>IF(F343&lt;&gt;"",ROWS($F$3:F343)-COUNTBLANK($F$3:F343),"")</x:f>
      </x:c>
      <x:c r="H343"/>
      <x:c r="I343"/>
      <x:c r="J343"/>
      <x:c r="K343" t="str">
        <x:f>IF(ROW()-ROW($K$2)&lt;=SUM($J$3:$J$168),COUNTIF($H$3:$H$168,"&lt;"&amp;(ROW()-ROW($K$2))),"")</x:f>
      </x:c>
      <x:c r="L343" t="str">
        <x:f>IF(K343="","",ROW()-ROW($L$2)-INDEX($H$3:$H$168,K343))</x:f>
      </x:c>
      <x:c r="M343" t="str">
        <x:f>IF(K343="","",IF(L343=1,1,FIND(CHAR(1),SUBSTITUTE(INDEX($B$3:$B$168,K343),CHAR(10),CHAR(1),L343-1))+1))</x:f>
      </x:c>
      <x:c r="N343" t="str">
        <x:f>IF(K343="","",IFERROR(FIND(CHAR(1),SUBSTITUTE(INDEX($B$3:$B$168,K343),CHAR(10),CHAR(1),L343)),LEN(INDEX($B$3:$B$168,K343))+1))</x:f>
      </x:c>
    </x:row>
    <x:row r="344">
      <x:c r="A344"/>
      <x:c r="B344"/>
      <x:c r="C344"/>
      <x:c r="D344" t="str">
        <x:f>IFERROR(IF(342&lt;=$O$1,INDEX($A$3:$A$168,MATCH(342,$I$3:$I$168,0)),IF(342&lt;=$O$1+$O$2,INDEX($F$3:$F$1994,MATCH(342-$O$1,$G$3:$G$1994,0)),"")),"")</x:f>
      </x:c>
      <x:c r="E344" t="str">
        <x:f>IF(K344="","",IF(N344&lt;=M344,"",TRIM(CLEAN(MID(INDEX($B$3:$B$168,K344),M344,N344-M344)))))</x:f>
      </x:c>
      <x:c r="F344" t="str">
        <x:f>IF(E344="","",IF(E344=TRIM(INDEX($A$3:$A$168,K344)),"",IF(RIGHT(TRIM(INDEX($A$3:$A$168,K344)),1)="]",LEFT(TRIM(INDEX($A$3:$A$168,K344)),LEN(TRIM(INDEX($A$3:$A$168,K344)))-1)&amp;", "&amp;SUBSTITUTE(SUBSTITUTE(SUBSTITUTE(E344," [",", "),"[",", "),"]","")&amp;"]",TRIM(INDEX($A$3:$A$168,K344))&amp;" ["&amp;SUBSTITUTE(SUBSTITUTE(SUBSTITUTE(E344," [",", "),"[",", "),"]","")&amp;"]")))</x:f>
      </x:c>
      <x:c r="G344" t="str">
        <x:f>IF(F344&lt;&gt;"",ROWS($F$3:F344)-COUNTBLANK($F$3:F344),"")</x:f>
      </x:c>
      <x:c r="H344"/>
      <x:c r="I344"/>
      <x:c r="J344"/>
      <x:c r="K344" t="str">
        <x:f>IF(ROW()-ROW($K$2)&lt;=SUM($J$3:$J$168),COUNTIF($H$3:$H$168,"&lt;"&amp;(ROW()-ROW($K$2))),"")</x:f>
      </x:c>
      <x:c r="L344" t="str">
        <x:f>IF(K344="","",ROW()-ROW($L$2)-INDEX($H$3:$H$168,K344))</x:f>
      </x:c>
      <x:c r="M344" t="str">
        <x:f>IF(K344="","",IF(L344=1,1,FIND(CHAR(1),SUBSTITUTE(INDEX($B$3:$B$168,K344),CHAR(10),CHAR(1),L344-1))+1))</x:f>
      </x:c>
      <x:c r="N344" t="str">
        <x:f>IF(K344="","",IFERROR(FIND(CHAR(1),SUBSTITUTE(INDEX($B$3:$B$168,K344),CHAR(10),CHAR(1),L344)),LEN(INDEX($B$3:$B$168,K344))+1))</x:f>
      </x:c>
    </x:row>
    <x:row r="345">
      <x:c r="A345"/>
      <x:c r="B345"/>
      <x:c r="C345"/>
      <x:c r="D345" t="str">
        <x:f>IFERROR(IF(343&lt;=$O$1,INDEX($A$3:$A$168,MATCH(343,$I$3:$I$168,0)),IF(343&lt;=$O$1+$O$2,INDEX($F$3:$F$1994,MATCH(343-$O$1,$G$3:$G$1994,0)),"")),"")</x:f>
      </x:c>
      <x:c r="E345" t="str">
        <x:f>IF(K345="","",IF(N345&lt;=M345,"",TRIM(CLEAN(MID(INDEX($B$3:$B$168,K345),M345,N345-M345)))))</x:f>
      </x:c>
      <x:c r="F345" t="str">
        <x:f>IF(E345="","",IF(E345=TRIM(INDEX($A$3:$A$168,K345)),"",IF(RIGHT(TRIM(INDEX($A$3:$A$168,K345)),1)="]",LEFT(TRIM(INDEX($A$3:$A$168,K345)),LEN(TRIM(INDEX($A$3:$A$168,K345)))-1)&amp;", "&amp;SUBSTITUTE(SUBSTITUTE(SUBSTITUTE(E345," [",", "),"[",", "),"]","")&amp;"]",TRIM(INDEX($A$3:$A$168,K345))&amp;" ["&amp;SUBSTITUTE(SUBSTITUTE(SUBSTITUTE(E345," [",", "),"[",", "),"]","")&amp;"]")))</x:f>
      </x:c>
      <x:c r="G345" t="str">
        <x:f>IF(F345&lt;&gt;"",ROWS($F$3:F345)-COUNTBLANK($F$3:F345),"")</x:f>
      </x:c>
      <x:c r="H345"/>
      <x:c r="I345"/>
      <x:c r="J345"/>
      <x:c r="K345" t="str">
        <x:f>IF(ROW()-ROW($K$2)&lt;=SUM($J$3:$J$168),COUNTIF($H$3:$H$168,"&lt;"&amp;(ROW()-ROW($K$2))),"")</x:f>
      </x:c>
      <x:c r="L345" t="str">
        <x:f>IF(K345="","",ROW()-ROW($L$2)-INDEX($H$3:$H$168,K345))</x:f>
      </x:c>
      <x:c r="M345" t="str">
        <x:f>IF(K345="","",IF(L345=1,1,FIND(CHAR(1),SUBSTITUTE(INDEX($B$3:$B$168,K345),CHAR(10),CHAR(1),L345-1))+1))</x:f>
      </x:c>
      <x:c r="N345" t="str">
        <x:f>IF(K345="","",IFERROR(FIND(CHAR(1),SUBSTITUTE(INDEX($B$3:$B$168,K345),CHAR(10),CHAR(1),L345)),LEN(INDEX($B$3:$B$168,K345))+1))</x:f>
      </x:c>
    </x:row>
    <x:row r="346">
      <x:c r="A346"/>
      <x:c r="B346"/>
      <x:c r="C346"/>
      <x:c r="D346" t="str">
        <x:f>IFERROR(IF(344&lt;=$O$1,INDEX($A$3:$A$168,MATCH(344,$I$3:$I$168,0)),IF(344&lt;=$O$1+$O$2,INDEX($F$3:$F$1994,MATCH(344-$O$1,$G$3:$G$1994,0)),"")),"")</x:f>
      </x:c>
      <x:c r="E346" t="str">
        <x:f>IF(K346="","",IF(N346&lt;=M346,"",TRIM(CLEAN(MID(INDEX($B$3:$B$168,K346),M346,N346-M346)))))</x:f>
      </x:c>
      <x:c r="F346" t="str">
        <x:f>IF(E346="","",IF(E346=TRIM(INDEX($A$3:$A$168,K346)),"",IF(RIGHT(TRIM(INDEX($A$3:$A$168,K346)),1)="]",LEFT(TRIM(INDEX($A$3:$A$168,K346)),LEN(TRIM(INDEX($A$3:$A$168,K346)))-1)&amp;", "&amp;SUBSTITUTE(SUBSTITUTE(SUBSTITUTE(E346," [",", "),"[",", "),"]","")&amp;"]",TRIM(INDEX($A$3:$A$168,K346))&amp;" ["&amp;SUBSTITUTE(SUBSTITUTE(SUBSTITUTE(E346," [",", "),"[",", "),"]","")&amp;"]")))</x:f>
      </x:c>
      <x:c r="G346" t="str">
        <x:f>IF(F346&lt;&gt;"",ROWS($F$3:F346)-COUNTBLANK($F$3:F346),"")</x:f>
      </x:c>
      <x:c r="H346"/>
      <x:c r="I346"/>
      <x:c r="J346"/>
      <x:c r="K346" t="str">
        <x:f>IF(ROW()-ROW($K$2)&lt;=SUM($J$3:$J$168),COUNTIF($H$3:$H$168,"&lt;"&amp;(ROW()-ROW($K$2))),"")</x:f>
      </x:c>
      <x:c r="L346" t="str">
        <x:f>IF(K346="","",ROW()-ROW($L$2)-INDEX($H$3:$H$168,K346))</x:f>
      </x:c>
      <x:c r="M346" t="str">
        <x:f>IF(K346="","",IF(L346=1,1,FIND(CHAR(1),SUBSTITUTE(INDEX($B$3:$B$168,K346),CHAR(10),CHAR(1),L346-1))+1))</x:f>
      </x:c>
      <x:c r="N346" t="str">
        <x:f>IF(K346="","",IFERROR(FIND(CHAR(1),SUBSTITUTE(INDEX($B$3:$B$168,K346),CHAR(10),CHAR(1),L346)),LEN(INDEX($B$3:$B$168,K346))+1))</x:f>
      </x:c>
    </x:row>
    <x:row r="347">
      <x:c r="A347"/>
      <x:c r="B347"/>
      <x:c r="C347"/>
      <x:c r="D347" t="str">
        <x:f>IFERROR(IF(345&lt;=$O$1,INDEX($A$3:$A$168,MATCH(345,$I$3:$I$168,0)),IF(345&lt;=$O$1+$O$2,INDEX($F$3:$F$1994,MATCH(345-$O$1,$G$3:$G$1994,0)),"")),"")</x:f>
      </x:c>
      <x:c r="E347" t="str">
        <x:f>IF(K347="","",IF(N347&lt;=M347,"",TRIM(CLEAN(MID(INDEX($B$3:$B$168,K347),M347,N347-M347)))))</x:f>
      </x:c>
      <x:c r="F347" t="str">
        <x:f>IF(E347="","",IF(E347=TRIM(INDEX($A$3:$A$168,K347)),"",IF(RIGHT(TRIM(INDEX($A$3:$A$168,K347)),1)="]",LEFT(TRIM(INDEX($A$3:$A$168,K347)),LEN(TRIM(INDEX($A$3:$A$168,K347)))-1)&amp;", "&amp;SUBSTITUTE(SUBSTITUTE(SUBSTITUTE(E347," [",", "),"[",", "),"]","")&amp;"]",TRIM(INDEX($A$3:$A$168,K347))&amp;" ["&amp;SUBSTITUTE(SUBSTITUTE(SUBSTITUTE(E347," [",", "),"[",", "),"]","")&amp;"]")))</x:f>
      </x:c>
      <x:c r="G347" t="str">
        <x:f>IF(F347&lt;&gt;"",ROWS($F$3:F347)-COUNTBLANK($F$3:F347),"")</x:f>
      </x:c>
      <x:c r="H347"/>
      <x:c r="I347"/>
      <x:c r="J347"/>
      <x:c r="K347" t="str">
        <x:f>IF(ROW()-ROW($K$2)&lt;=SUM($J$3:$J$168),COUNTIF($H$3:$H$168,"&lt;"&amp;(ROW()-ROW($K$2))),"")</x:f>
      </x:c>
      <x:c r="L347" t="str">
        <x:f>IF(K347="","",ROW()-ROW($L$2)-INDEX($H$3:$H$168,K347))</x:f>
      </x:c>
      <x:c r="M347" t="str">
        <x:f>IF(K347="","",IF(L347=1,1,FIND(CHAR(1),SUBSTITUTE(INDEX($B$3:$B$168,K347),CHAR(10),CHAR(1),L347-1))+1))</x:f>
      </x:c>
      <x:c r="N347" t="str">
        <x:f>IF(K347="","",IFERROR(FIND(CHAR(1),SUBSTITUTE(INDEX($B$3:$B$168,K347),CHAR(10),CHAR(1),L347)),LEN(INDEX($B$3:$B$168,K347))+1))</x:f>
      </x:c>
    </x:row>
    <x:row r="348">
      <x:c r="A348"/>
      <x:c r="B348"/>
      <x:c r="C348"/>
      <x:c r="D348" t="str">
        <x:f>IFERROR(IF(346&lt;=$O$1,INDEX($A$3:$A$168,MATCH(346,$I$3:$I$168,0)),IF(346&lt;=$O$1+$O$2,INDEX($F$3:$F$1994,MATCH(346-$O$1,$G$3:$G$1994,0)),"")),"")</x:f>
      </x:c>
      <x:c r="E348" t="str">
        <x:f>IF(K348="","",IF(N348&lt;=M348,"",TRIM(CLEAN(MID(INDEX($B$3:$B$168,K348),M348,N348-M348)))))</x:f>
      </x:c>
      <x:c r="F348" t="str">
        <x:f>IF(E348="","",IF(E348=TRIM(INDEX($A$3:$A$168,K348)),"",IF(RIGHT(TRIM(INDEX($A$3:$A$168,K348)),1)="]",LEFT(TRIM(INDEX($A$3:$A$168,K348)),LEN(TRIM(INDEX($A$3:$A$168,K348)))-1)&amp;", "&amp;SUBSTITUTE(SUBSTITUTE(SUBSTITUTE(E348," [",", "),"[",", "),"]","")&amp;"]",TRIM(INDEX($A$3:$A$168,K348))&amp;" ["&amp;SUBSTITUTE(SUBSTITUTE(SUBSTITUTE(E348," [",", "),"[",", "),"]","")&amp;"]")))</x:f>
      </x:c>
      <x:c r="G348" t="str">
        <x:f>IF(F348&lt;&gt;"",ROWS($F$3:F348)-COUNTBLANK($F$3:F348),"")</x:f>
      </x:c>
      <x:c r="H348"/>
      <x:c r="I348"/>
      <x:c r="J348"/>
      <x:c r="K348" t="str">
        <x:f>IF(ROW()-ROW($K$2)&lt;=SUM($J$3:$J$168),COUNTIF($H$3:$H$168,"&lt;"&amp;(ROW()-ROW($K$2))),"")</x:f>
      </x:c>
      <x:c r="L348" t="str">
        <x:f>IF(K348="","",ROW()-ROW($L$2)-INDEX($H$3:$H$168,K348))</x:f>
      </x:c>
      <x:c r="M348" t="str">
        <x:f>IF(K348="","",IF(L348=1,1,FIND(CHAR(1),SUBSTITUTE(INDEX($B$3:$B$168,K348),CHAR(10),CHAR(1),L348-1))+1))</x:f>
      </x:c>
      <x:c r="N348" t="str">
        <x:f>IF(K348="","",IFERROR(FIND(CHAR(1),SUBSTITUTE(INDEX($B$3:$B$168,K348),CHAR(10),CHAR(1),L348)),LEN(INDEX($B$3:$B$168,K348))+1))</x:f>
      </x:c>
    </x:row>
    <x:row r="349">
      <x:c r="A349"/>
      <x:c r="B349"/>
      <x:c r="C349"/>
      <x:c r="D349" t="str">
        <x:f>IFERROR(IF(347&lt;=$O$1,INDEX($A$3:$A$168,MATCH(347,$I$3:$I$168,0)),IF(347&lt;=$O$1+$O$2,INDEX($F$3:$F$1994,MATCH(347-$O$1,$G$3:$G$1994,0)),"")),"")</x:f>
      </x:c>
      <x:c r="E349" t="str">
        <x:f>IF(K349="","",IF(N349&lt;=M349,"",TRIM(CLEAN(MID(INDEX($B$3:$B$168,K349),M349,N349-M349)))))</x:f>
      </x:c>
      <x:c r="F349" t="str">
        <x:f>IF(E349="","",IF(E349=TRIM(INDEX($A$3:$A$168,K349)),"",IF(RIGHT(TRIM(INDEX($A$3:$A$168,K349)),1)="]",LEFT(TRIM(INDEX($A$3:$A$168,K349)),LEN(TRIM(INDEX($A$3:$A$168,K349)))-1)&amp;", "&amp;SUBSTITUTE(SUBSTITUTE(SUBSTITUTE(E349," [",", "),"[",", "),"]","")&amp;"]",TRIM(INDEX($A$3:$A$168,K349))&amp;" ["&amp;SUBSTITUTE(SUBSTITUTE(SUBSTITUTE(E349," [",", "),"[",", "),"]","")&amp;"]")))</x:f>
      </x:c>
      <x:c r="G349" t="str">
        <x:f>IF(F349&lt;&gt;"",ROWS($F$3:F349)-COUNTBLANK($F$3:F349),"")</x:f>
      </x:c>
      <x:c r="H349"/>
      <x:c r="I349"/>
      <x:c r="J349"/>
      <x:c r="K349" t="str">
        <x:f>IF(ROW()-ROW($K$2)&lt;=SUM($J$3:$J$168),COUNTIF($H$3:$H$168,"&lt;"&amp;(ROW()-ROW($K$2))),"")</x:f>
      </x:c>
      <x:c r="L349" t="str">
        <x:f>IF(K349="","",ROW()-ROW($L$2)-INDEX($H$3:$H$168,K349))</x:f>
      </x:c>
      <x:c r="M349" t="str">
        <x:f>IF(K349="","",IF(L349=1,1,FIND(CHAR(1),SUBSTITUTE(INDEX($B$3:$B$168,K349),CHAR(10),CHAR(1),L349-1))+1))</x:f>
      </x:c>
      <x:c r="N349" t="str">
        <x:f>IF(K349="","",IFERROR(FIND(CHAR(1),SUBSTITUTE(INDEX($B$3:$B$168,K349),CHAR(10),CHAR(1),L349)),LEN(INDEX($B$3:$B$168,K349))+1))</x:f>
      </x:c>
    </x:row>
    <x:row r="350">
      <x:c r="A350"/>
      <x:c r="B350"/>
      <x:c r="C350"/>
      <x:c r="D350" t="str">
        <x:f>IFERROR(IF(348&lt;=$O$1,INDEX($A$3:$A$168,MATCH(348,$I$3:$I$168,0)),IF(348&lt;=$O$1+$O$2,INDEX($F$3:$F$1994,MATCH(348-$O$1,$G$3:$G$1994,0)),"")),"")</x:f>
      </x:c>
      <x:c r="E350" t="str">
        <x:f>IF(K350="","",IF(N350&lt;=M350,"",TRIM(CLEAN(MID(INDEX($B$3:$B$168,K350),M350,N350-M350)))))</x:f>
      </x:c>
      <x:c r="F350" t="str">
        <x:f>IF(E350="","",IF(E350=TRIM(INDEX($A$3:$A$168,K350)),"",IF(RIGHT(TRIM(INDEX($A$3:$A$168,K350)),1)="]",LEFT(TRIM(INDEX($A$3:$A$168,K350)),LEN(TRIM(INDEX($A$3:$A$168,K350)))-1)&amp;", "&amp;SUBSTITUTE(SUBSTITUTE(SUBSTITUTE(E350," [",", "),"[",", "),"]","")&amp;"]",TRIM(INDEX($A$3:$A$168,K350))&amp;" ["&amp;SUBSTITUTE(SUBSTITUTE(SUBSTITUTE(E350," [",", "),"[",", "),"]","")&amp;"]")))</x:f>
      </x:c>
      <x:c r="G350" t="str">
        <x:f>IF(F350&lt;&gt;"",ROWS($F$3:F350)-COUNTBLANK($F$3:F350),"")</x:f>
      </x:c>
      <x:c r="H350"/>
      <x:c r="I350"/>
      <x:c r="J350"/>
      <x:c r="K350" t="str">
        <x:f>IF(ROW()-ROW($K$2)&lt;=SUM($J$3:$J$168),COUNTIF($H$3:$H$168,"&lt;"&amp;(ROW()-ROW($K$2))),"")</x:f>
      </x:c>
      <x:c r="L350" t="str">
        <x:f>IF(K350="","",ROW()-ROW($L$2)-INDEX($H$3:$H$168,K350))</x:f>
      </x:c>
      <x:c r="M350" t="str">
        <x:f>IF(K350="","",IF(L350=1,1,FIND(CHAR(1),SUBSTITUTE(INDEX($B$3:$B$168,K350),CHAR(10),CHAR(1),L350-1))+1))</x:f>
      </x:c>
      <x:c r="N350" t="str">
        <x:f>IF(K350="","",IFERROR(FIND(CHAR(1),SUBSTITUTE(INDEX($B$3:$B$168,K350),CHAR(10),CHAR(1),L350)),LEN(INDEX($B$3:$B$168,K350))+1))</x:f>
      </x:c>
    </x:row>
    <x:row r="351">
      <x:c r="A351"/>
      <x:c r="B351"/>
      <x:c r="C351"/>
      <x:c r="D351" t="str">
        <x:f>IFERROR(IF(349&lt;=$O$1,INDEX($A$3:$A$168,MATCH(349,$I$3:$I$168,0)),IF(349&lt;=$O$1+$O$2,INDEX($F$3:$F$1994,MATCH(349-$O$1,$G$3:$G$1994,0)),"")),"")</x:f>
      </x:c>
      <x:c r="E351" t="str">
        <x:f>IF(K351="","",IF(N351&lt;=M351,"",TRIM(CLEAN(MID(INDEX($B$3:$B$168,K351),M351,N351-M351)))))</x:f>
      </x:c>
      <x:c r="F351" t="str">
        <x:f>IF(E351="","",IF(E351=TRIM(INDEX($A$3:$A$168,K351)),"",IF(RIGHT(TRIM(INDEX($A$3:$A$168,K351)),1)="]",LEFT(TRIM(INDEX($A$3:$A$168,K351)),LEN(TRIM(INDEX($A$3:$A$168,K351)))-1)&amp;", "&amp;SUBSTITUTE(SUBSTITUTE(SUBSTITUTE(E351," [",", "),"[",", "),"]","")&amp;"]",TRIM(INDEX($A$3:$A$168,K351))&amp;" ["&amp;SUBSTITUTE(SUBSTITUTE(SUBSTITUTE(E351," [",", "),"[",", "),"]","")&amp;"]")))</x:f>
      </x:c>
      <x:c r="G351" t="str">
        <x:f>IF(F351&lt;&gt;"",ROWS($F$3:F351)-COUNTBLANK($F$3:F351),"")</x:f>
      </x:c>
      <x:c r="H351"/>
      <x:c r="I351"/>
      <x:c r="J351"/>
      <x:c r="K351" t="str">
        <x:f>IF(ROW()-ROW($K$2)&lt;=SUM($J$3:$J$168),COUNTIF($H$3:$H$168,"&lt;"&amp;(ROW()-ROW($K$2))),"")</x:f>
      </x:c>
      <x:c r="L351" t="str">
        <x:f>IF(K351="","",ROW()-ROW($L$2)-INDEX($H$3:$H$168,K351))</x:f>
      </x:c>
      <x:c r="M351" t="str">
        <x:f>IF(K351="","",IF(L351=1,1,FIND(CHAR(1),SUBSTITUTE(INDEX($B$3:$B$168,K351),CHAR(10),CHAR(1),L351-1))+1))</x:f>
      </x:c>
      <x:c r="N351" t="str">
        <x:f>IF(K351="","",IFERROR(FIND(CHAR(1),SUBSTITUTE(INDEX($B$3:$B$168,K351),CHAR(10),CHAR(1),L351)),LEN(INDEX($B$3:$B$168,K351))+1))</x:f>
      </x:c>
    </x:row>
    <x:row r="352">
      <x:c r="A352"/>
      <x:c r="B352"/>
      <x:c r="C352"/>
      <x:c r="D352" t="str">
        <x:f>IFERROR(IF(350&lt;=$O$1,INDEX($A$3:$A$168,MATCH(350,$I$3:$I$168,0)),IF(350&lt;=$O$1+$O$2,INDEX($F$3:$F$1994,MATCH(350-$O$1,$G$3:$G$1994,0)),"")),"")</x:f>
      </x:c>
      <x:c r="E352" t="str">
        <x:f>IF(K352="","",IF(N352&lt;=M352,"",TRIM(CLEAN(MID(INDEX($B$3:$B$168,K352),M352,N352-M352)))))</x:f>
      </x:c>
      <x:c r="F352" t="str">
        <x:f>IF(E352="","",IF(E352=TRIM(INDEX($A$3:$A$168,K352)),"",IF(RIGHT(TRIM(INDEX($A$3:$A$168,K352)),1)="]",LEFT(TRIM(INDEX($A$3:$A$168,K352)),LEN(TRIM(INDEX($A$3:$A$168,K352)))-1)&amp;", "&amp;SUBSTITUTE(SUBSTITUTE(SUBSTITUTE(E352," [",", "),"[",", "),"]","")&amp;"]",TRIM(INDEX($A$3:$A$168,K352))&amp;" ["&amp;SUBSTITUTE(SUBSTITUTE(SUBSTITUTE(E352," [",", "),"[",", "),"]","")&amp;"]")))</x:f>
      </x:c>
      <x:c r="G352" t="str">
        <x:f>IF(F352&lt;&gt;"",ROWS($F$3:F352)-COUNTBLANK($F$3:F352),"")</x:f>
      </x:c>
      <x:c r="H352"/>
      <x:c r="I352"/>
      <x:c r="J352"/>
      <x:c r="K352" t="str">
        <x:f>IF(ROW()-ROW($K$2)&lt;=SUM($J$3:$J$168),COUNTIF($H$3:$H$168,"&lt;"&amp;(ROW()-ROW($K$2))),"")</x:f>
      </x:c>
      <x:c r="L352" t="str">
        <x:f>IF(K352="","",ROW()-ROW($L$2)-INDEX($H$3:$H$168,K352))</x:f>
      </x:c>
      <x:c r="M352" t="str">
        <x:f>IF(K352="","",IF(L352=1,1,FIND(CHAR(1),SUBSTITUTE(INDEX($B$3:$B$168,K352),CHAR(10),CHAR(1),L352-1))+1))</x:f>
      </x:c>
      <x:c r="N352" t="str">
        <x:f>IF(K352="","",IFERROR(FIND(CHAR(1),SUBSTITUTE(INDEX($B$3:$B$168,K352),CHAR(10),CHAR(1),L352)),LEN(INDEX($B$3:$B$168,K352))+1))</x:f>
      </x:c>
    </x:row>
    <x:row r="353">
      <x:c r="A353"/>
      <x:c r="B353"/>
      <x:c r="C353"/>
      <x:c r="D353" t="str">
        <x:f>IFERROR(IF(351&lt;=$O$1,INDEX($A$3:$A$168,MATCH(351,$I$3:$I$168,0)),IF(351&lt;=$O$1+$O$2,INDEX($F$3:$F$1994,MATCH(351-$O$1,$G$3:$G$1994,0)),"")),"")</x:f>
      </x:c>
      <x:c r="E353" t="str">
        <x:f>IF(K353="","",IF(N353&lt;=M353,"",TRIM(CLEAN(MID(INDEX($B$3:$B$168,K353),M353,N353-M353)))))</x:f>
      </x:c>
      <x:c r="F353" t="str">
        <x:f>IF(E353="","",IF(E353=TRIM(INDEX($A$3:$A$168,K353)),"",IF(RIGHT(TRIM(INDEX($A$3:$A$168,K353)),1)="]",LEFT(TRIM(INDEX($A$3:$A$168,K353)),LEN(TRIM(INDEX($A$3:$A$168,K353)))-1)&amp;", "&amp;SUBSTITUTE(SUBSTITUTE(SUBSTITUTE(E353," [",", "),"[",", "),"]","")&amp;"]",TRIM(INDEX($A$3:$A$168,K353))&amp;" ["&amp;SUBSTITUTE(SUBSTITUTE(SUBSTITUTE(E353," [",", "),"[",", "),"]","")&amp;"]")))</x:f>
      </x:c>
      <x:c r="G353" t="str">
        <x:f>IF(F353&lt;&gt;"",ROWS($F$3:F353)-COUNTBLANK($F$3:F353),"")</x:f>
      </x:c>
      <x:c r="H353"/>
      <x:c r="I353"/>
      <x:c r="J353"/>
      <x:c r="K353" t="str">
        <x:f>IF(ROW()-ROW($K$2)&lt;=SUM($J$3:$J$168),COUNTIF($H$3:$H$168,"&lt;"&amp;(ROW()-ROW($K$2))),"")</x:f>
      </x:c>
      <x:c r="L353" t="str">
        <x:f>IF(K353="","",ROW()-ROW($L$2)-INDEX($H$3:$H$168,K353))</x:f>
      </x:c>
      <x:c r="M353" t="str">
        <x:f>IF(K353="","",IF(L353=1,1,FIND(CHAR(1),SUBSTITUTE(INDEX($B$3:$B$168,K353),CHAR(10),CHAR(1),L353-1))+1))</x:f>
      </x:c>
      <x:c r="N353" t="str">
        <x:f>IF(K353="","",IFERROR(FIND(CHAR(1),SUBSTITUTE(INDEX($B$3:$B$168,K353),CHAR(10),CHAR(1),L353)),LEN(INDEX($B$3:$B$168,K353))+1))</x:f>
      </x:c>
    </x:row>
    <x:row r="354">
      <x:c r="A354"/>
      <x:c r="B354"/>
      <x:c r="C354"/>
      <x:c r="D354" t="str">
        <x:f>IFERROR(IF(352&lt;=$O$1,INDEX($A$3:$A$168,MATCH(352,$I$3:$I$168,0)),IF(352&lt;=$O$1+$O$2,INDEX($F$3:$F$1994,MATCH(352-$O$1,$G$3:$G$1994,0)),"")),"")</x:f>
      </x:c>
      <x:c r="E354" t="str">
        <x:f>IF(K354="","",IF(N354&lt;=M354,"",TRIM(CLEAN(MID(INDEX($B$3:$B$168,K354),M354,N354-M354)))))</x:f>
      </x:c>
      <x:c r="F354" t="str">
        <x:f>IF(E354="","",IF(E354=TRIM(INDEX($A$3:$A$168,K354)),"",IF(RIGHT(TRIM(INDEX($A$3:$A$168,K354)),1)="]",LEFT(TRIM(INDEX($A$3:$A$168,K354)),LEN(TRIM(INDEX($A$3:$A$168,K354)))-1)&amp;", "&amp;SUBSTITUTE(SUBSTITUTE(SUBSTITUTE(E354," [",", "),"[",", "),"]","")&amp;"]",TRIM(INDEX($A$3:$A$168,K354))&amp;" ["&amp;SUBSTITUTE(SUBSTITUTE(SUBSTITUTE(E354," [",", "),"[",", "),"]","")&amp;"]")))</x:f>
      </x:c>
      <x:c r="G354" t="str">
        <x:f>IF(F354&lt;&gt;"",ROWS($F$3:F354)-COUNTBLANK($F$3:F354),"")</x:f>
      </x:c>
      <x:c r="H354"/>
      <x:c r="I354"/>
      <x:c r="J354"/>
      <x:c r="K354" t="str">
        <x:f>IF(ROW()-ROW($K$2)&lt;=SUM($J$3:$J$168),COUNTIF($H$3:$H$168,"&lt;"&amp;(ROW()-ROW($K$2))),"")</x:f>
      </x:c>
      <x:c r="L354" t="str">
        <x:f>IF(K354="","",ROW()-ROW($L$2)-INDEX($H$3:$H$168,K354))</x:f>
      </x:c>
      <x:c r="M354" t="str">
        <x:f>IF(K354="","",IF(L354=1,1,FIND(CHAR(1),SUBSTITUTE(INDEX($B$3:$B$168,K354),CHAR(10),CHAR(1),L354-1))+1))</x:f>
      </x:c>
      <x:c r="N354" t="str">
        <x:f>IF(K354="","",IFERROR(FIND(CHAR(1),SUBSTITUTE(INDEX($B$3:$B$168,K354),CHAR(10),CHAR(1),L354)),LEN(INDEX($B$3:$B$168,K354))+1))</x:f>
      </x:c>
    </x:row>
    <x:row r="355">
      <x:c r="A355"/>
      <x:c r="B355"/>
      <x:c r="C355"/>
      <x:c r="D355" t="str">
        <x:f>IFERROR(IF(353&lt;=$O$1,INDEX($A$3:$A$168,MATCH(353,$I$3:$I$168,0)),IF(353&lt;=$O$1+$O$2,INDEX($F$3:$F$1994,MATCH(353-$O$1,$G$3:$G$1994,0)),"")),"")</x:f>
      </x:c>
      <x:c r="E355" t="str">
        <x:f>IF(K355="","",IF(N355&lt;=M355,"",TRIM(CLEAN(MID(INDEX($B$3:$B$168,K355),M355,N355-M355)))))</x:f>
      </x:c>
      <x:c r="F355" t="str">
        <x:f>IF(E355="","",IF(E355=TRIM(INDEX($A$3:$A$168,K355)),"",IF(RIGHT(TRIM(INDEX($A$3:$A$168,K355)),1)="]",LEFT(TRIM(INDEX($A$3:$A$168,K355)),LEN(TRIM(INDEX($A$3:$A$168,K355)))-1)&amp;", "&amp;SUBSTITUTE(SUBSTITUTE(SUBSTITUTE(E355," [",", "),"[",", "),"]","")&amp;"]",TRIM(INDEX($A$3:$A$168,K355))&amp;" ["&amp;SUBSTITUTE(SUBSTITUTE(SUBSTITUTE(E355," [",", "),"[",", "),"]","")&amp;"]")))</x:f>
      </x:c>
      <x:c r="G355" t="str">
        <x:f>IF(F355&lt;&gt;"",ROWS($F$3:F355)-COUNTBLANK($F$3:F355),"")</x:f>
      </x:c>
      <x:c r="H355"/>
      <x:c r="I355"/>
      <x:c r="J355"/>
      <x:c r="K355" t="str">
        <x:f>IF(ROW()-ROW($K$2)&lt;=SUM($J$3:$J$168),COUNTIF($H$3:$H$168,"&lt;"&amp;(ROW()-ROW($K$2))),"")</x:f>
      </x:c>
      <x:c r="L355" t="str">
        <x:f>IF(K355="","",ROW()-ROW($L$2)-INDEX($H$3:$H$168,K355))</x:f>
      </x:c>
      <x:c r="M355" t="str">
        <x:f>IF(K355="","",IF(L355=1,1,FIND(CHAR(1),SUBSTITUTE(INDEX($B$3:$B$168,K355),CHAR(10),CHAR(1),L355-1))+1))</x:f>
      </x:c>
      <x:c r="N355" t="str">
        <x:f>IF(K355="","",IFERROR(FIND(CHAR(1),SUBSTITUTE(INDEX($B$3:$B$168,K355),CHAR(10),CHAR(1),L355)),LEN(INDEX($B$3:$B$168,K355))+1))</x:f>
      </x:c>
    </x:row>
    <x:row r="356">
      <x:c r="A356"/>
      <x:c r="B356"/>
      <x:c r="C356"/>
      <x:c r="D356" t="str">
        <x:f>IFERROR(IF(354&lt;=$O$1,INDEX($A$3:$A$168,MATCH(354,$I$3:$I$168,0)),IF(354&lt;=$O$1+$O$2,INDEX($F$3:$F$1994,MATCH(354-$O$1,$G$3:$G$1994,0)),"")),"")</x:f>
      </x:c>
      <x:c r="E356" t="str">
        <x:f>IF(K356="","",IF(N356&lt;=M356,"",TRIM(CLEAN(MID(INDEX($B$3:$B$168,K356),M356,N356-M356)))))</x:f>
      </x:c>
      <x:c r="F356" t="str">
        <x:f>IF(E356="","",IF(E356=TRIM(INDEX($A$3:$A$168,K356)),"",IF(RIGHT(TRIM(INDEX($A$3:$A$168,K356)),1)="]",LEFT(TRIM(INDEX($A$3:$A$168,K356)),LEN(TRIM(INDEX($A$3:$A$168,K356)))-1)&amp;", "&amp;SUBSTITUTE(SUBSTITUTE(SUBSTITUTE(E356," [",", "),"[",", "),"]","")&amp;"]",TRIM(INDEX($A$3:$A$168,K356))&amp;" ["&amp;SUBSTITUTE(SUBSTITUTE(SUBSTITUTE(E356," [",", "),"[",", "),"]","")&amp;"]")))</x:f>
      </x:c>
      <x:c r="G356" t="str">
        <x:f>IF(F356&lt;&gt;"",ROWS($F$3:F356)-COUNTBLANK($F$3:F356),"")</x:f>
      </x:c>
      <x:c r="H356"/>
      <x:c r="I356"/>
      <x:c r="J356"/>
      <x:c r="K356" t="str">
        <x:f>IF(ROW()-ROW($K$2)&lt;=SUM($J$3:$J$168),COUNTIF($H$3:$H$168,"&lt;"&amp;(ROW()-ROW($K$2))),"")</x:f>
      </x:c>
      <x:c r="L356" t="str">
        <x:f>IF(K356="","",ROW()-ROW($L$2)-INDEX($H$3:$H$168,K356))</x:f>
      </x:c>
      <x:c r="M356" t="str">
        <x:f>IF(K356="","",IF(L356=1,1,FIND(CHAR(1),SUBSTITUTE(INDEX($B$3:$B$168,K356),CHAR(10),CHAR(1),L356-1))+1))</x:f>
      </x:c>
      <x:c r="N356" t="str">
        <x:f>IF(K356="","",IFERROR(FIND(CHAR(1),SUBSTITUTE(INDEX($B$3:$B$168,K356),CHAR(10),CHAR(1),L356)),LEN(INDEX($B$3:$B$168,K356))+1))</x:f>
      </x:c>
    </x:row>
    <x:row r="357">
      <x:c r="A357"/>
      <x:c r="B357"/>
      <x:c r="C357"/>
      <x:c r="D357" t="str">
        <x:f>IFERROR(IF(355&lt;=$O$1,INDEX($A$3:$A$168,MATCH(355,$I$3:$I$168,0)),IF(355&lt;=$O$1+$O$2,INDEX($F$3:$F$1994,MATCH(355-$O$1,$G$3:$G$1994,0)),"")),"")</x:f>
      </x:c>
      <x:c r="E357" t="str">
        <x:f>IF(K357="","",IF(N357&lt;=M357,"",TRIM(CLEAN(MID(INDEX($B$3:$B$168,K357),M357,N357-M357)))))</x:f>
      </x:c>
      <x:c r="F357" t="str">
        <x:f>IF(E357="","",IF(E357=TRIM(INDEX($A$3:$A$168,K357)),"",IF(RIGHT(TRIM(INDEX($A$3:$A$168,K357)),1)="]",LEFT(TRIM(INDEX($A$3:$A$168,K357)),LEN(TRIM(INDEX($A$3:$A$168,K357)))-1)&amp;", "&amp;SUBSTITUTE(SUBSTITUTE(SUBSTITUTE(E357," [",", "),"[",", "),"]","")&amp;"]",TRIM(INDEX($A$3:$A$168,K357))&amp;" ["&amp;SUBSTITUTE(SUBSTITUTE(SUBSTITUTE(E357," [",", "),"[",", "),"]","")&amp;"]")))</x:f>
      </x:c>
      <x:c r="G357" t="str">
        <x:f>IF(F357&lt;&gt;"",ROWS($F$3:F357)-COUNTBLANK($F$3:F357),"")</x:f>
      </x:c>
      <x:c r="H357"/>
      <x:c r="I357"/>
      <x:c r="J357"/>
      <x:c r="K357" t="str">
        <x:f>IF(ROW()-ROW($K$2)&lt;=SUM($J$3:$J$168),COUNTIF($H$3:$H$168,"&lt;"&amp;(ROW()-ROW($K$2))),"")</x:f>
      </x:c>
      <x:c r="L357" t="str">
        <x:f>IF(K357="","",ROW()-ROW($L$2)-INDEX($H$3:$H$168,K357))</x:f>
      </x:c>
      <x:c r="M357" t="str">
        <x:f>IF(K357="","",IF(L357=1,1,FIND(CHAR(1),SUBSTITUTE(INDEX($B$3:$B$168,K357),CHAR(10),CHAR(1),L357-1))+1))</x:f>
      </x:c>
      <x:c r="N357" t="str">
        <x:f>IF(K357="","",IFERROR(FIND(CHAR(1),SUBSTITUTE(INDEX($B$3:$B$168,K357),CHAR(10),CHAR(1),L357)),LEN(INDEX($B$3:$B$168,K357))+1))</x:f>
      </x:c>
    </x:row>
    <x:row r="358">
      <x:c r="A358"/>
      <x:c r="B358"/>
      <x:c r="C358"/>
      <x:c r="D358" t="str">
        <x:f>IFERROR(IF(356&lt;=$O$1,INDEX($A$3:$A$168,MATCH(356,$I$3:$I$168,0)),IF(356&lt;=$O$1+$O$2,INDEX($F$3:$F$1994,MATCH(356-$O$1,$G$3:$G$1994,0)),"")),"")</x:f>
      </x:c>
      <x:c r="E358" t="str">
        <x:f>IF(K358="","",IF(N358&lt;=M358,"",TRIM(CLEAN(MID(INDEX($B$3:$B$168,K358),M358,N358-M358)))))</x:f>
      </x:c>
      <x:c r="F358" t="str">
        <x:f>IF(E358="","",IF(E358=TRIM(INDEX($A$3:$A$168,K358)),"",IF(RIGHT(TRIM(INDEX($A$3:$A$168,K358)),1)="]",LEFT(TRIM(INDEX($A$3:$A$168,K358)),LEN(TRIM(INDEX($A$3:$A$168,K358)))-1)&amp;", "&amp;SUBSTITUTE(SUBSTITUTE(SUBSTITUTE(E358," [",", "),"[",", "),"]","")&amp;"]",TRIM(INDEX($A$3:$A$168,K358))&amp;" ["&amp;SUBSTITUTE(SUBSTITUTE(SUBSTITUTE(E358," [",", "),"[",", "),"]","")&amp;"]")))</x:f>
      </x:c>
      <x:c r="G358" t="str">
        <x:f>IF(F358&lt;&gt;"",ROWS($F$3:F358)-COUNTBLANK($F$3:F358),"")</x:f>
      </x:c>
      <x:c r="H358"/>
      <x:c r="I358"/>
      <x:c r="J358"/>
      <x:c r="K358" t="str">
        <x:f>IF(ROW()-ROW($K$2)&lt;=SUM($J$3:$J$168),COUNTIF($H$3:$H$168,"&lt;"&amp;(ROW()-ROW($K$2))),"")</x:f>
      </x:c>
      <x:c r="L358" t="str">
        <x:f>IF(K358="","",ROW()-ROW($L$2)-INDEX($H$3:$H$168,K358))</x:f>
      </x:c>
      <x:c r="M358" t="str">
        <x:f>IF(K358="","",IF(L358=1,1,FIND(CHAR(1),SUBSTITUTE(INDEX($B$3:$B$168,K358),CHAR(10),CHAR(1),L358-1))+1))</x:f>
      </x:c>
      <x:c r="N358" t="str">
        <x:f>IF(K358="","",IFERROR(FIND(CHAR(1),SUBSTITUTE(INDEX($B$3:$B$168,K358),CHAR(10),CHAR(1),L358)),LEN(INDEX($B$3:$B$168,K358))+1))</x:f>
      </x:c>
    </x:row>
    <x:row r="359">
      <x:c r="A359"/>
      <x:c r="B359"/>
      <x:c r="C359"/>
      <x:c r="D359" t="str">
        <x:f>IFERROR(IF(357&lt;=$O$1,INDEX($A$3:$A$168,MATCH(357,$I$3:$I$168,0)),IF(357&lt;=$O$1+$O$2,INDEX($F$3:$F$1994,MATCH(357-$O$1,$G$3:$G$1994,0)),"")),"")</x:f>
      </x:c>
      <x:c r="E359" t="str">
        <x:f>IF(K359="","",IF(N359&lt;=M359,"",TRIM(CLEAN(MID(INDEX($B$3:$B$168,K359),M359,N359-M359)))))</x:f>
      </x:c>
      <x:c r="F359" t="str">
        <x:f>IF(E359="","",IF(E359=TRIM(INDEX($A$3:$A$168,K359)),"",IF(RIGHT(TRIM(INDEX($A$3:$A$168,K359)),1)="]",LEFT(TRIM(INDEX($A$3:$A$168,K359)),LEN(TRIM(INDEX($A$3:$A$168,K359)))-1)&amp;", "&amp;SUBSTITUTE(SUBSTITUTE(SUBSTITUTE(E359," [",", "),"[",", "),"]","")&amp;"]",TRIM(INDEX($A$3:$A$168,K359))&amp;" ["&amp;SUBSTITUTE(SUBSTITUTE(SUBSTITUTE(E359," [",", "),"[",", "),"]","")&amp;"]")))</x:f>
      </x:c>
      <x:c r="G359" t="str">
        <x:f>IF(F359&lt;&gt;"",ROWS($F$3:F359)-COUNTBLANK($F$3:F359),"")</x:f>
      </x:c>
      <x:c r="H359"/>
      <x:c r="I359"/>
      <x:c r="J359"/>
      <x:c r="K359" t="str">
        <x:f>IF(ROW()-ROW($K$2)&lt;=SUM($J$3:$J$168),COUNTIF($H$3:$H$168,"&lt;"&amp;(ROW()-ROW($K$2))),"")</x:f>
      </x:c>
      <x:c r="L359" t="str">
        <x:f>IF(K359="","",ROW()-ROW($L$2)-INDEX($H$3:$H$168,K359))</x:f>
      </x:c>
      <x:c r="M359" t="str">
        <x:f>IF(K359="","",IF(L359=1,1,FIND(CHAR(1),SUBSTITUTE(INDEX($B$3:$B$168,K359),CHAR(10),CHAR(1),L359-1))+1))</x:f>
      </x:c>
      <x:c r="N359" t="str">
        <x:f>IF(K359="","",IFERROR(FIND(CHAR(1),SUBSTITUTE(INDEX($B$3:$B$168,K359),CHAR(10),CHAR(1),L359)),LEN(INDEX($B$3:$B$168,K359))+1))</x:f>
      </x:c>
    </x:row>
    <x:row r="360">
      <x:c r="A360"/>
      <x:c r="B360"/>
      <x:c r="C360"/>
      <x:c r="D360" t="str">
        <x:f>IFERROR(IF(358&lt;=$O$1,INDEX($A$3:$A$168,MATCH(358,$I$3:$I$168,0)),IF(358&lt;=$O$1+$O$2,INDEX($F$3:$F$1994,MATCH(358-$O$1,$G$3:$G$1994,0)),"")),"")</x:f>
      </x:c>
      <x:c r="E360" t="str">
        <x:f>IF(K360="","",IF(N360&lt;=M360,"",TRIM(CLEAN(MID(INDEX($B$3:$B$168,K360),M360,N360-M360)))))</x:f>
      </x:c>
      <x:c r="F360" t="str">
        <x:f>IF(E360="","",IF(E360=TRIM(INDEX($A$3:$A$168,K360)),"",IF(RIGHT(TRIM(INDEX($A$3:$A$168,K360)),1)="]",LEFT(TRIM(INDEX($A$3:$A$168,K360)),LEN(TRIM(INDEX($A$3:$A$168,K360)))-1)&amp;", "&amp;SUBSTITUTE(SUBSTITUTE(SUBSTITUTE(E360," [",", "),"[",", "),"]","")&amp;"]",TRIM(INDEX($A$3:$A$168,K360))&amp;" ["&amp;SUBSTITUTE(SUBSTITUTE(SUBSTITUTE(E360," [",", "),"[",", "),"]","")&amp;"]")))</x:f>
      </x:c>
      <x:c r="G360" t="str">
        <x:f>IF(F360&lt;&gt;"",ROWS($F$3:F360)-COUNTBLANK($F$3:F360),"")</x:f>
      </x:c>
      <x:c r="H360"/>
      <x:c r="I360"/>
      <x:c r="J360"/>
      <x:c r="K360" t="str">
        <x:f>IF(ROW()-ROW($K$2)&lt;=SUM($J$3:$J$168),COUNTIF($H$3:$H$168,"&lt;"&amp;(ROW()-ROW($K$2))),"")</x:f>
      </x:c>
      <x:c r="L360" t="str">
        <x:f>IF(K360="","",ROW()-ROW($L$2)-INDEX($H$3:$H$168,K360))</x:f>
      </x:c>
      <x:c r="M360" t="str">
        <x:f>IF(K360="","",IF(L360=1,1,FIND(CHAR(1),SUBSTITUTE(INDEX($B$3:$B$168,K360),CHAR(10),CHAR(1),L360-1))+1))</x:f>
      </x:c>
      <x:c r="N360" t="str">
        <x:f>IF(K360="","",IFERROR(FIND(CHAR(1),SUBSTITUTE(INDEX($B$3:$B$168,K360),CHAR(10),CHAR(1),L360)),LEN(INDEX($B$3:$B$168,K360))+1))</x:f>
      </x:c>
    </x:row>
    <x:row r="361">
      <x:c r="A361"/>
      <x:c r="B361"/>
      <x:c r="C361"/>
      <x:c r="D361" t="str">
        <x:f>IFERROR(IF(359&lt;=$O$1,INDEX($A$3:$A$168,MATCH(359,$I$3:$I$168,0)),IF(359&lt;=$O$1+$O$2,INDEX($F$3:$F$1994,MATCH(359-$O$1,$G$3:$G$1994,0)),"")),"")</x:f>
      </x:c>
      <x:c r="E361" t="str">
        <x:f>IF(K361="","",IF(N361&lt;=M361,"",TRIM(CLEAN(MID(INDEX($B$3:$B$168,K361),M361,N361-M361)))))</x:f>
      </x:c>
      <x:c r="F361" t="str">
        <x:f>IF(E361="","",IF(E361=TRIM(INDEX($A$3:$A$168,K361)),"",IF(RIGHT(TRIM(INDEX($A$3:$A$168,K361)),1)="]",LEFT(TRIM(INDEX($A$3:$A$168,K361)),LEN(TRIM(INDEX($A$3:$A$168,K361)))-1)&amp;", "&amp;SUBSTITUTE(SUBSTITUTE(SUBSTITUTE(E361," [",", "),"[",", "),"]","")&amp;"]",TRIM(INDEX($A$3:$A$168,K361))&amp;" ["&amp;SUBSTITUTE(SUBSTITUTE(SUBSTITUTE(E361," [",", "),"[",", "),"]","")&amp;"]")))</x:f>
      </x:c>
      <x:c r="G361" t="str">
        <x:f>IF(F361&lt;&gt;"",ROWS($F$3:F361)-COUNTBLANK($F$3:F361),"")</x:f>
      </x:c>
      <x:c r="H361"/>
      <x:c r="I361"/>
      <x:c r="J361"/>
      <x:c r="K361" t="str">
        <x:f>IF(ROW()-ROW($K$2)&lt;=SUM($J$3:$J$168),COUNTIF($H$3:$H$168,"&lt;"&amp;(ROW()-ROW($K$2))),"")</x:f>
      </x:c>
      <x:c r="L361" t="str">
        <x:f>IF(K361="","",ROW()-ROW($L$2)-INDEX($H$3:$H$168,K361))</x:f>
      </x:c>
      <x:c r="M361" t="str">
        <x:f>IF(K361="","",IF(L361=1,1,FIND(CHAR(1),SUBSTITUTE(INDEX($B$3:$B$168,K361),CHAR(10),CHAR(1),L361-1))+1))</x:f>
      </x:c>
      <x:c r="N361" t="str">
        <x:f>IF(K361="","",IFERROR(FIND(CHAR(1),SUBSTITUTE(INDEX($B$3:$B$168,K361),CHAR(10),CHAR(1),L361)),LEN(INDEX($B$3:$B$168,K361))+1))</x:f>
      </x:c>
    </x:row>
    <x:row r="362">
      <x:c r="A362"/>
      <x:c r="B362"/>
      <x:c r="C362"/>
      <x:c r="D362" t="str">
        <x:f>IFERROR(IF(360&lt;=$O$1,INDEX($A$3:$A$168,MATCH(360,$I$3:$I$168,0)),IF(360&lt;=$O$1+$O$2,INDEX($F$3:$F$1994,MATCH(360-$O$1,$G$3:$G$1994,0)),"")),"")</x:f>
      </x:c>
      <x:c r="E362" t="str">
        <x:f>IF(K362="","",IF(N362&lt;=M362,"",TRIM(CLEAN(MID(INDEX($B$3:$B$168,K362),M362,N362-M362)))))</x:f>
      </x:c>
      <x:c r="F362" t="str">
        <x:f>IF(E362="","",IF(E362=TRIM(INDEX($A$3:$A$168,K362)),"",IF(RIGHT(TRIM(INDEX($A$3:$A$168,K362)),1)="]",LEFT(TRIM(INDEX($A$3:$A$168,K362)),LEN(TRIM(INDEX($A$3:$A$168,K362)))-1)&amp;", "&amp;SUBSTITUTE(SUBSTITUTE(SUBSTITUTE(E362," [",", "),"[",", "),"]","")&amp;"]",TRIM(INDEX($A$3:$A$168,K362))&amp;" ["&amp;SUBSTITUTE(SUBSTITUTE(SUBSTITUTE(E362," [",", "),"[",", "),"]","")&amp;"]")))</x:f>
      </x:c>
      <x:c r="G362" t="str">
        <x:f>IF(F362&lt;&gt;"",ROWS($F$3:F362)-COUNTBLANK($F$3:F362),"")</x:f>
      </x:c>
      <x:c r="H362"/>
      <x:c r="I362"/>
      <x:c r="J362"/>
      <x:c r="K362" t="str">
        <x:f>IF(ROW()-ROW($K$2)&lt;=SUM($J$3:$J$168),COUNTIF($H$3:$H$168,"&lt;"&amp;(ROW()-ROW($K$2))),"")</x:f>
      </x:c>
      <x:c r="L362" t="str">
        <x:f>IF(K362="","",ROW()-ROW($L$2)-INDEX($H$3:$H$168,K362))</x:f>
      </x:c>
      <x:c r="M362" t="str">
        <x:f>IF(K362="","",IF(L362=1,1,FIND(CHAR(1),SUBSTITUTE(INDEX($B$3:$B$168,K362),CHAR(10),CHAR(1),L362-1))+1))</x:f>
      </x:c>
      <x:c r="N362" t="str">
        <x:f>IF(K362="","",IFERROR(FIND(CHAR(1),SUBSTITUTE(INDEX($B$3:$B$168,K362),CHAR(10),CHAR(1),L362)),LEN(INDEX($B$3:$B$168,K362))+1))</x:f>
      </x:c>
    </x:row>
    <x:row r="363">
      <x:c r="A363"/>
      <x:c r="B363"/>
      <x:c r="C363"/>
      <x:c r="D363" t="str">
        <x:f>IFERROR(IF(361&lt;=$O$1,INDEX($A$3:$A$168,MATCH(361,$I$3:$I$168,0)),IF(361&lt;=$O$1+$O$2,INDEX($F$3:$F$1994,MATCH(361-$O$1,$G$3:$G$1994,0)),"")),"")</x:f>
      </x:c>
      <x:c r="E363" t="str">
        <x:f>IF(K363="","",IF(N363&lt;=M363,"",TRIM(CLEAN(MID(INDEX($B$3:$B$168,K363),M363,N363-M363)))))</x:f>
      </x:c>
      <x:c r="F363" t="str">
        <x:f>IF(E363="","",IF(E363=TRIM(INDEX($A$3:$A$168,K363)),"",IF(RIGHT(TRIM(INDEX($A$3:$A$168,K363)),1)="]",LEFT(TRIM(INDEX($A$3:$A$168,K363)),LEN(TRIM(INDEX($A$3:$A$168,K363)))-1)&amp;", "&amp;SUBSTITUTE(SUBSTITUTE(SUBSTITUTE(E363," [",", "),"[",", "),"]","")&amp;"]",TRIM(INDEX($A$3:$A$168,K363))&amp;" ["&amp;SUBSTITUTE(SUBSTITUTE(SUBSTITUTE(E363," [",", "),"[",", "),"]","")&amp;"]")))</x:f>
      </x:c>
      <x:c r="G363" t="str">
        <x:f>IF(F363&lt;&gt;"",ROWS($F$3:F363)-COUNTBLANK($F$3:F363),"")</x:f>
      </x:c>
      <x:c r="H363"/>
      <x:c r="I363"/>
      <x:c r="J363"/>
      <x:c r="K363" t="str">
        <x:f>IF(ROW()-ROW($K$2)&lt;=SUM($J$3:$J$168),COUNTIF($H$3:$H$168,"&lt;"&amp;(ROW()-ROW($K$2))),"")</x:f>
      </x:c>
      <x:c r="L363" t="str">
        <x:f>IF(K363="","",ROW()-ROW($L$2)-INDEX($H$3:$H$168,K363))</x:f>
      </x:c>
      <x:c r="M363" t="str">
        <x:f>IF(K363="","",IF(L363=1,1,FIND(CHAR(1),SUBSTITUTE(INDEX($B$3:$B$168,K363),CHAR(10),CHAR(1),L363-1))+1))</x:f>
      </x:c>
      <x:c r="N363" t="str">
        <x:f>IF(K363="","",IFERROR(FIND(CHAR(1),SUBSTITUTE(INDEX($B$3:$B$168,K363),CHAR(10),CHAR(1),L363)),LEN(INDEX($B$3:$B$168,K363))+1))</x:f>
      </x:c>
    </x:row>
    <x:row r="364">
      <x:c r="A364"/>
      <x:c r="B364"/>
      <x:c r="C364"/>
      <x:c r="D364" t="str">
        <x:f>IFERROR(IF(362&lt;=$O$1,INDEX($A$3:$A$168,MATCH(362,$I$3:$I$168,0)),IF(362&lt;=$O$1+$O$2,INDEX($F$3:$F$1994,MATCH(362-$O$1,$G$3:$G$1994,0)),"")),"")</x:f>
      </x:c>
      <x:c r="E364" t="str">
        <x:f>IF(K364="","",IF(N364&lt;=M364,"",TRIM(CLEAN(MID(INDEX($B$3:$B$168,K364),M364,N364-M364)))))</x:f>
      </x:c>
      <x:c r="F364" t="str">
        <x:f>IF(E364="","",IF(E364=TRIM(INDEX($A$3:$A$168,K364)),"",IF(RIGHT(TRIM(INDEX($A$3:$A$168,K364)),1)="]",LEFT(TRIM(INDEX($A$3:$A$168,K364)),LEN(TRIM(INDEX($A$3:$A$168,K364)))-1)&amp;", "&amp;SUBSTITUTE(SUBSTITUTE(SUBSTITUTE(E364," [",", "),"[",", "),"]","")&amp;"]",TRIM(INDEX($A$3:$A$168,K364))&amp;" ["&amp;SUBSTITUTE(SUBSTITUTE(SUBSTITUTE(E364," [",", "),"[",", "),"]","")&amp;"]")))</x:f>
      </x:c>
      <x:c r="G364" t="str">
        <x:f>IF(F364&lt;&gt;"",ROWS($F$3:F364)-COUNTBLANK($F$3:F364),"")</x:f>
      </x:c>
      <x:c r="H364"/>
      <x:c r="I364"/>
      <x:c r="J364"/>
      <x:c r="K364" t="str">
        <x:f>IF(ROW()-ROW($K$2)&lt;=SUM($J$3:$J$168),COUNTIF($H$3:$H$168,"&lt;"&amp;(ROW()-ROW($K$2))),"")</x:f>
      </x:c>
      <x:c r="L364" t="str">
        <x:f>IF(K364="","",ROW()-ROW($L$2)-INDEX($H$3:$H$168,K364))</x:f>
      </x:c>
      <x:c r="M364" t="str">
        <x:f>IF(K364="","",IF(L364=1,1,FIND(CHAR(1),SUBSTITUTE(INDEX($B$3:$B$168,K364),CHAR(10),CHAR(1),L364-1))+1))</x:f>
      </x:c>
      <x:c r="N364" t="str">
        <x:f>IF(K364="","",IFERROR(FIND(CHAR(1),SUBSTITUTE(INDEX($B$3:$B$168,K364),CHAR(10),CHAR(1),L364)),LEN(INDEX($B$3:$B$168,K364))+1))</x:f>
      </x:c>
    </x:row>
    <x:row r="365">
      <x:c r="A365"/>
      <x:c r="B365"/>
      <x:c r="C365"/>
      <x:c r="D365" t="str">
        <x:f>IFERROR(IF(363&lt;=$O$1,INDEX($A$3:$A$168,MATCH(363,$I$3:$I$168,0)),IF(363&lt;=$O$1+$O$2,INDEX($F$3:$F$1994,MATCH(363-$O$1,$G$3:$G$1994,0)),"")),"")</x:f>
      </x:c>
      <x:c r="E365" t="str">
        <x:f>IF(K365="","",IF(N365&lt;=M365,"",TRIM(CLEAN(MID(INDEX($B$3:$B$168,K365),M365,N365-M365)))))</x:f>
      </x:c>
      <x:c r="F365" t="str">
        <x:f>IF(E365="","",IF(E365=TRIM(INDEX($A$3:$A$168,K365)),"",IF(RIGHT(TRIM(INDEX($A$3:$A$168,K365)),1)="]",LEFT(TRIM(INDEX($A$3:$A$168,K365)),LEN(TRIM(INDEX($A$3:$A$168,K365)))-1)&amp;", "&amp;SUBSTITUTE(SUBSTITUTE(SUBSTITUTE(E365," [",", "),"[",", "),"]","")&amp;"]",TRIM(INDEX($A$3:$A$168,K365))&amp;" ["&amp;SUBSTITUTE(SUBSTITUTE(SUBSTITUTE(E365," [",", "),"[",", "),"]","")&amp;"]")))</x:f>
      </x:c>
      <x:c r="G365" t="str">
        <x:f>IF(F365&lt;&gt;"",ROWS($F$3:F365)-COUNTBLANK($F$3:F365),"")</x:f>
      </x:c>
      <x:c r="H365"/>
      <x:c r="I365"/>
      <x:c r="J365"/>
      <x:c r="K365" t="str">
        <x:f>IF(ROW()-ROW($K$2)&lt;=SUM($J$3:$J$168),COUNTIF($H$3:$H$168,"&lt;"&amp;(ROW()-ROW($K$2))),"")</x:f>
      </x:c>
      <x:c r="L365" t="str">
        <x:f>IF(K365="","",ROW()-ROW($L$2)-INDEX($H$3:$H$168,K365))</x:f>
      </x:c>
      <x:c r="M365" t="str">
        <x:f>IF(K365="","",IF(L365=1,1,FIND(CHAR(1),SUBSTITUTE(INDEX($B$3:$B$168,K365),CHAR(10),CHAR(1),L365-1))+1))</x:f>
      </x:c>
      <x:c r="N365" t="str">
        <x:f>IF(K365="","",IFERROR(FIND(CHAR(1),SUBSTITUTE(INDEX($B$3:$B$168,K365),CHAR(10),CHAR(1),L365)),LEN(INDEX($B$3:$B$168,K365))+1))</x:f>
      </x:c>
    </x:row>
    <x:row r="366">
      <x:c r="A366"/>
      <x:c r="B366"/>
      <x:c r="C366"/>
      <x:c r="D366" t="str">
        <x:f>IFERROR(IF(364&lt;=$O$1,INDEX($A$3:$A$168,MATCH(364,$I$3:$I$168,0)),IF(364&lt;=$O$1+$O$2,INDEX($F$3:$F$1994,MATCH(364-$O$1,$G$3:$G$1994,0)),"")),"")</x:f>
      </x:c>
      <x:c r="E366" t="str">
        <x:f>IF(K366="","",IF(N366&lt;=M366,"",TRIM(CLEAN(MID(INDEX($B$3:$B$168,K366),M366,N366-M366)))))</x:f>
      </x:c>
      <x:c r="F366" t="str">
        <x:f>IF(E366="","",IF(E366=TRIM(INDEX($A$3:$A$168,K366)),"",IF(RIGHT(TRIM(INDEX($A$3:$A$168,K366)),1)="]",LEFT(TRIM(INDEX($A$3:$A$168,K366)),LEN(TRIM(INDEX($A$3:$A$168,K366)))-1)&amp;", "&amp;SUBSTITUTE(SUBSTITUTE(SUBSTITUTE(E366," [",", "),"[",", "),"]","")&amp;"]",TRIM(INDEX($A$3:$A$168,K366))&amp;" ["&amp;SUBSTITUTE(SUBSTITUTE(SUBSTITUTE(E366," [",", "),"[",", "),"]","")&amp;"]")))</x:f>
      </x:c>
      <x:c r="G366" t="str">
        <x:f>IF(F366&lt;&gt;"",ROWS($F$3:F366)-COUNTBLANK($F$3:F366),"")</x:f>
      </x:c>
      <x:c r="H366"/>
      <x:c r="I366"/>
      <x:c r="J366"/>
      <x:c r="K366" t="str">
        <x:f>IF(ROW()-ROW($K$2)&lt;=SUM($J$3:$J$168),COUNTIF($H$3:$H$168,"&lt;"&amp;(ROW()-ROW($K$2))),"")</x:f>
      </x:c>
      <x:c r="L366" t="str">
        <x:f>IF(K366="","",ROW()-ROW($L$2)-INDEX($H$3:$H$168,K366))</x:f>
      </x:c>
      <x:c r="M366" t="str">
        <x:f>IF(K366="","",IF(L366=1,1,FIND(CHAR(1),SUBSTITUTE(INDEX($B$3:$B$168,K366),CHAR(10),CHAR(1),L366-1))+1))</x:f>
      </x:c>
      <x:c r="N366" t="str">
        <x:f>IF(K366="","",IFERROR(FIND(CHAR(1),SUBSTITUTE(INDEX($B$3:$B$168,K366),CHAR(10),CHAR(1),L366)),LEN(INDEX($B$3:$B$168,K366))+1))</x:f>
      </x:c>
    </x:row>
    <x:row r="367">
      <x:c r="A367"/>
      <x:c r="B367"/>
      <x:c r="C367"/>
      <x:c r="D367" t="str">
        <x:f>IFERROR(IF(365&lt;=$O$1,INDEX($A$3:$A$168,MATCH(365,$I$3:$I$168,0)),IF(365&lt;=$O$1+$O$2,INDEX($F$3:$F$1994,MATCH(365-$O$1,$G$3:$G$1994,0)),"")),"")</x:f>
      </x:c>
      <x:c r="E367" t="str">
        <x:f>IF(K367="","",IF(N367&lt;=M367,"",TRIM(CLEAN(MID(INDEX($B$3:$B$168,K367),M367,N367-M367)))))</x:f>
      </x:c>
      <x:c r="F367" t="str">
        <x:f>IF(E367="","",IF(E367=TRIM(INDEX($A$3:$A$168,K367)),"",IF(RIGHT(TRIM(INDEX($A$3:$A$168,K367)),1)="]",LEFT(TRIM(INDEX($A$3:$A$168,K367)),LEN(TRIM(INDEX($A$3:$A$168,K367)))-1)&amp;", "&amp;SUBSTITUTE(SUBSTITUTE(SUBSTITUTE(E367," [",", "),"[",", "),"]","")&amp;"]",TRIM(INDEX($A$3:$A$168,K367))&amp;" ["&amp;SUBSTITUTE(SUBSTITUTE(SUBSTITUTE(E367," [",", "),"[",", "),"]","")&amp;"]")))</x:f>
      </x:c>
      <x:c r="G367" t="str">
        <x:f>IF(F367&lt;&gt;"",ROWS($F$3:F367)-COUNTBLANK($F$3:F367),"")</x:f>
      </x:c>
      <x:c r="H367"/>
      <x:c r="I367"/>
      <x:c r="J367"/>
      <x:c r="K367" t="str">
        <x:f>IF(ROW()-ROW($K$2)&lt;=SUM($J$3:$J$168),COUNTIF($H$3:$H$168,"&lt;"&amp;(ROW()-ROW($K$2))),"")</x:f>
      </x:c>
      <x:c r="L367" t="str">
        <x:f>IF(K367="","",ROW()-ROW($L$2)-INDEX($H$3:$H$168,K367))</x:f>
      </x:c>
      <x:c r="M367" t="str">
        <x:f>IF(K367="","",IF(L367=1,1,FIND(CHAR(1),SUBSTITUTE(INDEX($B$3:$B$168,K367),CHAR(10),CHAR(1),L367-1))+1))</x:f>
      </x:c>
      <x:c r="N367" t="str">
        <x:f>IF(K367="","",IFERROR(FIND(CHAR(1),SUBSTITUTE(INDEX($B$3:$B$168,K367),CHAR(10),CHAR(1),L367)),LEN(INDEX($B$3:$B$168,K367))+1))</x:f>
      </x:c>
    </x:row>
    <x:row r="368">
      <x:c r="A368"/>
      <x:c r="B368"/>
      <x:c r="C368"/>
      <x:c r="D368" t="str">
        <x:f>IFERROR(IF(366&lt;=$O$1,INDEX($A$3:$A$168,MATCH(366,$I$3:$I$168,0)),IF(366&lt;=$O$1+$O$2,INDEX($F$3:$F$1994,MATCH(366-$O$1,$G$3:$G$1994,0)),"")),"")</x:f>
      </x:c>
      <x:c r="E368" t="str">
        <x:f>IF(K368="","",IF(N368&lt;=M368,"",TRIM(CLEAN(MID(INDEX($B$3:$B$168,K368),M368,N368-M368)))))</x:f>
      </x:c>
      <x:c r="F368" t="str">
        <x:f>IF(E368="","",IF(E368=TRIM(INDEX($A$3:$A$168,K368)),"",IF(RIGHT(TRIM(INDEX($A$3:$A$168,K368)),1)="]",LEFT(TRIM(INDEX($A$3:$A$168,K368)),LEN(TRIM(INDEX($A$3:$A$168,K368)))-1)&amp;", "&amp;SUBSTITUTE(SUBSTITUTE(SUBSTITUTE(E368," [",", "),"[",", "),"]","")&amp;"]",TRIM(INDEX($A$3:$A$168,K368))&amp;" ["&amp;SUBSTITUTE(SUBSTITUTE(SUBSTITUTE(E368," [",", "),"[",", "),"]","")&amp;"]")))</x:f>
      </x:c>
      <x:c r="G368" t="str">
        <x:f>IF(F368&lt;&gt;"",ROWS($F$3:F368)-COUNTBLANK($F$3:F368),"")</x:f>
      </x:c>
      <x:c r="H368"/>
      <x:c r="I368"/>
      <x:c r="J368"/>
      <x:c r="K368" t="str">
        <x:f>IF(ROW()-ROW($K$2)&lt;=SUM($J$3:$J$168),COUNTIF($H$3:$H$168,"&lt;"&amp;(ROW()-ROW($K$2))),"")</x:f>
      </x:c>
      <x:c r="L368" t="str">
        <x:f>IF(K368="","",ROW()-ROW($L$2)-INDEX($H$3:$H$168,K368))</x:f>
      </x:c>
      <x:c r="M368" t="str">
        <x:f>IF(K368="","",IF(L368=1,1,FIND(CHAR(1),SUBSTITUTE(INDEX($B$3:$B$168,K368),CHAR(10),CHAR(1),L368-1))+1))</x:f>
      </x:c>
      <x:c r="N368" t="str">
        <x:f>IF(K368="","",IFERROR(FIND(CHAR(1),SUBSTITUTE(INDEX($B$3:$B$168,K368),CHAR(10),CHAR(1),L368)),LEN(INDEX($B$3:$B$168,K368))+1))</x:f>
      </x:c>
    </x:row>
    <x:row r="369">
      <x:c r="A369"/>
      <x:c r="B369"/>
      <x:c r="C369"/>
      <x:c r="D369" t="str">
        <x:f>IFERROR(IF(367&lt;=$O$1,INDEX($A$3:$A$168,MATCH(367,$I$3:$I$168,0)),IF(367&lt;=$O$1+$O$2,INDEX($F$3:$F$1994,MATCH(367-$O$1,$G$3:$G$1994,0)),"")),"")</x:f>
      </x:c>
      <x:c r="E369" t="str">
        <x:f>IF(K369="","",IF(N369&lt;=M369,"",TRIM(CLEAN(MID(INDEX($B$3:$B$168,K369),M369,N369-M369)))))</x:f>
      </x:c>
      <x:c r="F369" t="str">
        <x:f>IF(E369="","",IF(E369=TRIM(INDEX($A$3:$A$168,K369)),"",IF(RIGHT(TRIM(INDEX($A$3:$A$168,K369)),1)="]",LEFT(TRIM(INDEX($A$3:$A$168,K369)),LEN(TRIM(INDEX($A$3:$A$168,K369)))-1)&amp;", "&amp;SUBSTITUTE(SUBSTITUTE(SUBSTITUTE(E369," [",", "),"[",", "),"]","")&amp;"]",TRIM(INDEX($A$3:$A$168,K369))&amp;" ["&amp;SUBSTITUTE(SUBSTITUTE(SUBSTITUTE(E369," [",", "),"[",", "),"]","")&amp;"]")))</x:f>
      </x:c>
      <x:c r="G369" t="str">
        <x:f>IF(F369&lt;&gt;"",ROWS($F$3:F369)-COUNTBLANK($F$3:F369),"")</x:f>
      </x:c>
      <x:c r="H369"/>
      <x:c r="I369"/>
      <x:c r="J369"/>
      <x:c r="K369" t="str">
        <x:f>IF(ROW()-ROW($K$2)&lt;=SUM($J$3:$J$168),COUNTIF($H$3:$H$168,"&lt;"&amp;(ROW()-ROW($K$2))),"")</x:f>
      </x:c>
      <x:c r="L369" t="str">
        <x:f>IF(K369="","",ROW()-ROW($L$2)-INDEX($H$3:$H$168,K369))</x:f>
      </x:c>
      <x:c r="M369" t="str">
        <x:f>IF(K369="","",IF(L369=1,1,FIND(CHAR(1),SUBSTITUTE(INDEX($B$3:$B$168,K369),CHAR(10),CHAR(1),L369-1))+1))</x:f>
      </x:c>
      <x:c r="N369" t="str">
        <x:f>IF(K369="","",IFERROR(FIND(CHAR(1),SUBSTITUTE(INDEX($B$3:$B$168,K369),CHAR(10),CHAR(1),L369)),LEN(INDEX($B$3:$B$168,K369))+1))</x:f>
      </x:c>
    </x:row>
    <x:row r="370">
      <x:c r="A370"/>
      <x:c r="B370"/>
      <x:c r="C370"/>
      <x:c r="D370" t="str">
        <x:f>IFERROR(IF(368&lt;=$O$1,INDEX($A$3:$A$168,MATCH(368,$I$3:$I$168,0)),IF(368&lt;=$O$1+$O$2,INDEX($F$3:$F$1994,MATCH(368-$O$1,$G$3:$G$1994,0)),"")),"")</x:f>
      </x:c>
      <x:c r="E370" t="str">
        <x:f>IF(K370="","",IF(N370&lt;=M370,"",TRIM(CLEAN(MID(INDEX($B$3:$B$168,K370),M370,N370-M370)))))</x:f>
      </x:c>
      <x:c r="F370" t="str">
        <x:f>IF(E370="","",IF(E370=TRIM(INDEX($A$3:$A$168,K370)),"",IF(RIGHT(TRIM(INDEX($A$3:$A$168,K370)),1)="]",LEFT(TRIM(INDEX($A$3:$A$168,K370)),LEN(TRIM(INDEX($A$3:$A$168,K370)))-1)&amp;", "&amp;SUBSTITUTE(SUBSTITUTE(SUBSTITUTE(E370," [",", "),"[",", "),"]","")&amp;"]",TRIM(INDEX($A$3:$A$168,K370))&amp;" ["&amp;SUBSTITUTE(SUBSTITUTE(SUBSTITUTE(E370," [",", "),"[",", "),"]","")&amp;"]")))</x:f>
      </x:c>
      <x:c r="G370" t="str">
        <x:f>IF(F370&lt;&gt;"",ROWS($F$3:F370)-COUNTBLANK($F$3:F370),"")</x:f>
      </x:c>
      <x:c r="H370"/>
      <x:c r="I370"/>
      <x:c r="J370"/>
      <x:c r="K370" t="str">
        <x:f>IF(ROW()-ROW($K$2)&lt;=SUM($J$3:$J$168),COUNTIF($H$3:$H$168,"&lt;"&amp;(ROW()-ROW($K$2))),"")</x:f>
      </x:c>
      <x:c r="L370" t="str">
        <x:f>IF(K370="","",ROW()-ROW($L$2)-INDEX($H$3:$H$168,K370))</x:f>
      </x:c>
      <x:c r="M370" t="str">
        <x:f>IF(K370="","",IF(L370=1,1,FIND(CHAR(1),SUBSTITUTE(INDEX($B$3:$B$168,K370),CHAR(10),CHAR(1),L370-1))+1))</x:f>
      </x:c>
      <x:c r="N370" t="str">
        <x:f>IF(K370="","",IFERROR(FIND(CHAR(1),SUBSTITUTE(INDEX($B$3:$B$168,K370),CHAR(10),CHAR(1),L370)),LEN(INDEX($B$3:$B$168,K370))+1))</x:f>
      </x:c>
    </x:row>
    <x:row r="371">
      <x:c r="A371"/>
      <x:c r="B371"/>
      <x:c r="C371"/>
      <x:c r="D371" t="str">
        <x:f>IFERROR(IF(369&lt;=$O$1,INDEX($A$3:$A$168,MATCH(369,$I$3:$I$168,0)),IF(369&lt;=$O$1+$O$2,INDEX($F$3:$F$1994,MATCH(369-$O$1,$G$3:$G$1994,0)),"")),"")</x:f>
      </x:c>
      <x:c r="E371" t="str">
        <x:f>IF(K371="","",IF(N371&lt;=M371,"",TRIM(CLEAN(MID(INDEX($B$3:$B$168,K371),M371,N371-M371)))))</x:f>
      </x:c>
      <x:c r="F371" t="str">
        <x:f>IF(E371="","",IF(E371=TRIM(INDEX($A$3:$A$168,K371)),"",IF(RIGHT(TRIM(INDEX($A$3:$A$168,K371)),1)="]",LEFT(TRIM(INDEX($A$3:$A$168,K371)),LEN(TRIM(INDEX($A$3:$A$168,K371)))-1)&amp;", "&amp;SUBSTITUTE(SUBSTITUTE(SUBSTITUTE(E371," [",", "),"[",", "),"]","")&amp;"]",TRIM(INDEX($A$3:$A$168,K371))&amp;" ["&amp;SUBSTITUTE(SUBSTITUTE(SUBSTITUTE(E371," [",", "),"[",", "),"]","")&amp;"]")))</x:f>
      </x:c>
      <x:c r="G371" t="str">
        <x:f>IF(F371&lt;&gt;"",ROWS($F$3:F371)-COUNTBLANK($F$3:F371),"")</x:f>
      </x:c>
      <x:c r="H371"/>
      <x:c r="I371"/>
      <x:c r="J371"/>
      <x:c r="K371" t="str">
        <x:f>IF(ROW()-ROW($K$2)&lt;=SUM($J$3:$J$168),COUNTIF($H$3:$H$168,"&lt;"&amp;(ROW()-ROW($K$2))),"")</x:f>
      </x:c>
      <x:c r="L371" t="str">
        <x:f>IF(K371="","",ROW()-ROW($L$2)-INDEX($H$3:$H$168,K371))</x:f>
      </x:c>
      <x:c r="M371" t="str">
        <x:f>IF(K371="","",IF(L371=1,1,FIND(CHAR(1),SUBSTITUTE(INDEX($B$3:$B$168,K371),CHAR(10),CHAR(1),L371-1))+1))</x:f>
      </x:c>
      <x:c r="N371" t="str">
        <x:f>IF(K371="","",IFERROR(FIND(CHAR(1),SUBSTITUTE(INDEX($B$3:$B$168,K371),CHAR(10),CHAR(1),L371)),LEN(INDEX($B$3:$B$168,K371))+1))</x:f>
      </x:c>
    </x:row>
    <x:row r="372">
      <x:c r="A372"/>
      <x:c r="B372"/>
      <x:c r="C372"/>
      <x:c r="D372" t="str">
        <x:f>IFERROR(IF(370&lt;=$O$1,INDEX($A$3:$A$168,MATCH(370,$I$3:$I$168,0)),IF(370&lt;=$O$1+$O$2,INDEX($F$3:$F$1994,MATCH(370-$O$1,$G$3:$G$1994,0)),"")),"")</x:f>
      </x:c>
      <x:c r="E372" t="str">
        <x:f>IF(K372="","",IF(N372&lt;=M372,"",TRIM(CLEAN(MID(INDEX($B$3:$B$168,K372),M372,N372-M372)))))</x:f>
      </x:c>
      <x:c r="F372" t="str">
        <x:f>IF(E372="","",IF(E372=TRIM(INDEX($A$3:$A$168,K372)),"",IF(RIGHT(TRIM(INDEX($A$3:$A$168,K372)),1)="]",LEFT(TRIM(INDEX($A$3:$A$168,K372)),LEN(TRIM(INDEX($A$3:$A$168,K372)))-1)&amp;", "&amp;SUBSTITUTE(SUBSTITUTE(SUBSTITUTE(E372," [",", "),"[",", "),"]","")&amp;"]",TRIM(INDEX($A$3:$A$168,K372))&amp;" ["&amp;SUBSTITUTE(SUBSTITUTE(SUBSTITUTE(E372," [",", "),"[",", "),"]","")&amp;"]")))</x:f>
      </x:c>
      <x:c r="G372" t="str">
        <x:f>IF(F372&lt;&gt;"",ROWS($F$3:F372)-COUNTBLANK($F$3:F372),"")</x:f>
      </x:c>
      <x:c r="H372"/>
      <x:c r="I372"/>
      <x:c r="J372"/>
      <x:c r="K372" t="str">
        <x:f>IF(ROW()-ROW($K$2)&lt;=SUM($J$3:$J$168),COUNTIF($H$3:$H$168,"&lt;"&amp;(ROW()-ROW($K$2))),"")</x:f>
      </x:c>
      <x:c r="L372" t="str">
        <x:f>IF(K372="","",ROW()-ROW($L$2)-INDEX($H$3:$H$168,K372))</x:f>
      </x:c>
      <x:c r="M372" t="str">
        <x:f>IF(K372="","",IF(L372=1,1,FIND(CHAR(1),SUBSTITUTE(INDEX($B$3:$B$168,K372),CHAR(10),CHAR(1),L372-1))+1))</x:f>
      </x:c>
      <x:c r="N372" t="str">
        <x:f>IF(K372="","",IFERROR(FIND(CHAR(1),SUBSTITUTE(INDEX($B$3:$B$168,K372),CHAR(10),CHAR(1),L372)),LEN(INDEX($B$3:$B$168,K372))+1))</x:f>
      </x:c>
    </x:row>
    <x:row r="373">
      <x:c r="A373"/>
      <x:c r="B373"/>
      <x:c r="C373"/>
      <x:c r="D373" t="str">
        <x:f>IFERROR(IF(371&lt;=$O$1,INDEX($A$3:$A$168,MATCH(371,$I$3:$I$168,0)),IF(371&lt;=$O$1+$O$2,INDEX($F$3:$F$1994,MATCH(371-$O$1,$G$3:$G$1994,0)),"")),"")</x:f>
      </x:c>
      <x:c r="E373" t="str">
        <x:f>IF(K373="","",IF(N373&lt;=M373,"",TRIM(CLEAN(MID(INDEX($B$3:$B$168,K373),M373,N373-M373)))))</x:f>
      </x:c>
      <x:c r="F373" t="str">
        <x:f>IF(E373="","",IF(E373=TRIM(INDEX($A$3:$A$168,K373)),"",IF(RIGHT(TRIM(INDEX($A$3:$A$168,K373)),1)="]",LEFT(TRIM(INDEX($A$3:$A$168,K373)),LEN(TRIM(INDEX($A$3:$A$168,K373)))-1)&amp;", "&amp;SUBSTITUTE(SUBSTITUTE(SUBSTITUTE(E373," [",", "),"[",", "),"]","")&amp;"]",TRIM(INDEX($A$3:$A$168,K373))&amp;" ["&amp;SUBSTITUTE(SUBSTITUTE(SUBSTITUTE(E373," [",", "),"[",", "),"]","")&amp;"]")))</x:f>
      </x:c>
      <x:c r="G373" t="str">
        <x:f>IF(F373&lt;&gt;"",ROWS($F$3:F373)-COUNTBLANK($F$3:F373),"")</x:f>
      </x:c>
      <x:c r="H373"/>
      <x:c r="I373"/>
      <x:c r="J373"/>
      <x:c r="K373" t="str">
        <x:f>IF(ROW()-ROW($K$2)&lt;=SUM($J$3:$J$168),COUNTIF($H$3:$H$168,"&lt;"&amp;(ROW()-ROW($K$2))),"")</x:f>
      </x:c>
      <x:c r="L373" t="str">
        <x:f>IF(K373="","",ROW()-ROW($L$2)-INDEX($H$3:$H$168,K373))</x:f>
      </x:c>
      <x:c r="M373" t="str">
        <x:f>IF(K373="","",IF(L373=1,1,FIND(CHAR(1),SUBSTITUTE(INDEX($B$3:$B$168,K373),CHAR(10),CHAR(1),L373-1))+1))</x:f>
      </x:c>
      <x:c r="N373" t="str">
        <x:f>IF(K373="","",IFERROR(FIND(CHAR(1),SUBSTITUTE(INDEX($B$3:$B$168,K373),CHAR(10),CHAR(1),L373)),LEN(INDEX($B$3:$B$168,K373))+1))</x:f>
      </x:c>
    </x:row>
    <x:row r="374">
      <x:c r="A374"/>
      <x:c r="B374"/>
      <x:c r="C374"/>
      <x:c r="D374" t="str">
        <x:f>IFERROR(IF(372&lt;=$O$1,INDEX($A$3:$A$168,MATCH(372,$I$3:$I$168,0)),IF(372&lt;=$O$1+$O$2,INDEX($F$3:$F$1994,MATCH(372-$O$1,$G$3:$G$1994,0)),"")),"")</x:f>
      </x:c>
      <x:c r="E374" t="str">
        <x:f>IF(K374="","",IF(N374&lt;=M374,"",TRIM(CLEAN(MID(INDEX($B$3:$B$168,K374),M374,N374-M374)))))</x:f>
      </x:c>
      <x:c r="F374" t="str">
        <x:f>IF(E374="","",IF(E374=TRIM(INDEX($A$3:$A$168,K374)),"",IF(RIGHT(TRIM(INDEX($A$3:$A$168,K374)),1)="]",LEFT(TRIM(INDEX($A$3:$A$168,K374)),LEN(TRIM(INDEX($A$3:$A$168,K374)))-1)&amp;", "&amp;SUBSTITUTE(SUBSTITUTE(SUBSTITUTE(E374," [",", "),"[",", "),"]","")&amp;"]",TRIM(INDEX($A$3:$A$168,K374))&amp;" ["&amp;SUBSTITUTE(SUBSTITUTE(SUBSTITUTE(E374," [",", "),"[",", "),"]","")&amp;"]")))</x:f>
      </x:c>
      <x:c r="G374" t="str">
        <x:f>IF(F374&lt;&gt;"",ROWS($F$3:F374)-COUNTBLANK($F$3:F374),"")</x:f>
      </x:c>
      <x:c r="H374"/>
      <x:c r="I374"/>
      <x:c r="J374"/>
      <x:c r="K374" t="str">
        <x:f>IF(ROW()-ROW($K$2)&lt;=SUM($J$3:$J$168),COUNTIF($H$3:$H$168,"&lt;"&amp;(ROW()-ROW($K$2))),"")</x:f>
      </x:c>
      <x:c r="L374" t="str">
        <x:f>IF(K374="","",ROW()-ROW($L$2)-INDEX($H$3:$H$168,K374))</x:f>
      </x:c>
      <x:c r="M374" t="str">
        <x:f>IF(K374="","",IF(L374=1,1,FIND(CHAR(1),SUBSTITUTE(INDEX($B$3:$B$168,K374),CHAR(10),CHAR(1),L374-1))+1))</x:f>
      </x:c>
      <x:c r="N374" t="str">
        <x:f>IF(K374="","",IFERROR(FIND(CHAR(1),SUBSTITUTE(INDEX($B$3:$B$168,K374),CHAR(10),CHAR(1),L374)),LEN(INDEX($B$3:$B$168,K374))+1))</x:f>
      </x:c>
    </x:row>
    <x:row r="375">
      <x:c r="A375"/>
      <x:c r="B375"/>
      <x:c r="C375"/>
      <x:c r="D375" t="str">
        <x:f>IFERROR(IF(373&lt;=$O$1,INDEX($A$3:$A$168,MATCH(373,$I$3:$I$168,0)),IF(373&lt;=$O$1+$O$2,INDEX($F$3:$F$1994,MATCH(373-$O$1,$G$3:$G$1994,0)),"")),"")</x:f>
      </x:c>
      <x:c r="E375" t="str">
        <x:f>IF(K375="","",IF(N375&lt;=M375,"",TRIM(CLEAN(MID(INDEX($B$3:$B$168,K375),M375,N375-M375)))))</x:f>
      </x:c>
      <x:c r="F375" t="str">
        <x:f>IF(E375="","",IF(E375=TRIM(INDEX($A$3:$A$168,K375)),"",IF(RIGHT(TRIM(INDEX($A$3:$A$168,K375)),1)="]",LEFT(TRIM(INDEX($A$3:$A$168,K375)),LEN(TRIM(INDEX($A$3:$A$168,K375)))-1)&amp;", "&amp;SUBSTITUTE(SUBSTITUTE(SUBSTITUTE(E375," [",", "),"[",", "),"]","")&amp;"]",TRIM(INDEX($A$3:$A$168,K375))&amp;" ["&amp;SUBSTITUTE(SUBSTITUTE(SUBSTITUTE(E375," [",", "),"[",", "),"]","")&amp;"]")))</x:f>
      </x:c>
      <x:c r="G375" t="str">
        <x:f>IF(F375&lt;&gt;"",ROWS($F$3:F375)-COUNTBLANK($F$3:F375),"")</x:f>
      </x:c>
      <x:c r="H375"/>
      <x:c r="I375"/>
      <x:c r="J375"/>
      <x:c r="K375" t="str">
        <x:f>IF(ROW()-ROW($K$2)&lt;=SUM($J$3:$J$168),COUNTIF($H$3:$H$168,"&lt;"&amp;(ROW()-ROW($K$2))),"")</x:f>
      </x:c>
      <x:c r="L375" t="str">
        <x:f>IF(K375="","",ROW()-ROW($L$2)-INDEX($H$3:$H$168,K375))</x:f>
      </x:c>
      <x:c r="M375" t="str">
        <x:f>IF(K375="","",IF(L375=1,1,FIND(CHAR(1),SUBSTITUTE(INDEX($B$3:$B$168,K375),CHAR(10),CHAR(1),L375-1))+1))</x:f>
      </x:c>
      <x:c r="N375" t="str">
        <x:f>IF(K375="","",IFERROR(FIND(CHAR(1),SUBSTITUTE(INDEX($B$3:$B$168,K375),CHAR(10),CHAR(1),L375)),LEN(INDEX($B$3:$B$168,K375))+1))</x:f>
      </x:c>
    </x:row>
    <x:row r="376">
      <x:c r="A376"/>
      <x:c r="B376"/>
      <x:c r="C376"/>
      <x:c r="D376" t="str">
        <x:f>IFERROR(IF(374&lt;=$O$1,INDEX($A$3:$A$168,MATCH(374,$I$3:$I$168,0)),IF(374&lt;=$O$1+$O$2,INDEX($F$3:$F$1994,MATCH(374-$O$1,$G$3:$G$1994,0)),"")),"")</x:f>
      </x:c>
      <x:c r="E376" t="str">
        <x:f>IF(K376="","",IF(N376&lt;=M376,"",TRIM(CLEAN(MID(INDEX($B$3:$B$168,K376),M376,N376-M376)))))</x:f>
      </x:c>
      <x:c r="F376" t="str">
        <x:f>IF(E376="","",IF(E376=TRIM(INDEX($A$3:$A$168,K376)),"",IF(RIGHT(TRIM(INDEX($A$3:$A$168,K376)),1)="]",LEFT(TRIM(INDEX($A$3:$A$168,K376)),LEN(TRIM(INDEX($A$3:$A$168,K376)))-1)&amp;", "&amp;SUBSTITUTE(SUBSTITUTE(SUBSTITUTE(E376," [",", "),"[",", "),"]","")&amp;"]",TRIM(INDEX($A$3:$A$168,K376))&amp;" ["&amp;SUBSTITUTE(SUBSTITUTE(SUBSTITUTE(E376," [",", "),"[",", "),"]","")&amp;"]")))</x:f>
      </x:c>
      <x:c r="G376" t="str">
        <x:f>IF(F376&lt;&gt;"",ROWS($F$3:F376)-COUNTBLANK($F$3:F376),"")</x:f>
      </x:c>
      <x:c r="H376"/>
      <x:c r="I376"/>
      <x:c r="J376"/>
      <x:c r="K376" t="str">
        <x:f>IF(ROW()-ROW($K$2)&lt;=SUM($J$3:$J$168),COUNTIF($H$3:$H$168,"&lt;"&amp;(ROW()-ROW($K$2))),"")</x:f>
      </x:c>
      <x:c r="L376" t="str">
        <x:f>IF(K376="","",ROW()-ROW($L$2)-INDEX($H$3:$H$168,K376))</x:f>
      </x:c>
      <x:c r="M376" t="str">
        <x:f>IF(K376="","",IF(L376=1,1,FIND(CHAR(1),SUBSTITUTE(INDEX($B$3:$B$168,K376),CHAR(10),CHAR(1),L376-1))+1))</x:f>
      </x:c>
      <x:c r="N376" t="str">
        <x:f>IF(K376="","",IFERROR(FIND(CHAR(1),SUBSTITUTE(INDEX($B$3:$B$168,K376),CHAR(10),CHAR(1),L376)),LEN(INDEX($B$3:$B$168,K376))+1))</x:f>
      </x:c>
    </x:row>
    <x:row r="377">
      <x:c r="A377"/>
      <x:c r="B377"/>
      <x:c r="C377"/>
      <x:c r="D377" t="str">
        <x:f>IFERROR(IF(375&lt;=$O$1,INDEX($A$3:$A$168,MATCH(375,$I$3:$I$168,0)),IF(375&lt;=$O$1+$O$2,INDEX($F$3:$F$1994,MATCH(375-$O$1,$G$3:$G$1994,0)),"")),"")</x:f>
      </x:c>
      <x:c r="E377" t="str">
        <x:f>IF(K377="","",IF(N377&lt;=M377,"",TRIM(CLEAN(MID(INDEX($B$3:$B$168,K377),M377,N377-M377)))))</x:f>
      </x:c>
      <x:c r="F377" t="str">
        <x:f>IF(E377="","",IF(E377=TRIM(INDEX($A$3:$A$168,K377)),"",IF(RIGHT(TRIM(INDEX($A$3:$A$168,K377)),1)="]",LEFT(TRIM(INDEX($A$3:$A$168,K377)),LEN(TRIM(INDEX($A$3:$A$168,K377)))-1)&amp;", "&amp;SUBSTITUTE(SUBSTITUTE(SUBSTITUTE(E377," [",", "),"[",", "),"]","")&amp;"]",TRIM(INDEX($A$3:$A$168,K377))&amp;" ["&amp;SUBSTITUTE(SUBSTITUTE(SUBSTITUTE(E377," [",", "),"[",", "),"]","")&amp;"]")))</x:f>
      </x:c>
      <x:c r="G377" t="str">
        <x:f>IF(F377&lt;&gt;"",ROWS($F$3:F377)-COUNTBLANK($F$3:F377),"")</x:f>
      </x:c>
      <x:c r="H377"/>
      <x:c r="I377"/>
      <x:c r="J377"/>
      <x:c r="K377" t="str">
        <x:f>IF(ROW()-ROW($K$2)&lt;=SUM($J$3:$J$168),COUNTIF($H$3:$H$168,"&lt;"&amp;(ROW()-ROW($K$2))),"")</x:f>
      </x:c>
      <x:c r="L377" t="str">
        <x:f>IF(K377="","",ROW()-ROW($L$2)-INDEX($H$3:$H$168,K377))</x:f>
      </x:c>
      <x:c r="M377" t="str">
        <x:f>IF(K377="","",IF(L377=1,1,FIND(CHAR(1),SUBSTITUTE(INDEX($B$3:$B$168,K377),CHAR(10),CHAR(1),L377-1))+1))</x:f>
      </x:c>
      <x:c r="N377" t="str">
        <x:f>IF(K377="","",IFERROR(FIND(CHAR(1),SUBSTITUTE(INDEX($B$3:$B$168,K377),CHAR(10),CHAR(1),L377)),LEN(INDEX($B$3:$B$168,K377))+1))</x:f>
      </x:c>
    </x:row>
    <x:row r="378">
      <x:c r="A378"/>
      <x:c r="B378"/>
      <x:c r="C378"/>
      <x:c r="D378" t="str">
        <x:f>IFERROR(IF(376&lt;=$O$1,INDEX($A$3:$A$168,MATCH(376,$I$3:$I$168,0)),IF(376&lt;=$O$1+$O$2,INDEX($F$3:$F$1994,MATCH(376-$O$1,$G$3:$G$1994,0)),"")),"")</x:f>
      </x:c>
      <x:c r="E378" t="str">
        <x:f>IF(K378="","",IF(N378&lt;=M378,"",TRIM(CLEAN(MID(INDEX($B$3:$B$168,K378),M378,N378-M378)))))</x:f>
      </x:c>
      <x:c r="F378" t="str">
        <x:f>IF(E378="","",IF(E378=TRIM(INDEX($A$3:$A$168,K378)),"",IF(RIGHT(TRIM(INDEX($A$3:$A$168,K378)),1)="]",LEFT(TRIM(INDEX($A$3:$A$168,K378)),LEN(TRIM(INDEX($A$3:$A$168,K378)))-1)&amp;", "&amp;SUBSTITUTE(SUBSTITUTE(SUBSTITUTE(E378," [",", "),"[",", "),"]","")&amp;"]",TRIM(INDEX($A$3:$A$168,K378))&amp;" ["&amp;SUBSTITUTE(SUBSTITUTE(SUBSTITUTE(E378," [",", "),"[",", "),"]","")&amp;"]")))</x:f>
      </x:c>
      <x:c r="G378" t="str">
        <x:f>IF(F378&lt;&gt;"",ROWS($F$3:F378)-COUNTBLANK($F$3:F378),"")</x:f>
      </x:c>
      <x:c r="H378"/>
      <x:c r="I378"/>
      <x:c r="J378"/>
      <x:c r="K378" t="str">
        <x:f>IF(ROW()-ROW($K$2)&lt;=SUM($J$3:$J$168),COUNTIF($H$3:$H$168,"&lt;"&amp;(ROW()-ROW($K$2))),"")</x:f>
      </x:c>
      <x:c r="L378" t="str">
        <x:f>IF(K378="","",ROW()-ROW($L$2)-INDEX($H$3:$H$168,K378))</x:f>
      </x:c>
      <x:c r="M378" t="str">
        <x:f>IF(K378="","",IF(L378=1,1,FIND(CHAR(1),SUBSTITUTE(INDEX($B$3:$B$168,K378),CHAR(10),CHAR(1),L378-1))+1))</x:f>
      </x:c>
      <x:c r="N378" t="str">
        <x:f>IF(K378="","",IFERROR(FIND(CHAR(1),SUBSTITUTE(INDEX($B$3:$B$168,K378),CHAR(10),CHAR(1),L378)),LEN(INDEX($B$3:$B$168,K378))+1))</x:f>
      </x:c>
    </x:row>
    <x:row r="379">
      <x:c r="A379"/>
      <x:c r="B379"/>
      <x:c r="C379"/>
      <x:c r="D379" t="str">
        <x:f>IFERROR(IF(377&lt;=$O$1,INDEX($A$3:$A$168,MATCH(377,$I$3:$I$168,0)),IF(377&lt;=$O$1+$O$2,INDEX($F$3:$F$1994,MATCH(377-$O$1,$G$3:$G$1994,0)),"")),"")</x:f>
      </x:c>
      <x:c r="E379" t="str">
        <x:f>IF(K379="","",IF(N379&lt;=M379,"",TRIM(CLEAN(MID(INDEX($B$3:$B$168,K379),M379,N379-M379)))))</x:f>
      </x:c>
      <x:c r="F379" t="str">
        <x:f>IF(E379="","",IF(E379=TRIM(INDEX($A$3:$A$168,K379)),"",IF(RIGHT(TRIM(INDEX($A$3:$A$168,K379)),1)="]",LEFT(TRIM(INDEX($A$3:$A$168,K379)),LEN(TRIM(INDEX($A$3:$A$168,K379)))-1)&amp;", "&amp;SUBSTITUTE(SUBSTITUTE(SUBSTITUTE(E379," [",", "),"[",", "),"]","")&amp;"]",TRIM(INDEX($A$3:$A$168,K379))&amp;" ["&amp;SUBSTITUTE(SUBSTITUTE(SUBSTITUTE(E379," [",", "),"[",", "),"]","")&amp;"]")))</x:f>
      </x:c>
      <x:c r="G379" t="str">
        <x:f>IF(F379&lt;&gt;"",ROWS($F$3:F379)-COUNTBLANK($F$3:F379),"")</x:f>
      </x:c>
      <x:c r="H379"/>
      <x:c r="I379"/>
      <x:c r="J379"/>
      <x:c r="K379" t="str">
        <x:f>IF(ROW()-ROW($K$2)&lt;=SUM($J$3:$J$168),COUNTIF($H$3:$H$168,"&lt;"&amp;(ROW()-ROW($K$2))),"")</x:f>
      </x:c>
      <x:c r="L379" t="str">
        <x:f>IF(K379="","",ROW()-ROW($L$2)-INDEX($H$3:$H$168,K379))</x:f>
      </x:c>
      <x:c r="M379" t="str">
        <x:f>IF(K379="","",IF(L379=1,1,FIND(CHAR(1),SUBSTITUTE(INDEX($B$3:$B$168,K379),CHAR(10),CHAR(1),L379-1))+1))</x:f>
      </x:c>
      <x:c r="N379" t="str">
        <x:f>IF(K379="","",IFERROR(FIND(CHAR(1),SUBSTITUTE(INDEX($B$3:$B$168,K379),CHAR(10),CHAR(1),L379)),LEN(INDEX($B$3:$B$168,K379))+1))</x:f>
      </x:c>
    </x:row>
    <x:row r="380">
      <x:c r="A380"/>
      <x:c r="B380"/>
      <x:c r="C380"/>
      <x:c r="D380" t="str">
        <x:f>IFERROR(IF(378&lt;=$O$1,INDEX($A$3:$A$168,MATCH(378,$I$3:$I$168,0)),IF(378&lt;=$O$1+$O$2,INDEX($F$3:$F$1994,MATCH(378-$O$1,$G$3:$G$1994,0)),"")),"")</x:f>
      </x:c>
      <x:c r="E380" t="str">
        <x:f>IF(K380="","",IF(N380&lt;=M380,"",TRIM(CLEAN(MID(INDEX($B$3:$B$168,K380),M380,N380-M380)))))</x:f>
      </x:c>
      <x:c r="F380" t="str">
        <x:f>IF(E380="","",IF(E380=TRIM(INDEX($A$3:$A$168,K380)),"",IF(RIGHT(TRIM(INDEX($A$3:$A$168,K380)),1)="]",LEFT(TRIM(INDEX($A$3:$A$168,K380)),LEN(TRIM(INDEX($A$3:$A$168,K380)))-1)&amp;", "&amp;SUBSTITUTE(SUBSTITUTE(SUBSTITUTE(E380," [",", "),"[",", "),"]","")&amp;"]",TRIM(INDEX($A$3:$A$168,K380))&amp;" ["&amp;SUBSTITUTE(SUBSTITUTE(SUBSTITUTE(E380," [",", "),"[",", "),"]","")&amp;"]")))</x:f>
      </x:c>
      <x:c r="G380" t="str">
        <x:f>IF(F380&lt;&gt;"",ROWS($F$3:F380)-COUNTBLANK($F$3:F380),"")</x:f>
      </x:c>
      <x:c r="H380"/>
      <x:c r="I380"/>
      <x:c r="J380"/>
      <x:c r="K380" t="str">
        <x:f>IF(ROW()-ROW($K$2)&lt;=SUM($J$3:$J$168),COUNTIF($H$3:$H$168,"&lt;"&amp;(ROW()-ROW($K$2))),"")</x:f>
      </x:c>
      <x:c r="L380" t="str">
        <x:f>IF(K380="","",ROW()-ROW($L$2)-INDEX($H$3:$H$168,K380))</x:f>
      </x:c>
      <x:c r="M380" t="str">
        <x:f>IF(K380="","",IF(L380=1,1,FIND(CHAR(1),SUBSTITUTE(INDEX($B$3:$B$168,K380),CHAR(10),CHAR(1),L380-1))+1))</x:f>
      </x:c>
      <x:c r="N380" t="str">
        <x:f>IF(K380="","",IFERROR(FIND(CHAR(1),SUBSTITUTE(INDEX($B$3:$B$168,K380),CHAR(10),CHAR(1),L380)),LEN(INDEX($B$3:$B$168,K380))+1))</x:f>
      </x:c>
    </x:row>
    <x:row r="381">
      <x:c r="A381"/>
      <x:c r="B381"/>
      <x:c r="C381"/>
      <x:c r="D381" t="str">
        <x:f>IFERROR(IF(379&lt;=$O$1,INDEX($A$3:$A$168,MATCH(379,$I$3:$I$168,0)),IF(379&lt;=$O$1+$O$2,INDEX($F$3:$F$1994,MATCH(379-$O$1,$G$3:$G$1994,0)),"")),"")</x:f>
      </x:c>
      <x:c r="E381" t="str">
        <x:f>IF(K381="","",IF(N381&lt;=M381,"",TRIM(CLEAN(MID(INDEX($B$3:$B$168,K381),M381,N381-M381)))))</x:f>
      </x:c>
      <x:c r="F381" t="str">
        <x:f>IF(E381="","",IF(E381=TRIM(INDEX($A$3:$A$168,K381)),"",IF(RIGHT(TRIM(INDEX($A$3:$A$168,K381)),1)="]",LEFT(TRIM(INDEX($A$3:$A$168,K381)),LEN(TRIM(INDEX($A$3:$A$168,K381)))-1)&amp;", "&amp;SUBSTITUTE(SUBSTITUTE(SUBSTITUTE(E381," [",", "),"[",", "),"]","")&amp;"]",TRIM(INDEX($A$3:$A$168,K381))&amp;" ["&amp;SUBSTITUTE(SUBSTITUTE(SUBSTITUTE(E381," [",", "),"[",", "),"]","")&amp;"]")))</x:f>
      </x:c>
      <x:c r="G381" t="str">
        <x:f>IF(F381&lt;&gt;"",ROWS($F$3:F381)-COUNTBLANK($F$3:F381),"")</x:f>
      </x:c>
      <x:c r="H381"/>
      <x:c r="I381"/>
      <x:c r="J381"/>
      <x:c r="K381" t="str">
        <x:f>IF(ROW()-ROW($K$2)&lt;=SUM($J$3:$J$168),COUNTIF($H$3:$H$168,"&lt;"&amp;(ROW()-ROW($K$2))),"")</x:f>
      </x:c>
      <x:c r="L381" t="str">
        <x:f>IF(K381="","",ROW()-ROW($L$2)-INDEX($H$3:$H$168,K381))</x:f>
      </x:c>
      <x:c r="M381" t="str">
        <x:f>IF(K381="","",IF(L381=1,1,FIND(CHAR(1),SUBSTITUTE(INDEX($B$3:$B$168,K381),CHAR(10),CHAR(1),L381-1))+1))</x:f>
      </x:c>
      <x:c r="N381" t="str">
        <x:f>IF(K381="","",IFERROR(FIND(CHAR(1),SUBSTITUTE(INDEX($B$3:$B$168,K381),CHAR(10),CHAR(1),L381)),LEN(INDEX($B$3:$B$168,K381))+1))</x:f>
      </x:c>
    </x:row>
    <x:row r="382">
      <x:c r="A382"/>
      <x:c r="B382"/>
      <x:c r="C382"/>
      <x:c r="D382" t="str">
        <x:f>IFERROR(IF(380&lt;=$O$1,INDEX($A$3:$A$168,MATCH(380,$I$3:$I$168,0)),IF(380&lt;=$O$1+$O$2,INDEX($F$3:$F$1994,MATCH(380-$O$1,$G$3:$G$1994,0)),"")),"")</x:f>
      </x:c>
      <x:c r="E382" t="str">
        <x:f>IF(K382="","",IF(N382&lt;=M382,"",TRIM(CLEAN(MID(INDEX($B$3:$B$168,K382),M382,N382-M382)))))</x:f>
      </x:c>
      <x:c r="F382" t="str">
        <x:f>IF(E382="","",IF(E382=TRIM(INDEX($A$3:$A$168,K382)),"",IF(RIGHT(TRIM(INDEX($A$3:$A$168,K382)),1)="]",LEFT(TRIM(INDEX($A$3:$A$168,K382)),LEN(TRIM(INDEX($A$3:$A$168,K382)))-1)&amp;", "&amp;SUBSTITUTE(SUBSTITUTE(SUBSTITUTE(E382," [",", "),"[",", "),"]","")&amp;"]",TRIM(INDEX($A$3:$A$168,K382))&amp;" ["&amp;SUBSTITUTE(SUBSTITUTE(SUBSTITUTE(E382," [",", "),"[",", "),"]","")&amp;"]")))</x:f>
      </x:c>
      <x:c r="G382" t="str">
        <x:f>IF(F382&lt;&gt;"",ROWS($F$3:F382)-COUNTBLANK($F$3:F382),"")</x:f>
      </x:c>
      <x:c r="H382"/>
      <x:c r="I382"/>
      <x:c r="J382"/>
      <x:c r="K382" t="str">
        <x:f>IF(ROW()-ROW($K$2)&lt;=SUM($J$3:$J$168),COUNTIF($H$3:$H$168,"&lt;"&amp;(ROW()-ROW($K$2))),"")</x:f>
      </x:c>
      <x:c r="L382" t="str">
        <x:f>IF(K382="","",ROW()-ROW($L$2)-INDEX($H$3:$H$168,K382))</x:f>
      </x:c>
      <x:c r="M382" t="str">
        <x:f>IF(K382="","",IF(L382=1,1,FIND(CHAR(1),SUBSTITUTE(INDEX($B$3:$B$168,K382),CHAR(10),CHAR(1),L382-1))+1))</x:f>
      </x:c>
      <x:c r="N382" t="str">
        <x:f>IF(K382="","",IFERROR(FIND(CHAR(1),SUBSTITUTE(INDEX($B$3:$B$168,K382),CHAR(10),CHAR(1),L382)),LEN(INDEX($B$3:$B$168,K382))+1))</x:f>
      </x:c>
    </x:row>
    <x:row r="383">
      <x:c r="A383"/>
      <x:c r="B383"/>
      <x:c r="C383"/>
      <x:c r="D383" t="str">
        <x:f>IFERROR(IF(381&lt;=$O$1,INDEX($A$3:$A$168,MATCH(381,$I$3:$I$168,0)),IF(381&lt;=$O$1+$O$2,INDEX($F$3:$F$1994,MATCH(381-$O$1,$G$3:$G$1994,0)),"")),"")</x:f>
      </x:c>
      <x:c r="E383" t="str">
        <x:f>IF(K383="","",IF(N383&lt;=M383,"",TRIM(CLEAN(MID(INDEX($B$3:$B$168,K383),M383,N383-M383)))))</x:f>
      </x:c>
      <x:c r="F383" t="str">
        <x:f>IF(E383="","",IF(E383=TRIM(INDEX($A$3:$A$168,K383)),"",IF(RIGHT(TRIM(INDEX($A$3:$A$168,K383)),1)="]",LEFT(TRIM(INDEX($A$3:$A$168,K383)),LEN(TRIM(INDEX($A$3:$A$168,K383)))-1)&amp;", "&amp;SUBSTITUTE(SUBSTITUTE(SUBSTITUTE(E383," [",", "),"[",", "),"]","")&amp;"]",TRIM(INDEX($A$3:$A$168,K383))&amp;" ["&amp;SUBSTITUTE(SUBSTITUTE(SUBSTITUTE(E383," [",", "),"[",", "),"]","")&amp;"]")))</x:f>
      </x:c>
      <x:c r="G383" t="str">
        <x:f>IF(F383&lt;&gt;"",ROWS($F$3:F383)-COUNTBLANK($F$3:F383),"")</x:f>
      </x:c>
      <x:c r="H383"/>
      <x:c r="I383"/>
      <x:c r="J383"/>
      <x:c r="K383" t="str">
        <x:f>IF(ROW()-ROW($K$2)&lt;=SUM($J$3:$J$168),COUNTIF($H$3:$H$168,"&lt;"&amp;(ROW()-ROW($K$2))),"")</x:f>
      </x:c>
      <x:c r="L383" t="str">
        <x:f>IF(K383="","",ROW()-ROW($L$2)-INDEX($H$3:$H$168,K383))</x:f>
      </x:c>
      <x:c r="M383" t="str">
        <x:f>IF(K383="","",IF(L383=1,1,FIND(CHAR(1),SUBSTITUTE(INDEX($B$3:$B$168,K383),CHAR(10),CHAR(1),L383-1))+1))</x:f>
      </x:c>
      <x:c r="N383" t="str">
        <x:f>IF(K383="","",IFERROR(FIND(CHAR(1),SUBSTITUTE(INDEX($B$3:$B$168,K383),CHAR(10),CHAR(1),L383)),LEN(INDEX($B$3:$B$168,K383))+1))</x:f>
      </x:c>
    </x:row>
    <x:row r="384">
      <x:c r="A384"/>
      <x:c r="B384"/>
      <x:c r="C384"/>
      <x:c r="D384" t="str">
        <x:f>IFERROR(IF(382&lt;=$O$1,INDEX($A$3:$A$168,MATCH(382,$I$3:$I$168,0)),IF(382&lt;=$O$1+$O$2,INDEX($F$3:$F$1994,MATCH(382-$O$1,$G$3:$G$1994,0)),"")),"")</x:f>
      </x:c>
      <x:c r="E384" t="str">
        <x:f>IF(K384="","",IF(N384&lt;=M384,"",TRIM(CLEAN(MID(INDEX($B$3:$B$168,K384),M384,N384-M384)))))</x:f>
      </x:c>
      <x:c r="F384" t="str">
        <x:f>IF(E384="","",IF(E384=TRIM(INDEX($A$3:$A$168,K384)),"",IF(RIGHT(TRIM(INDEX($A$3:$A$168,K384)),1)="]",LEFT(TRIM(INDEX($A$3:$A$168,K384)),LEN(TRIM(INDEX($A$3:$A$168,K384)))-1)&amp;", "&amp;SUBSTITUTE(SUBSTITUTE(SUBSTITUTE(E384," [",", "),"[",", "),"]","")&amp;"]",TRIM(INDEX($A$3:$A$168,K384))&amp;" ["&amp;SUBSTITUTE(SUBSTITUTE(SUBSTITUTE(E384," [",", "),"[",", "),"]","")&amp;"]")))</x:f>
      </x:c>
      <x:c r="G384" t="str">
        <x:f>IF(F384&lt;&gt;"",ROWS($F$3:F384)-COUNTBLANK($F$3:F384),"")</x:f>
      </x:c>
      <x:c r="H384"/>
      <x:c r="I384"/>
      <x:c r="J384"/>
      <x:c r="K384" t="str">
        <x:f>IF(ROW()-ROW($K$2)&lt;=SUM($J$3:$J$168),COUNTIF($H$3:$H$168,"&lt;"&amp;(ROW()-ROW($K$2))),"")</x:f>
      </x:c>
      <x:c r="L384" t="str">
        <x:f>IF(K384="","",ROW()-ROW($L$2)-INDEX($H$3:$H$168,K384))</x:f>
      </x:c>
      <x:c r="M384" t="str">
        <x:f>IF(K384="","",IF(L384=1,1,FIND(CHAR(1),SUBSTITUTE(INDEX($B$3:$B$168,K384),CHAR(10),CHAR(1),L384-1))+1))</x:f>
      </x:c>
      <x:c r="N384" t="str">
        <x:f>IF(K384="","",IFERROR(FIND(CHAR(1),SUBSTITUTE(INDEX($B$3:$B$168,K384),CHAR(10),CHAR(1),L384)),LEN(INDEX($B$3:$B$168,K384))+1))</x:f>
      </x:c>
    </x:row>
    <x:row r="385">
      <x:c r="A385"/>
      <x:c r="B385"/>
      <x:c r="C385"/>
      <x:c r="D385" t="str">
        <x:f>IFERROR(IF(383&lt;=$O$1,INDEX($A$3:$A$168,MATCH(383,$I$3:$I$168,0)),IF(383&lt;=$O$1+$O$2,INDEX($F$3:$F$1994,MATCH(383-$O$1,$G$3:$G$1994,0)),"")),"")</x:f>
      </x:c>
      <x:c r="E385" t="str">
        <x:f>IF(K385="","",IF(N385&lt;=M385,"",TRIM(CLEAN(MID(INDEX($B$3:$B$168,K385),M385,N385-M385)))))</x:f>
      </x:c>
      <x:c r="F385" t="str">
        <x:f>IF(E385="","",IF(E385=TRIM(INDEX($A$3:$A$168,K385)),"",IF(RIGHT(TRIM(INDEX($A$3:$A$168,K385)),1)="]",LEFT(TRIM(INDEX($A$3:$A$168,K385)),LEN(TRIM(INDEX($A$3:$A$168,K385)))-1)&amp;", "&amp;SUBSTITUTE(SUBSTITUTE(SUBSTITUTE(E385," [",", "),"[",", "),"]","")&amp;"]",TRIM(INDEX($A$3:$A$168,K385))&amp;" ["&amp;SUBSTITUTE(SUBSTITUTE(SUBSTITUTE(E385," [",", "),"[",", "),"]","")&amp;"]")))</x:f>
      </x:c>
      <x:c r="G385" t="str">
        <x:f>IF(F385&lt;&gt;"",ROWS($F$3:F385)-COUNTBLANK($F$3:F385),"")</x:f>
      </x:c>
      <x:c r="H385"/>
      <x:c r="I385"/>
      <x:c r="J385"/>
      <x:c r="K385" t="str">
        <x:f>IF(ROW()-ROW($K$2)&lt;=SUM($J$3:$J$168),COUNTIF($H$3:$H$168,"&lt;"&amp;(ROW()-ROW($K$2))),"")</x:f>
      </x:c>
      <x:c r="L385" t="str">
        <x:f>IF(K385="","",ROW()-ROW($L$2)-INDEX($H$3:$H$168,K385))</x:f>
      </x:c>
      <x:c r="M385" t="str">
        <x:f>IF(K385="","",IF(L385=1,1,FIND(CHAR(1),SUBSTITUTE(INDEX($B$3:$B$168,K385),CHAR(10),CHAR(1),L385-1))+1))</x:f>
      </x:c>
      <x:c r="N385" t="str">
        <x:f>IF(K385="","",IFERROR(FIND(CHAR(1),SUBSTITUTE(INDEX($B$3:$B$168,K385),CHAR(10),CHAR(1),L385)),LEN(INDEX($B$3:$B$168,K385))+1))</x:f>
      </x:c>
    </x:row>
    <x:row r="386">
      <x:c r="A386"/>
      <x:c r="B386"/>
      <x:c r="C386"/>
      <x:c r="D386" t="str">
        <x:f>IFERROR(IF(384&lt;=$O$1,INDEX($A$3:$A$168,MATCH(384,$I$3:$I$168,0)),IF(384&lt;=$O$1+$O$2,INDEX($F$3:$F$1994,MATCH(384-$O$1,$G$3:$G$1994,0)),"")),"")</x:f>
      </x:c>
      <x:c r="E386" t="str">
        <x:f>IF(K386="","",IF(N386&lt;=M386,"",TRIM(CLEAN(MID(INDEX($B$3:$B$168,K386),M386,N386-M386)))))</x:f>
      </x:c>
      <x:c r="F386" t="str">
        <x:f>IF(E386="","",IF(E386=TRIM(INDEX($A$3:$A$168,K386)),"",IF(RIGHT(TRIM(INDEX($A$3:$A$168,K386)),1)="]",LEFT(TRIM(INDEX($A$3:$A$168,K386)),LEN(TRIM(INDEX($A$3:$A$168,K386)))-1)&amp;", "&amp;SUBSTITUTE(SUBSTITUTE(SUBSTITUTE(E386," [",", "),"[",", "),"]","")&amp;"]",TRIM(INDEX($A$3:$A$168,K386))&amp;" ["&amp;SUBSTITUTE(SUBSTITUTE(SUBSTITUTE(E386," [",", "),"[",", "),"]","")&amp;"]")))</x:f>
      </x:c>
      <x:c r="G386" t="str">
        <x:f>IF(F386&lt;&gt;"",ROWS($F$3:F386)-COUNTBLANK($F$3:F386),"")</x:f>
      </x:c>
      <x:c r="H386"/>
      <x:c r="I386"/>
      <x:c r="J386"/>
      <x:c r="K386" t="str">
        <x:f>IF(ROW()-ROW($K$2)&lt;=SUM($J$3:$J$168),COUNTIF($H$3:$H$168,"&lt;"&amp;(ROW()-ROW($K$2))),"")</x:f>
      </x:c>
      <x:c r="L386" t="str">
        <x:f>IF(K386="","",ROW()-ROW($L$2)-INDEX($H$3:$H$168,K386))</x:f>
      </x:c>
      <x:c r="M386" t="str">
        <x:f>IF(K386="","",IF(L386=1,1,FIND(CHAR(1),SUBSTITUTE(INDEX($B$3:$B$168,K386),CHAR(10),CHAR(1),L386-1))+1))</x:f>
      </x:c>
      <x:c r="N386" t="str">
        <x:f>IF(K386="","",IFERROR(FIND(CHAR(1),SUBSTITUTE(INDEX($B$3:$B$168,K386),CHAR(10),CHAR(1),L386)),LEN(INDEX($B$3:$B$168,K386))+1))</x:f>
      </x:c>
    </x:row>
    <x:row r="387">
      <x:c r="A387"/>
      <x:c r="B387"/>
      <x:c r="C387"/>
      <x:c r="D387" t="str">
        <x:f>IFERROR(IF(385&lt;=$O$1,INDEX($A$3:$A$168,MATCH(385,$I$3:$I$168,0)),IF(385&lt;=$O$1+$O$2,INDEX($F$3:$F$1994,MATCH(385-$O$1,$G$3:$G$1994,0)),"")),"")</x:f>
      </x:c>
      <x:c r="E387" t="str">
        <x:f>IF(K387="","",IF(N387&lt;=M387,"",TRIM(CLEAN(MID(INDEX($B$3:$B$168,K387),M387,N387-M387)))))</x:f>
      </x:c>
      <x:c r="F387" t="str">
        <x:f>IF(E387="","",IF(E387=TRIM(INDEX($A$3:$A$168,K387)),"",IF(RIGHT(TRIM(INDEX($A$3:$A$168,K387)),1)="]",LEFT(TRIM(INDEX($A$3:$A$168,K387)),LEN(TRIM(INDEX($A$3:$A$168,K387)))-1)&amp;", "&amp;SUBSTITUTE(SUBSTITUTE(SUBSTITUTE(E387," [",", "),"[",", "),"]","")&amp;"]",TRIM(INDEX($A$3:$A$168,K387))&amp;" ["&amp;SUBSTITUTE(SUBSTITUTE(SUBSTITUTE(E387," [",", "),"[",", "),"]","")&amp;"]")))</x:f>
      </x:c>
      <x:c r="G387" t="str">
        <x:f>IF(F387&lt;&gt;"",ROWS($F$3:F387)-COUNTBLANK($F$3:F387),"")</x:f>
      </x:c>
      <x:c r="H387"/>
      <x:c r="I387"/>
      <x:c r="J387"/>
      <x:c r="K387" t="str">
        <x:f>IF(ROW()-ROW($K$2)&lt;=SUM($J$3:$J$168),COUNTIF($H$3:$H$168,"&lt;"&amp;(ROW()-ROW($K$2))),"")</x:f>
      </x:c>
      <x:c r="L387" t="str">
        <x:f>IF(K387="","",ROW()-ROW($L$2)-INDEX($H$3:$H$168,K387))</x:f>
      </x:c>
      <x:c r="M387" t="str">
        <x:f>IF(K387="","",IF(L387=1,1,FIND(CHAR(1),SUBSTITUTE(INDEX($B$3:$B$168,K387),CHAR(10),CHAR(1),L387-1))+1))</x:f>
      </x:c>
      <x:c r="N387" t="str">
        <x:f>IF(K387="","",IFERROR(FIND(CHAR(1),SUBSTITUTE(INDEX($B$3:$B$168,K387),CHAR(10),CHAR(1),L387)),LEN(INDEX($B$3:$B$168,K387))+1))</x:f>
      </x:c>
    </x:row>
    <x:row r="388">
      <x:c r="A388"/>
      <x:c r="B388"/>
      <x:c r="C388"/>
      <x:c r="D388" t="str">
        <x:f>IFERROR(IF(386&lt;=$O$1,INDEX($A$3:$A$168,MATCH(386,$I$3:$I$168,0)),IF(386&lt;=$O$1+$O$2,INDEX($F$3:$F$1994,MATCH(386-$O$1,$G$3:$G$1994,0)),"")),"")</x:f>
      </x:c>
      <x:c r="E388" t="str">
        <x:f>IF(K388="","",IF(N388&lt;=M388,"",TRIM(CLEAN(MID(INDEX($B$3:$B$168,K388),M388,N388-M388)))))</x:f>
      </x:c>
      <x:c r="F388" t="str">
        <x:f>IF(E388="","",IF(E388=TRIM(INDEX($A$3:$A$168,K388)),"",IF(RIGHT(TRIM(INDEX($A$3:$A$168,K388)),1)="]",LEFT(TRIM(INDEX($A$3:$A$168,K388)),LEN(TRIM(INDEX($A$3:$A$168,K388)))-1)&amp;", "&amp;SUBSTITUTE(SUBSTITUTE(SUBSTITUTE(E388," [",", "),"[",", "),"]","")&amp;"]",TRIM(INDEX($A$3:$A$168,K388))&amp;" ["&amp;SUBSTITUTE(SUBSTITUTE(SUBSTITUTE(E388," [",", "),"[",", "),"]","")&amp;"]")))</x:f>
      </x:c>
      <x:c r="G388" t="str">
        <x:f>IF(F388&lt;&gt;"",ROWS($F$3:F388)-COUNTBLANK($F$3:F388),"")</x:f>
      </x:c>
      <x:c r="H388"/>
      <x:c r="I388"/>
      <x:c r="J388"/>
      <x:c r="K388" t="str">
        <x:f>IF(ROW()-ROW($K$2)&lt;=SUM($J$3:$J$168),COUNTIF($H$3:$H$168,"&lt;"&amp;(ROW()-ROW($K$2))),"")</x:f>
      </x:c>
      <x:c r="L388" t="str">
        <x:f>IF(K388="","",ROW()-ROW($L$2)-INDEX($H$3:$H$168,K388))</x:f>
      </x:c>
      <x:c r="M388" t="str">
        <x:f>IF(K388="","",IF(L388=1,1,FIND(CHAR(1),SUBSTITUTE(INDEX($B$3:$B$168,K388),CHAR(10),CHAR(1),L388-1))+1))</x:f>
      </x:c>
      <x:c r="N388" t="str">
        <x:f>IF(K388="","",IFERROR(FIND(CHAR(1),SUBSTITUTE(INDEX($B$3:$B$168,K388),CHAR(10),CHAR(1),L388)),LEN(INDEX($B$3:$B$168,K388))+1))</x:f>
      </x:c>
    </x:row>
    <x:row r="389">
      <x:c r="A389"/>
      <x:c r="B389"/>
      <x:c r="C389"/>
      <x:c r="D389" t="str">
        <x:f>IFERROR(IF(387&lt;=$O$1,INDEX($A$3:$A$168,MATCH(387,$I$3:$I$168,0)),IF(387&lt;=$O$1+$O$2,INDEX($F$3:$F$1994,MATCH(387-$O$1,$G$3:$G$1994,0)),"")),"")</x:f>
      </x:c>
      <x:c r="E389" t="str">
        <x:f>IF(K389="","",IF(N389&lt;=M389,"",TRIM(CLEAN(MID(INDEX($B$3:$B$168,K389),M389,N389-M389)))))</x:f>
      </x:c>
      <x:c r="F389" t="str">
        <x:f>IF(E389="","",IF(E389=TRIM(INDEX($A$3:$A$168,K389)),"",IF(RIGHT(TRIM(INDEX($A$3:$A$168,K389)),1)="]",LEFT(TRIM(INDEX($A$3:$A$168,K389)),LEN(TRIM(INDEX($A$3:$A$168,K389)))-1)&amp;", "&amp;SUBSTITUTE(SUBSTITUTE(SUBSTITUTE(E389," [",", "),"[",", "),"]","")&amp;"]",TRIM(INDEX($A$3:$A$168,K389))&amp;" ["&amp;SUBSTITUTE(SUBSTITUTE(SUBSTITUTE(E389," [",", "),"[",", "),"]","")&amp;"]")))</x:f>
      </x:c>
      <x:c r="G389" t="str">
        <x:f>IF(F389&lt;&gt;"",ROWS($F$3:F389)-COUNTBLANK($F$3:F389),"")</x:f>
      </x:c>
      <x:c r="H389"/>
      <x:c r="I389"/>
      <x:c r="J389"/>
      <x:c r="K389" t="str">
        <x:f>IF(ROW()-ROW($K$2)&lt;=SUM($J$3:$J$168),COUNTIF($H$3:$H$168,"&lt;"&amp;(ROW()-ROW($K$2))),"")</x:f>
      </x:c>
      <x:c r="L389" t="str">
        <x:f>IF(K389="","",ROW()-ROW($L$2)-INDEX($H$3:$H$168,K389))</x:f>
      </x:c>
      <x:c r="M389" t="str">
        <x:f>IF(K389="","",IF(L389=1,1,FIND(CHAR(1),SUBSTITUTE(INDEX($B$3:$B$168,K389),CHAR(10),CHAR(1),L389-1))+1))</x:f>
      </x:c>
      <x:c r="N389" t="str">
        <x:f>IF(K389="","",IFERROR(FIND(CHAR(1),SUBSTITUTE(INDEX($B$3:$B$168,K389),CHAR(10),CHAR(1),L389)),LEN(INDEX($B$3:$B$168,K389))+1))</x:f>
      </x:c>
    </x:row>
    <x:row r="390">
      <x:c r="A390"/>
      <x:c r="B390"/>
      <x:c r="C390"/>
      <x:c r="D390" t="str">
        <x:f>IFERROR(IF(388&lt;=$O$1,INDEX($A$3:$A$168,MATCH(388,$I$3:$I$168,0)),IF(388&lt;=$O$1+$O$2,INDEX($F$3:$F$1994,MATCH(388-$O$1,$G$3:$G$1994,0)),"")),"")</x:f>
      </x:c>
      <x:c r="E390" t="str">
        <x:f>IF(K390="","",IF(N390&lt;=M390,"",TRIM(CLEAN(MID(INDEX($B$3:$B$168,K390),M390,N390-M390)))))</x:f>
      </x:c>
      <x:c r="F390" t="str">
        <x:f>IF(E390="","",IF(E390=TRIM(INDEX($A$3:$A$168,K390)),"",IF(RIGHT(TRIM(INDEX($A$3:$A$168,K390)),1)="]",LEFT(TRIM(INDEX($A$3:$A$168,K390)),LEN(TRIM(INDEX($A$3:$A$168,K390)))-1)&amp;", "&amp;SUBSTITUTE(SUBSTITUTE(SUBSTITUTE(E390," [",", "),"[",", "),"]","")&amp;"]",TRIM(INDEX($A$3:$A$168,K390))&amp;" ["&amp;SUBSTITUTE(SUBSTITUTE(SUBSTITUTE(E390," [",", "),"[",", "),"]","")&amp;"]")))</x:f>
      </x:c>
      <x:c r="G390" t="str">
        <x:f>IF(F390&lt;&gt;"",ROWS($F$3:F390)-COUNTBLANK($F$3:F390),"")</x:f>
      </x:c>
      <x:c r="H390"/>
      <x:c r="I390"/>
      <x:c r="J390"/>
      <x:c r="K390" t="str">
        <x:f>IF(ROW()-ROW($K$2)&lt;=SUM($J$3:$J$168),COUNTIF($H$3:$H$168,"&lt;"&amp;(ROW()-ROW($K$2))),"")</x:f>
      </x:c>
      <x:c r="L390" t="str">
        <x:f>IF(K390="","",ROW()-ROW($L$2)-INDEX($H$3:$H$168,K390))</x:f>
      </x:c>
      <x:c r="M390" t="str">
        <x:f>IF(K390="","",IF(L390=1,1,FIND(CHAR(1),SUBSTITUTE(INDEX($B$3:$B$168,K390),CHAR(10),CHAR(1),L390-1))+1))</x:f>
      </x:c>
      <x:c r="N390" t="str">
        <x:f>IF(K390="","",IFERROR(FIND(CHAR(1),SUBSTITUTE(INDEX($B$3:$B$168,K390),CHAR(10),CHAR(1),L390)),LEN(INDEX($B$3:$B$168,K390))+1))</x:f>
      </x:c>
    </x:row>
    <x:row r="391">
      <x:c r="A391"/>
      <x:c r="B391"/>
      <x:c r="C391"/>
      <x:c r="D391" t="str">
        <x:f>IFERROR(IF(389&lt;=$O$1,INDEX($A$3:$A$168,MATCH(389,$I$3:$I$168,0)),IF(389&lt;=$O$1+$O$2,INDEX($F$3:$F$1994,MATCH(389-$O$1,$G$3:$G$1994,0)),"")),"")</x:f>
      </x:c>
      <x:c r="E391" t="str">
        <x:f>IF(K391="","",IF(N391&lt;=M391,"",TRIM(CLEAN(MID(INDEX($B$3:$B$168,K391),M391,N391-M391)))))</x:f>
      </x:c>
      <x:c r="F391" t="str">
        <x:f>IF(E391="","",IF(E391=TRIM(INDEX($A$3:$A$168,K391)),"",IF(RIGHT(TRIM(INDEX($A$3:$A$168,K391)),1)="]",LEFT(TRIM(INDEX($A$3:$A$168,K391)),LEN(TRIM(INDEX($A$3:$A$168,K391)))-1)&amp;", "&amp;SUBSTITUTE(SUBSTITUTE(SUBSTITUTE(E391," [",", "),"[",", "),"]","")&amp;"]",TRIM(INDEX($A$3:$A$168,K391))&amp;" ["&amp;SUBSTITUTE(SUBSTITUTE(SUBSTITUTE(E391," [",", "),"[",", "),"]","")&amp;"]")))</x:f>
      </x:c>
      <x:c r="G391" t="str">
        <x:f>IF(F391&lt;&gt;"",ROWS($F$3:F391)-COUNTBLANK($F$3:F391),"")</x:f>
      </x:c>
      <x:c r="H391"/>
      <x:c r="I391"/>
      <x:c r="J391"/>
      <x:c r="K391" t="str">
        <x:f>IF(ROW()-ROW($K$2)&lt;=SUM($J$3:$J$168),COUNTIF($H$3:$H$168,"&lt;"&amp;(ROW()-ROW($K$2))),"")</x:f>
      </x:c>
      <x:c r="L391" t="str">
        <x:f>IF(K391="","",ROW()-ROW($L$2)-INDEX($H$3:$H$168,K391))</x:f>
      </x:c>
      <x:c r="M391" t="str">
        <x:f>IF(K391="","",IF(L391=1,1,FIND(CHAR(1),SUBSTITUTE(INDEX($B$3:$B$168,K391),CHAR(10),CHAR(1),L391-1))+1))</x:f>
      </x:c>
      <x:c r="N391" t="str">
        <x:f>IF(K391="","",IFERROR(FIND(CHAR(1),SUBSTITUTE(INDEX($B$3:$B$168,K391),CHAR(10),CHAR(1),L391)),LEN(INDEX($B$3:$B$168,K391))+1))</x:f>
      </x:c>
    </x:row>
    <x:row r="392">
      <x:c r="A392"/>
      <x:c r="B392"/>
      <x:c r="C392"/>
      <x:c r="D392" t="str">
        <x:f>IFERROR(IF(390&lt;=$O$1,INDEX($A$3:$A$168,MATCH(390,$I$3:$I$168,0)),IF(390&lt;=$O$1+$O$2,INDEX($F$3:$F$1994,MATCH(390-$O$1,$G$3:$G$1994,0)),"")),"")</x:f>
      </x:c>
      <x:c r="E392" t="str">
        <x:f>IF(K392="","",IF(N392&lt;=M392,"",TRIM(CLEAN(MID(INDEX($B$3:$B$168,K392),M392,N392-M392)))))</x:f>
      </x:c>
      <x:c r="F392" t="str">
        <x:f>IF(E392="","",IF(E392=TRIM(INDEX($A$3:$A$168,K392)),"",IF(RIGHT(TRIM(INDEX($A$3:$A$168,K392)),1)="]",LEFT(TRIM(INDEX($A$3:$A$168,K392)),LEN(TRIM(INDEX($A$3:$A$168,K392)))-1)&amp;", "&amp;SUBSTITUTE(SUBSTITUTE(SUBSTITUTE(E392," [",", "),"[",", "),"]","")&amp;"]",TRIM(INDEX($A$3:$A$168,K392))&amp;" ["&amp;SUBSTITUTE(SUBSTITUTE(SUBSTITUTE(E392," [",", "),"[",", "),"]","")&amp;"]")))</x:f>
      </x:c>
      <x:c r="G392" t="str">
        <x:f>IF(F392&lt;&gt;"",ROWS($F$3:F392)-COUNTBLANK($F$3:F392),"")</x:f>
      </x:c>
      <x:c r="H392"/>
      <x:c r="I392"/>
      <x:c r="J392"/>
      <x:c r="K392" t="str">
        <x:f>IF(ROW()-ROW($K$2)&lt;=SUM($J$3:$J$168),COUNTIF($H$3:$H$168,"&lt;"&amp;(ROW()-ROW($K$2))),"")</x:f>
      </x:c>
      <x:c r="L392" t="str">
        <x:f>IF(K392="","",ROW()-ROW($L$2)-INDEX($H$3:$H$168,K392))</x:f>
      </x:c>
      <x:c r="M392" t="str">
        <x:f>IF(K392="","",IF(L392=1,1,FIND(CHAR(1),SUBSTITUTE(INDEX($B$3:$B$168,K392),CHAR(10),CHAR(1),L392-1))+1))</x:f>
      </x:c>
      <x:c r="N392" t="str">
        <x:f>IF(K392="","",IFERROR(FIND(CHAR(1),SUBSTITUTE(INDEX($B$3:$B$168,K392),CHAR(10),CHAR(1),L392)),LEN(INDEX($B$3:$B$168,K392))+1))</x:f>
      </x:c>
    </x:row>
    <x:row r="393">
      <x:c r="A393"/>
      <x:c r="B393"/>
      <x:c r="C393"/>
      <x:c r="D393" t="str">
        <x:f>IFERROR(IF(391&lt;=$O$1,INDEX($A$3:$A$168,MATCH(391,$I$3:$I$168,0)),IF(391&lt;=$O$1+$O$2,INDEX($F$3:$F$1994,MATCH(391-$O$1,$G$3:$G$1994,0)),"")),"")</x:f>
      </x:c>
      <x:c r="E393" t="str">
        <x:f>IF(K393="","",IF(N393&lt;=M393,"",TRIM(CLEAN(MID(INDEX($B$3:$B$168,K393),M393,N393-M393)))))</x:f>
      </x:c>
      <x:c r="F393" t="str">
        <x:f>IF(E393="","",IF(E393=TRIM(INDEX($A$3:$A$168,K393)),"",IF(RIGHT(TRIM(INDEX($A$3:$A$168,K393)),1)="]",LEFT(TRIM(INDEX($A$3:$A$168,K393)),LEN(TRIM(INDEX($A$3:$A$168,K393)))-1)&amp;", "&amp;SUBSTITUTE(SUBSTITUTE(SUBSTITUTE(E393," [",", "),"[",", "),"]","")&amp;"]",TRIM(INDEX($A$3:$A$168,K393))&amp;" ["&amp;SUBSTITUTE(SUBSTITUTE(SUBSTITUTE(E393," [",", "),"[",", "),"]","")&amp;"]")))</x:f>
      </x:c>
      <x:c r="G393" t="str">
        <x:f>IF(F393&lt;&gt;"",ROWS($F$3:F393)-COUNTBLANK($F$3:F393),"")</x:f>
      </x:c>
      <x:c r="H393"/>
      <x:c r="I393"/>
      <x:c r="J393"/>
      <x:c r="K393" t="str">
        <x:f>IF(ROW()-ROW($K$2)&lt;=SUM($J$3:$J$168),COUNTIF($H$3:$H$168,"&lt;"&amp;(ROW()-ROW($K$2))),"")</x:f>
      </x:c>
      <x:c r="L393" t="str">
        <x:f>IF(K393="","",ROW()-ROW($L$2)-INDEX($H$3:$H$168,K393))</x:f>
      </x:c>
      <x:c r="M393" t="str">
        <x:f>IF(K393="","",IF(L393=1,1,FIND(CHAR(1),SUBSTITUTE(INDEX($B$3:$B$168,K393),CHAR(10),CHAR(1),L393-1))+1))</x:f>
      </x:c>
      <x:c r="N393" t="str">
        <x:f>IF(K393="","",IFERROR(FIND(CHAR(1),SUBSTITUTE(INDEX($B$3:$B$168,K393),CHAR(10),CHAR(1),L393)),LEN(INDEX($B$3:$B$168,K393))+1))</x:f>
      </x:c>
    </x:row>
    <x:row r="394">
      <x:c r="A394"/>
      <x:c r="B394"/>
      <x:c r="C394"/>
      <x:c r="D394" t="str">
        <x:f>IFERROR(IF(392&lt;=$O$1,INDEX($A$3:$A$168,MATCH(392,$I$3:$I$168,0)),IF(392&lt;=$O$1+$O$2,INDEX($F$3:$F$1994,MATCH(392-$O$1,$G$3:$G$1994,0)),"")),"")</x:f>
      </x:c>
      <x:c r="E394" t="str">
        <x:f>IF(K394="","",IF(N394&lt;=M394,"",TRIM(CLEAN(MID(INDEX($B$3:$B$168,K394),M394,N394-M394)))))</x:f>
      </x:c>
      <x:c r="F394" t="str">
        <x:f>IF(E394="","",IF(E394=TRIM(INDEX($A$3:$A$168,K394)),"",IF(RIGHT(TRIM(INDEX($A$3:$A$168,K394)),1)="]",LEFT(TRIM(INDEX($A$3:$A$168,K394)),LEN(TRIM(INDEX($A$3:$A$168,K394)))-1)&amp;", "&amp;SUBSTITUTE(SUBSTITUTE(SUBSTITUTE(E394," [",", "),"[",", "),"]","")&amp;"]",TRIM(INDEX($A$3:$A$168,K394))&amp;" ["&amp;SUBSTITUTE(SUBSTITUTE(SUBSTITUTE(E394," [",", "),"[",", "),"]","")&amp;"]")))</x:f>
      </x:c>
      <x:c r="G394" t="str">
        <x:f>IF(F394&lt;&gt;"",ROWS($F$3:F394)-COUNTBLANK($F$3:F394),"")</x:f>
      </x:c>
      <x:c r="H394"/>
      <x:c r="I394"/>
      <x:c r="J394"/>
      <x:c r="K394" t="str">
        <x:f>IF(ROW()-ROW($K$2)&lt;=SUM($J$3:$J$168),COUNTIF($H$3:$H$168,"&lt;"&amp;(ROW()-ROW($K$2))),"")</x:f>
      </x:c>
      <x:c r="L394" t="str">
        <x:f>IF(K394="","",ROW()-ROW($L$2)-INDEX($H$3:$H$168,K394))</x:f>
      </x:c>
      <x:c r="M394" t="str">
        <x:f>IF(K394="","",IF(L394=1,1,FIND(CHAR(1),SUBSTITUTE(INDEX($B$3:$B$168,K394),CHAR(10),CHAR(1),L394-1))+1))</x:f>
      </x:c>
      <x:c r="N394" t="str">
        <x:f>IF(K394="","",IFERROR(FIND(CHAR(1),SUBSTITUTE(INDEX($B$3:$B$168,K394),CHAR(10),CHAR(1),L394)),LEN(INDEX($B$3:$B$168,K394))+1))</x:f>
      </x:c>
    </x:row>
    <x:row r="395">
      <x:c r="A395"/>
      <x:c r="B395"/>
      <x:c r="C395"/>
      <x:c r="D395" t="str">
        <x:f>IFERROR(IF(393&lt;=$O$1,INDEX($A$3:$A$168,MATCH(393,$I$3:$I$168,0)),IF(393&lt;=$O$1+$O$2,INDEX($F$3:$F$1994,MATCH(393-$O$1,$G$3:$G$1994,0)),"")),"")</x:f>
      </x:c>
      <x:c r="E395" t="str">
        <x:f>IF(K395="","",IF(N395&lt;=M395,"",TRIM(CLEAN(MID(INDEX($B$3:$B$168,K395),M395,N395-M395)))))</x:f>
      </x:c>
      <x:c r="F395" t="str">
        <x:f>IF(E395="","",IF(E395=TRIM(INDEX($A$3:$A$168,K395)),"",IF(RIGHT(TRIM(INDEX($A$3:$A$168,K395)),1)="]",LEFT(TRIM(INDEX($A$3:$A$168,K395)),LEN(TRIM(INDEX($A$3:$A$168,K395)))-1)&amp;", "&amp;SUBSTITUTE(SUBSTITUTE(SUBSTITUTE(E395," [",", "),"[",", "),"]","")&amp;"]",TRIM(INDEX($A$3:$A$168,K395))&amp;" ["&amp;SUBSTITUTE(SUBSTITUTE(SUBSTITUTE(E395," [",", "),"[",", "),"]","")&amp;"]")))</x:f>
      </x:c>
      <x:c r="G395" t="str">
        <x:f>IF(F395&lt;&gt;"",ROWS($F$3:F395)-COUNTBLANK($F$3:F395),"")</x:f>
      </x:c>
      <x:c r="H395"/>
      <x:c r="I395"/>
      <x:c r="J395"/>
      <x:c r="K395" t="str">
        <x:f>IF(ROW()-ROW($K$2)&lt;=SUM($J$3:$J$168),COUNTIF($H$3:$H$168,"&lt;"&amp;(ROW()-ROW($K$2))),"")</x:f>
      </x:c>
      <x:c r="L395" t="str">
        <x:f>IF(K395="","",ROW()-ROW($L$2)-INDEX($H$3:$H$168,K395))</x:f>
      </x:c>
      <x:c r="M395" t="str">
        <x:f>IF(K395="","",IF(L395=1,1,FIND(CHAR(1),SUBSTITUTE(INDEX($B$3:$B$168,K395),CHAR(10),CHAR(1),L395-1))+1))</x:f>
      </x:c>
      <x:c r="N395" t="str">
        <x:f>IF(K395="","",IFERROR(FIND(CHAR(1),SUBSTITUTE(INDEX($B$3:$B$168,K395),CHAR(10),CHAR(1),L395)),LEN(INDEX($B$3:$B$168,K395))+1))</x:f>
      </x:c>
    </x:row>
    <x:row r="396">
      <x:c r="A396"/>
      <x:c r="B396"/>
      <x:c r="C396"/>
      <x:c r="D396" t="str">
        <x:f>IFERROR(IF(394&lt;=$O$1,INDEX($A$3:$A$168,MATCH(394,$I$3:$I$168,0)),IF(394&lt;=$O$1+$O$2,INDEX($F$3:$F$1994,MATCH(394-$O$1,$G$3:$G$1994,0)),"")),"")</x:f>
      </x:c>
      <x:c r="E396" t="str">
        <x:f>IF(K396="","",IF(N396&lt;=M396,"",TRIM(CLEAN(MID(INDEX($B$3:$B$168,K396),M396,N396-M396)))))</x:f>
      </x:c>
      <x:c r="F396" t="str">
        <x:f>IF(E396="","",IF(E396=TRIM(INDEX($A$3:$A$168,K396)),"",IF(RIGHT(TRIM(INDEX($A$3:$A$168,K396)),1)="]",LEFT(TRIM(INDEX($A$3:$A$168,K396)),LEN(TRIM(INDEX($A$3:$A$168,K396)))-1)&amp;", "&amp;SUBSTITUTE(SUBSTITUTE(SUBSTITUTE(E396," [",", "),"[",", "),"]","")&amp;"]",TRIM(INDEX($A$3:$A$168,K396))&amp;" ["&amp;SUBSTITUTE(SUBSTITUTE(SUBSTITUTE(E396," [",", "),"[",", "),"]","")&amp;"]")))</x:f>
      </x:c>
      <x:c r="G396" t="str">
        <x:f>IF(F396&lt;&gt;"",ROWS($F$3:F396)-COUNTBLANK($F$3:F396),"")</x:f>
      </x:c>
      <x:c r="H396"/>
      <x:c r="I396"/>
      <x:c r="J396"/>
      <x:c r="K396" t="str">
        <x:f>IF(ROW()-ROW($K$2)&lt;=SUM($J$3:$J$168),COUNTIF($H$3:$H$168,"&lt;"&amp;(ROW()-ROW($K$2))),"")</x:f>
      </x:c>
      <x:c r="L396" t="str">
        <x:f>IF(K396="","",ROW()-ROW($L$2)-INDEX($H$3:$H$168,K396))</x:f>
      </x:c>
      <x:c r="M396" t="str">
        <x:f>IF(K396="","",IF(L396=1,1,FIND(CHAR(1),SUBSTITUTE(INDEX($B$3:$B$168,K396),CHAR(10),CHAR(1),L396-1))+1))</x:f>
      </x:c>
      <x:c r="N396" t="str">
        <x:f>IF(K396="","",IFERROR(FIND(CHAR(1),SUBSTITUTE(INDEX($B$3:$B$168,K396),CHAR(10),CHAR(1),L396)),LEN(INDEX($B$3:$B$168,K396))+1))</x:f>
      </x:c>
    </x:row>
    <x:row r="397">
      <x:c r="A397"/>
      <x:c r="B397"/>
      <x:c r="C397"/>
      <x:c r="D397" t="str">
        <x:f>IFERROR(IF(395&lt;=$O$1,INDEX($A$3:$A$168,MATCH(395,$I$3:$I$168,0)),IF(395&lt;=$O$1+$O$2,INDEX($F$3:$F$1994,MATCH(395-$O$1,$G$3:$G$1994,0)),"")),"")</x:f>
      </x:c>
      <x:c r="E397" t="str">
        <x:f>IF(K397="","",IF(N397&lt;=M397,"",TRIM(CLEAN(MID(INDEX($B$3:$B$168,K397),M397,N397-M397)))))</x:f>
      </x:c>
      <x:c r="F397" t="str">
        <x:f>IF(E397="","",IF(E397=TRIM(INDEX($A$3:$A$168,K397)),"",IF(RIGHT(TRIM(INDEX($A$3:$A$168,K397)),1)="]",LEFT(TRIM(INDEX($A$3:$A$168,K397)),LEN(TRIM(INDEX($A$3:$A$168,K397)))-1)&amp;", "&amp;SUBSTITUTE(SUBSTITUTE(SUBSTITUTE(E397," [",", "),"[",", "),"]","")&amp;"]",TRIM(INDEX($A$3:$A$168,K397))&amp;" ["&amp;SUBSTITUTE(SUBSTITUTE(SUBSTITUTE(E397," [",", "),"[",", "),"]","")&amp;"]")))</x:f>
      </x:c>
      <x:c r="G397" t="str">
        <x:f>IF(F397&lt;&gt;"",ROWS($F$3:F397)-COUNTBLANK($F$3:F397),"")</x:f>
      </x:c>
      <x:c r="H397"/>
      <x:c r="I397"/>
      <x:c r="J397"/>
      <x:c r="K397" t="str">
        <x:f>IF(ROW()-ROW($K$2)&lt;=SUM($J$3:$J$168),COUNTIF($H$3:$H$168,"&lt;"&amp;(ROW()-ROW($K$2))),"")</x:f>
      </x:c>
      <x:c r="L397" t="str">
        <x:f>IF(K397="","",ROW()-ROW($L$2)-INDEX($H$3:$H$168,K397))</x:f>
      </x:c>
      <x:c r="M397" t="str">
        <x:f>IF(K397="","",IF(L397=1,1,FIND(CHAR(1),SUBSTITUTE(INDEX($B$3:$B$168,K397),CHAR(10),CHAR(1),L397-1))+1))</x:f>
      </x:c>
      <x:c r="N397" t="str">
        <x:f>IF(K397="","",IFERROR(FIND(CHAR(1),SUBSTITUTE(INDEX($B$3:$B$168,K397),CHAR(10),CHAR(1),L397)),LEN(INDEX($B$3:$B$168,K397))+1))</x:f>
      </x:c>
    </x:row>
    <x:row r="398">
      <x:c r="A398"/>
      <x:c r="B398"/>
      <x:c r="C398"/>
      <x:c r="D398" t="str">
        <x:f>IFERROR(IF(396&lt;=$O$1,INDEX($A$3:$A$168,MATCH(396,$I$3:$I$168,0)),IF(396&lt;=$O$1+$O$2,INDEX($F$3:$F$1994,MATCH(396-$O$1,$G$3:$G$1994,0)),"")),"")</x:f>
      </x:c>
      <x:c r="E398" t="str">
        <x:f>IF(K398="","",IF(N398&lt;=M398,"",TRIM(CLEAN(MID(INDEX($B$3:$B$168,K398),M398,N398-M398)))))</x:f>
      </x:c>
      <x:c r="F398" t="str">
        <x:f>IF(E398="","",IF(E398=TRIM(INDEX($A$3:$A$168,K398)),"",IF(RIGHT(TRIM(INDEX($A$3:$A$168,K398)),1)="]",LEFT(TRIM(INDEX($A$3:$A$168,K398)),LEN(TRIM(INDEX($A$3:$A$168,K398)))-1)&amp;", "&amp;SUBSTITUTE(SUBSTITUTE(SUBSTITUTE(E398," [",", "),"[",", "),"]","")&amp;"]",TRIM(INDEX($A$3:$A$168,K398))&amp;" ["&amp;SUBSTITUTE(SUBSTITUTE(SUBSTITUTE(E398," [",", "),"[",", "),"]","")&amp;"]")))</x:f>
      </x:c>
      <x:c r="G398" t="str">
        <x:f>IF(F398&lt;&gt;"",ROWS($F$3:F398)-COUNTBLANK($F$3:F398),"")</x:f>
      </x:c>
      <x:c r="H398"/>
      <x:c r="I398"/>
      <x:c r="J398"/>
      <x:c r="K398" t="str">
        <x:f>IF(ROW()-ROW($K$2)&lt;=SUM($J$3:$J$168),COUNTIF($H$3:$H$168,"&lt;"&amp;(ROW()-ROW($K$2))),"")</x:f>
      </x:c>
      <x:c r="L398" t="str">
        <x:f>IF(K398="","",ROW()-ROW($L$2)-INDEX($H$3:$H$168,K398))</x:f>
      </x:c>
      <x:c r="M398" t="str">
        <x:f>IF(K398="","",IF(L398=1,1,FIND(CHAR(1),SUBSTITUTE(INDEX($B$3:$B$168,K398),CHAR(10),CHAR(1),L398-1))+1))</x:f>
      </x:c>
      <x:c r="N398" t="str">
        <x:f>IF(K398="","",IFERROR(FIND(CHAR(1),SUBSTITUTE(INDEX($B$3:$B$168,K398),CHAR(10),CHAR(1),L398)),LEN(INDEX($B$3:$B$168,K398))+1))</x:f>
      </x:c>
    </x:row>
    <x:row r="399">
      <x:c r="A399"/>
      <x:c r="B399"/>
      <x:c r="C399"/>
      <x:c r="D399" t="str">
        <x:f>IFERROR(IF(397&lt;=$O$1,INDEX($A$3:$A$168,MATCH(397,$I$3:$I$168,0)),IF(397&lt;=$O$1+$O$2,INDEX($F$3:$F$1994,MATCH(397-$O$1,$G$3:$G$1994,0)),"")),"")</x:f>
      </x:c>
      <x:c r="E399" t="str">
        <x:f>IF(K399="","",IF(N399&lt;=M399,"",TRIM(CLEAN(MID(INDEX($B$3:$B$168,K399),M399,N399-M399)))))</x:f>
      </x:c>
      <x:c r="F399" t="str">
        <x:f>IF(E399="","",IF(E399=TRIM(INDEX($A$3:$A$168,K399)),"",IF(RIGHT(TRIM(INDEX($A$3:$A$168,K399)),1)="]",LEFT(TRIM(INDEX($A$3:$A$168,K399)),LEN(TRIM(INDEX($A$3:$A$168,K399)))-1)&amp;", "&amp;SUBSTITUTE(SUBSTITUTE(SUBSTITUTE(E399," [",", "),"[",", "),"]","")&amp;"]",TRIM(INDEX($A$3:$A$168,K399))&amp;" ["&amp;SUBSTITUTE(SUBSTITUTE(SUBSTITUTE(E399," [",", "),"[",", "),"]","")&amp;"]")))</x:f>
      </x:c>
      <x:c r="G399" t="str">
        <x:f>IF(F399&lt;&gt;"",ROWS($F$3:F399)-COUNTBLANK($F$3:F399),"")</x:f>
      </x:c>
      <x:c r="H399"/>
      <x:c r="I399"/>
      <x:c r="J399"/>
      <x:c r="K399" t="str">
        <x:f>IF(ROW()-ROW($K$2)&lt;=SUM($J$3:$J$168),COUNTIF($H$3:$H$168,"&lt;"&amp;(ROW()-ROW($K$2))),"")</x:f>
      </x:c>
      <x:c r="L399" t="str">
        <x:f>IF(K399="","",ROW()-ROW($L$2)-INDEX($H$3:$H$168,K399))</x:f>
      </x:c>
      <x:c r="M399" t="str">
        <x:f>IF(K399="","",IF(L399=1,1,FIND(CHAR(1),SUBSTITUTE(INDEX($B$3:$B$168,K399),CHAR(10),CHAR(1),L399-1))+1))</x:f>
      </x:c>
      <x:c r="N399" t="str">
        <x:f>IF(K399="","",IFERROR(FIND(CHAR(1),SUBSTITUTE(INDEX($B$3:$B$168,K399),CHAR(10),CHAR(1),L399)),LEN(INDEX($B$3:$B$168,K399))+1))</x:f>
      </x:c>
    </x:row>
    <x:row r="400">
      <x:c r="A400"/>
      <x:c r="B400"/>
      <x:c r="C400"/>
      <x:c r="D400" t="str">
        <x:f>IFERROR(IF(398&lt;=$O$1,INDEX($A$3:$A$168,MATCH(398,$I$3:$I$168,0)),IF(398&lt;=$O$1+$O$2,INDEX($F$3:$F$1994,MATCH(398-$O$1,$G$3:$G$1994,0)),"")),"")</x:f>
      </x:c>
      <x:c r="E400" t="str">
        <x:f>IF(K400="","",IF(N400&lt;=M400,"",TRIM(CLEAN(MID(INDEX($B$3:$B$168,K400),M400,N400-M400)))))</x:f>
      </x:c>
      <x:c r="F400" t="str">
        <x:f>IF(E400="","",IF(E400=TRIM(INDEX($A$3:$A$168,K400)),"",IF(RIGHT(TRIM(INDEX($A$3:$A$168,K400)),1)="]",LEFT(TRIM(INDEX($A$3:$A$168,K400)),LEN(TRIM(INDEX($A$3:$A$168,K400)))-1)&amp;", "&amp;SUBSTITUTE(SUBSTITUTE(SUBSTITUTE(E400," [",", "),"[",", "),"]","")&amp;"]",TRIM(INDEX($A$3:$A$168,K400))&amp;" ["&amp;SUBSTITUTE(SUBSTITUTE(SUBSTITUTE(E400," [",", "),"[",", "),"]","")&amp;"]")))</x:f>
      </x:c>
      <x:c r="G400" t="str">
        <x:f>IF(F400&lt;&gt;"",ROWS($F$3:F400)-COUNTBLANK($F$3:F400),"")</x:f>
      </x:c>
      <x:c r="H400"/>
      <x:c r="I400"/>
      <x:c r="J400"/>
      <x:c r="K400" t="str">
        <x:f>IF(ROW()-ROW($K$2)&lt;=SUM($J$3:$J$168),COUNTIF($H$3:$H$168,"&lt;"&amp;(ROW()-ROW($K$2))),"")</x:f>
      </x:c>
      <x:c r="L400" t="str">
        <x:f>IF(K400="","",ROW()-ROW($L$2)-INDEX($H$3:$H$168,K400))</x:f>
      </x:c>
      <x:c r="M400" t="str">
        <x:f>IF(K400="","",IF(L400=1,1,FIND(CHAR(1),SUBSTITUTE(INDEX($B$3:$B$168,K400),CHAR(10),CHAR(1),L400-1))+1))</x:f>
      </x:c>
      <x:c r="N400" t="str">
        <x:f>IF(K400="","",IFERROR(FIND(CHAR(1),SUBSTITUTE(INDEX($B$3:$B$168,K400),CHAR(10),CHAR(1),L400)),LEN(INDEX($B$3:$B$168,K400))+1))</x:f>
      </x:c>
    </x:row>
    <x:row r="401">
      <x:c r="A401"/>
      <x:c r="B401"/>
      <x:c r="C401"/>
      <x:c r="D401" t="str">
        <x:f>IFERROR(IF(399&lt;=$O$1,INDEX($A$3:$A$168,MATCH(399,$I$3:$I$168,0)),IF(399&lt;=$O$1+$O$2,INDEX($F$3:$F$1994,MATCH(399-$O$1,$G$3:$G$1994,0)),"")),"")</x:f>
      </x:c>
      <x:c r="E401" t="str">
        <x:f>IF(K401="","",IF(N401&lt;=M401,"",TRIM(CLEAN(MID(INDEX($B$3:$B$168,K401),M401,N401-M401)))))</x:f>
      </x:c>
      <x:c r="F401" t="str">
        <x:f>IF(E401="","",IF(E401=TRIM(INDEX($A$3:$A$168,K401)),"",IF(RIGHT(TRIM(INDEX($A$3:$A$168,K401)),1)="]",LEFT(TRIM(INDEX($A$3:$A$168,K401)),LEN(TRIM(INDEX($A$3:$A$168,K401)))-1)&amp;", "&amp;SUBSTITUTE(SUBSTITUTE(SUBSTITUTE(E401," [",", "),"[",", "),"]","")&amp;"]",TRIM(INDEX($A$3:$A$168,K401))&amp;" ["&amp;SUBSTITUTE(SUBSTITUTE(SUBSTITUTE(E401," [",", "),"[",", "),"]","")&amp;"]")))</x:f>
      </x:c>
      <x:c r="G401" t="str">
        <x:f>IF(F401&lt;&gt;"",ROWS($F$3:F401)-COUNTBLANK($F$3:F401),"")</x:f>
      </x:c>
      <x:c r="H401"/>
      <x:c r="I401"/>
      <x:c r="J401"/>
      <x:c r="K401" t="str">
        <x:f>IF(ROW()-ROW($K$2)&lt;=SUM($J$3:$J$168),COUNTIF($H$3:$H$168,"&lt;"&amp;(ROW()-ROW($K$2))),"")</x:f>
      </x:c>
      <x:c r="L401" t="str">
        <x:f>IF(K401="","",ROW()-ROW($L$2)-INDEX($H$3:$H$168,K401))</x:f>
      </x:c>
      <x:c r="M401" t="str">
        <x:f>IF(K401="","",IF(L401=1,1,FIND(CHAR(1),SUBSTITUTE(INDEX($B$3:$B$168,K401),CHAR(10),CHAR(1),L401-1))+1))</x:f>
      </x:c>
      <x:c r="N401" t="str">
        <x:f>IF(K401="","",IFERROR(FIND(CHAR(1),SUBSTITUTE(INDEX($B$3:$B$168,K401),CHAR(10),CHAR(1),L401)),LEN(INDEX($B$3:$B$168,K401))+1))</x:f>
      </x:c>
    </x:row>
    <x:row r="402">
      <x:c r="A402"/>
      <x:c r="B402"/>
      <x:c r="C402"/>
      <x:c r="D402" t="str">
        <x:f>IFERROR(IF(400&lt;=$O$1,INDEX($A$3:$A$168,MATCH(400,$I$3:$I$168,0)),IF(400&lt;=$O$1+$O$2,INDEX($F$3:$F$1994,MATCH(400-$O$1,$G$3:$G$1994,0)),"")),"")</x:f>
      </x:c>
      <x:c r="E402" t="str">
        <x:f>IF(K402="","",IF(N402&lt;=M402,"",TRIM(CLEAN(MID(INDEX($B$3:$B$168,K402),M402,N402-M402)))))</x:f>
      </x:c>
      <x:c r="F402" t="str">
        <x:f>IF(E402="","",IF(E402=TRIM(INDEX($A$3:$A$168,K402)),"",IF(RIGHT(TRIM(INDEX($A$3:$A$168,K402)),1)="]",LEFT(TRIM(INDEX($A$3:$A$168,K402)),LEN(TRIM(INDEX($A$3:$A$168,K402)))-1)&amp;", "&amp;SUBSTITUTE(SUBSTITUTE(SUBSTITUTE(E402," [",", "),"[",", "),"]","")&amp;"]",TRIM(INDEX($A$3:$A$168,K402))&amp;" ["&amp;SUBSTITUTE(SUBSTITUTE(SUBSTITUTE(E402," [",", "),"[",", "),"]","")&amp;"]")))</x:f>
      </x:c>
      <x:c r="G402" t="str">
        <x:f>IF(F402&lt;&gt;"",ROWS($F$3:F402)-COUNTBLANK($F$3:F402),"")</x:f>
      </x:c>
      <x:c r="H402"/>
      <x:c r="I402"/>
      <x:c r="J402"/>
      <x:c r="K402" t="str">
        <x:f>IF(ROW()-ROW($K$2)&lt;=SUM($J$3:$J$168),COUNTIF($H$3:$H$168,"&lt;"&amp;(ROW()-ROW($K$2))),"")</x:f>
      </x:c>
      <x:c r="L402" t="str">
        <x:f>IF(K402="","",ROW()-ROW($L$2)-INDEX($H$3:$H$168,K402))</x:f>
      </x:c>
      <x:c r="M402" t="str">
        <x:f>IF(K402="","",IF(L402=1,1,FIND(CHAR(1),SUBSTITUTE(INDEX($B$3:$B$168,K402),CHAR(10),CHAR(1),L402-1))+1))</x:f>
      </x:c>
      <x:c r="N402" t="str">
        <x:f>IF(K402="","",IFERROR(FIND(CHAR(1),SUBSTITUTE(INDEX($B$3:$B$168,K402),CHAR(10),CHAR(1),L402)),LEN(INDEX($B$3:$B$168,K402))+1))</x:f>
      </x:c>
    </x:row>
    <x:row r="403">
      <x:c r="A403"/>
      <x:c r="B403"/>
      <x:c r="C403"/>
      <x:c r="D403" t="str">
        <x:f>IFERROR(IF(401&lt;=$O$1,INDEX($A$3:$A$168,MATCH(401,$I$3:$I$168,0)),IF(401&lt;=$O$1+$O$2,INDEX($F$3:$F$1994,MATCH(401-$O$1,$G$3:$G$1994,0)),"")),"")</x:f>
      </x:c>
      <x:c r="E403" t="str">
        <x:f>IF(K403="","",IF(N403&lt;=M403,"",TRIM(CLEAN(MID(INDEX($B$3:$B$168,K403),M403,N403-M403)))))</x:f>
      </x:c>
      <x:c r="F403" t="str">
        <x:f>IF(E403="","",IF(E403=TRIM(INDEX($A$3:$A$168,K403)),"",IF(RIGHT(TRIM(INDEX($A$3:$A$168,K403)),1)="]",LEFT(TRIM(INDEX($A$3:$A$168,K403)),LEN(TRIM(INDEX($A$3:$A$168,K403)))-1)&amp;", "&amp;SUBSTITUTE(SUBSTITUTE(SUBSTITUTE(E403," [",", "),"[",", "),"]","")&amp;"]",TRIM(INDEX($A$3:$A$168,K403))&amp;" ["&amp;SUBSTITUTE(SUBSTITUTE(SUBSTITUTE(E403," [",", "),"[",", "),"]","")&amp;"]")))</x:f>
      </x:c>
      <x:c r="G403" t="str">
        <x:f>IF(F403&lt;&gt;"",ROWS($F$3:F403)-COUNTBLANK($F$3:F403),"")</x:f>
      </x:c>
      <x:c r="H403"/>
      <x:c r="I403"/>
      <x:c r="J403"/>
      <x:c r="K403" t="str">
        <x:f>IF(ROW()-ROW($K$2)&lt;=SUM($J$3:$J$168),COUNTIF($H$3:$H$168,"&lt;"&amp;(ROW()-ROW($K$2))),"")</x:f>
      </x:c>
      <x:c r="L403" t="str">
        <x:f>IF(K403="","",ROW()-ROW($L$2)-INDEX($H$3:$H$168,K403))</x:f>
      </x:c>
      <x:c r="M403" t="str">
        <x:f>IF(K403="","",IF(L403=1,1,FIND(CHAR(1),SUBSTITUTE(INDEX($B$3:$B$168,K403),CHAR(10),CHAR(1),L403-1))+1))</x:f>
      </x:c>
      <x:c r="N403" t="str">
        <x:f>IF(K403="","",IFERROR(FIND(CHAR(1),SUBSTITUTE(INDEX($B$3:$B$168,K403),CHAR(10),CHAR(1),L403)),LEN(INDEX($B$3:$B$168,K403))+1))</x:f>
      </x:c>
    </x:row>
    <x:row r="404">
      <x:c r="A404"/>
      <x:c r="B404"/>
      <x:c r="C404"/>
      <x:c r="D404" t="str">
        <x:f>IFERROR(IF(402&lt;=$O$1,INDEX($A$3:$A$168,MATCH(402,$I$3:$I$168,0)),IF(402&lt;=$O$1+$O$2,INDEX($F$3:$F$1994,MATCH(402-$O$1,$G$3:$G$1994,0)),"")),"")</x:f>
      </x:c>
      <x:c r="E404" t="str">
        <x:f>IF(K404="","",IF(N404&lt;=M404,"",TRIM(CLEAN(MID(INDEX($B$3:$B$168,K404),M404,N404-M404)))))</x:f>
      </x:c>
      <x:c r="F404" t="str">
        <x:f>IF(E404="","",IF(E404=TRIM(INDEX($A$3:$A$168,K404)),"",IF(RIGHT(TRIM(INDEX($A$3:$A$168,K404)),1)="]",LEFT(TRIM(INDEX($A$3:$A$168,K404)),LEN(TRIM(INDEX($A$3:$A$168,K404)))-1)&amp;", "&amp;SUBSTITUTE(SUBSTITUTE(SUBSTITUTE(E404," [",", "),"[",", "),"]","")&amp;"]",TRIM(INDEX($A$3:$A$168,K404))&amp;" ["&amp;SUBSTITUTE(SUBSTITUTE(SUBSTITUTE(E404," [",", "),"[",", "),"]","")&amp;"]")))</x:f>
      </x:c>
      <x:c r="G404" t="str">
        <x:f>IF(F404&lt;&gt;"",ROWS($F$3:F404)-COUNTBLANK($F$3:F404),"")</x:f>
      </x:c>
      <x:c r="H404"/>
      <x:c r="I404"/>
      <x:c r="J404"/>
      <x:c r="K404" t="str">
        <x:f>IF(ROW()-ROW($K$2)&lt;=SUM($J$3:$J$168),COUNTIF($H$3:$H$168,"&lt;"&amp;(ROW()-ROW($K$2))),"")</x:f>
      </x:c>
      <x:c r="L404" t="str">
        <x:f>IF(K404="","",ROW()-ROW($L$2)-INDEX($H$3:$H$168,K404))</x:f>
      </x:c>
      <x:c r="M404" t="str">
        <x:f>IF(K404="","",IF(L404=1,1,FIND(CHAR(1),SUBSTITUTE(INDEX($B$3:$B$168,K404),CHAR(10),CHAR(1),L404-1))+1))</x:f>
      </x:c>
      <x:c r="N404" t="str">
        <x:f>IF(K404="","",IFERROR(FIND(CHAR(1),SUBSTITUTE(INDEX($B$3:$B$168,K404),CHAR(10),CHAR(1),L404)),LEN(INDEX($B$3:$B$168,K404))+1))</x:f>
      </x:c>
    </x:row>
    <x:row r="405">
      <x:c r="A405"/>
      <x:c r="B405"/>
      <x:c r="C405"/>
      <x:c r="D405" t="str">
        <x:f>IFERROR(IF(403&lt;=$O$1,INDEX($A$3:$A$168,MATCH(403,$I$3:$I$168,0)),IF(403&lt;=$O$1+$O$2,INDEX($F$3:$F$1994,MATCH(403-$O$1,$G$3:$G$1994,0)),"")),"")</x:f>
      </x:c>
      <x:c r="E405" t="str">
        <x:f>IF(K405="","",IF(N405&lt;=M405,"",TRIM(CLEAN(MID(INDEX($B$3:$B$168,K405),M405,N405-M405)))))</x:f>
      </x:c>
      <x:c r="F405" t="str">
        <x:f>IF(E405="","",IF(E405=TRIM(INDEX($A$3:$A$168,K405)),"",IF(RIGHT(TRIM(INDEX($A$3:$A$168,K405)),1)="]",LEFT(TRIM(INDEX($A$3:$A$168,K405)),LEN(TRIM(INDEX($A$3:$A$168,K405)))-1)&amp;", "&amp;SUBSTITUTE(SUBSTITUTE(SUBSTITUTE(E405," [",", "),"[",", "),"]","")&amp;"]",TRIM(INDEX($A$3:$A$168,K405))&amp;" ["&amp;SUBSTITUTE(SUBSTITUTE(SUBSTITUTE(E405," [",", "),"[",", "),"]","")&amp;"]")))</x:f>
      </x:c>
      <x:c r="G405" t="str">
        <x:f>IF(F405&lt;&gt;"",ROWS($F$3:F405)-COUNTBLANK($F$3:F405),"")</x:f>
      </x:c>
      <x:c r="H405"/>
      <x:c r="I405"/>
      <x:c r="J405"/>
      <x:c r="K405" t="str">
        <x:f>IF(ROW()-ROW($K$2)&lt;=SUM($J$3:$J$168),COUNTIF($H$3:$H$168,"&lt;"&amp;(ROW()-ROW($K$2))),"")</x:f>
      </x:c>
      <x:c r="L405" t="str">
        <x:f>IF(K405="","",ROW()-ROW($L$2)-INDEX($H$3:$H$168,K405))</x:f>
      </x:c>
      <x:c r="M405" t="str">
        <x:f>IF(K405="","",IF(L405=1,1,FIND(CHAR(1),SUBSTITUTE(INDEX($B$3:$B$168,K405),CHAR(10),CHAR(1),L405-1))+1))</x:f>
      </x:c>
      <x:c r="N405" t="str">
        <x:f>IF(K405="","",IFERROR(FIND(CHAR(1),SUBSTITUTE(INDEX($B$3:$B$168,K405),CHAR(10),CHAR(1),L405)),LEN(INDEX($B$3:$B$168,K405))+1))</x:f>
      </x:c>
    </x:row>
    <x:row r="406">
      <x:c r="A406"/>
      <x:c r="B406"/>
      <x:c r="C406"/>
      <x:c r="D406" t="str">
        <x:f>IFERROR(IF(404&lt;=$O$1,INDEX($A$3:$A$168,MATCH(404,$I$3:$I$168,0)),IF(404&lt;=$O$1+$O$2,INDEX($F$3:$F$1994,MATCH(404-$O$1,$G$3:$G$1994,0)),"")),"")</x:f>
      </x:c>
      <x:c r="E406" t="str">
        <x:f>IF(K406="","",IF(N406&lt;=M406,"",TRIM(CLEAN(MID(INDEX($B$3:$B$168,K406),M406,N406-M406)))))</x:f>
      </x:c>
      <x:c r="F406" t="str">
        <x:f>IF(E406="","",IF(E406=TRIM(INDEX($A$3:$A$168,K406)),"",IF(RIGHT(TRIM(INDEX($A$3:$A$168,K406)),1)="]",LEFT(TRIM(INDEX($A$3:$A$168,K406)),LEN(TRIM(INDEX($A$3:$A$168,K406)))-1)&amp;", "&amp;SUBSTITUTE(SUBSTITUTE(SUBSTITUTE(E406," [",", "),"[",", "),"]","")&amp;"]",TRIM(INDEX($A$3:$A$168,K406))&amp;" ["&amp;SUBSTITUTE(SUBSTITUTE(SUBSTITUTE(E406," [",", "),"[",", "),"]","")&amp;"]")))</x:f>
      </x:c>
      <x:c r="G406" t="str">
        <x:f>IF(F406&lt;&gt;"",ROWS($F$3:F406)-COUNTBLANK($F$3:F406),"")</x:f>
      </x:c>
      <x:c r="H406"/>
      <x:c r="I406"/>
      <x:c r="J406"/>
      <x:c r="K406" t="str">
        <x:f>IF(ROW()-ROW($K$2)&lt;=SUM($J$3:$J$168),COUNTIF($H$3:$H$168,"&lt;"&amp;(ROW()-ROW($K$2))),"")</x:f>
      </x:c>
      <x:c r="L406" t="str">
        <x:f>IF(K406="","",ROW()-ROW($L$2)-INDEX($H$3:$H$168,K406))</x:f>
      </x:c>
      <x:c r="M406" t="str">
        <x:f>IF(K406="","",IF(L406=1,1,FIND(CHAR(1),SUBSTITUTE(INDEX($B$3:$B$168,K406),CHAR(10),CHAR(1),L406-1))+1))</x:f>
      </x:c>
      <x:c r="N406" t="str">
        <x:f>IF(K406="","",IFERROR(FIND(CHAR(1),SUBSTITUTE(INDEX($B$3:$B$168,K406),CHAR(10),CHAR(1),L406)),LEN(INDEX($B$3:$B$168,K406))+1))</x:f>
      </x:c>
    </x:row>
    <x:row r="407">
      <x:c r="A407"/>
      <x:c r="B407"/>
      <x:c r="C407"/>
      <x:c r="D407" t="str">
        <x:f>IFERROR(IF(405&lt;=$O$1,INDEX($A$3:$A$168,MATCH(405,$I$3:$I$168,0)),IF(405&lt;=$O$1+$O$2,INDEX($F$3:$F$1994,MATCH(405-$O$1,$G$3:$G$1994,0)),"")),"")</x:f>
      </x:c>
      <x:c r="E407" t="str">
        <x:f>IF(K407="","",IF(N407&lt;=M407,"",TRIM(CLEAN(MID(INDEX($B$3:$B$168,K407),M407,N407-M407)))))</x:f>
      </x:c>
      <x:c r="F407" t="str">
        <x:f>IF(E407="","",IF(E407=TRIM(INDEX($A$3:$A$168,K407)),"",IF(RIGHT(TRIM(INDEX($A$3:$A$168,K407)),1)="]",LEFT(TRIM(INDEX($A$3:$A$168,K407)),LEN(TRIM(INDEX($A$3:$A$168,K407)))-1)&amp;", "&amp;SUBSTITUTE(SUBSTITUTE(SUBSTITUTE(E407," [",", "),"[",", "),"]","")&amp;"]",TRIM(INDEX($A$3:$A$168,K407))&amp;" ["&amp;SUBSTITUTE(SUBSTITUTE(SUBSTITUTE(E407," [",", "),"[",", "),"]","")&amp;"]")))</x:f>
      </x:c>
      <x:c r="G407" t="str">
        <x:f>IF(F407&lt;&gt;"",ROWS($F$3:F407)-COUNTBLANK($F$3:F407),"")</x:f>
      </x:c>
      <x:c r="H407"/>
      <x:c r="I407"/>
      <x:c r="J407"/>
      <x:c r="K407" t="str">
        <x:f>IF(ROW()-ROW($K$2)&lt;=SUM($J$3:$J$168),COUNTIF($H$3:$H$168,"&lt;"&amp;(ROW()-ROW($K$2))),"")</x:f>
      </x:c>
      <x:c r="L407" t="str">
        <x:f>IF(K407="","",ROW()-ROW($L$2)-INDEX($H$3:$H$168,K407))</x:f>
      </x:c>
      <x:c r="M407" t="str">
        <x:f>IF(K407="","",IF(L407=1,1,FIND(CHAR(1),SUBSTITUTE(INDEX($B$3:$B$168,K407),CHAR(10),CHAR(1),L407-1))+1))</x:f>
      </x:c>
      <x:c r="N407" t="str">
        <x:f>IF(K407="","",IFERROR(FIND(CHAR(1),SUBSTITUTE(INDEX($B$3:$B$168,K407),CHAR(10),CHAR(1),L407)),LEN(INDEX($B$3:$B$168,K407))+1))</x:f>
      </x:c>
    </x:row>
    <x:row r="408">
      <x:c r="A408"/>
      <x:c r="B408"/>
      <x:c r="C408"/>
      <x:c r="D408" t="str">
        <x:f>IFERROR(IF(406&lt;=$O$1,INDEX($A$3:$A$168,MATCH(406,$I$3:$I$168,0)),IF(406&lt;=$O$1+$O$2,INDEX($F$3:$F$1994,MATCH(406-$O$1,$G$3:$G$1994,0)),"")),"")</x:f>
      </x:c>
      <x:c r="E408" t="str">
        <x:f>IF(K408="","",IF(N408&lt;=M408,"",TRIM(CLEAN(MID(INDEX($B$3:$B$168,K408),M408,N408-M408)))))</x:f>
      </x:c>
      <x:c r="F408" t="str">
        <x:f>IF(E408="","",IF(E408=TRIM(INDEX($A$3:$A$168,K408)),"",IF(RIGHT(TRIM(INDEX($A$3:$A$168,K408)),1)="]",LEFT(TRIM(INDEX($A$3:$A$168,K408)),LEN(TRIM(INDEX($A$3:$A$168,K408)))-1)&amp;", "&amp;SUBSTITUTE(SUBSTITUTE(SUBSTITUTE(E408," [",", "),"[",", "),"]","")&amp;"]",TRIM(INDEX($A$3:$A$168,K408))&amp;" ["&amp;SUBSTITUTE(SUBSTITUTE(SUBSTITUTE(E408," [",", "),"[",", "),"]","")&amp;"]")))</x:f>
      </x:c>
      <x:c r="G408" t="str">
        <x:f>IF(F408&lt;&gt;"",ROWS($F$3:F408)-COUNTBLANK($F$3:F408),"")</x:f>
      </x:c>
      <x:c r="H408"/>
      <x:c r="I408"/>
      <x:c r="J408"/>
      <x:c r="K408" t="str">
        <x:f>IF(ROW()-ROW($K$2)&lt;=SUM($J$3:$J$168),COUNTIF($H$3:$H$168,"&lt;"&amp;(ROW()-ROW($K$2))),"")</x:f>
      </x:c>
      <x:c r="L408" t="str">
        <x:f>IF(K408="","",ROW()-ROW($L$2)-INDEX($H$3:$H$168,K408))</x:f>
      </x:c>
      <x:c r="M408" t="str">
        <x:f>IF(K408="","",IF(L408=1,1,FIND(CHAR(1),SUBSTITUTE(INDEX($B$3:$B$168,K408),CHAR(10),CHAR(1),L408-1))+1))</x:f>
      </x:c>
      <x:c r="N408" t="str">
        <x:f>IF(K408="","",IFERROR(FIND(CHAR(1),SUBSTITUTE(INDEX($B$3:$B$168,K408),CHAR(10),CHAR(1),L408)),LEN(INDEX($B$3:$B$168,K408))+1))</x:f>
      </x:c>
    </x:row>
    <x:row r="409">
      <x:c r="A409"/>
      <x:c r="B409"/>
      <x:c r="C409"/>
      <x:c r="D409" t="str">
        <x:f>IFERROR(IF(407&lt;=$O$1,INDEX($A$3:$A$168,MATCH(407,$I$3:$I$168,0)),IF(407&lt;=$O$1+$O$2,INDEX($F$3:$F$1994,MATCH(407-$O$1,$G$3:$G$1994,0)),"")),"")</x:f>
      </x:c>
      <x:c r="E409" t="str">
        <x:f>IF(K409="","",IF(N409&lt;=M409,"",TRIM(CLEAN(MID(INDEX($B$3:$B$168,K409),M409,N409-M409)))))</x:f>
      </x:c>
      <x:c r="F409" t="str">
        <x:f>IF(E409="","",IF(E409=TRIM(INDEX($A$3:$A$168,K409)),"",IF(RIGHT(TRIM(INDEX($A$3:$A$168,K409)),1)="]",LEFT(TRIM(INDEX($A$3:$A$168,K409)),LEN(TRIM(INDEX($A$3:$A$168,K409)))-1)&amp;", "&amp;SUBSTITUTE(SUBSTITUTE(SUBSTITUTE(E409," [",", "),"[",", "),"]","")&amp;"]",TRIM(INDEX($A$3:$A$168,K409))&amp;" ["&amp;SUBSTITUTE(SUBSTITUTE(SUBSTITUTE(E409," [",", "),"[",", "),"]","")&amp;"]")))</x:f>
      </x:c>
      <x:c r="G409" t="str">
        <x:f>IF(F409&lt;&gt;"",ROWS($F$3:F409)-COUNTBLANK($F$3:F409),"")</x:f>
      </x:c>
      <x:c r="H409"/>
      <x:c r="I409"/>
      <x:c r="J409"/>
      <x:c r="K409" t="str">
        <x:f>IF(ROW()-ROW($K$2)&lt;=SUM($J$3:$J$168),COUNTIF($H$3:$H$168,"&lt;"&amp;(ROW()-ROW($K$2))),"")</x:f>
      </x:c>
      <x:c r="L409" t="str">
        <x:f>IF(K409="","",ROW()-ROW($L$2)-INDEX($H$3:$H$168,K409))</x:f>
      </x:c>
      <x:c r="M409" t="str">
        <x:f>IF(K409="","",IF(L409=1,1,FIND(CHAR(1),SUBSTITUTE(INDEX($B$3:$B$168,K409),CHAR(10),CHAR(1),L409-1))+1))</x:f>
      </x:c>
      <x:c r="N409" t="str">
        <x:f>IF(K409="","",IFERROR(FIND(CHAR(1),SUBSTITUTE(INDEX($B$3:$B$168,K409),CHAR(10),CHAR(1),L409)),LEN(INDEX($B$3:$B$168,K409))+1))</x:f>
      </x:c>
    </x:row>
    <x:row r="410">
      <x:c r="A410"/>
      <x:c r="B410"/>
      <x:c r="C410"/>
      <x:c r="D410" t="str">
        <x:f>IFERROR(IF(408&lt;=$O$1,INDEX($A$3:$A$168,MATCH(408,$I$3:$I$168,0)),IF(408&lt;=$O$1+$O$2,INDEX($F$3:$F$1994,MATCH(408-$O$1,$G$3:$G$1994,0)),"")),"")</x:f>
      </x:c>
      <x:c r="E410" t="str">
        <x:f>IF(K410="","",IF(N410&lt;=M410,"",TRIM(CLEAN(MID(INDEX($B$3:$B$168,K410),M410,N410-M410)))))</x:f>
      </x:c>
      <x:c r="F410" t="str">
        <x:f>IF(E410="","",IF(E410=TRIM(INDEX($A$3:$A$168,K410)),"",IF(RIGHT(TRIM(INDEX($A$3:$A$168,K410)),1)="]",LEFT(TRIM(INDEX($A$3:$A$168,K410)),LEN(TRIM(INDEX($A$3:$A$168,K410)))-1)&amp;", "&amp;SUBSTITUTE(SUBSTITUTE(SUBSTITUTE(E410," [",", "),"[",", "),"]","")&amp;"]",TRIM(INDEX($A$3:$A$168,K410))&amp;" ["&amp;SUBSTITUTE(SUBSTITUTE(SUBSTITUTE(E410," [",", "),"[",", "),"]","")&amp;"]")))</x:f>
      </x:c>
      <x:c r="G410" t="str">
        <x:f>IF(F410&lt;&gt;"",ROWS($F$3:F410)-COUNTBLANK($F$3:F410),"")</x:f>
      </x:c>
      <x:c r="H410"/>
      <x:c r="I410"/>
      <x:c r="J410"/>
      <x:c r="K410" t="str">
        <x:f>IF(ROW()-ROW($K$2)&lt;=SUM($J$3:$J$168),COUNTIF($H$3:$H$168,"&lt;"&amp;(ROW()-ROW($K$2))),"")</x:f>
      </x:c>
      <x:c r="L410" t="str">
        <x:f>IF(K410="","",ROW()-ROW($L$2)-INDEX($H$3:$H$168,K410))</x:f>
      </x:c>
      <x:c r="M410" t="str">
        <x:f>IF(K410="","",IF(L410=1,1,FIND(CHAR(1),SUBSTITUTE(INDEX($B$3:$B$168,K410),CHAR(10),CHAR(1),L410-1))+1))</x:f>
      </x:c>
      <x:c r="N410" t="str">
        <x:f>IF(K410="","",IFERROR(FIND(CHAR(1),SUBSTITUTE(INDEX($B$3:$B$168,K410),CHAR(10),CHAR(1),L410)),LEN(INDEX($B$3:$B$168,K410))+1))</x:f>
      </x:c>
    </x:row>
    <x:row r="411">
      <x:c r="A411"/>
      <x:c r="B411"/>
      <x:c r="C411"/>
      <x:c r="D411" t="str">
        <x:f>IFERROR(IF(409&lt;=$O$1,INDEX($A$3:$A$168,MATCH(409,$I$3:$I$168,0)),IF(409&lt;=$O$1+$O$2,INDEX($F$3:$F$1994,MATCH(409-$O$1,$G$3:$G$1994,0)),"")),"")</x:f>
      </x:c>
      <x:c r="E411" t="str">
        <x:f>IF(K411="","",IF(N411&lt;=M411,"",TRIM(CLEAN(MID(INDEX($B$3:$B$168,K411),M411,N411-M411)))))</x:f>
      </x:c>
      <x:c r="F411" t="str">
        <x:f>IF(E411="","",IF(E411=TRIM(INDEX($A$3:$A$168,K411)),"",IF(RIGHT(TRIM(INDEX($A$3:$A$168,K411)),1)="]",LEFT(TRIM(INDEX($A$3:$A$168,K411)),LEN(TRIM(INDEX($A$3:$A$168,K411)))-1)&amp;", "&amp;SUBSTITUTE(SUBSTITUTE(SUBSTITUTE(E411," [",", "),"[",", "),"]","")&amp;"]",TRIM(INDEX($A$3:$A$168,K411))&amp;" ["&amp;SUBSTITUTE(SUBSTITUTE(SUBSTITUTE(E411," [",", "),"[",", "),"]","")&amp;"]")))</x:f>
      </x:c>
      <x:c r="G411" t="str">
        <x:f>IF(F411&lt;&gt;"",ROWS($F$3:F411)-COUNTBLANK($F$3:F411),"")</x:f>
      </x:c>
      <x:c r="H411"/>
      <x:c r="I411"/>
      <x:c r="J411"/>
      <x:c r="K411" t="str">
        <x:f>IF(ROW()-ROW($K$2)&lt;=SUM($J$3:$J$168),COUNTIF($H$3:$H$168,"&lt;"&amp;(ROW()-ROW($K$2))),"")</x:f>
      </x:c>
      <x:c r="L411" t="str">
        <x:f>IF(K411="","",ROW()-ROW($L$2)-INDEX($H$3:$H$168,K411))</x:f>
      </x:c>
      <x:c r="M411" t="str">
        <x:f>IF(K411="","",IF(L411=1,1,FIND(CHAR(1),SUBSTITUTE(INDEX($B$3:$B$168,K411),CHAR(10),CHAR(1),L411-1))+1))</x:f>
      </x:c>
      <x:c r="N411" t="str">
        <x:f>IF(K411="","",IFERROR(FIND(CHAR(1),SUBSTITUTE(INDEX($B$3:$B$168,K411),CHAR(10),CHAR(1),L411)),LEN(INDEX($B$3:$B$168,K411))+1))</x:f>
      </x:c>
    </x:row>
    <x:row r="412">
      <x:c r="A412"/>
      <x:c r="B412"/>
      <x:c r="C412"/>
      <x:c r="D412" t="str">
        <x:f>IFERROR(IF(410&lt;=$O$1,INDEX($A$3:$A$168,MATCH(410,$I$3:$I$168,0)),IF(410&lt;=$O$1+$O$2,INDEX($F$3:$F$1994,MATCH(410-$O$1,$G$3:$G$1994,0)),"")),"")</x:f>
      </x:c>
      <x:c r="E412" t="str">
        <x:f>IF(K412="","",IF(N412&lt;=M412,"",TRIM(CLEAN(MID(INDEX($B$3:$B$168,K412),M412,N412-M412)))))</x:f>
      </x:c>
      <x:c r="F412" t="str">
        <x:f>IF(E412="","",IF(E412=TRIM(INDEX($A$3:$A$168,K412)),"",IF(RIGHT(TRIM(INDEX($A$3:$A$168,K412)),1)="]",LEFT(TRIM(INDEX($A$3:$A$168,K412)),LEN(TRIM(INDEX($A$3:$A$168,K412)))-1)&amp;", "&amp;SUBSTITUTE(SUBSTITUTE(SUBSTITUTE(E412," [",", "),"[",", "),"]","")&amp;"]",TRIM(INDEX($A$3:$A$168,K412))&amp;" ["&amp;SUBSTITUTE(SUBSTITUTE(SUBSTITUTE(E412," [",", "),"[",", "),"]","")&amp;"]")))</x:f>
      </x:c>
      <x:c r="G412" t="str">
        <x:f>IF(F412&lt;&gt;"",ROWS($F$3:F412)-COUNTBLANK($F$3:F412),"")</x:f>
      </x:c>
      <x:c r="H412"/>
      <x:c r="I412"/>
      <x:c r="J412"/>
      <x:c r="K412" t="str">
        <x:f>IF(ROW()-ROW($K$2)&lt;=SUM($J$3:$J$168),COUNTIF($H$3:$H$168,"&lt;"&amp;(ROW()-ROW($K$2))),"")</x:f>
      </x:c>
      <x:c r="L412" t="str">
        <x:f>IF(K412="","",ROW()-ROW($L$2)-INDEX($H$3:$H$168,K412))</x:f>
      </x:c>
      <x:c r="M412" t="str">
        <x:f>IF(K412="","",IF(L412=1,1,FIND(CHAR(1),SUBSTITUTE(INDEX($B$3:$B$168,K412),CHAR(10),CHAR(1),L412-1))+1))</x:f>
      </x:c>
      <x:c r="N412" t="str">
        <x:f>IF(K412="","",IFERROR(FIND(CHAR(1),SUBSTITUTE(INDEX($B$3:$B$168,K412),CHAR(10),CHAR(1),L412)),LEN(INDEX($B$3:$B$168,K412))+1))</x:f>
      </x:c>
    </x:row>
    <x:row r="413">
      <x:c r="A413"/>
      <x:c r="B413"/>
      <x:c r="C413"/>
      <x:c r="D413" t="str">
        <x:f>IFERROR(IF(411&lt;=$O$1,INDEX($A$3:$A$168,MATCH(411,$I$3:$I$168,0)),IF(411&lt;=$O$1+$O$2,INDEX($F$3:$F$1994,MATCH(411-$O$1,$G$3:$G$1994,0)),"")),"")</x:f>
      </x:c>
      <x:c r="E413" t="str">
        <x:f>IF(K413="","",IF(N413&lt;=M413,"",TRIM(CLEAN(MID(INDEX($B$3:$B$168,K413),M413,N413-M413)))))</x:f>
      </x:c>
      <x:c r="F413" t="str">
        <x:f>IF(E413="","",IF(E413=TRIM(INDEX($A$3:$A$168,K413)),"",IF(RIGHT(TRIM(INDEX($A$3:$A$168,K413)),1)="]",LEFT(TRIM(INDEX($A$3:$A$168,K413)),LEN(TRIM(INDEX($A$3:$A$168,K413)))-1)&amp;", "&amp;SUBSTITUTE(SUBSTITUTE(SUBSTITUTE(E413," [",", "),"[",", "),"]","")&amp;"]",TRIM(INDEX($A$3:$A$168,K413))&amp;" ["&amp;SUBSTITUTE(SUBSTITUTE(SUBSTITUTE(E413," [",", "),"[",", "),"]","")&amp;"]")))</x:f>
      </x:c>
      <x:c r="G413" t="str">
        <x:f>IF(F413&lt;&gt;"",ROWS($F$3:F413)-COUNTBLANK($F$3:F413),"")</x:f>
      </x:c>
      <x:c r="H413"/>
      <x:c r="I413"/>
      <x:c r="J413"/>
      <x:c r="K413" t="str">
        <x:f>IF(ROW()-ROW($K$2)&lt;=SUM($J$3:$J$168),COUNTIF($H$3:$H$168,"&lt;"&amp;(ROW()-ROW($K$2))),"")</x:f>
      </x:c>
      <x:c r="L413" t="str">
        <x:f>IF(K413="","",ROW()-ROW($L$2)-INDEX($H$3:$H$168,K413))</x:f>
      </x:c>
      <x:c r="M413" t="str">
        <x:f>IF(K413="","",IF(L413=1,1,FIND(CHAR(1),SUBSTITUTE(INDEX($B$3:$B$168,K413),CHAR(10),CHAR(1),L413-1))+1))</x:f>
      </x:c>
      <x:c r="N413" t="str">
        <x:f>IF(K413="","",IFERROR(FIND(CHAR(1),SUBSTITUTE(INDEX($B$3:$B$168,K413),CHAR(10),CHAR(1),L413)),LEN(INDEX($B$3:$B$168,K413))+1))</x:f>
      </x:c>
    </x:row>
    <x:row r="414">
      <x:c r="A414"/>
      <x:c r="B414"/>
      <x:c r="C414"/>
      <x:c r="D414" t="str">
        <x:f>IFERROR(IF(412&lt;=$O$1,INDEX($A$3:$A$168,MATCH(412,$I$3:$I$168,0)),IF(412&lt;=$O$1+$O$2,INDEX($F$3:$F$1994,MATCH(412-$O$1,$G$3:$G$1994,0)),"")),"")</x:f>
      </x:c>
      <x:c r="E414" t="str">
        <x:f>IF(K414="","",IF(N414&lt;=M414,"",TRIM(CLEAN(MID(INDEX($B$3:$B$168,K414),M414,N414-M414)))))</x:f>
      </x:c>
      <x:c r="F414" t="str">
        <x:f>IF(E414="","",IF(E414=TRIM(INDEX($A$3:$A$168,K414)),"",IF(RIGHT(TRIM(INDEX($A$3:$A$168,K414)),1)="]",LEFT(TRIM(INDEX($A$3:$A$168,K414)),LEN(TRIM(INDEX($A$3:$A$168,K414)))-1)&amp;", "&amp;SUBSTITUTE(SUBSTITUTE(SUBSTITUTE(E414," [",", "),"[",", "),"]","")&amp;"]",TRIM(INDEX($A$3:$A$168,K414))&amp;" ["&amp;SUBSTITUTE(SUBSTITUTE(SUBSTITUTE(E414," [",", "),"[",", "),"]","")&amp;"]")))</x:f>
      </x:c>
      <x:c r="G414" t="str">
        <x:f>IF(F414&lt;&gt;"",ROWS($F$3:F414)-COUNTBLANK($F$3:F414),"")</x:f>
      </x:c>
      <x:c r="H414"/>
      <x:c r="I414"/>
      <x:c r="J414"/>
      <x:c r="K414" t="str">
        <x:f>IF(ROW()-ROW($K$2)&lt;=SUM($J$3:$J$168),COUNTIF($H$3:$H$168,"&lt;"&amp;(ROW()-ROW($K$2))),"")</x:f>
      </x:c>
      <x:c r="L414" t="str">
        <x:f>IF(K414="","",ROW()-ROW($L$2)-INDEX($H$3:$H$168,K414))</x:f>
      </x:c>
      <x:c r="M414" t="str">
        <x:f>IF(K414="","",IF(L414=1,1,FIND(CHAR(1),SUBSTITUTE(INDEX($B$3:$B$168,K414),CHAR(10),CHAR(1),L414-1))+1))</x:f>
      </x:c>
      <x:c r="N414" t="str">
        <x:f>IF(K414="","",IFERROR(FIND(CHAR(1),SUBSTITUTE(INDEX($B$3:$B$168,K414),CHAR(10),CHAR(1),L414)),LEN(INDEX($B$3:$B$168,K414))+1))</x:f>
      </x:c>
    </x:row>
    <x:row r="415">
      <x:c r="A415"/>
      <x:c r="B415"/>
      <x:c r="C415"/>
      <x:c r="D415" t="str">
        <x:f>IFERROR(IF(413&lt;=$O$1,INDEX($A$3:$A$168,MATCH(413,$I$3:$I$168,0)),IF(413&lt;=$O$1+$O$2,INDEX($F$3:$F$1994,MATCH(413-$O$1,$G$3:$G$1994,0)),"")),"")</x:f>
      </x:c>
      <x:c r="E415" t="str">
        <x:f>IF(K415="","",IF(N415&lt;=M415,"",TRIM(CLEAN(MID(INDEX($B$3:$B$168,K415),M415,N415-M415)))))</x:f>
      </x:c>
      <x:c r="F415" t="str">
        <x:f>IF(E415="","",IF(E415=TRIM(INDEX($A$3:$A$168,K415)),"",IF(RIGHT(TRIM(INDEX($A$3:$A$168,K415)),1)="]",LEFT(TRIM(INDEX($A$3:$A$168,K415)),LEN(TRIM(INDEX($A$3:$A$168,K415)))-1)&amp;", "&amp;SUBSTITUTE(SUBSTITUTE(SUBSTITUTE(E415," [",", "),"[",", "),"]","")&amp;"]",TRIM(INDEX($A$3:$A$168,K415))&amp;" ["&amp;SUBSTITUTE(SUBSTITUTE(SUBSTITUTE(E415," [",", "),"[",", "),"]","")&amp;"]")))</x:f>
      </x:c>
      <x:c r="G415" t="str">
        <x:f>IF(F415&lt;&gt;"",ROWS($F$3:F415)-COUNTBLANK($F$3:F415),"")</x:f>
      </x:c>
      <x:c r="H415"/>
      <x:c r="I415"/>
      <x:c r="J415"/>
      <x:c r="K415" t="str">
        <x:f>IF(ROW()-ROW($K$2)&lt;=SUM($J$3:$J$168),COUNTIF($H$3:$H$168,"&lt;"&amp;(ROW()-ROW($K$2))),"")</x:f>
      </x:c>
      <x:c r="L415" t="str">
        <x:f>IF(K415="","",ROW()-ROW($L$2)-INDEX($H$3:$H$168,K415))</x:f>
      </x:c>
      <x:c r="M415" t="str">
        <x:f>IF(K415="","",IF(L415=1,1,FIND(CHAR(1),SUBSTITUTE(INDEX($B$3:$B$168,K415),CHAR(10),CHAR(1),L415-1))+1))</x:f>
      </x:c>
      <x:c r="N415" t="str">
        <x:f>IF(K415="","",IFERROR(FIND(CHAR(1),SUBSTITUTE(INDEX($B$3:$B$168,K415),CHAR(10),CHAR(1),L415)),LEN(INDEX($B$3:$B$168,K415))+1))</x:f>
      </x:c>
    </x:row>
    <x:row r="416">
      <x:c r="A416"/>
      <x:c r="B416"/>
      <x:c r="C416"/>
      <x:c r="D416" t="str">
        <x:f>IFERROR(IF(414&lt;=$O$1,INDEX($A$3:$A$168,MATCH(414,$I$3:$I$168,0)),IF(414&lt;=$O$1+$O$2,INDEX($F$3:$F$1994,MATCH(414-$O$1,$G$3:$G$1994,0)),"")),"")</x:f>
      </x:c>
      <x:c r="E416" t="str">
        <x:f>IF(K416="","",IF(N416&lt;=M416,"",TRIM(CLEAN(MID(INDEX($B$3:$B$168,K416),M416,N416-M416)))))</x:f>
      </x:c>
      <x:c r="F416" t="str">
        <x:f>IF(E416="","",IF(E416=TRIM(INDEX($A$3:$A$168,K416)),"",IF(RIGHT(TRIM(INDEX($A$3:$A$168,K416)),1)="]",LEFT(TRIM(INDEX($A$3:$A$168,K416)),LEN(TRIM(INDEX($A$3:$A$168,K416)))-1)&amp;", "&amp;SUBSTITUTE(SUBSTITUTE(SUBSTITUTE(E416," [",", "),"[",", "),"]","")&amp;"]",TRIM(INDEX($A$3:$A$168,K416))&amp;" ["&amp;SUBSTITUTE(SUBSTITUTE(SUBSTITUTE(E416," [",", "),"[",", "),"]","")&amp;"]")))</x:f>
      </x:c>
      <x:c r="G416" t="str">
        <x:f>IF(F416&lt;&gt;"",ROWS($F$3:F416)-COUNTBLANK($F$3:F416),"")</x:f>
      </x:c>
      <x:c r="H416"/>
      <x:c r="I416"/>
      <x:c r="J416"/>
      <x:c r="K416" t="str">
        <x:f>IF(ROW()-ROW($K$2)&lt;=SUM($J$3:$J$168),COUNTIF($H$3:$H$168,"&lt;"&amp;(ROW()-ROW($K$2))),"")</x:f>
      </x:c>
      <x:c r="L416" t="str">
        <x:f>IF(K416="","",ROW()-ROW($L$2)-INDEX($H$3:$H$168,K416))</x:f>
      </x:c>
      <x:c r="M416" t="str">
        <x:f>IF(K416="","",IF(L416=1,1,FIND(CHAR(1),SUBSTITUTE(INDEX($B$3:$B$168,K416),CHAR(10),CHAR(1),L416-1))+1))</x:f>
      </x:c>
      <x:c r="N416" t="str">
        <x:f>IF(K416="","",IFERROR(FIND(CHAR(1),SUBSTITUTE(INDEX($B$3:$B$168,K416),CHAR(10),CHAR(1),L416)),LEN(INDEX($B$3:$B$168,K416))+1))</x:f>
      </x:c>
    </x:row>
    <x:row r="417">
      <x:c r="A417"/>
      <x:c r="B417"/>
      <x:c r="C417"/>
      <x:c r="D417" t="str">
        <x:f>IFERROR(IF(415&lt;=$O$1,INDEX($A$3:$A$168,MATCH(415,$I$3:$I$168,0)),IF(415&lt;=$O$1+$O$2,INDEX($F$3:$F$1994,MATCH(415-$O$1,$G$3:$G$1994,0)),"")),"")</x:f>
      </x:c>
      <x:c r="E417" t="str">
        <x:f>IF(K417="","",IF(N417&lt;=M417,"",TRIM(CLEAN(MID(INDEX($B$3:$B$168,K417),M417,N417-M417)))))</x:f>
      </x:c>
      <x:c r="F417" t="str">
        <x:f>IF(E417="","",IF(E417=TRIM(INDEX($A$3:$A$168,K417)),"",IF(RIGHT(TRIM(INDEX($A$3:$A$168,K417)),1)="]",LEFT(TRIM(INDEX($A$3:$A$168,K417)),LEN(TRIM(INDEX($A$3:$A$168,K417)))-1)&amp;", "&amp;SUBSTITUTE(SUBSTITUTE(SUBSTITUTE(E417," [",", "),"[",", "),"]","")&amp;"]",TRIM(INDEX($A$3:$A$168,K417))&amp;" ["&amp;SUBSTITUTE(SUBSTITUTE(SUBSTITUTE(E417," [",", "),"[",", "),"]","")&amp;"]")))</x:f>
      </x:c>
      <x:c r="G417" t="str">
        <x:f>IF(F417&lt;&gt;"",ROWS($F$3:F417)-COUNTBLANK($F$3:F417),"")</x:f>
      </x:c>
      <x:c r="H417"/>
      <x:c r="I417"/>
      <x:c r="J417"/>
      <x:c r="K417" t="str">
        <x:f>IF(ROW()-ROW($K$2)&lt;=SUM($J$3:$J$168),COUNTIF($H$3:$H$168,"&lt;"&amp;(ROW()-ROW($K$2))),"")</x:f>
      </x:c>
      <x:c r="L417" t="str">
        <x:f>IF(K417="","",ROW()-ROW($L$2)-INDEX($H$3:$H$168,K417))</x:f>
      </x:c>
      <x:c r="M417" t="str">
        <x:f>IF(K417="","",IF(L417=1,1,FIND(CHAR(1),SUBSTITUTE(INDEX($B$3:$B$168,K417),CHAR(10),CHAR(1),L417-1))+1))</x:f>
      </x:c>
      <x:c r="N417" t="str">
        <x:f>IF(K417="","",IFERROR(FIND(CHAR(1),SUBSTITUTE(INDEX($B$3:$B$168,K417),CHAR(10),CHAR(1),L417)),LEN(INDEX($B$3:$B$168,K417))+1))</x:f>
      </x:c>
    </x:row>
    <x:row r="418">
      <x:c r="A418"/>
      <x:c r="B418"/>
      <x:c r="C418"/>
      <x:c r="D418" t="str">
        <x:f>IFERROR(IF(416&lt;=$O$1,INDEX($A$3:$A$168,MATCH(416,$I$3:$I$168,0)),IF(416&lt;=$O$1+$O$2,INDEX($F$3:$F$1994,MATCH(416-$O$1,$G$3:$G$1994,0)),"")),"")</x:f>
      </x:c>
      <x:c r="E418" t="str">
        <x:f>IF(K418="","",IF(N418&lt;=M418,"",TRIM(CLEAN(MID(INDEX($B$3:$B$168,K418),M418,N418-M418)))))</x:f>
      </x:c>
      <x:c r="F418" t="str">
        <x:f>IF(E418="","",IF(E418=TRIM(INDEX($A$3:$A$168,K418)),"",IF(RIGHT(TRIM(INDEX($A$3:$A$168,K418)),1)="]",LEFT(TRIM(INDEX($A$3:$A$168,K418)),LEN(TRIM(INDEX($A$3:$A$168,K418)))-1)&amp;", "&amp;SUBSTITUTE(SUBSTITUTE(SUBSTITUTE(E418," [",", "),"[",", "),"]","")&amp;"]",TRIM(INDEX($A$3:$A$168,K418))&amp;" ["&amp;SUBSTITUTE(SUBSTITUTE(SUBSTITUTE(E418," [",", "),"[",", "),"]","")&amp;"]")))</x:f>
      </x:c>
      <x:c r="G418" t="str">
        <x:f>IF(F418&lt;&gt;"",ROWS($F$3:F418)-COUNTBLANK($F$3:F418),"")</x:f>
      </x:c>
      <x:c r="H418"/>
      <x:c r="I418"/>
      <x:c r="J418"/>
      <x:c r="K418" t="str">
        <x:f>IF(ROW()-ROW($K$2)&lt;=SUM($J$3:$J$168),COUNTIF($H$3:$H$168,"&lt;"&amp;(ROW()-ROW($K$2))),"")</x:f>
      </x:c>
      <x:c r="L418" t="str">
        <x:f>IF(K418="","",ROW()-ROW($L$2)-INDEX($H$3:$H$168,K418))</x:f>
      </x:c>
      <x:c r="M418" t="str">
        <x:f>IF(K418="","",IF(L418=1,1,FIND(CHAR(1),SUBSTITUTE(INDEX($B$3:$B$168,K418),CHAR(10),CHAR(1),L418-1))+1))</x:f>
      </x:c>
      <x:c r="N418" t="str">
        <x:f>IF(K418="","",IFERROR(FIND(CHAR(1),SUBSTITUTE(INDEX($B$3:$B$168,K418),CHAR(10),CHAR(1),L418)),LEN(INDEX($B$3:$B$168,K418))+1))</x:f>
      </x:c>
    </x:row>
    <x:row r="419">
      <x:c r="A419"/>
      <x:c r="B419"/>
      <x:c r="C419"/>
      <x:c r="D419" t="str">
        <x:f>IFERROR(IF(417&lt;=$O$1,INDEX($A$3:$A$168,MATCH(417,$I$3:$I$168,0)),IF(417&lt;=$O$1+$O$2,INDEX($F$3:$F$1994,MATCH(417-$O$1,$G$3:$G$1994,0)),"")),"")</x:f>
      </x:c>
      <x:c r="E419" t="str">
        <x:f>IF(K419="","",IF(N419&lt;=M419,"",TRIM(CLEAN(MID(INDEX($B$3:$B$168,K419),M419,N419-M419)))))</x:f>
      </x:c>
      <x:c r="F419" t="str">
        <x:f>IF(E419="","",IF(E419=TRIM(INDEX($A$3:$A$168,K419)),"",IF(RIGHT(TRIM(INDEX($A$3:$A$168,K419)),1)="]",LEFT(TRIM(INDEX($A$3:$A$168,K419)),LEN(TRIM(INDEX($A$3:$A$168,K419)))-1)&amp;", "&amp;SUBSTITUTE(SUBSTITUTE(SUBSTITUTE(E419," [",", "),"[",", "),"]","")&amp;"]",TRIM(INDEX($A$3:$A$168,K419))&amp;" ["&amp;SUBSTITUTE(SUBSTITUTE(SUBSTITUTE(E419," [",", "),"[",", "),"]","")&amp;"]")))</x:f>
      </x:c>
      <x:c r="G419" t="str">
        <x:f>IF(F419&lt;&gt;"",ROWS($F$3:F419)-COUNTBLANK($F$3:F419),"")</x:f>
      </x:c>
      <x:c r="H419"/>
      <x:c r="I419"/>
      <x:c r="J419"/>
      <x:c r="K419" t="str">
        <x:f>IF(ROW()-ROW($K$2)&lt;=SUM($J$3:$J$168),COUNTIF($H$3:$H$168,"&lt;"&amp;(ROW()-ROW($K$2))),"")</x:f>
      </x:c>
      <x:c r="L419" t="str">
        <x:f>IF(K419="","",ROW()-ROW($L$2)-INDEX($H$3:$H$168,K419))</x:f>
      </x:c>
      <x:c r="M419" t="str">
        <x:f>IF(K419="","",IF(L419=1,1,FIND(CHAR(1),SUBSTITUTE(INDEX($B$3:$B$168,K419),CHAR(10),CHAR(1),L419-1))+1))</x:f>
      </x:c>
      <x:c r="N419" t="str">
        <x:f>IF(K419="","",IFERROR(FIND(CHAR(1),SUBSTITUTE(INDEX($B$3:$B$168,K419),CHAR(10),CHAR(1),L419)),LEN(INDEX($B$3:$B$168,K419))+1))</x:f>
      </x:c>
    </x:row>
    <x:row r="420">
      <x:c r="A420"/>
      <x:c r="B420"/>
      <x:c r="C420"/>
      <x:c r="D420" t="str">
        <x:f>IFERROR(IF(418&lt;=$O$1,INDEX($A$3:$A$168,MATCH(418,$I$3:$I$168,0)),IF(418&lt;=$O$1+$O$2,INDEX($F$3:$F$1994,MATCH(418-$O$1,$G$3:$G$1994,0)),"")),"")</x:f>
      </x:c>
      <x:c r="E420" t="str">
        <x:f>IF(K420="","",IF(N420&lt;=M420,"",TRIM(CLEAN(MID(INDEX($B$3:$B$168,K420),M420,N420-M420)))))</x:f>
      </x:c>
      <x:c r="F420" t="str">
        <x:f>IF(E420="","",IF(E420=TRIM(INDEX($A$3:$A$168,K420)),"",IF(RIGHT(TRIM(INDEX($A$3:$A$168,K420)),1)="]",LEFT(TRIM(INDEX($A$3:$A$168,K420)),LEN(TRIM(INDEX($A$3:$A$168,K420)))-1)&amp;", "&amp;SUBSTITUTE(SUBSTITUTE(SUBSTITUTE(E420," [",", "),"[",", "),"]","")&amp;"]",TRIM(INDEX($A$3:$A$168,K420))&amp;" ["&amp;SUBSTITUTE(SUBSTITUTE(SUBSTITUTE(E420," [",", "),"[",", "),"]","")&amp;"]")))</x:f>
      </x:c>
      <x:c r="G420" t="str">
        <x:f>IF(F420&lt;&gt;"",ROWS($F$3:F420)-COUNTBLANK($F$3:F420),"")</x:f>
      </x:c>
      <x:c r="H420"/>
      <x:c r="I420"/>
      <x:c r="J420"/>
      <x:c r="K420" t="str">
        <x:f>IF(ROW()-ROW($K$2)&lt;=SUM($J$3:$J$168),COUNTIF($H$3:$H$168,"&lt;"&amp;(ROW()-ROW($K$2))),"")</x:f>
      </x:c>
      <x:c r="L420" t="str">
        <x:f>IF(K420="","",ROW()-ROW($L$2)-INDEX($H$3:$H$168,K420))</x:f>
      </x:c>
      <x:c r="M420" t="str">
        <x:f>IF(K420="","",IF(L420=1,1,FIND(CHAR(1),SUBSTITUTE(INDEX($B$3:$B$168,K420),CHAR(10),CHAR(1),L420-1))+1))</x:f>
      </x:c>
      <x:c r="N420" t="str">
        <x:f>IF(K420="","",IFERROR(FIND(CHAR(1),SUBSTITUTE(INDEX($B$3:$B$168,K420),CHAR(10),CHAR(1),L420)),LEN(INDEX($B$3:$B$168,K420))+1))</x:f>
      </x:c>
    </x:row>
    <x:row r="421">
      <x:c r="A421"/>
      <x:c r="B421"/>
      <x:c r="C421"/>
      <x:c r="D421" t="str">
        <x:f>IFERROR(IF(419&lt;=$O$1,INDEX($A$3:$A$168,MATCH(419,$I$3:$I$168,0)),IF(419&lt;=$O$1+$O$2,INDEX($F$3:$F$1994,MATCH(419-$O$1,$G$3:$G$1994,0)),"")),"")</x:f>
      </x:c>
      <x:c r="E421" t="str">
        <x:f>IF(K421="","",IF(N421&lt;=M421,"",TRIM(CLEAN(MID(INDEX($B$3:$B$168,K421),M421,N421-M421)))))</x:f>
      </x:c>
      <x:c r="F421" t="str">
        <x:f>IF(E421="","",IF(E421=TRIM(INDEX($A$3:$A$168,K421)),"",IF(RIGHT(TRIM(INDEX($A$3:$A$168,K421)),1)="]",LEFT(TRIM(INDEX($A$3:$A$168,K421)),LEN(TRIM(INDEX($A$3:$A$168,K421)))-1)&amp;", "&amp;SUBSTITUTE(SUBSTITUTE(SUBSTITUTE(E421," [",", "),"[",", "),"]","")&amp;"]",TRIM(INDEX($A$3:$A$168,K421))&amp;" ["&amp;SUBSTITUTE(SUBSTITUTE(SUBSTITUTE(E421," [",", "),"[",", "),"]","")&amp;"]")))</x:f>
      </x:c>
      <x:c r="G421" t="str">
        <x:f>IF(F421&lt;&gt;"",ROWS($F$3:F421)-COUNTBLANK($F$3:F421),"")</x:f>
      </x:c>
      <x:c r="H421"/>
      <x:c r="I421"/>
      <x:c r="J421"/>
      <x:c r="K421" t="str">
        <x:f>IF(ROW()-ROW($K$2)&lt;=SUM($J$3:$J$168),COUNTIF($H$3:$H$168,"&lt;"&amp;(ROW()-ROW($K$2))),"")</x:f>
      </x:c>
      <x:c r="L421" t="str">
        <x:f>IF(K421="","",ROW()-ROW($L$2)-INDEX($H$3:$H$168,K421))</x:f>
      </x:c>
      <x:c r="M421" t="str">
        <x:f>IF(K421="","",IF(L421=1,1,FIND(CHAR(1),SUBSTITUTE(INDEX($B$3:$B$168,K421),CHAR(10),CHAR(1),L421-1))+1))</x:f>
      </x:c>
      <x:c r="N421" t="str">
        <x:f>IF(K421="","",IFERROR(FIND(CHAR(1),SUBSTITUTE(INDEX($B$3:$B$168,K421),CHAR(10),CHAR(1),L421)),LEN(INDEX($B$3:$B$168,K421))+1))</x:f>
      </x:c>
    </x:row>
    <x:row r="422">
      <x:c r="A422"/>
      <x:c r="B422"/>
      <x:c r="C422"/>
      <x:c r="D422" t="str">
        <x:f>IFERROR(IF(420&lt;=$O$1,INDEX($A$3:$A$168,MATCH(420,$I$3:$I$168,0)),IF(420&lt;=$O$1+$O$2,INDEX($F$3:$F$1994,MATCH(420-$O$1,$G$3:$G$1994,0)),"")),"")</x:f>
      </x:c>
      <x:c r="E422" t="str">
        <x:f>IF(K422="","",IF(N422&lt;=M422,"",TRIM(CLEAN(MID(INDEX($B$3:$B$168,K422),M422,N422-M422)))))</x:f>
      </x:c>
      <x:c r="F422" t="str">
        <x:f>IF(E422="","",IF(E422=TRIM(INDEX($A$3:$A$168,K422)),"",IF(RIGHT(TRIM(INDEX($A$3:$A$168,K422)),1)="]",LEFT(TRIM(INDEX($A$3:$A$168,K422)),LEN(TRIM(INDEX($A$3:$A$168,K422)))-1)&amp;", "&amp;SUBSTITUTE(SUBSTITUTE(SUBSTITUTE(E422," [",", "),"[",", "),"]","")&amp;"]",TRIM(INDEX($A$3:$A$168,K422))&amp;" ["&amp;SUBSTITUTE(SUBSTITUTE(SUBSTITUTE(E422," [",", "),"[",", "),"]","")&amp;"]")))</x:f>
      </x:c>
      <x:c r="G422" t="str">
        <x:f>IF(F422&lt;&gt;"",ROWS($F$3:F422)-COUNTBLANK($F$3:F422),"")</x:f>
      </x:c>
      <x:c r="H422"/>
      <x:c r="I422"/>
      <x:c r="J422"/>
      <x:c r="K422" t="str">
        <x:f>IF(ROW()-ROW($K$2)&lt;=SUM($J$3:$J$168),COUNTIF($H$3:$H$168,"&lt;"&amp;(ROW()-ROW($K$2))),"")</x:f>
      </x:c>
      <x:c r="L422" t="str">
        <x:f>IF(K422="","",ROW()-ROW($L$2)-INDEX($H$3:$H$168,K422))</x:f>
      </x:c>
      <x:c r="M422" t="str">
        <x:f>IF(K422="","",IF(L422=1,1,FIND(CHAR(1),SUBSTITUTE(INDEX($B$3:$B$168,K422),CHAR(10),CHAR(1),L422-1))+1))</x:f>
      </x:c>
      <x:c r="N422" t="str">
        <x:f>IF(K422="","",IFERROR(FIND(CHAR(1),SUBSTITUTE(INDEX($B$3:$B$168,K422),CHAR(10),CHAR(1),L422)),LEN(INDEX($B$3:$B$168,K422))+1))</x:f>
      </x:c>
    </x:row>
    <x:row r="423">
      <x:c r="A423"/>
      <x:c r="B423"/>
      <x:c r="C423"/>
      <x:c r="D423" t="str">
        <x:f>IFERROR(IF(421&lt;=$O$1,INDEX($A$3:$A$168,MATCH(421,$I$3:$I$168,0)),IF(421&lt;=$O$1+$O$2,INDEX($F$3:$F$1994,MATCH(421-$O$1,$G$3:$G$1994,0)),"")),"")</x:f>
      </x:c>
      <x:c r="E423" t="str">
        <x:f>IF(K423="","",IF(N423&lt;=M423,"",TRIM(CLEAN(MID(INDEX($B$3:$B$168,K423),M423,N423-M423)))))</x:f>
      </x:c>
      <x:c r="F423" t="str">
        <x:f>IF(E423="","",IF(E423=TRIM(INDEX($A$3:$A$168,K423)),"",IF(RIGHT(TRIM(INDEX($A$3:$A$168,K423)),1)="]",LEFT(TRIM(INDEX($A$3:$A$168,K423)),LEN(TRIM(INDEX($A$3:$A$168,K423)))-1)&amp;", "&amp;SUBSTITUTE(SUBSTITUTE(SUBSTITUTE(E423," [",", "),"[",", "),"]","")&amp;"]",TRIM(INDEX($A$3:$A$168,K423))&amp;" ["&amp;SUBSTITUTE(SUBSTITUTE(SUBSTITUTE(E423," [",", "),"[",", "),"]","")&amp;"]")))</x:f>
      </x:c>
      <x:c r="G423" t="str">
        <x:f>IF(F423&lt;&gt;"",ROWS($F$3:F423)-COUNTBLANK($F$3:F423),"")</x:f>
      </x:c>
      <x:c r="H423"/>
      <x:c r="I423"/>
      <x:c r="J423"/>
      <x:c r="K423" t="str">
        <x:f>IF(ROW()-ROW($K$2)&lt;=SUM($J$3:$J$168),COUNTIF($H$3:$H$168,"&lt;"&amp;(ROW()-ROW($K$2))),"")</x:f>
      </x:c>
      <x:c r="L423" t="str">
        <x:f>IF(K423="","",ROW()-ROW($L$2)-INDEX($H$3:$H$168,K423))</x:f>
      </x:c>
      <x:c r="M423" t="str">
        <x:f>IF(K423="","",IF(L423=1,1,FIND(CHAR(1),SUBSTITUTE(INDEX($B$3:$B$168,K423),CHAR(10),CHAR(1),L423-1))+1))</x:f>
      </x:c>
      <x:c r="N423" t="str">
        <x:f>IF(K423="","",IFERROR(FIND(CHAR(1),SUBSTITUTE(INDEX($B$3:$B$168,K423),CHAR(10),CHAR(1),L423)),LEN(INDEX($B$3:$B$168,K423))+1))</x:f>
      </x:c>
    </x:row>
    <x:row r="424">
      <x:c r="A424"/>
      <x:c r="B424"/>
      <x:c r="C424"/>
      <x:c r="D424" t="str">
        <x:f>IFERROR(IF(422&lt;=$O$1,INDEX($A$3:$A$168,MATCH(422,$I$3:$I$168,0)),IF(422&lt;=$O$1+$O$2,INDEX($F$3:$F$1994,MATCH(422-$O$1,$G$3:$G$1994,0)),"")),"")</x:f>
      </x:c>
      <x:c r="E424" t="str">
        <x:f>IF(K424="","",IF(N424&lt;=M424,"",TRIM(CLEAN(MID(INDEX($B$3:$B$168,K424),M424,N424-M424)))))</x:f>
      </x:c>
      <x:c r="F424" t="str">
        <x:f>IF(E424="","",IF(E424=TRIM(INDEX($A$3:$A$168,K424)),"",IF(RIGHT(TRIM(INDEX($A$3:$A$168,K424)),1)="]",LEFT(TRIM(INDEX($A$3:$A$168,K424)),LEN(TRIM(INDEX($A$3:$A$168,K424)))-1)&amp;", "&amp;SUBSTITUTE(SUBSTITUTE(SUBSTITUTE(E424," [",", "),"[",", "),"]","")&amp;"]",TRIM(INDEX($A$3:$A$168,K424))&amp;" ["&amp;SUBSTITUTE(SUBSTITUTE(SUBSTITUTE(E424," [",", "),"[",", "),"]","")&amp;"]")))</x:f>
      </x:c>
      <x:c r="G424" t="str">
        <x:f>IF(F424&lt;&gt;"",ROWS($F$3:F424)-COUNTBLANK($F$3:F424),"")</x:f>
      </x:c>
      <x:c r="H424"/>
      <x:c r="I424"/>
      <x:c r="J424"/>
      <x:c r="K424" t="str">
        <x:f>IF(ROW()-ROW($K$2)&lt;=SUM($J$3:$J$168),COUNTIF($H$3:$H$168,"&lt;"&amp;(ROW()-ROW($K$2))),"")</x:f>
      </x:c>
      <x:c r="L424" t="str">
        <x:f>IF(K424="","",ROW()-ROW($L$2)-INDEX($H$3:$H$168,K424))</x:f>
      </x:c>
      <x:c r="M424" t="str">
        <x:f>IF(K424="","",IF(L424=1,1,FIND(CHAR(1),SUBSTITUTE(INDEX($B$3:$B$168,K424),CHAR(10),CHAR(1),L424-1))+1))</x:f>
      </x:c>
      <x:c r="N424" t="str">
        <x:f>IF(K424="","",IFERROR(FIND(CHAR(1),SUBSTITUTE(INDEX($B$3:$B$168,K424),CHAR(10),CHAR(1),L424)),LEN(INDEX($B$3:$B$168,K424))+1))</x:f>
      </x:c>
    </x:row>
    <x:row r="425">
      <x:c r="A425"/>
      <x:c r="B425"/>
      <x:c r="C425"/>
      <x:c r="D425" t="str">
        <x:f>IFERROR(IF(423&lt;=$O$1,INDEX($A$3:$A$168,MATCH(423,$I$3:$I$168,0)),IF(423&lt;=$O$1+$O$2,INDEX($F$3:$F$1994,MATCH(423-$O$1,$G$3:$G$1994,0)),"")),"")</x:f>
      </x:c>
      <x:c r="E425" t="str">
        <x:f>IF(K425="","",IF(N425&lt;=M425,"",TRIM(CLEAN(MID(INDEX($B$3:$B$168,K425),M425,N425-M425)))))</x:f>
      </x:c>
      <x:c r="F425" t="str">
        <x:f>IF(E425="","",IF(E425=TRIM(INDEX($A$3:$A$168,K425)),"",IF(RIGHT(TRIM(INDEX($A$3:$A$168,K425)),1)="]",LEFT(TRIM(INDEX($A$3:$A$168,K425)),LEN(TRIM(INDEX($A$3:$A$168,K425)))-1)&amp;", "&amp;SUBSTITUTE(SUBSTITUTE(SUBSTITUTE(E425," [",", "),"[",", "),"]","")&amp;"]",TRIM(INDEX($A$3:$A$168,K425))&amp;" ["&amp;SUBSTITUTE(SUBSTITUTE(SUBSTITUTE(E425," [",", "),"[",", "),"]","")&amp;"]")))</x:f>
      </x:c>
      <x:c r="G425" t="str">
        <x:f>IF(F425&lt;&gt;"",ROWS($F$3:F425)-COUNTBLANK($F$3:F425),"")</x:f>
      </x:c>
      <x:c r="H425"/>
      <x:c r="I425"/>
      <x:c r="J425"/>
      <x:c r="K425" t="str">
        <x:f>IF(ROW()-ROW($K$2)&lt;=SUM($J$3:$J$168),COUNTIF($H$3:$H$168,"&lt;"&amp;(ROW()-ROW($K$2))),"")</x:f>
      </x:c>
      <x:c r="L425" t="str">
        <x:f>IF(K425="","",ROW()-ROW($L$2)-INDEX($H$3:$H$168,K425))</x:f>
      </x:c>
      <x:c r="M425" t="str">
        <x:f>IF(K425="","",IF(L425=1,1,FIND(CHAR(1),SUBSTITUTE(INDEX($B$3:$B$168,K425),CHAR(10),CHAR(1),L425-1))+1))</x:f>
      </x:c>
      <x:c r="N425" t="str">
        <x:f>IF(K425="","",IFERROR(FIND(CHAR(1),SUBSTITUTE(INDEX($B$3:$B$168,K425),CHAR(10),CHAR(1),L425)),LEN(INDEX($B$3:$B$168,K425))+1))</x:f>
      </x:c>
    </x:row>
    <x:row r="426">
      <x:c r="A426"/>
      <x:c r="B426"/>
      <x:c r="C426"/>
      <x:c r="D426" t="str">
        <x:f>IFERROR(IF(424&lt;=$O$1,INDEX($A$3:$A$168,MATCH(424,$I$3:$I$168,0)),IF(424&lt;=$O$1+$O$2,INDEX($F$3:$F$1994,MATCH(424-$O$1,$G$3:$G$1994,0)),"")),"")</x:f>
      </x:c>
      <x:c r="E426" t="str">
        <x:f>IF(K426="","",IF(N426&lt;=M426,"",TRIM(CLEAN(MID(INDEX($B$3:$B$168,K426),M426,N426-M426)))))</x:f>
      </x:c>
      <x:c r="F426" t="str">
        <x:f>IF(E426="","",IF(E426=TRIM(INDEX($A$3:$A$168,K426)),"",IF(RIGHT(TRIM(INDEX($A$3:$A$168,K426)),1)="]",LEFT(TRIM(INDEX($A$3:$A$168,K426)),LEN(TRIM(INDEX($A$3:$A$168,K426)))-1)&amp;", "&amp;SUBSTITUTE(SUBSTITUTE(SUBSTITUTE(E426," [",", "),"[",", "),"]","")&amp;"]",TRIM(INDEX($A$3:$A$168,K426))&amp;" ["&amp;SUBSTITUTE(SUBSTITUTE(SUBSTITUTE(E426," [",", "),"[",", "),"]","")&amp;"]")))</x:f>
      </x:c>
      <x:c r="G426" t="str">
        <x:f>IF(F426&lt;&gt;"",ROWS($F$3:F426)-COUNTBLANK($F$3:F426),"")</x:f>
      </x:c>
      <x:c r="H426"/>
      <x:c r="I426"/>
      <x:c r="J426"/>
      <x:c r="K426" t="str">
        <x:f>IF(ROW()-ROW($K$2)&lt;=SUM($J$3:$J$168),COUNTIF($H$3:$H$168,"&lt;"&amp;(ROW()-ROW($K$2))),"")</x:f>
      </x:c>
      <x:c r="L426" t="str">
        <x:f>IF(K426="","",ROW()-ROW($L$2)-INDEX($H$3:$H$168,K426))</x:f>
      </x:c>
      <x:c r="M426" t="str">
        <x:f>IF(K426="","",IF(L426=1,1,FIND(CHAR(1),SUBSTITUTE(INDEX($B$3:$B$168,K426),CHAR(10),CHAR(1),L426-1))+1))</x:f>
      </x:c>
      <x:c r="N426" t="str">
        <x:f>IF(K426="","",IFERROR(FIND(CHAR(1),SUBSTITUTE(INDEX($B$3:$B$168,K426),CHAR(10),CHAR(1),L426)),LEN(INDEX($B$3:$B$168,K426))+1))</x:f>
      </x:c>
    </x:row>
    <x:row r="427">
      <x:c r="A427"/>
      <x:c r="B427"/>
      <x:c r="C427"/>
      <x:c r="D427" t="str">
        <x:f>IFERROR(IF(425&lt;=$O$1,INDEX($A$3:$A$168,MATCH(425,$I$3:$I$168,0)),IF(425&lt;=$O$1+$O$2,INDEX($F$3:$F$1994,MATCH(425-$O$1,$G$3:$G$1994,0)),"")),"")</x:f>
      </x:c>
      <x:c r="E427" t="str">
        <x:f>IF(K427="","",IF(N427&lt;=M427,"",TRIM(CLEAN(MID(INDEX($B$3:$B$168,K427),M427,N427-M427)))))</x:f>
      </x:c>
      <x:c r="F427" t="str">
        <x:f>IF(E427="","",IF(E427=TRIM(INDEX($A$3:$A$168,K427)),"",IF(RIGHT(TRIM(INDEX($A$3:$A$168,K427)),1)="]",LEFT(TRIM(INDEX($A$3:$A$168,K427)),LEN(TRIM(INDEX($A$3:$A$168,K427)))-1)&amp;", "&amp;SUBSTITUTE(SUBSTITUTE(SUBSTITUTE(E427," [",", "),"[",", "),"]","")&amp;"]",TRIM(INDEX($A$3:$A$168,K427))&amp;" ["&amp;SUBSTITUTE(SUBSTITUTE(SUBSTITUTE(E427," [",", "),"[",", "),"]","")&amp;"]")))</x:f>
      </x:c>
      <x:c r="G427" t="str">
        <x:f>IF(F427&lt;&gt;"",ROWS($F$3:F427)-COUNTBLANK($F$3:F427),"")</x:f>
      </x:c>
      <x:c r="H427"/>
      <x:c r="I427"/>
      <x:c r="J427"/>
      <x:c r="K427" t="str">
        <x:f>IF(ROW()-ROW($K$2)&lt;=SUM($J$3:$J$168),COUNTIF($H$3:$H$168,"&lt;"&amp;(ROW()-ROW($K$2))),"")</x:f>
      </x:c>
      <x:c r="L427" t="str">
        <x:f>IF(K427="","",ROW()-ROW($L$2)-INDEX($H$3:$H$168,K427))</x:f>
      </x:c>
      <x:c r="M427" t="str">
        <x:f>IF(K427="","",IF(L427=1,1,FIND(CHAR(1),SUBSTITUTE(INDEX($B$3:$B$168,K427),CHAR(10),CHAR(1),L427-1))+1))</x:f>
      </x:c>
      <x:c r="N427" t="str">
        <x:f>IF(K427="","",IFERROR(FIND(CHAR(1),SUBSTITUTE(INDEX($B$3:$B$168,K427),CHAR(10),CHAR(1),L427)),LEN(INDEX($B$3:$B$168,K427))+1))</x:f>
      </x:c>
    </x:row>
    <x:row r="428">
      <x:c r="A428"/>
      <x:c r="B428"/>
      <x:c r="C428"/>
      <x:c r="D428" t="str">
        <x:f>IFERROR(IF(426&lt;=$O$1,INDEX($A$3:$A$168,MATCH(426,$I$3:$I$168,0)),IF(426&lt;=$O$1+$O$2,INDEX($F$3:$F$1994,MATCH(426-$O$1,$G$3:$G$1994,0)),"")),"")</x:f>
      </x:c>
      <x:c r="E428" t="str">
        <x:f>IF(K428="","",IF(N428&lt;=M428,"",TRIM(CLEAN(MID(INDEX($B$3:$B$168,K428),M428,N428-M428)))))</x:f>
      </x:c>
      <x:c r="F428" t="str">
        <x:f>IF(E428="","",IF(E428=TRIM(INDEX($A$3:$A$168,K428)),"",IF(RIGHT(TRIM(INDEX($A$3:$A$168,K428)),1)="]",LEFT(TRIM(INDEX($A$3:$A$168,K428)),LEN(TRIM(INDEX($A$3:$A$168,K428)))-1)&amp;", "&amp;SUBSTITUTE(SUBSTITUTE(SUBSTITUTE(E428," [",", "),"[",", "),"]","")&amp;"]",TRIM(INDEX($A$3:$A$168,K428))&amp;" ["&amp;SUBSTITUTE(SUBSTITUTE(SUBSTITUTE(E428," [",", "),"[",", "),"]","")&amp;"]")))</x:f>
      </x:c>
      <x:c r="G428" t="str">
        <x:f>IF(F428&lt;&gt;"",ROWS($F$3:F428)-COUNTBLANK($F$3:F428),"")</x:f>
      </x:c>
      <x:c r="H428"/>
      <x:c r="I428"/>
      <x:c r="J428"/>
      <x:c r="K428" t="str">
        <x:f>IF(ROW()-ROW($K$2)&lt;=SUM($J$3:$J$168),COUNTIF($H$3:$H$168,"&lt;"&amp;(ROW()-ROW($K$2))),"")</x:f>
      </x:c>
      <x:c r="L428" t="str">
        <x:f>IF(K428="","",ROW()-ROW($L$2)-INDEX($H$3:$H$168,K428))</x:f>
      </x:c>
      <x:c r="M428" t="str">
        <x:f>IF(K428="","",IF(L428=1,1,FIND(CHAR(1),SUBSTITUTE(INDEX($B$3:$B$168,K428),CHAR(10),CHAR(1),L428-1))+1))</x:f>
      </x:c>
      <x:c r="N428" t="str">
        <x:f>IF(K428="","",IFERROR(FIND(CHAR(1),SUBSTITUTE(INDEX($B$3:$B$168,K428),CHAR(10),CHAR(1),L428)),LEN(INDEX($B$3:$B$168,K428))+1))</x:f>
      </x:c>
    </x:row>
    <x:row r="429">
      <x:c r="A429"/>
      <x:c r="B429"/>
      <x:c r="C429"/>
      <x:c r="D429" t="str">
        <x:f>IFERROR(IF(427&lt;=$O$1,INDEX($A$3:$A$168,MATCH(427,$I$3:$I$168,0)),IF(427&lt;=$O$1+$O$2,INDEX($F$3:$F$1994,MATCH(427-$O$1,$G$3:$G$1994,0)),"")),"")</x:f>
      </x:c>
      <x:c r="E429" t="str">
        <x:f>IF(K429="","",IF(N429&lt;=M429,"",TRIM(CLEAN(MID(INDEX($B$3:$B$168,K429),M429,N429-M429)))))</x:f>
      </x:c>
      <x:c r="F429" t="str">
        <x:f>IF(E429="","",IF(E429=TRIM(INDEX($A$3:$A$168,K429)),"",IF(RIGHT(TRIM(INDEX($A$3:$A$168,K429)),1)="]",LEFT(TRIM(INDEX($A$3:$A$168,K429)),LEN(TRIM(INDEX($A$3:$A$168,K429)))-1)&amp;", "&amp;SUBSTITUTE(SUBSTITUTE(SUBSTITUTE(E429," [",", "),"[",", "),"]","")&amp;"]",TRIM(INDEX($A$3:$A$168,K429))&amp;" ["&amp;SUBSTITUTE(SUBSTITUTE(SUBSTITUTE(E429," [",", "),"[",", "),"]","")&amp;"]")))</x:f>
      </x:c>
      <x:c r="G429" t="str">
        <x:f>IF(F429&lt;&gt;"",ROWS($F$3:F429)-COUNTBLANK($F$3:F429),"")</x:f>
      </x:c>
      <x:c r="H429"/>
      <x:c r="I429"/>
      <x:c r="J429"/>
      <x:c r="K429" t="str">
        <x:f>IF(ROW()-ROW($K$2)&lt;=SUM($J$3:$J$168),COUNTIF($H$3:$H$168,"&lt;"&amp;(ROW()-ROW($K$2))),"")</x:f>
      </x:c>
      <x:c r="L429" t="str">
        <x:f>IF(K429="","",ROW()-ROW($L$2)-INDEX($H$3:$H$168,K429))</x:f>
      </x:c>
      <x:c r="M429" t="str">
        <x:f>IF(K429="","",IF(L429=1,1,FIND(CHAR(1),SUBSTITUTE(INDEX($B$3:$B$168,K429),CHAR(10),CHAR(1),L429-1))+1))</x:f>
      </x:c>
      <x:c r="N429" t="str">
        <x:f>IF(K429="","",IFERROR(FIND(CHAR(1),SUBSTITUTE(INDEX($B$3:$B$168,K429),CHAR(10),CHAR(1),L429)),LEN(INDEX($B$3:$B$168,K429))+1))</x:f>
      </x:c>
    </x:row>
    <x:row r="430">
      <x:c r="A430"/>
      <x:c r="B430"/>
      <x:c r="C430"/>
      <x:c r="D430" t="str">
        <x:f>IFERROR(IF(428&lt;=$O$1,INDEX($A$3:$A$168,MATCH(428,$I$3:$I$168,0)),IF(428&lt;=$O$1+$O$2,INDEX($F$3:$F$1994,MATCH(428-$O$1,$G$3:$G$1994,0)),"")),"")</x:f>
      </x:c>
      <x:c r="E430" t="str">
        <x:f>IF(K430="","",IF(N430&lt;=M430,"",TRIM(CLEAN(MID(INDEX($B$3:$B$168,K430),M430,N430-M430)))))</x:f>
      </x:c>
      <x:c r="F430" t="str">
        <x:f>IF(E430="","",IF(E430=TRIM(INDEX($A$3:$A$168,K430)),"",IF(RIGHT(TRIM(INDEX($A$3:$A$168,K430)),1)="]",LEFT(TRIM(INDEX($A$3:$A$168,K430)),LEN(TRIM(INDEX($A$3:$A$168,K430)))-1)&amp;", "&amp;SUBSTITUTE(SUBSTITUTE(SUBSTITUTE(E430," [",", "),"[",", "),"]","")&amp;"]",TRIM(INDEX($A$3:$A$168,K430))&amp;" ["&amp;SUBSTITUTE(SUBSTITUTE(SUBSTITUTE(E430," [",", "),"[",", "),"]","")&amp;"]")))</x:f>
      </x:c>
      <x:c r="G430" t="str">
        <x:f>IF(F430&lt;&gt;"",ROWS($F$3:F430)-COUNTBLANK($F$3:F430),"")</x:f>
      </x:c>
      <x:c r="H430"/>
      <x:c r="I430"/>
      <x:c r="J430"/>
      <x:c r="K430" t="str">
        <x:f>IF(ROW()-ROW($K$2)&lt;=SUM($J$3:$J$168),COUNTIF($H$3:$H$168,"&lt;"&amp;(ROW()-ROW($K$2))),"")</x:f>
      </x:c>
      <x:c r="L430" t="str">
        <x:f>IF(K430="","",ROW()-ROW($L$2)-INDEX($H$3:$H$168,K430))</x:f>
      </x:c>
      <x:c r="M430" t="str">
        <x:f>IF(K430="","",IF(L430=1,1,FIND(CHAR(1),SUBSTITUTE(INDEX($B$3:$B$168,K430),CHAR(10),CHAR(1),L430-1))+1))</x:f>
      </x:c>
      <x:c r="N430" t="str">
        <x:f>IF(K430="","",IFERROR(FIND(CHAR(1),SUBSTITUTE(INDEX($B$3:$B$168,K430),CHAR(10),CHAR(1),L430)),LEN(INDEX($B$3:$B$168,K430))+1))</x:f>
      </x:c>
    </x:row>
    <x:row r="431">
      <x:c r="A431"/>
      <x:c r="B431"/>
      <x:c r="C431"/>
      <x:c r="D431" t="str">
        <x:f>IFERROR(IF(429&lt;=$O$1,INDEX($A$3:$A$168,MATCH(429,$I$3:$I$168,0)),IF(429&lt;=$O$1+$O$2,INDEX($F$3:$F$1994,MATCH(429-$O$1,$G$3:$G$1994,0)),"")),"")</x:f>
      </x:c>
      <x:c r="E431" t="str">
        <x:f>IF(K431="","",IF(N431&lt;=M431,"",TRIM(CLEAN(MID(INDEX($B$3:$B$168,K431),M431,N431-M431)))))</x:f>
      </x:c>
      <x:c r="F431" t="str">
        <x:f>IF(E431="","",IF(E431=TRIM(INDEX($A$3:$A$168,K431)),"",IF(RIGHT(TRIM(INDEX($A$3:$A$168,K431)),1)="]",LEFT(TRIM(INDEX($A$3:$A$168,K431)),LEN(TRIM(INDEX($A$3:$A$168,K431)))-1)&amp;", "&amp;SUBSTITUTE(SUBSTITUTE(SUBSTITUTE(E431," [",", "),"[",", "),"]","")&amp;"]",TRIM(INDEX($A$3:$A$168,K431))&amp;" ["&amp;SUBSTITUTE(SUBSTITUTE(SUBSTITUTE(E431," [",", "),"[",", "),"]","")&amp;"]")))</x:f>
      </x:c>
      <x:c r="G431" t="str">
        <x:f>IF(F431&lt;&gt;"",ROWS($F$3:F431)-COUNTBLANK($F$3:F431),"")</x:f>
      </x:c>
      <x:c r="H431"/>
      <x:c r="I431"/>
      <x:c r="J431"/>
      <x:c r="K431" t="str">
        <x:f>IF(ROW()-ROW($K$2)&lt;=SUM($J$3:$J$168),COUNTIF($H$3:$H$168,"&lt;"&amp;(ROW()-ROW($K$2))),"")</x:f>
      </x:c>
      <x:c r="L431" t="str">
        <x:f>IF(K431="","",ROW()-ROW($L$2)-INDEX($H$3:$H$168,K431))</x:f>
      </x:c>
      <x:c r="M431" t="str">
        <x:f>IF(K431="","",IF(L431=1,1,FIND(CHAR(1),SUBSTITUTE(INDEX($B$3:$B$168,K431),CHAR(10),CHAR(1),L431-1))+1))</x:f>
      </x:c>
      <x:c r="N431" t="str">
        <x:f>IF(K431="","",IFERROR(FIND(CHAR(1),SUBSTITUTE(INDEX($B$3:$B$168,K431),CHAR(10),CHAR(1),L431)),LEN(INDEX($B$3:$B$168,K431))+1))</x:f>
      </x:c>
    </x:row>
    <x:row r="432">
      <x:c r="A432"/>
      <x:c r="B432"/>
      <x:c r="C432"/>
      <x:c r="D432" t="str">
        <x:f>IFERROR(IF(430&lt;=$O$1,INDEX($A$3:$A$168,MATCH(430,$I$3:$I$168,0)),IF(430&lt;=$O$1+$O$2,INDEX($F$3:$F$1994,MATCH(430-$O$1,$G$3:$G$1994,0)),"")),"")</x:f>
      </x:c>
      <x:c r="E432" t="str">
        <x:f>IF(K432="","",IF(N432&lt;=M432,"",TRIM(CLEAN(MID(INDEX($B$3:$B$168,K432),M432,N432-M432)))))</x:f>
      </x:c>
      <x:c r="F432" t="str">
        <x:f>IF(E432="","",IF(E432=TRIM(INDEX($A$3:$A$168,K432)),"",IF(RIGHT(TRIM(INDEX($A$3:$A$168,K432)),1)="]",LEFT(TRIM(INDEX($A$3:$A$168,K432)),LEN(TRIM(INDEX($A$3:$A$168,K432)))-1)&amp;", "&amp;SUBSTITUTE(SUBSTITUTE(SUBSTITUTE(E432," [",", "),"[",", "),"]","")&amp;"]",TRIM(INDEX($A$3:$A$168,K432))&amp;" ["&amp;SUBSTITUTE(SUBSTITUTE(SUBSTITUTE(E432," [",", "),"[",", "),"]","")&amp;"]")))</x:f>
      </x:c>
      <x:c r="G432" t="str">
        <x:f>IF(F432&lt;&gt;"",ROWS($F$3:F432)-COUNTBLANK($F$3:F432),"")</x:f>
      </x:c>
      <x:c r="H432"/>
      <x:c r="I432"/>
      <x:c r="J432"/>
      <x:c r="K432" t="str">
        <x:f>IF(ROW()-ROW($K$2)&lt;=SUM($J$3:$J$168),COUNTIF($H$3:$H$168,"&lt;"&amp;(ROW()-ROW($K$2))),"")</x:f>
      </x:c>
      <x:c r="L432" t="str">
        <x:f>IF(K432="","",ROW()-ROW($L$2)-INDEX($H$3:$H$168,K432))</x:f>
      </x:c>
      <x:c r="M432" t="str">
        <x:f>IF(K432="","",IF(L432=1,1,FIND(CHAR(1),SUBSTITUTE(INDEX($B$3:$B$168,K432),CHAR(10),CHAR(1),L432-1))+1))</x:f>
      </x:c>
      <x:c r="N432" t="str">
        <x:f>IF(K432="","",IFERROR(FIND(CHAR(1),SUBSTITUTE(INDEX($B$3:$B$168,K432),CHAR(10),CHAR(1),L432)),LEN(INDEX($B$3:$B$168,K432))+1))</x:f>
      </x:c>
    </x:row>
    <x:row r="433">
      <x:c r="A433"/>
      <x:c r="B433"/>
      <x:c r="C433"/>
      <x:c r="D433" t="str">
        <x:f>IFERROR(IF(431&lt;=$O$1,INDEX($A$3:$A$168,MATCH(431,$I$3:$I$168,0)),IF(431&lt;=$O$1+$O$2,INDEX($F$3:$F$1994,MATCH(431-$O$1,$G$3:$G$1994,0)),"")),"")</x:f>
      </x:c>
      <x:c r="E433" t="str">
        <x:f>IF(K433="","",IF(N433&lt;=M433,"",TRIM(CLEAN(MID(INDEX($B$3:$B$168,K433),M433,N433-M433)))))</x:f>
      </x:c>
      <x:c r="F433" t="str">
        <x:f>IF(E433="","",IF(E433=TRIM(INDEX($A$3:$A$168,K433)),"",IF(RIGHT(TRIM(INDEX($A$3:$A$168,K433)),1)="]",LEFT(TRIM(INDEX($A$3:$A$168,K433)),LEN(TRIM(INDEX($A$3:$A$168,K433)))-1)&amp;", "&amp;SUBSTITUTE(SUBSTITUTE(SUBSTITUTE(E433," [",", "),"[",", "),"]","")&amp;"]",TRIM(INDEX($A$3:$A$168,K433))&amp;" ["&amp;SUBSTITUTE(SUBSTITUTE(SUBSTITUTE(E433," [",", "),"[",", "),"]","")&amp;"]")))</x:f>
      </x:c>
      <x:c r="G433" t="str">
        <x:f>IF(F433&lt;&gt;"",ROWS($F$3:F433)-COUNTBLANK($F$3:F433),"")</x:f>
      </x:c>
      <x:c r="H433"/>
      <x:c r="I433"/>
      <x:c r="J433"/>
      <x:c r="K433" t="str">
        <x:f>IF(ROW()-ROW($K$2)&lt;=SUM($J$3:$J$168),COUNTIF($H$3:$H$168,"&lt;"&amp;(ROW()-ROW($K$2))),"")</x:f>
      </x:c>
      <x:c r="L433" t="str">
        <x:f>IF(K433="","",ROW()-ROW($L$2)-INDEX($H$3:$H$168,K433))</x:f>
      </x:c>
      <x:c r="M433" t="str">
        <x:f>IF(K433="","",IF(L433=1,1,FIND(CHAR(1),SUBSTITUTE(INDEX($B$3:$B$168,K433),CHAR(10),CHAR(1),L433-1))+1))</x:f>
      </x:c>
      <x:c r="N433" t="str">
        <x:f>IF(K433="","",IFERROR(FIND(CHAR(1),SUBSTITUTE(INDEX($B$3:$B$168,K433),CHAR(10),CHAR(1),L433)),LEN(INDEX($B$3:$B$168,K433))+1))</x:f>
      </x:c>
    </x:row>
    <x:row r="434">
      <x:c r="A434"/>
      <x:c r="B434"/>
      <x:c r="C434"/>
      <x:c r="D434" t="str">
        <x:f>IFERROR(IF(432&lt;=$O$1,INDEX($A$3:$A$168,MATCH(432,$I$3:$I$168,0)),IF(432&lt;=$O$1+$O$2,INDEX($F$3:$F$1994,MATCH(432-$O$1,$G$3:$G$1994,0)),"")),"")</x:f>
      </x:c>
      <x:c r="E434" t="str">
        <x:f>IF(K434="","",IF(N434&lt;=M434,"",TRIM(CLEAN(MID(INDEX($B$3:$B$168,K434),M434,N434-M434)))))</x:f>
      </x:c>
      <x:c r="F434" t="str">
        <x:f>IF(E434="","",IF(E434=TRIM(INDEX($A$3:$A$168,K434)),"",IF(RIGHT(TRIM(INDEX($A$3:$A$168,K434)),1)="]",LEFT(TRIM(INDEX($A$3:$A$168,K434)),LEN(TRIM(INDEX($A$3:$A$168,K434)))-1)&amp;", "&amp;SUBSTITUTE(SUBSTITUTE(SUBSTITUTE(E434," [",", "),"[",", "),"]","")&amp;"]",TRIM(INDEX($A$3:$A$168,K434))&amp;" ["&amp;SUBSTITUTE(SUBSTITUTE(SUBSTITUTE(E434," [",", "),"[",", "),"]","")&amp;"]")))</x:f>
      </x:c>
      <x:c r="G434" t="str">
        <x:f>IF(F434&lt;&gt;"",ROWS($F$3:F434)-COUNTBLANK($F$3:F434),"")</x:f>
      </x:c>
      <x:c r="H434"/>
      <x:c r="I434"/>
      <x:c r="J434"/>
      <x:c r="K434" t="str">
        <x:f>IF(ROW()-ROW($K$2)&lt;=SUM($J$3:$J$168),COUNTIF($H$3:$H$168,"&lt;"&amp;(ROW()-ROW($K$2))),"")</x:f>
      </x:c>
      <x:c r="L434" t="str">
        <x:f>IF(K434="","",ROW()-ROW($L$2)-INDEX($H$3:$H$168,K434))</x:f>
      </x:c>
      <x:c r="M434" t="str">
        <x:f>IF(K434="","",IF(L434=1,1,FIND(CHAR(1),SUBSTITUTE(INDEX($B$3:$B$168,K434),CHAR(10),CHAR(1),L434-1))+1))</x:f>
      </x:c>
      <x:c r="N434" t="str">
        <x:f>IF(K434="","",IFERROR(FIND(CHAR(1),SUBSTITUTE(INDEX($B$3:$B$168,K434),CHAR(10),CHAR(1),L434)),LEN(INDEX($B$3:$B$168,K434))+1))</x:f>
      </x:c>
    </x:row>
    <x:row r="435">
      <x:c r="A435"/>
      <x:c r="B435"/>
      <x:c r="C435"/>
      <x:c r="D435" t="str">
        <x:f>IFERROR(IF(433&lt;=$O$1,INDEX($A$3:$A$168,MATCH(433,$I$3:$I$168,0)),IF(433&lt;=$O$1+$O$2,INDEX($F$3:$F$1994,MATCH(433-$O$1,$G$3:$G$1994,0)),"")),"")</x:f>
      </x:c>
      <x:c r="E435" t="str">
        <x:f>IF(K435="","",IF(N435&lt;=M435,"",TRIM(CLEAN(MID(INDEX($B$3:$B$168,K435),M435,N435-M435)))))</x:f>
      </x:c>
      <x:c r="F435" t="str">
        <x:f>IF(E435="","",IF(E435=TRIM(INDEX($A$3:$A$168,K435)),"",IF(RIGHT(TRIM(INDEX($A$3:$A$168,K435)),1)="]",LEFT(TRIM(INDEX($A$3:$A$168,K435)),LEN(TRIM(INDEX($A$3:$A$168,K435)))-1)&amp;", "&amp;SUBSTITUTE(SUBSTITUTE(SUBSTITUTE(E435," [",", "),"[",", "),"]","")&amp;"]",TRIM(INDEX($A$3:$A$168,K435))&amp;" ["&amp;SUBSTITUTE(SUBSTITUTE(SUBSTITUTE(E435," [",", "),"[",", "),"]","")&amp;"]")))</x:f>
      </x:c>
      <x:c r="G435" t="str">
        <x:f>IF(F435&lt;&gt;"",ROWS($F$3:F435)-COUNTBLANK($F$3:F435),"")</x:f>
      </x:c>
      <x:c r="H435"/>
      <x:c r="I435"/>
      <x:c r="J435"/>
      <x:c r="K435" t="str">
        <x:f>IF(ROW()-ROW($K$2)&lt;=SUM($J$3:$J$168),COUNTIF($H$3:$H$168,"&lt;"&amp;(ROW()-ROW($K$2))),"")</x:f>
      </x:c>
      <x:c r="L435" t="str">
        <x:f>IF(K435="","",ROW()-ROW($L$2)-INDEX($H$3:$H$168,K435))</x:f>
      </x:c>
      <x:c r="M435" t="str">
        <x:f>IF(K435="","",IF(L435=1,1,FIND(CHAR(1),SUBSTITUTE(INDEX($B$3:$B$168,K435),CHAR(10),CHAR(1),L435-1))+1))</x:f>
      </x:c>
      <x:c r="N435" t="str">
        <x:f>IF(K435="","",IFERROR(FIND(CHAR(1),SUBSTITUTE(INDEX($B$3:$B$168,K435),CHAR(10),CHAR(1),L435)),LEN(INDEX($B$3:$B$168,K435))+1))</x:f>
      </x:c>
    </x:row>
    <x:row r="436">
      <x:c r="A436"/>
      <x:c r="B436"/>
      <x:c r="C436"/>
      <x:c r="D436" t="str">
        <x:f>IFERROR(IF(434&lt;=$O$1,INDEX($A$3:$A$168,MATCH(434,$I$3:$I$168,0)),IF(434&lt;=$O$1+$O$2,INDEX($F$3:$F$1994,MATCH(434-$O$1,$G$3:$G$1994,0)),"")),"")</x:f>
      </x:c>
      <x:c r="E436" t="str">
        <x:f>IF(K436="","",IF(N436&lt;=M436,"",TRIM(CLEAN(MID(INDEX($B$3:$B$168,K436),M436,N436-M436)))))</x:f>
      </x:c>
      <x:c r="F436" t="str">
        <x:f>IF(E436="","",IF(E436=TRIM(INDEX($A$3:$A$168,K436)),"",IF(RIGHT(TRIM(INDEX($A$3:$A$168,K436)),1)="]",LEFT(TRIM(INDEX($A$3:$A$168,K436)),LEN(TRIM(INDEX($A$3:$A$168,K436)))-1)&amp;", "&amp;SUBSTITUTE(SUBSTITUTE(SUBSTITUTE(E436," [",", "),"[",", "),"]","")&amp;"]",TRIM(INDEX($A$3:$A$168,K436))&amp;" ["&amp;SUBSTITUTE(SUBSTITUTE(SUBSTITUTE(E436," [",", "),"[",", "),"]","")&amp;"]")))</x:f>
      </x:c>
      <x:c r="G436" t="str">
        <x:f>IF(F436&lt;&gt;"",ROWS($F$3:F436)-COUNTBLANK($F$3:F436),"")</x:f>
      </x:c>
      <x:c r="H436"/>
      <x:c r="I436"/>
      <x:c r="J436"/>
      <x:c r="K436" t="str">
        <x:f>IF(ROW()-ROW($K$2)&lt;=SUM($J$3:$J$168),COUNTIF($H$3:$H$168,"&lt;"&amp;(ROW()-ROW($K$2))),"")</x:f>
      </x:c>
      <x:c r="L436" t="str">
        <x:f>IF(K436="","",ROW()-ROW($L$2)-INDEX($H$3:$H$168,K436))</x:f>
      </x:c>
      <x:c r="M436" t="str">
        <x:f>IF(K436="","",IF(L436=1,1,FIND(CHAR(1),SUBSTITUTE(INDEX($B$3:$B$168,K436),CHAR(10),CHAR(1),L436-1))+1))</x:f>
      </x:c>
      <x:c r="N436" t="str">
        <x:f>IF(K436="","",IFERROR(FIND(CHAR(1),SUBSTITUTE(INDEX($B$3:$B$168,K436),CHAR(10),CHAR(1),L436)),LEN(INDEX($B$3:$B$168,K436))+1))</x:f>
      </x:c>
    </x:row>
    <x:row r="437">
      <x:c r="A437"/>
      <x:c r="B437"/>
      <x:c r="C437"/>
      <x:c r="D437" t="str">
        <x:f>IFERROR(IF(435&lt;=$O$1,INDEX($A$3:$A$168,MATCH(435,$I$3:$I$168,0)),IF(435&lt;=$O$1+$O$2,INDEX($F$3:$F$1994,MATCH(435-$O$1,$G$3:$G$1994,0)),"")),"")</x:f>
      </x:c>
      <x:c r="E437" t="str">
        <x:f>IF(K437="","",IF(N437&lt;=M437,"",TRIM(CLEAN(MID(INDEX($B$3:$B$168,K437),M437,N437-M437)))))</x:f>
      </x:c>
      <x:c r="F437" t="str">
        <x:f>IF(E437="","",IF(E437=TRIM(INDEX($A$3:$A$168,K437)),"",IF(RIGHT(TRIM(INDEX($A$3:$A$168,K437)),1)="]",LEFT(TRIM(INDEX($A$3:$A$168,K437)),LEN(TRIM(INDEX($A$3:$A$168,K437)))-1)&amp;", "&amp;SUBSTITUTE(SUBSTITUTE(SUBSTITUTE(E437," [",", "),"[",", "),"]","")&amp;"]",TRIM(INDEX($A$3:$A$168,K437))&amp;" ["&amp;SUBSTITUTE(SUBSTITUTE(SUBSTITUTE(E437," [",", "),"[",", "),"]","")&amp;"]")))</x:f>
      </x:c>
      <x:c r="G437" t="str">
        <x:f>IF(F437&lt;&gt;"",ROWS($F$3:F437)-COUNTBLANK($F$3:F437),"")</x:f>
      </x:c>
      <x:c r="H437"/>
      <x:c r="I437"/>
      <x:c r="J437"/>
      <x:c r="K437" t="str">
        <x:f>IF(ROW()-ROW($K$2)&lt;=SUM($J$3:$J$168),COUNTIF($H$3:$H$168,"&lt;"&amp;(ROW()-ROW($K$2))),"")</x:f>
      </x:c>
      <x:c r="L437" t="str">
        <x:f>IF(K437="","",ROW()-ROW($L$2)-INDEX($H$3:$H$168,K437))</x:f>
      </x:c>
      <x:c r="M437" t="str">
        <x:f>IF(K437="","",IF(L437=1,1,FIND(CHAR(1),SUBSTITUTE(INDEX($B$3:$B$168,K437),CHAR(10),CHAR(1),L437-1))+1))</x:f>
      </x:c>
      <x:c r="N437" t="str">
        <x:f>IF(K437="","",IFERROR(FIND(CHAR(1),SUBSTITUTE(INDEX($B$3:$B$168,K437),CHAR(10),CHAR(1),L437)),LEN(INDEX($B$3:$B$168,K437))+1))</x:f>
      </x:c>
    </x:row>
    <x:row r="438">
      <x:c r="A438"/>
      <x:c r="B438"/>
      <x:c r="C438"/>
      <x:c r="D438" t="str">
        <x:f>IFERROR(IF(436&lt;=$O$1,INDEX($A$3:$A$168,MATCH(436,$I$3:$I$168,0)),IF(436&lt;=$O$1+$O$2,INDEX($F$3:$F$1994,MATCH(436-$O$1,$G$3:$G$1994,0)),"")),"")</x:f>
      </x:c>
      <x:c r="E438" t="str">
        <x:f>IF(K438="","",IF(N438&lt;=M438,"",TRIM(CLEAN(MID(INDEX($B$3:$B$168,K438),M438,N438-M438)))))</x:f>
      </x:c>
      <x:c r="F438" t="str">
        <x:f>IF(E438="","",IF(E438=TRIM(INDEX($A$3:$A$168,K438)),"",IF(RIGHT(TRIM(INDEX($A$3:$A$168,K438)),1)="]",LEFT(TRIM(INDEX($A$3:$A$168,K438)),LEN(TRIM(INDEX($A$3:$A$168,K438)))-1)&amp;", "&amp;SUBSTITUTE(SUBSTITUTE(SUBSTITUTE(E438," [",", "),"[",", "),"]","")&amp;"]",TRIM(INDEX($A$3:$A$168,K438))&amp;" ["&amp;SUBSTITUTE(SUBSTITUTE(SUBSTITUTE(E438," [",", "),"[",", "),"]","")&amp;"]")))</x:f>
      </x:c>
      <x:c r="G438" t="str">
        <x:f>IF(F438&lt;&gt;"",ROWS($F$3:F438)-COUNTBLANK($F$3:F438),"")</x:f>
      </x:c>
      <x:c r="H438"/>
      <x:c r="I438"/>
      <x:c r="J438"/>
      <x:c r="K438" t="str">
        <x:f>IF(ROW()-ROW($K$2)&lt;=SUM($J$3:$J$168),COUNTIF($H$3:$H$168,"&lt;"&amp;(ROW()-ROW($K$2))),"")</x:f>
      </x:c>
      <x:c r="L438" t="str">
        <x:f>IF(K438="","",ROW()-ROW($L$2)-INDEX($H$3:$H$168,K438))</x:f>
      </x:c>
      <x:c r="M438" t="str">
        <x:f>IF(K438="","",IF(L438=1,1,FIND(CHAR(1),SUBSTITUTE(INDEX($B$3:$B$168,K438),CHAR(10),CHAR(1),L438-1))+1))</x:f>
      </x:c>
      <x:c r="N438" t="str">
        <x:f>IF(K438="","",IFERROR(FIND(CHAR(1),SUBSTITUTE(INDEX($B$3:$B$168,K438),CHAR(10),CHAR(1),L438)),LEN(INDEX($B$3:$B$168,K438))+1))</x:f>
      </x:c>
    </x:row>
    <x:row r="439">
      <x:c r="A439"/>
      <x:c r="B439"/>
      <x:c r="C439"/>
      <x:c r="D439" t="str">
        <x:f>IFERROR(IF(437&lt;=$O$1,INDEX($A$3:$A$168,MATCH(437,$I$3:$I$168,0)),IF(437&lt;=$O$1+$O$2,INDEX($F$3:$F$1994,MATCH(437-$O$1,$G$3:$G$1994,0)),"")),"")</x:f>
      </x:c>
      <x:c r="E439" t="str">
        <x:f>IF(K439="","",IF(N439&lt;=M439,"",TRIM(CLEAN(MID(INDEX($B$3:$B$168,K439),M439,N439-M439)))))</x:f>
      </x:c>
      <x:c r="F439" t="str">
        <x:f>IF(E439="","",IF(E439=TRIM(INDEX($A$3:$A$168,K439)),"",IF(RIGHT(TRIM(INDEX($A$3:$A$168,K439)),1)="]",LEFT(TRIM(INDEX($A$3:$A$168,K439)),LEN(TRIM(INDEX($A$3:$A$168,K439)))-1)&amp;", "&amp;SUBSTITUTE(SUBSTITUTE(SUBSTITUTE(E439," [",", "),"[",", "),"]","")&amp;"]",TRIM(INDEX($A$3:$A$168,K439))&amp;" ["&amp;SUBSTITUTE(SUBSTITUTE(SUBSTITUTE(E439," [",", "),"[",", "),"]","")&amp;"]")))</x:f>
      </x:c>
      <x:c r="G439" t="str">
        <x:f>IF(F439&lt;&gt;"",ROWS($F$3:F439)-COUNTBLANK($F$3:F439),"")</x:f>
      </x:c>
      <x:c r="H439"/>
      <x:c r="I439"/>
      <x:c r="J439"/>
      <x:c r="K439" t="str">
        <x:f>IF(ROW()-ROW($K$2)&lt;=SUM($J$3:$J$168),COUNTIF($H$3:$H$168,"&lt;"&amp;(ROW()-ROW($K$2))),"")</x:f>
      </x:c>
      <x:c r="L439" t="str">
        <x:f>IF(K439="","",ROW()-ROW($L$2)-INDEX($H$3:$H$168,K439))</x:f>
      </x:c>
      <x:c r="M439" t="str">
        <x:f>IF(K439="","",IF(L439=1,1,FIND(CHAR(1),SUBSTITUTE(INDEX($B$3:$B$168,K439),CHAR(10),CHAR(1),L439-1))+1))</x:f>
      </x:c>
      <x:c r="N439" t="str">
        <x:f>IF(K439="","",IFERROR(FIND(CHAR(1),SUBSTITUTE(INDEX($B$3:$B$168,K439),CHAR(10),CHAR(1),L439)),LEN(INDEX($B$3:$B$168,K439))+1))</x:f>
      </x:c>
    </x:row>
    <x:row r="440">
      <x:c r="A440"/>
      <x:c r="B440"/>
      <x:c r="C440"/>
      <x:c r="D440" t="str">
        <x:f>IFERROR(IF(438&lt;=$O$1,INDEX($A$3:$A$168,MATCH(438,$I$3:$I$168,0)),IF(438&lt;=$O$1+$O$2,INDEX($F$3:$F$1994,MATCH(438-$O$1,$G$3:$G$1994,0)),"")),"")</x:f>
      </x:c>
      <x:c r="E440" t="str">
        <x:f>IF(K440="","",IF(N440&lt;=M440,"",TRIM(CLEAN(MID(INDEX($B$3:$B$168,K440),M440,N440-M440)))))</x:f>
      </x:c>
      <x:c r="F440" t="str">
        <x:f>IF(E440="","",IF(E440=TRIM(INDEX($A$3:$A$168,K440)),"",IF(RIGHT(TRIM(INDEX($A$3:$A$168,K440)),1)="]",LEFT(TRIM(INDEX($A$3:$A$168,K440)),LEN(TRIM(INDEX($A$3:$A$168,K440)))-1)&amp;", "&amp;SUBSTITUTE(SUBSTITUTE(SUBSTITUTE(E440," [",", "),"[",", "),"]","")&amp;"]",TRIM(INDEX($A$3:$A$168,K440))&amp;" ["&amp;SUBSTITUTE(SUBSTITUTE(SUBSTITUTE(E440," [",", "),"[",", "),"]","")&amp;"]")))</x:f>
      </x:c>
      <x:c r="G440" t="str">
        <x:f>IF(F440&lt;&gt;"",ROWS($F$3:F440)-COUNTBLANK($F$3:F440),"")</x:f>
      </x:c>
      <x:c r="H440"/>
      <x:c r="I440"/>
      <x:c r="J440"/>
      <x:c r="K440" t="str">
        <x:f>IF(ROW()-ROW($K$2)&lt;=SUM($J$3:$J$168),COUNTIF($H$3:$H$168,"&lt;"&amp;(ROW()-ROW($K$2))),"")</x:f>
      </x:c>
      <x:c r="L440" t="str">
        <x:f>IF(K440="","",ROW()-ROW($L$2)-INDEX($H$3:$H$168,K440))</x:f>
      </x:c>
      <x:c r="M440" t="str">
        <x:f>IF(K440="","",IF(L440=1,1,FIND(CHAR(1),SUBSTITUTE(INDEX($B$3:$B$168,K440),CHAR(10),CHAR(1),L440-1))+1))</x:f>
      </x:c>
      <x:c r="N440" t="str">
        <x:f>IF(K440="","",IFERROR(FIND(CHAR(1),SUBSTITUTE(INDEX($B$3:$B$168,K440),CHAR(10),CHAR(1),L440)),LEN(INDEX($B$3:$B$168,K440))+1))</x:f>
      </x:c>
    </x:row>
    <x:row r="441">
      <x:c r="A441"/>
      <x:c r="B441"/>
      <x:c r="C441"/>
      <x:c r="D441" t="str">
        <x:f>IFERROR(IF(439&lt;=$O$1,INDEX($A$3:$A$168,MATCH(439,$I$3:$I$168,0)),IF(439&lt;=$O$1+$O$2,INDEX($F$3:$F$1994,MATCH(439-$O$1,$G$3:$G$1994,0)),"")),"")</x:f>
      </x:c>
      <x:c r="E441" t="str">
        <x:f>IF(K441="","",IF(N441&lt;=M441,"",TRIM(CLEAN(MID(INDEX($B$3:$B$168,K441),M441,N441-M441)))))</x:f>
      </x:c>
      <x:c r="F441" t="str">
        <x:f>IF(E441="","",IF(E441=TRIM(INDEX($A$3:$A$168,K441)),"",IF(RIGHT(TRIM(INDEX($A$3:$A$168,K441)),1)="]",LEFT(TRIM(INDEX($A$3:$A$168,K441)),LEN(TRIM(INDEX($A$3:$A$168,K441)))-1)&amp;", "&amp;SUBSTITUTE(SUBSTITUTE(SUBSTITUTE(E441," [",", "),"[",", "),"]","")&amp;"]",TRIM(INDEX($A$3:$A$168,K441))&amp;" ["&amp;SUBSTITUTE(SUBSTITUTE(SUBSTITUTE(E441," [",", "),"[",", "),"]","")&amp;"]")))</x:f>
      </x:c>
      <x:c r="G441" t="str">
        <x:f>IF(F441&lt;&gt;"",ROWS($F$3:F441)-COUNTBLANK($F$3:F441),"")</x:f>
      </x:c>
      <x:c r="H441"/>
      <x:c r="I441"/>
      <x:c r="J441"/>
      <x:c r="K441" t="str">
        <x:f>IF(ROW()-ROW($K$2)&lt;=SUM($J$3:$J$168),COUNTIF($H$3:$H$168,"&lt;"&amp;(ROW()-ROW($K$2))),"")</x:f>
      </x:c>
      <x:c r="L441" t="str">
        <x:f>IF(K441="","",ROW()-ROW($L$2)-INDEX($H$3:$H$168,K441))</x:f>
      </x:c>
      <x:c r="M441" t="str">
        <x:f>IF(K441="","",IF(L441=1,1,FIND(CHAR(1),SUBSTITUTE(INDEX($B$3:$B$168,K441),CHAR(10),CHAR(1),L441-1))+1))</x:f>
      </x:c>
      <x:c r="N441" t="str">
        <x:f>IF(K441="","",IFERROR(FIND(CHAR(1),SUBSTITUTE(INDEX($B$3:$B$168,K441),CHAR(10),CHAR(1),L441)),LEN(INDEX($B$3:$B$168,K441))+1))</x:f>
      </x:c>
    </x:row>
    <x:row r="442">
      <x:c r="A442"/>
      <x:c r="B442"/>
      <x:c r="C442"/>
      <x:c r="D442" t="str">
        <x:f>IFERROR(IF(440&lt;=$O$1,INDEX($A$3:$A$168,MATCH(440,$I$3:$I$168,0)),IF(440&lt;=$O$1+$O$2,INDEX($F$3:$F$1994,MATCH(440-$O$1,$G$3:$G$1994,0)),"")),"")</x:f>
      </x:c>
      <x:c r="E442" t="str">
        <x:f>IF(K442="","",IF(N442&lt;=M442,"",TRIM(CLEAN(MID(INDEX($B$3:$B$168,K442),M442,N442-M442)))))</x:f>
      </x:c>
      <x:c r="F442" t="str">
        <x:f>IF(E442="","",IF(E442=TRIM(INDEX($A$3:$A$168,K442)),"",IF(RIGHT(TRIM(INDEX($A$3:$A$168,K442)),1)="]",LEFT(TRIM(INDEX($A$3:$A$168,K442)),LEN(TRIM(INDEX($A$3:$A$168,K442)))-1)&amp;", "&amp;SUBSTITUTE(SUBSTITUTE(SUBSTITUTE(E442," [",", "),"[",", "),"]","")&amp;"]",TRIM(INDEX($A$3:$A$168,K442))&amp;" ["&amp;SUBSTITUTE(SUBSTITUTE(SUBSTITUTE(E442," [",", "),"[",", "),"]","")&amp;"]")))</x:f>
      </x:c>
      <x:c r="G442" t="str">
        <x:f>IF(F442&lt;&gt;"",ROWS($F$3:F442)-COUNTBLANK($F$3:F442),"")</x:f>
      </x:c>
      <x:c r="H442"/>
      <x:c r="I442"/>
      <x:c r="J442"/>
      <x:c r="K442" t="str">
        <x:f>IF(ROW()-ROW($K$2)&lt;=SUM($J$3:$J$168),COUNTIF($H$3:$H$168,"&lt;"&amp;(ROW()-ROW($K$2))),"")</x:f>
      </x:c>
      <x:c r="L442" t="str">
        <x:f>IF(K442="","",ROW()-ROW($L$2)-INDEX($H$3:$H$168,K442))</x:f>
      </x:c>
      <x:c r="M442" t="str">
        <x:f>IF(K442="","",IF(L442=1,1,FIND(CHAR(1),SUBSTITUTE(INDEX($B$3:$B$168,K442),CHAR(10),CHAR(1),L442-1))+1))</x:f>
      </x:c>
      <x:c r="N442" t="str">
        <x:f>IF(K442="","",IFERROR(FIND(CHAR(1),SUBSTITUTE(INDEX($B$3:$B$168,K442),CHAR(10),CHAR(1),L442)),LEN(INDEX($B$3:$B$168,K442))+1))</x:f>
      </x:c>
    </x:row>
    <x:row r="443">
      <x:c r="A443"/>
      <x:c r="B443"/>
      <x:c r="C443"/>
      <x:c r="D443" t="str">
        <x:f>IFERROR(IF(441&lt;=$O$1,INDEX($A$3:$A$168,MATCH(441,$I$3:$I$168,0)),IF(441&lt;=$O$1+$O$2,INDEX($F$3:$F$1994,MATCH(441-$O$1,$G$3:$G$1994,0)),"")),"")</x:f>
      </x:c>
      <x:c r="E443" t="str">
        <x:f>IF(K443="","",IF(N443&lt;=M443,"",TRIM(CLEAN(MID(INDEX($B$3:$B$168,K443),M443,N443-M443)))))</x:f>
      </x:c>
      <x:c r="F443" t="str">
        <x:f>IF(E443="","",IF(E443=TRIM(INDEX($A$3:$A$168,K443)),"",IF(RIGHT(TRIM(INDEX($A$3:$A$168,K443)),1)="]",LEFT(TRIM(INDEX($A$3:$A$168,K443)),LEN(TRIM(INDEX($A$3:$A$168,K443)))-1)&amp;", "&amp;SUBSTITUTE(SUBSTITUTE(SUBSTITUTE(E443," [",", "),"[",", "),"]","")&amp;"]",TRIM(INDEX($A$3:$A$168,K443))&amp;" ["&amp;SUBSTITUTE(SUBSTITUTE(SUBSTITUTE(E443," [",", "),"[",", "),"]","")&amp;"]")))</x:f>
      </x:c>
      <x:c r="G443" t="str">
        <x:f>IF(F443&lt;&gt;"",ROWS($F$3:F443)-COUNTBLANK($F$3:F443),"")</x:f>
      </x:c>
      <x:c r="H443"/>
      <x:c r="I443"/>
      <x:c r="J443"/>
      <x:c r="K443" t="str">
        <x:f>IF(ROW()-ROW($K$2)&lt;=SUM($J$3:$J$168),COUNTIF($H$3:$H$168,"&lt;"&amp;(ROW()-ROW($K$2))),"")</x:f>
      </x:c>
      <x:c r="L443" t="str">
        <x:f>IF(K443="","",ROW()-ROW($L$2)-INDEX($H$3:$H$168,K443))</x:f>
      </x:c>
      <x:c r="M443" t="str">
        <x:f>IF(K443="","",IF(L443=1,1,FIND(CHAR(1),SUBSTITUTE(INDEX($B$3:$B$168,K443),CHAR(10),CHAR(1),L443-1))+1))</x:f>
      </x:c>
      <x:c r="N443" t="str">
        <x:f>IF(K443="","",IFERROR(FIND(CHAR(1),SUBSTITUTE(INDEX($B$3:$B$168,K443),CHAR(10),CHAR(1),L443)),LEN(INDEX($B$3:$B$168,K443))+1))</x:f>
      </x:c>
    </x:row>
    <x:row r="444">
      <x:c r="A444"/>
      <x:c r="B444"/>
      <x:c r="C444"/>
      <x:c r="D444" t="str">
        <x:f>IFERROR(IF(442&lt;=$O$1,INDEX($A$3:$A$168,MATCH(442,$I$3:$I$168,0)),IF(442&lt;=$O$1+$O$2,INDEX($F$3:$F$1994,MATCH(442-$O$1,$G$3:$G$1994,0)),"")),"")</x:f>
      </x:c>
      <x:c r="E444" t="str">
        <x:f>IF(K444="","",IF(N444&lt;=M444,"",TRIM(CLEAN(MID(INDEX($B$3:$B$168,K444),M444,N444-M444)))))</x:f>
      </x:c>
      <x:c r="F444" t="str">
        <x:f>IF(E444="","",IF(E444=TRIM(INDEX($A$3:$A$168,K444)),"",IF(RIGHT(TRIM(INDEX($A$3:$A$168,K444)),1)="]",LEFT(TRIM(INDEX($A$3:$A$168,K444)),LEN(TRIM(INDEX($A$3:$A$168,K444)))-1)&amp;", "&amp;SUBSTITUTE(SUBSTITUTE(SUBSTITUTE(E444," [",", "),"[",", "),"]","")&amp;"]",TRIM(INDEX($A$3:$A$168,K444))&amp;" ["&amp;SUBSTITUTE(SUBSTITUTE(SUBSTITUTE(E444," [",", "),"[",", "),"]","")&amp;"]")))</x:f>
      </x:c>
      <x:c r="G444" t="str">
        <x:f>IF(F444&lt;&gt;"",ROWS($F$3:F444)-COUNTBLANK($F$3:F444),"")</x:f>
      </x:c>
      <x:c r="H444"/>
      <x:c r="I444"/>
      <x:c r="J444"/>
      <x:c r="K444" t="str">
        <x:f>IF(ROW()-ROW($K$2)&lt;=SUM($J$3:$J$168),COUNTIF($H$3:$H$168,"&lt;"&amp;(ROW()-ROW($K$2))),"")</x:f>
      </x:c>
      <x:c r="L444" t="str">
        <x:f>IF(K444="","",ROW()-ROW($L$2)-INDEX($H$3:$H$168,K444))</x:f>
      </x:c>
      <x:c r="M444" t="str">
        <x:f>IF(K444="","",IF(L444=1,1,FIND(CHAR(1),SUBSTITUTE(INDEX($B$3:$B$168,K444),CHAR(10),CHAR(1),L444-1))+1))</x:f>
      </x:c>
      <x:c r="N444" t="str">
        <x:f>IF(K444="","",IFERROR(FIND(CHAR(1),SUBSTITUTE(INDEX($B$3:$B$168,K444),CHAR(10),CHAR(1),L444)),LEN(INDEX($B$3:$B$168,K444))+1))</x:f>
      </x:c>
    </x:row>
    <x:row r="445">
      <x:c r="A445"/>
      <x:c r="B445"/>
      <x:c r="C445"/>
      <x:c r="D445" t="str">
        <x:f>IFERROR(IF(443&lt;=$O$1,INDEX($A$3:$A$168,MATCH(443,$I$3:$I$168,0)),IF(443&lt;=$O$1+$O$2,INDEX($F$3:$F$1994,MATCH(443-$O$1,$G$3:$G$1994,0)),"")),"")</x:f>
      </x:c>
      <x:c r="E445" t="str">
        <x:f>IF(K445="","",IF(N445&lt;=M445,"",TRIM(CLEAN(MID(INDEX($B$3:$B$168,K445),M445,N445-M445)))))</x:f>
      </x:c>
      <x:c r="F445" t="str">
        <x:f>IF(E445="","",IF(E445=TRIM(INDEX($A$3:$A$168,K445)),"",IF(RIGHT(TRIM(INDEX($A$3:$A$168,K445)),1)="]",LEFT(TRIM(INDEX($A$3:$A$168,K445)),LEN(TRIM(INDEX($A$3:$A$168,K445)))-1)&amp;", "&amp;SUBSTITUTE(SUBSTITUTE(SUBSTITUTE(E445," [",", "),"[",", "),"]","")&amp;"]",TRIM(INDEX($A$3:$A$168,K445))&amp;" ["&amp;SUBSTITUTE(SUBSTITUTE(SUBSTITUTE(E445," [",", "),"[",", "),"]","")&amp;"]")))</x:f>
      </x:c>
      <x:c r="G445" t="str">
        <x:f>IF(F445&lt;&gt;"",ROWS($F$3:F445)-COUNTBLANK($F$3:F445),"")</x:f>
      </x:c>
      <x:c r="H445"/>
      <x:c r="I445"/>
      <x:c r="J445"/>
      <x:c r="K445" t="str">
        <x:f>IF(ROW()-ROW($K$2)&lt;=SUM($J$3:$J$168),COUNTIF($H$3:$H$168,"&lt;"&amp;(ROW()-ROW($K$2))),"")</x:f>
      </x:c>
      <x:c r="L445" t="str">
        <x:f>IF(K445="","",ROW()-ROW($L$2)-INDEX($H$3:$H$168,K445))</x:f>
      </x:c>
      <x:c r="M445" t="str">
        <x:f>IF(K445="","",IF(L445=1,1,FIND(CHAR(1),SUBSTITUTE(INDEX($B$3:$B$168,K445),CHAR(10),CHAR(1),L445-1))+1))</x:f>
      </x:c>
      <x:c r="N445" t="str">
        <x:f>IF(K445="","",IFERROR(FIND(CHAR(1),SUBSTITUTE(INDEX($B$3:$B$168,K445),CHAR(10),CHAR(1),L445)),LEN(INDEX($B$3:$B$168,K445))+1))</x:f>
      </x:c>
    </x:row>
    <x:row r="446">
      <x:c r="A446"/>
      <x:c r="B446"/>
      <x:c r="C446"/>
      <x:c r="D446" t="str">
        <x:f>IFERROR(IF(444&lt;=$O$1,INDEX($A$3:$A$168,MATCH(444,$I$3:$I$168,0)),IF(444&lt;=$O$1+$O$2,INDEX($F$3:$F$1994,MATCH(444-$O$1,$G$3:$G$1994,0)),"")),"")</x:f>
      </x:c>
      <x:c r="E446" t="str">
        <x:f>IF(K446="","",IF(N446&lt;=M446,"",TRIM(CLEAN(MID(INDEX($B$3:$B$168,K446),M446,N446-M446)))))</x:f>
      </x:c>
      <x:c r="F446" t="str">
        <x:f>IF(E446="","",IF(E446=TRIM(INDEX($A$3:$A$168,K446)),"",IF(RIGHT(TRIM(INDEX($A$3:$A$168,K446)),1)="]",LEFT(TRIM(INDEX($A$3:$A$168,K446)),LEN(TRIM(INDEX($A$3:$A$168,K446)))-1)&amp;", "&amp;SUBSTITUTE(SUBSTITUTE(SUBSTITUTE(E446," [",", "),"[",", "),"]","")&amp;"]",TRIM(INDEX($A$3:$A$168,K446))&amp;" ["&amp;SUBSTITUTE(SUBSTITUTE(SUBSTITUTE(E446," [",", "),"[",", "),"]","")&amp;"]")))</x:f>
      </x:c>
      <x:c r="G446" t="str">
        <x:f>IF(F446&lt;&gt;"",ROWS($F$3:F446)-COUNTBLANK($F$3:F446),"")</x:f>
      </x:c>
      <x:c r="H446"/>
      <x:c r="I446"/>
      <x:c r="J446"/>
      <x:c r="K446" t="str">
        <x:f>IF(ROW()-ROW($K$2)&lt;=SUM($J$3:$J$168),COUNTIF($H$3:$H$168,"&lt;"&amp;(ROW()-ROW($K$2))),"")</x:f>
      </x:c>
      <x:c r="L446" t="str">
        <x:f>IF(K446="","",ROW()-ROW($L$2)-INDEX($H$3:$H$168,K446))</x:f>
      </x:c>
      <x:c r="M446" t="str">
        <x:f>IF(K446="","",IF(L446=1,1,FIND(CHAR(1),SUBSTITUTE(INDEX($B$3:$B$168,K446),CHAR(10),CHAR(1),L446-1))+1))</x:f>
      </x:c>
      <x:c r="N446" t="str">
        <x:f>IF(K446="","",IFERROR(FIND(CHAR(1),SUBSTITUTE(INDEX($B$3:$B$168,K446),CHAR(10),CHAR(1),L446)),LEN(INDEX($B$3:$B$168,K446))+1))</x:f>
      </x:c>
    </x:row>
    <x:row r="447">
      <x:c r="A447"/>
      <x:c r="B447"/>
      <x:c r="C447"/>
      <x:c r="D447" t="str">
        <x:f>IFERROR(IF(445&lt;=$O$1,INDEX($A$3:$A$168,MATCH(445,$I$3:$I$168,0)),IF(445&lt;=$O$1+$O$2,INDEX($F$3:$F$1994,MATCH(445-$O$1,$G$3:$G$1994,0)),"")),"")</x:f>
      </x:c>
      <x:c r="E447" t="str">
        <x:f>IF(K447="","",IF(N447&lt;=M447,"",TRIM(CLEAN(MID(INDEX($B$3:$B$168,K447),M447,N447-M447)))))</x:f>
      </x:c>
      <x:c r="F447" t="str">
        <x:f>IF(E447="","",IF(E447=TRIM(INDEX($A$3:$A$168,K447)),"",IF(RIGHT(TRIM(INDEX($A$3:$A$168,K447)),1)="]",LEFT(TRIM(INDEX($A$3:$A$168,K447)),LEN(TRIM(INDEX($A$3:$A$168,K447)))-1)&amp;", "&amp;SUBSTITUTE(SUBSTITUTE(SUBSTITUTE(E447," [",", "),"[",", "),"]","")&amp;"]",TRIM(INDEX($A$3:$A$168,K447))&amp;" ["&amp;SUBSTITUTE(SUBSTITUTE(SUBSTITUTE(E447," [",", "),"[",", "),"]","")&amp;"]")))</x:f>
      </x:c>
      <x:c r="G447" t="str">
        <x:f>IF(F447&lt;&gt;"",ROWS($F$3:F447)-COUNTBLANK($F$3:F447),"")</x:f>
      </x:c>
      <x:c r="H447"/>
      <x:c r="I447"/>
      <x:c r="J447"/>
      <x:c r="K447" t="str">
        <x:f>IF(ROW()-ROW($K$2)&lt;=SUM($J$3:$J$168),COUNTIF($H$3:$H$168,"&lt;"&amp;(ROW()-ROW($K$2))),"")</x:f>
      </x:c>
      <x:c r="L447" t="str">
        <x:f>IF(K447="","",ROW()-ROW($L$2)-INDEX($H$3:$H$168,K447))</x:f>
      </x:c>
      <x:c r="M447" t="str">
        <x:f>IF(K447="","",IF(L447=1,1,FIND(CHAR(1),SUBSTITUTE(INDEX($B$3:$B$168,K447),CHAR(10),CHAR(1),L447-1))+1))</x:f>
      </x:c>
      <x:c r="N447" t="str">
        <x:f>IF(K447="","",IFERROR(FIND(CHAR(1),SUBSTITUTE(INDEX($B$3:$B$168,K447),CHAR(10),CHAR(1),L447)),LEN(INDEX($B$3:$B$168,K447))+1))</x:f>
      </x:c>
    </x:row>
    <x:row r="448">
      <x:c r="A448"/>
      <x:c r="B448"/>
      <x:c r="C448"/>
      <x:c r="D448" t="str">
        <x:f>IFERROR(IF(446&lt;=$O$1,INDEX($A$3:$A$168,MATCH(446,$I$3:$I$168,0)),IF(446&lt;=$O$1+$O$2,INDEX($F$3:$F$1994,MATCH(446-$O$1,$G$3:$G$1994,0)),"")),"")</x:f>
      </x:c>
      <x:c r="E448" t="str">
        <x:f>IF(K448="","",IF(N448&lt;=M448,"",TRIM(CLEAN(MID(INDEX($B$3:$B$168,K448),M448,N448-M448)))))</x:f>
      </x:c>
      <x:c r="F448" t="str">
        <x:f>IF(E448="","",IF(E448=TRIM(INDEX($A$3:$A$168,K448)),"",IF(RIGHT(TRIM(INDEX($A$3:$A$168,K448)),1)="]",LEFT(TRIM(INDEX($A$3:$A$168,K448)),LEN(TRIM(INDEX($A$3:$A$168,K448)))-1)&amp;", "&amp;SUBSTITUTE(SUBSTITUTE(SUBSTITUTE(E448," [",", "),"[",", "),"]","")&amp;"]",TRIM(INDEX($A$3:$A$168,K448))&amp;" ["&amp;SUBSTITUTE(SUBSTITUTE(SUBSTITUTE(E448," [",", "),"[",", "),"]","")&amp;"]")))</x:f>
      </x:c>
      <x:c r="G448" t="str">
        <x:f>IF(F448&lt;&gt;"",ROWS($F$3:F448)-COUNTBLANK($F$3:F448),"")</x:f>
      </x:c>
      <x:c r="H448"/>
      <x:c r="I448"/>
      <x:c r="J448"/>
      <x:c r="K448" t="str">
        <x:f>IF(ROW()-ROW($K$2)&lt;=SUM($J$3:$J$168),COUNTIF($H$3:$H$168,"&lt;"&amp;(ROW()-ROW($K$2))),"")</x:f>
      </x:c>
      <x:c r="L448" t="str">
        <x:f>IF(K448="","",ROW()-ROW($L$2)-INDEX($H$3:$H$168,K448))</x:f>
      </x:c>
      <x:c r="M448" t="str">
        <x:f>IF(K448="","",IF(L448=1,1,FIND(CHAR(1),SUBSTITUTE(INDEX($B$3:$B$168,K448),CHAR(10),CHAR(1),L448-1))+1))</x:f>
      </x:c>
      <x:c r="N448" t="str">
        <x:f>IF(K448="","",IFERROR(FIND(CHAR(1),SUBSTITUTE(INDEX($B$3:$B$168,K448),CHAR(10),CHAR(1),L448)),LEN(INDEX($B$3:$B$168,K448))+1))</x:f>
      </x:c>
    </x:row>
    <x:row r="449">
      <x:c r="A449"/>
      <x:c r="B449"/>
      <x:c r="C449"/>
      <x:c r="D449" t="str">
        <x:f>IFERROR(IF(447&lt;=$O$1,INDEX($A$3:$A$168,MATCH(447,$I$3:$I$168,0)),IF(447&lt;=$O$1+$O$2,INDEX($F$3:$F$1994,MATCH(447-$O$1,$G$3:$G$1994,0)),"")),"")</x:f>
      </x:c>
      <x:c r="E449" t="str">
        <x:f>IF(K449="","",IF(N449&lt;=M449,"",TRIM(CLEAN(MID(INDEX($B$3:$B$168,K449),M449,N449-M449)))))</x:f>
      </x:c>
      <x:c r="F449" t="str">
        <x:f>IF(E449="","",IF(E449=TRIM(INDEX($A$3:$A$168,K449)),"",IF(RIGHT(TRIM(INDEX($A$3:$A$168,K449)),1)="]",LEFT(TRIM(INDEX($A$3:$A$168,K449)),LEN(TRIM(INDEX($A$3:$A$168,K449)))-1)&amp;", "&amp;SUBSTITUTE(SUBSTITUTE(SUBSTITUTE(E449," [",", "),"[",", "),"]","")&amp;"]",TRIM(INDEX($A$3:$A$168,K449))&amp;" ["&amp;SUBSTITUTE(SUBSTITUTE(SUBSTITUTE(E449," [",", "),"[",", "),"]","")&amp;"]")))</x:f>
      </x:c>
      <x:c r="G449" t="str">
        <x:f>IF(F449&lt;&gt;"",ROWS($F$3:F449)-COUNTBLANK($F$3:F449),"")</x:f>
      </x:c>
      <x:c r="H449"/>
      <x:c r="I449"/>
      <x:c r="J449"/>
      <x:c r="K449" t="str">
        <x:f>IF(ROW()-ROW($K$2)&lt;=SUM($J$3:$J$168),COUNTIF($H$3:$H$168,"&lt;"&amp;(ROW()-ROW($K$2))),"")</x:f>
      </x:c>
      <x:c r="L449" t="str">
        <x:f>IF(K449="","",ROW()-ROW($L$2)-INDEX($H$3:$H$168,K449))</x:f>
      </x:c>
      <x:c r="M449" t="str">
        <x:f>IF(K449="","",IF(L449=1,1,FIND(CHAR(1),SUBSTITUTE(INDEX($B$3:$B$168,K449),CHAR(10),CHAR(1),L449-1))+1))</x:f>
      </x:c>
      <x:c r="N449" t="str">
        <x:f>IF(K449="","",IFERROR(FIND(CHAR(1),SUBSTITUTE(INDEX($B$3:$B$168,K449),CHAR(10),CHAR(1),L449)),LEN(INDEX($B$3:$B$168,K449))+1))</x:f>
      </x:c>
    </x:row>
    <x:row r="450">
      <x:c r="A450"/>
      <x:c r="B450"/>
      <x:c r="C450"/>
      <x:c r="D450" t="str">
        <x:f>IFERROR(IF(448&lt;=$O$1,INDEX($A$3:$A$168,MATCH(448,$I$3:$I$168,0)),IF(448&lt;=$O$1+$O$2,INDEX($F$3:$F$1994,MATCH(448-$O$1,$G$3:$G$1994,0)),"")),"")</x:f>
      </x:c>
      <x:c r="E450" t="str">
        <x:f>IF(K450="","",IF(N450&lt;=M450,"",TRIM(CLEAN(MID(INDEX($B$3:$B$168,K450),M450,N450-M450)))))</x:f>
      </x:c>
      <x:c r="F450" t="str">
        <x:f>IF(E450="","",IF(E450=TRIM(INDEX($A$3:$A$168,K450)),"",IF(RIGHT(TRIM(INDEX($A$3:$A$168,K450)),1)="]",LEFT(TRIM(INDEX($A$3:$A$168,K450)),LEN(TRIM(INDEX($A$3:$A$168,K450)))-1)&amp;", "&amp;SUBSTITUTE(SUBSTITUTE(SUBSTITUTE(E450," [",", "),"[",", "),"]","")&amp;"]",TRIM(INDEX($A$3:$A$168,K450))&amp;" ["&amp;SUBSTITUTE(SUBSTITUTE(SUBSTITUTE(E450," [",", "),"[",", "),"]","")&amp;"]")))</x:f>
      </x:c>
      <x:c r="G450" t="str">
        <x:f>IF(F450&lt;&gt;"",ROWS($F$3:F450)-COUNTBLANK($F$3:F450),"")</x:f>
      </x:c>
      <x:c r="H450"/>
      <x:c r="I450"/>
      <x:c r="J450"/>
      <x:c r="K450" t="str">
        <x:f>IF(ROW()-ROW($K$2)&lt;=SUM($J$3:$J$168),COUNTIF($H$3:$H$168,"&lt;"&amp;(ROW()-ROW($K$2))),"")</x:f>
      </x:c>
      <x:c r="L450" t="str">
        <x:f>IF(K450="","",ROW()-ROW($L$2)-INDEX($H$3:$H$168,K450))</x:f>
      </x:c>
      <x:c r="M450" t="str">
        <x:f>IF(K450="","",IF(L450=1,1,FIND(CHAR(1),SUBSTITUTE(INDEX($B$3:$B$168,K450),CHAR(10),CHAR(1),L450-1))+1))</x:f>
      </x:c>
      <x:c r="N450" t="str">
        <x:f>IF(K450="","",IFERROR(FIND(CHAR(1),SUBSTITUTE(INDEX($B$3:$B$168,K450),CHAR(10),CHAR(1),L450)),LEN(INDEX($B$3:$B$168,K450))+1))</x:f>
      </x:c>
    </x:row>
    <x:row r="451">
      <x:c r="A451"/>
      <x:c r="B451"/>
      <x:c r="C451"/>
      <x:c r="D451" t="str">
        <x:f>IFERROR(IF(449&lt;=$O$1,INDEX($A$3:$A$168,MATCH(449,$I$3:$I$168,0)),IF(449&lt;=$O$1+$O$2,INDEX($F$3:$F$1994,MATCH(449-$O$1,$G$3:$G$1994,0)),"")),"")</x:f>
      </x:c>
      <x:c r="E451" t="str">
        <x:f>IF(K451="","",IF(N451&lt;=M451,"",TRIM(CLEAN(MID(INDEX($B$3:$B$168,K451),M451,N451-M451)))))</x:f>
      </x:c>
      <x:c r="F451" t="str">
        <x:f>IF(E451="","",IF(E451=TRIM(INDEX($A$3:$A$168,K451)),"",IF(RIGHT(TRIM(INDEX($A$3:$A$168,K451)),1)="]",LEFT(TRIM(INDEX($A$3:$A$168,K451)),LEN(TRIM(INDEX($A$3:$A$168,K451)))-1)&amp;", "&amp;SUBSTITUTE(SUBSTITUTE(SUBSTITUTE(E451," [",", "),"[",", "),"]","")&amp;"]",TRIM(INDEX($A$3:$A$168,K451))&amp;" ["&amp;SUBSTITUTE(SUBSTITUTE(SUBSTITUTE(E451," [",", "),"[",", "),"]","")&amp;"]")))</x:f>
      </x:c>
      <x:c r="G451" t="str">
        <x:f>IF(F451&lt;&gt;"",ROWS($F$3:F451)-COUNTBLANK($F$3:F451),"")</x:f>
      </x:c>
      <x:c r="H451"/>
      <x:c r="I451"/>
      <x:c r="J451"/>
      <x:c r="K451" t="str">
        <x:f>IF(ROW()-ROW($K$2)&lt;=SUM($J$3:$J$168),COUNTIF($H$3:$H$168,"&lt;"&amp;(ROW()-ROW($K$2))),"")</x:f>
      </x:c>
      <x:c r="L451" t="str">
        <x:f>IF(K451="","",ROW()-ROW($L$2)-INDEX($H$3:$H$168,K451))</x:f>
      </x:c>
      <x:c r="M451" t="str">
        <x:f>IF(K451="","",IF(L451=1,1,FIND(CHAR(1),SUBSTITUTE(INDEX($B$3:$B$168,K451),CHAR(10),CHAR(1),L451-1))+1))</x:f>
      </x:c>
      <x:c r="N451" t="str">
        <x:f>IF(K451="","",IFERROR(FIND(CHAR(1),SUBSTITUTE(INDEX($B$3:$B$168,K451),CHAR(10),CHAR(1),L451)),LEN(INDEX($B$3:$B$168,K451))+1))</x:f>
      </x:c>
    </x:row>
    <x:row r="452">
      <x:c r="A452"/>
      <x:c r="B452"/>
      <x:c r="C452"/>
      <x:c r="D452" t="str">
        <x:f>IFERROR(IF(450&lt;=$O$1,INDEX($A$3:$A$168,MATCH(450,$I$3:$I$168,0)),IF(450&lt;=$O$1+$O$2,INDEX($F$3:$F$1994,MATCH(450-$O$1,$G$3:$G$1994,0)),"")),"")</x:f>
      </x:c>
      <x:c r="E452" t="str">
        <x:f>IF(K452="","",IF(N452&lt;=M452,"",TRIM(CLEAN(MID(INDEX($B$3:$B$168,K452),M452,N452-M452)))))</x:f>
      </x:c>
      <x:c r="F452" t="str">
        <x:f>IF(E452="","",IF(E452=TRIM(INDEX($A$3:$A$168,K452)),"",IF(RIGHT(TRIM(INDEX($A$3:$A$168,K452)),1)="]",LEFT(TRIM(INDEX($A$3:$A$168,K452)),LEN(TRIM(INDEX($A$3:$A$168,K452)))-1)&amp;", "&amp;SUBSTITUTE(SUBSTITUTE(SUBSTITUTE(E452," [",", "),"[",", "),"]","")&amp;"]",TRIM(INDEX($A$3:$A$168,K452))&amp;" ["&amp;SUBSTITUTE(SUBSTITUTE(SUBSTITUTE(E452," [",", "),"[",", "),"]","")&amp;"]")))</x:f>
      </x:c>
      <x:c r="G452" t="str">
        <x:f>IF(F452&lt;&gt;"",ROWS($F$3:F452)-COUNTBLANK($F$3:F452),"")</x:f>
      </x:c>
      <x:c r="H452"/>
      <x:c r="I452"/>
      <x:c r="J452"/>
      <x:c r="K452" t="str">
        <x:f>IF(ROW()-ROW($K$2)&lt;=SUM($J$3:$J$168),COUNTIF($H$3:$H$168,"&lt;"&amp;(ROW()-ROW($K$2))),"")</x:f>
      </x:c>
      <x:c r="L452" t="str">
        <x:f>IF(K452="","",ROW()-ROW($L$2)-INDEX($H$3:$H$168,K452))</x:f>
      </x:c>
      <x:c r="M452" t="str">
        <x:f>IF(K452="","",IF(L452=1,1,FIND(CHAR(1),SUBSTITUTE(INDEX($B$3:$B$168,K452),CHAR(10),CHAR(1),L452-1))+1))</x:f>
      </x:c>
      <x:c r="N452" t="str">
        <x:f>IF(K452="","",IFERROR(FIND(CHAR(1),SUBSTITUTE(INDEX($B$3:$B$168,K452),CHAR(10),CHAR(1),L452)),LEN(INDEX($B$3:$B$168,K452))+1))</x:f>
      </x:c>
    </x:row>
    <x:row r="453">
      <x:c r="A453"/>
      <x:c r="B453"/>
      <x:c r="C453"/>
      <x:c r="D453" t="str">
        <x:f>IFERROR(IF(451&lt;=$O$1,INDEX($A$3:$A$168,MATCH(451,$I$3:$I$168,0)),IF(451&lt;=$O$1+$O$2,INDEX($F$3:$F$1994,MATCH(451-$O$1,$G$3:$G$1994,0)),"")),"")</x:f>
      </x:c>
      <x:c r="E453" t="str">
        <x:f>IF(K453="","",IF(N453&lt;=M453,"",TRIM(CLEAN(MID(INDEX($B$3:$B$168,K453),M453,N453-M453)))))</x:f>
      </x:c>
      <x:c r="F453" t="str">
        <x:f>IF(E453="","",IF(E453=TRIM(INDEX($A$3:$A$168,K453)),"",IF(RIGHT(TRIM(INDEX($A$3:$A$168,K453)),1)="]",LEFT(TRIM(INDEX($A$3:$A$168,K453)),LEN(TRIM(INDEX($A$3:$A$168,K453)))-1)&amp;", "&amp;SUBSTITUTE(SUBSTITUTE(SUBSTITUTE(E453," [",", "),"[",", "),"]","")&amp;"]",TRIM(INDEX($A$3:$A$168,K453))&amp;" ["&amp;SUBSTITUTE(SUBSTITUTE(SUBSTITUTE(E453," [",", "),"[",", "),"]","")&amp;"]")))</x:f>
      </x:c>
      <x:c r="G453" t="str">
        <x:f>IF(F453&lt;&gt;"",ROWS($F$3:F453)-COUNTBLANK($F$3:F453),"")</x:f>
      </x:c>
      <x:c r="H453"/>
      <x:c r="I453"/>
      <x:c r="J453"/>
      <x:c r="K453" t="str">
        <x:f>IF(ROW()-ROW($K$2)&lt;=SUM($J$3:$J$168),COUNTIF($H$3:$H$168,"&lt;"&amp;(ROW()-ROW($K$2))),"")</x:f>
      </x:c>
      <x:c r="L453" t="str">
        <x:f>IF(K453="","",ROW()-ROW($L$2)-INDEX($H$3:$H$168,K453))</x:f>
      </x:c>
      <x:c r="M453" t="str">
        <x:f>IF(K453="","",IF(L453=1,1,FIND(CHAR(1),SUBSTITUTE(INDEX($B$3:$B$168,K453),CHAR(10),CHAR(1),L453-1))+1))</x:f>
      </x:c>
      <x:c r="N453" t="str">
        <x:f>IF(K453="","",IFERROR(FIND(CHAR(1),SUBSTITUTE(INDEX($B$3:$B$168,K453),CHAR(10),CHAR(1),L453)),LEN(INDEX($B$3:$B$168,K453))+1))</x:f>
      </x:c>
    </x:row>
    <x:row r="454">
      <x:c r="A454"/>
      <x:c r="B454"/>
      <x:c r="C454"/>
      <x:c r="D454" t="str">
        <x:f>IFERROR(IF(452&lt;=$O$1,INDEX($A$3:$A$168,MATCH(452,$I$3:$I$168,0)),IF(452&lt;=$O$1+$O$2,INDEX($F$3:$F$1994,MATCH(452-$O$1,$G$3:$G$1994,0)),"")),"")</x:f>
      </x:c>
      <x:c r="E454" t="str">
        <x:f>IF(K454="","",IF(N454&lt;=M454,"",TRIM(CLEAN(MID(INDEX($B$3:$B$168,K454),M454,N454-M454)))))</x:f>
      </x:c>
      <x:c r="F454" t="str">
        <x:f>IF(E454="","",IF(E454=TRIM(INDEX($A$3:$A$168,K454)),"",IF(RIGHT(TRIM(INDEX($A$3:$A$168,K454)),1)="]",LEFT(TRIM(INDEX($A$3:$A$168,K454)),LEN(TRIM(INDEX($A$3:$A$168,K454)))-1)&amp;", "&amp;SUBSTITUTE(SUBSTITUTE(SUBSTITUTE(E454," [",", "),"[",", "),"]","")&amp;"]",TRIM(INDEX($A$3:$A$168,K454))&amp;" ["&amp;SUBSTITUTE(SUBSTITUTE(SUBSTITUTE(E454," [",", "),"[",", "),"]","")&amp;"]")))</x:f>
      </x:c>
      <x:c r="G454" t="str">
        <x:f>IF(F454&lt;&gt;"",ROWS($F$3:F454)-COUNTBLANK($F$3:F454),"")</x:f>
      </x:c>
      <x:c r="H454"/>
      <x:c r="I454"/>
      <x:c r="J454"/>
      <x:c r="K454" t="str">
        <x:f>IF(ROW()-ROW($K$2)&lt;=SUM($J$3:$J$168),COUNTIF($H$3:$H$168,"&lt;"&amp;(ROW()-ROW($K$2))),"")</x:f>
      </x:c>
      <x:c r="L454" t="str">
        <x:f>IF(K454="","",ROW()-ROW($L$2)-INDEX($H$3:$H$168,K454))</x:f>
      </x:c>
      <x:c r="M454" t="str">
        <x:f>IF(K454="","",IF(L454=1,1,FIND(CHAR(1),SUBSTITUTE(INDEX($B$3:$B$168,K454),CHAR(10),CHAR(1),L454-1))+1))</x:f>
      </x:c>
      <x:c r="N454" t="str">
        <x:f>IF(K454="","",IFERROR(FIND(CHAR(1),SUBSTITUTE(INDEX($B$3:$B$168,K454),CHAR(10),CHAR(1),L454)),LEN(INDEX($B$3:$B$168,K454))+1))</x:f>
      </x:c>
    </x:row>
    <x:row r="455">
      <x:c r="A455"/>
      <x:c r="B455"/>
      <x:c r="C455"/>
      <x:c r="D455" t="str">
        <x:f>IFERROR(IF(453&lt;=$O$1,INDEX($A$3:$A$168,MATCH(453,$I$3:$I$168,0)),IF(453&lt;=$O$1+$O$2,INDEX($F$3:$F$1994,MATCH(453-$O$1,$G$3:$G$1994,0)),"")),"")</x:f>
      </x:c>
      <x:c r="E455" t="str">
        <x:f>IF(K455="","",IF(N455&lt;=M455,"",TRIM(CLEAN(MID(INDEX($B$3:$B$168,K455),M455,N455-M455)))))</x:f>
      </x:c>
      <x:c r="F455" t="str">
        <x:f>IF(E455="","",IF(E455=TRIM(INDEX($A$3:$A$168,K455)),"",IF(RIGHT(TRIM(INDEX($A$3:$A$168,K455)),1)="]",LEFT(TRIM(INDEX($A$3:$A$168,K455)),LEN(TRIM(INDEX($A$3:$A$168,K455)))-1)&amp;", "&amp;SUBSTITUTE(SUBSTITUTE(SUBSTITUTE(E455," [",", "),"[",", "),"]","")&amp;"]",TRIM(INDEX($A$3:$A$168,K455))&amp;" ["&amp;SUBSTITUTE(SUBSTITUTE(SUBSTITUTE(E455," [",", "),"[",", "),"]","")&amp;"]")))</x:f>
      </x:c>
      <x:c r="G455" t="str">
        <x:f>IF(F455&lt;&gt;"",ROWS($F$3:F455)-COUNTBLANK($F$3:F455),"")</x:f>
      </x:c>
      <x:c r="H455"/>
      <x:c r="I455"/>
      <x:c r="J455"/>
      <x:c r="K455" t="str">
        <x:f>IF(ROW()-ROW($K$2)&lt;=SUM($J$3:$J$168),COUNTIF($H$3:$H$168,"&lt;"&amp;(ROW()-ROW($K$2))),"")</x:f>
      </x:c>
      <x:c r="L455" t="str">
        <x:f>IF(K455="","",ROW()-ROW($L$2)-INDEX($H$3:$H$168,K455))</x:f>
      </x:c>
      <x:c r="M455" t="str">
        <x:f>IF(K455="","",IF(L455=1,1,FIND(CHAR(1),SUBSTITUTE(INDEX($B$3:$B$168,K455),CHAR(10),CHAR(1),L455-1))+1))</x:f>
      </x:c>
      <x:c r="N455" t="str">
        <x:f>IF(K455="","",IFERROR(FIND(CHAR(1),SUBSTITUTE(INDEX($B$3:$B$168,K455),CHAR(10),CHAR(1),L455)),LEN(INDEX($B$3:$B$168,K455))+1))</x:f>
      </x:c>
    </x:row>
    <x:row r="456">
      <x:c r="A456"/>
      <x:c r="B456"/>
      <x:c r="C456"/>
      <x:c r="D456" t="str">
        <x:f>IFERROR(IF(454&lt;=$O$1,INDEX($A$3:$A$168,MATCH(454,$I$3:$I$168,0)),IF(454&lt;=$O$1+$O$2,INDEX($F$3:$F$1994,MATCH(454-$O$1,$G$3:$G$1994,0)),"")),"")</x:f>
      </x:c>
      <x:c r="E456" t="str">
        <x:f>IF(K456="","",IF(N456&lt;=M456,"",TRIM(CLEAN(MID(INDEX($B$3:$B$168,K456),M456,N456-M456)))))</x:f>
      </x:c>
      <x:c r="F456" t="str">
        <x:f>IF(E456="","",IF(E456=TRIM(INDEX($A$3:$A$168,K456)),"",IF(RIGHT(TRIM(INDEX($A$3:$A$168,K456)),1)="]",LEFT(TRIM(INDEX($A$3:$A$168,K456)),LEN(TRIM(INDEX($A$3:$A$168,K456)))-1)&amp;", "&amp;SUBSTITUTE(SUBSTITUTE(SUBSTITUTE(E456," [",", "),"[",", "),"]","")&amp;"]",TRIM(INDEX($A$3:$A$168,K456))&amp;" ["&amp;SUBSTITUTE(SUBSTITUTE(SUBSTITUTE(E456," [",", "),"[",", "),"]","")&amp;"]")))</x:f>
      </x:c>
      <x:c r="G456" t="str">
        <x:f>IF(F456&lt;&gt;"",ROWS($F$3:F456)-COUNTBLANK($F$3:F456),"")</x:f>
      </x:c>
      <x:c r="H456"/>
      <x:c r="I456"/>
      <x:c r="J456"/>
      <x:c r="K456" t="str">
        <x:f>IF(ROW()-ROW($K$2)&lt;=SUM($J$3:$J$168),COUNTIF($H$3:$H$168,"&lt;"&amp;(ROW()-ROW($K$2))),"")</x:f>
      </x:c>
      <x:c r="L456" t="str">
        <x:f>IF(K456="","",ROW()-ROW($L$2)-INDEX($H$3:$H$168,K456))</x:f>
      </x:c>
      <x:c r="M456" t="str">
        <x:f>IF(K456="","",IF(L456=1,1,FIND(CHAR(1),SUBSTITUTE(INDEX($B$3:$B$168,K456),CHAR(10),CHAR(1),L456-1))+1))</x:f>
      </x:c>
      <x:c r="N456" t="str">
        <x:f>IF(K456="","",IFERROR(FIND(CHAR(1),SUBSTITUTE(INDEX($B$3:$B$168,K456),CHAR(10),CHAR(1),L456)),LEN(INDEX($B$3:$B$168,K456))+1))</x:f>
      </x:c>
    </x:row>
    <x:row r="457">
      <x:c r="A457"/>
      <x:c r="B457"/>
      <x:c r="C457"/>
      <x:c r="D457" t="str">
        <x:f>IFERROR(IF(455&lt;=$O$1,INDEX($A$3:$A$168,MATCH(455,$I$3:$I$168,0)),IF(455&lt;=$O$1+$O$2,INDEX($F$3:$F$1994,MATCH(455-$O$1,$G$3:$G$1994,0)),"")),"")</x:f>
      </x:c>
      <x:c r="E457" t="str">
        <x:f>IF(K457="","",IF(N457&lt;=M457,"",TRIM(CLEAN(MID(INDEX($B$3:$B$168,K457),M457,N457-M457)))))</x:f>
      </x:c>
      <x:c r="F457" t="str">
        <x:f>IF(E457="","",IF(E457=TRIM(INDEX($A$3:$A$168,K457)),"",IF(RIGHT(TRIM(INDEX($A$3:$A$168,K457)),1)="]",LEFT(TRIM(INDEX($A$3:$A$168,K457)),LEN(TRIM(INDEX($A$3:$A$168,K457)))-1)&amp;", "&amp;SUBSTITUTE(SUBSTITUTE(SUBSTITUTE(E457," [",", "),"[",", "),"]","")&amp;"]",TRIM(INDEX($A$3:$A$168,K457))&amp;" ["&amp;SUBSTITUTE(SUBSTITUTE(SUBSTITUTE(E457," [",", "),"[",", "),"]","")&amp;"]")))</x:f>
      </x:c>
      <x:c r="G457" t="str">
        <x:f>IF(F457&lt;&gt;"",ROWS($F$3:F457)-COUNTBLANK($F$3:F457),"")</x:f>
      </x:c>
      <x:c r="H457"/>
      <x:c r="I457"/>
      <x:c r="J457"/>
      <x:c r="K457" t="str">
        <x:f>IF(ROW()-ROW($K$2)&lt;=SUM($J$3:$J$168),COUNTIF($H$3:$H$168,"&lt;"&amp;(ROW()-ROW($K$2))),"")</x:f>
      </x:c>
      <x:c r="L457" t="str">
        <x:f>IF(K457="","",ROW()-ROW($L$2)-INDEX($H$3:$H$168,K457))</x:f>
      </x:c>
      <x:c r="M457" t="str">
        <x:f>IF(K457="","",IF(L457=1,1,FIND(CHAR(1),SUBSTITUTE(INDEX($B$3:$B$168,K457),CHAR(10),CHAR(1),L457-1))+1))</x:f>
      </x:c>
      <x:c r="N457" t="str">
        <x:f>IF(K457="","",IFERROR(FIND(CHAR(1),SUBSTITUTE(INDEX($B$3:$B$168,K457),CHAR(10),CHAR(1),L457)),LEN(INDEX($B$3:$B$168,K457))+1))</x:f>
      </x:c>
    </x:row>
    <x:row r="458">
      <x:c r="A458"/>
      <x:c r="B458"/>
      <x:c r="C458"/>
      <x:c r="D458" t="str">
        <x:f>IFERROR(IF(456&lt;=$O$1,INDEX($A$3:$A$168,MATCH(456,$I$3:$I$168,0)),IF(456&lt;=$O$1+$O$2,INDEX($F$3:$F$1994,MATCH(456-$O$1,$G$3:$G$1994,0)),"")),"")</x:f>
      </x:c>
      <x:c r="E458" t="str">
        <x:f>IF(K458="","",IF(N458&lt;=M458,"",TRIM(CLEAN(MID(INDEX($B$3:$B$168,K458),M458,N458-M458)))))</x:f>
      </x:c>
      <x:c r="F458" t="str">
        <x:f>IF(E458="","",IF(E458=TRIM(INDEX($A$3:$A$168,K458)),"",IF(RIGHT(TRIM(INDEX($A$3:$A$168,K458)),1)="]",LEFT(TRIM(INDEX($A$3:$A$168,K458)),LEN(TRIM(INDEX($A$3:$A$168,K458)))-1)&amp;", "&amp;SUBSTITUTE(SUBSTITUTE(SUBSTITUTE(E458," [",", "),"[",", "),"]","")&amp;"]",TRIM(INDEX($A$3:$A$168,K458))&amp;" ["&amp;SUBSTITUTE(SUBSTITUTE(SUBSTITUTE(E458," [",", "),"[",", "),"]","")&amp;"]")))</x:f>
      </x:c>
      <x:c r="G458" t="str">
        <x:f>IF(F458&lt;&gt;"",ROWS($F$3:F458)-COUNTBLANK($F$3:F458),"")</x:f>
      </x:c>
      <x:c r="H458"/>
      <x:c r="I458"/>
      <x:c r="J458"/>
      <x:c r="K458" t="str">
        <x:f>IF(ROW()-ROW($K$2)&lt;=SUM($J$3:$J$168),COUNTIF($H$3:$H$168,"&lt;"&amp;(ROW()-ROW($K$2))),"")</x:f>
      </x:c>
      <x:c r="L458" t="str">
        <x:f>IF(K458="","",ROW()-ROW($L$2)-INDEX($H$3:$H$168,K458))</x:f>
      </x:c>
      <x:c r="M458" t="str">
        <x:f>IF(K458="","",IF(L458=1,1,FIND(CHAR(1),SUBSTITUTE(INDEX($B$3:$B$168,K458),CHAR(10),CHAR(1),L458-1))+1))</x:f>
      </x:c>
      <x:c r="N458" t="str">
        <x:f>IF(K458="","",IFERROR(FIND(CHAR(1),SUBSTITUTE(INDEX($B$3:$B$168,K458),CHAR(10),CHAR(1),L458)),LEN(INDEX($B$3:$B$168,K458))+1))</x:f>
      </x:c>
    </x:row>
    <x:row r="459">
      <x:c r="A459"/>
      <x:c r="B459"/>
      <x:c r="C459"/>
      <x:c r="D459" t="str">
        <x:f>IFERROR(IF(457&lt;=$O$1,INDEX($A$3:$A$168,MATCH(457,$I$3:$I$168,0)),IF(457&lt;=$O$1+$O$2,INDEX($F$3:$F$1994,MATCH(457-$O$1,$G$3:$G$1994,0)),"")),"")</x:f>
      </x:c>
      <x:c r="E459" t="str">
        <x:f>IF(K459="","",IF(N459&lt;=M459,"",TRIM(CLEAN(MID(INDEX($B$3:$B$168,K459),M459,N459-M459)))))</x:f>
      </x:c>
      <x:c r="F459" t="str">
        <x:f>IF(E459="","",IF(E459=TRIM(INDEX($A$3:$A$168,K459)),"",IF(RIGHT(TRIM(INDEX($A$3:$A$168,K459)),1)="]",LEFT(TRIM(INDEX($A$3:$A$168,K459)),LEN(TRIM(INDEX($A$3:$A$168,K459)))-1)&amp;", "&amp;SUBSTITUTE(SUBSTITUTE(SUBSTITUTE(E459," [",", "),"[",", "),"]","")&amp;"]",TRIM(INDEX($A$3:$A$168,K459))&amp;" ["&amp;SUBSTITUTE(SUBSTITUTE(SUBSTITUTE(E459," [",", "),"[",", "),"]","")&amp;"]")))</x:f>
      </x:c>
      <x:c r="G459" t="str">
        <x:f>IF(F459&lt;&gt;"",ROWS($F$3:F459)-COUNTBLANK($F$3:F459),"")</x:f>
      </x:c>
      <x:c r="H459"/>
      <x:c r="I459"/>
      <x:c r="J459"/>
      <x:c r="K459" t="str">
        <x:f>IF(ROW()-ROW($K$2)&lt;=SUM($J$3:$J$168),COUNTIF($H$3:$H$168,"&lt;"&amp;(ROW()-ROW($K$2))),"")</x:f>
      </x:c>
      <x:c r="L459" t="str">
        <x:f>IF(K459="","",ROW()-ROW($L$2)-INDEX($H$3:$H$168,K459))</x:f>
      </x:c>
      <x:c r="M459" t="str">
        <x:f>IF(K459="","",IF(L459=1,1,FIND(CHAR(1),SUBSTITUTE(INDEX($B$3:$B$168,K459),CHAR(10),CHAR(1),L459-1))+1))</x:f>
      </x:c>
      <x:c r="N459" t="str">
        <x:f>IF(K459="","",IFERROR(FIND(CHAR(1),SUBSTITUTE(INDEX($B$3:$B$168,K459),CHAR(10),CHAR(1),L459)),LEN(INDEX($B$3:$B$168,K459))+1))</x:f>
      </x:c>
    </x:row>
    <x:row r="460">
      <x:c r="A460"/>
      <x:c r="B460"/>
      <x:c r="C460"/>
      <x:c r="D460" t="str">
        <x:f>IFERROR(IF(458&lt;=$O$1,INDEX($A$3:$A$168,MATCH(458,$I$3:$I$168,0)),IF(458&lt;=$O$1+$O$2,INDEX($F$3:$F$1994,MATCH(458-$O$1,$G$3:$G$1994,0)),"")),"")</x:f>
      </x:c>
      <x:c r="E460" t="str">
        <x:f>IF(K460="","",IF(N460&lt;=M460,"",TRIM(CLEAN(MID(INDEX($B$3:$B$168,K460),M460,N460-M460)))))</x:f>
      </x:c>
      <x:c r="F460" t="str">
        <x:f>IF(E460="","",IF(E460=TRIM(INDEX($A$3:$A$168,K460)),"",IF(RIGHT(TRIM(INDEX($A$3:$A$168,K460)),1)="]",LEFT(TRIM(INDEX($A$3:$A$168,K460)),LEN(TRIM(INDEX($A$3:$A$168,K460)))-1)&amp;", "&amp;SUBSTITUTE(SUBSTITUTE(SUBSTITUTE(E460," [",", "),"[",", "),"]","")&amp;"]",TRIM(INDEX($A$3:$A$168,K460))&amp;" ["&amp;SUBSTITUTE(SUBSTITUTE(SUBSTITUTE(E460," [",", "),"[",", "),"]","")&amp;"]")))</x:f>
      </x:c>
      <x:c r="G460" t="str">
        <x:f>IF(F460&lt;&gt;"",ROWS($F$3:F460)-COUNTBLANK($F$3:F460),"")</x:f>
      </x:c>
      <x:c r="H460"/>
      <x:c r="I460"/>
      <x:c r="J460"/>
      <x:c r="K460" t="str">
        <x:f>IF(ROW()-ROW($K$2)&lt;=SUM($J$3:$J$168),COUNTIF($H$3:$H$168,"&lt;"&amp;(ROW()-ROW($K$2))),"")</x:f>
      </x:c>
      <x:c r="L460" t="str">
        <x:f>IF(K460="","",ROW()-ROW($L$2)-INDEX($H$3:$H$168,K460))</x:f>
      </x:c>
      <x:c r="M460" t="str">
        <x:f>IF(K460="","",IF(L460=1,1,FIND(CHAR(1),SUBSTITUTE(INDEX($B$3:$B$168,K460),CHAR(10),CHAR(1),L460-1))+1))</x:f>
      </x:c>
      <x:c r="N460" t="str">
        <x:f>IF(K460="","",IFERROR(FIND(CHAR(1),SUBSTITUTE(INDEX($B$3:$B$168,K460),CHAR(10),CHAR(1),L460)),LEN(INDEX($B$3:$B$168,K460))+1))</x:f>
      </x:c>
    </x:row>
    <x:row r="461">
      <x:c r="A461"/>
      <x:c r="B461"/>
      <x:c r="C461"/>
      <x:c r="D461" t="str">
        <x:f>IFERROR(IF(459&lt;=$O$1,INDEX($A$3:$A$168,MATCH(459,$I$3:$I$168,0)),IF(459&lt;=$O$1+$O$2,INDEX($F$3:$F$1994,MATCH(459-$O$1,$G$3:$G$1994,0)),"")),"")</x:f>
      </x:c>
      <x:c r="E461" t="str">
        <x:f>IF(K461="","",IF(N461&lt;=M461,"",TRIM(CLEAN(MID(INDEX($B$3:$B$168,K461),M461,N461-M461)))))</x:f>
      </x:c>
      <x:c r="F461" t="str">
        <x:f>IF(E461="","",IF(E461=TRIM(INDEX($A$3:$A$168,K461)),"",IF(RIGHT(TRIM(INDEX($A$3:$A$168,K461)),1)="]",LEFT(TRIM(INDEX($A$3:$A$168,K461)),LEN(TRIM(INDEX($A$3:$A$168,K461)))-1)&amp;", "&amp;SUBSTITUTE(SUBSTITUTE(SUBSTITUTE(E461," [",", "),"[",", "),"]","")&amp;"]",TRIM(INDEX($A$3:$A$168,K461))&amp;" ["&amp;SUBSTITUTE(SUBSTITUTE(SUBSTITUTE(E461," [",", "),"[",", "),"]","")&amp;"]")))</x:f>
      </x:c>
      <x:c r="G461" t="str">
        <x:f>IF(F461&lt;&gt;"",ROWS($F$3:F461)-COUNTBLANK($F$3:F461),"")</x:f>
      </x:c>
      <x:c r="H461"/>
      <x:c r="I461"/>
      <x:c r="J461"/>
      <x:c r="K461" t="str">
        <x:f>IF(ROW()-ROW($K$2)&lt;=SUM($J$3:$J$168),COUNTIF($H$3:$H$168,"&lt;"&amp;(ROW()-ROW($K$2))),"")</x:f>
      </x:c>
      <x:c r="L461" t="str">
        <x:f>IF(K461="","",ROW()-ROW($L$2)-INDEX($H$3:$H$168,K461))</x:f>
      </x:c>
      <x:c r="M461" t="str">
        <x:f>IF(K461="","",IF(L461=1,1,FIND(CHAR(1),SUBSTITUTE(INDEX($B$3:$B$168,K461),CHAR(10),CHAR(1),L461-1))+1))</x:f>
      </x:c>
      <x:c r="N461" t="str">
        <x:f>IF(K461="","",IFERROR(FIND(CHAR(1),SUBSTITUTE(INDEX($B$3:$B$168,K461),CHAR(10),CHAR(1),L461)),LEN(INDEX($B$3:$B$168,K461))+1))</x:f>
      </x:c>
    </x:row>
    <x:row r="462">
      <x:c r="A462"/>
      <x:c r="B462"/>
      <x:c r="C462"/>
      <x:c r="D462" t="str">
        <x:f>IFERROR(IF(460&lt;=$O$1,INDEX($A$3:$A$168,MATCH(460,$I$3:$I$168,0)),IF(460&lt;=$O$1+$O$2,INDEX($F$3:$F$1994,MATCH(460-$O$1,$G$3:$G$1994,0)),"")),"")</x:f>
      </x:c>
      <x:c r="E462" t="str">
        <x:f>IF(K462="","",IF(N462&lt;=M462,"",TRIM(CLEAN(MID(INDEX($B$3:$B$168,K462),M462,N462-M462)))))</x:f>
      </x:c>
      <x:c r="F462" t="str">
        <x:f>IF(E462="","",IF(E462=TRIM(INDEX($A$3:$A$168,K462)),"",IF(RIGHT(TRIM(INDEX($A$3:$A$168,K462)),1)="]",LEFT(TRIM(INDEX($A$3:$A$168,K462)),LEN(TRIM(INDEX($A$3:$A$168,K462)))-1)&amp;", "&amp;SUBSTITUTE(SUBSTITUTE(SUBSTITUTE(E462," [",", "),"[",", "),"]","")&amp;"]",TRIM(INDEX($A$3:$A$168,K462))&amp;" ["&amp;SUBSTITUTE(SUBSTITUTE(SUBSTITUTE(E462," [",", "),"[",", "),"]","")&amp;"]")))</x:f>
      </x:c>
      <x:c r="G462" t="str">
        <x:f>IF(F462&lt;&gt;"",ROWS($F$3:F462)-COUNTBLANK($F$3:F462),"")</x:f>
      </x:c>
      <x:c r="H462"/>
      <x:c r="I462"/>
      <x:c r="J462"/>
      <x:c r="K462" t="str">
        <x:f>IF(ROW()-ROW($K$2)&lt;=SUM($J$3:$J$168),COUNTIF($H$3:$H$168,"&lt;"&amp;(ROW()-ROW($K$2))),"")</x:f>
      </x:c>
      <x:c r="L462" t="str">
        <x:f>IF(K462="","",ROW()-ROW($L$2)-INDEX($H$3:$H$168,K462))</x:f>
      </x:c>
      <x:c r="M462" t="str">
        <x:f>IF(K462="","",IF(L462=1,1,FIND(CHAR(1),SUBSTITUTE(INDEX($B$3:$B$168,K462),CHAR(10),CHAR(1),L462-1))+1))</x:f>
      </x:c>
      <x:c r="N462" t="str">
        <x:f>IF(K462="","",IFERROR(FIND(CHAR(1),SUBSTITUTE(INDEX($B$3:$B$168,K462),CHAR(10),CHAR(1),L462)),LEN(INDEX($B$3:$B$168,K462))+1))</x:f>
      </x:c>
    </x:row>
    <x:row r="463">
      <x:c r="A463"/>
      <x:c r="B463"/>
      <x:c r="C463"/>
      <x:c r="D463" t="str">
        <x:f>IFERROR(IF(461&lt;=$O$1,INDEX($A$3:$A$168,MATCH(461,$I$3:$I$168,0)),IF(461&lt;=$O$1+$O$2,INDEX($F$3:$F$1994,MATCH(461-$O$1,$G$3:$G$1994,0)),"")),"")</x:f>
      </x:c>
      <x:c r="E463" t="str">
        <x:f>IF(K463="","",IF(N463&lt;=M463,"",TRIM(CLEAN(MID(INDEX($B$3:$B$168,K463),M463,N463-M463)))))</x:f>
      </x:c>
      <x:c r="F463" t="str">
        <x:f>IF(E463="","",IF(E463=TRIM(INDEX($A$3:$A$168,K463)),"",IF(RIGHT(TRIM(INDEX($A$3:$A$168,K463)),1)="]",LEFT(TRIM(INDEX($A$3:$A$168,K463)),LEN(TRIM(INDEX($A$3:$A$168,K463)))-1)&amp;", "&amp;SUBSTITUTE(SUBSTITUTE(SUBSTITUTE(E463," [",", "),"[",", "),"]","")&amp;"]",TRIM(INDEX($A$3:$A$168,K463))&amp;" ["&amp;SUBSTITUTE(SUBSTITUTE(SUBSTITUTE(E463," [",", "),"[",", "),"]","")&amp;"]")))</x:f>
      </x:c>
      <x:c r="G463" t="str">
        <x:f>IF(F463&lt;&gt;"",ROWS($F$3:F463)-COUNTBLANK($F$3:F463),"")</x:f>
      </x:c>
      <x:c r="H463"/>
      <x:c r="I463"/>
      <x:c r="J463"/>
      <x:c r="K463" t="str">
        <x:f>IF(ROW()-ROW($K$2)&lt;=SUM($J$3:$J$168),COUNTIF($H$3:$H$168,"&lt;"&amp;(ROW()-ROW($K$2))),"")</x:f>
      </x:c>
      <x:c r="L463" t="str">
        <x:f>IF(K463="","",ROW()-ROW($L$2)-INDEX($H$3:$H$168,K463))</x:f>
      </x:c>
      <x:c r="M463" t="str">
        <x:f>IF(K463="","",IF(L463=1,1,FIND(CHAR(1),SUBSTITUTE(INDEX($B$3:$B$168,K463),CHAR(10),CHAR(1),L463-1))+1))</x:f>
      </x:c>
      <x:c r="N463" t="str">
        <x:f>IF(K463="","",IFERROR(FIND(CHAR(1),SUBSTITUTE(INDEX($B$3:$B$168,K463),CHAR(10),CHAR(1),L463)),LEN(INDEX($B$3:$B$168,K463))+1))</x:f>
      </x:c>
    </x:row>
    <x:row r="464">
      <x:c r="A464"/>
      <x:c r="B464"/>
      <x:c r="C464"/>
      <x:c r="D464" t="str">
        <x:f>IFERROR(IF(462&lt;=$O$1,INDEX($A$3:$A$168,MATCH(462,$I$3:$I$168,0)),IF(462&lt;=$O$1+$O$2,INDEX($F$3:$F$1994,MATCH(462-$O$1,$G$3:$G$1994,0)),"")),"")</x:f>
      </x:c>
      <x:c r="E464" t="str">
        <x:f>IF(K464="","",IF(N464&lt;=M464,"",TRIM(CLEAN(MID(INDEX($B$3:$B$168,K464),M464,N464-M464)))))</x:f>
      </x:c>
      <x:c r="F464" t="str">
        <x:f>IF(E464="","",IF(E464=TRIM(INDEX($A$3:$A$168,K464)),"",IF(RIGHT(TRIM(INDEX($A$3:$A$168,K464)),1)="]",LEFT(TRIM(INDEX($A$3:$A$168,K464)),LEN(TRIM(INDEX($A$3:$A$168,K464)))-1)&amp;", "&amp;SUBSTITUTE(SUBSTITUTE(SUBSTITUTE(E464," [",", "),"[",", "),"]","")&amp;"]",TRIM(INDEX($A$3:$A$168,K464))&amp;" ["&amp;SUBSTITUTE(SUBSTITUTE(SUBSTITUTE(E464," [",", "),"[",", "),"]","")&amp;"]")))</x:f>
      </x:c>
      <x:c r="G464" t="str">
        <x:f>IF(F464&lt;&gt;"",ROWS($F$3:F464)-COUNTBLANK($F$3:F464),"")</x:f>
      </x:c>
      <x:c r="H464"/>
      <x:c r="I464"/>
      <x:c r="J464"/>
      <x:c r="K464" t="str">
        <x:f>IF(ROW()-ROW($K$2)&lt;=SUM($J$3:$J$168),COUNTIF($H$3:$H$168,"&lt;"&amp;(ROW()-ROW($K$2))),"")</x:f>
      </x:c>
      <x:c r="L464" t="str">
        <x:f>IF(K464="","",ROW()-ROW($L$2)-INDEX($H$3:$H$168,K464))</x:f>
      </x:c>
      <x:c r="M464" t="str">
        <x:f>IF(K464="","",IF(L464=1,1,FIND(CHAR(1),SUBSTITUTE(INDEX($B$3:$B$168,K464),CHAR(10),CHAR(1),L464-1))+1))</x:f>
      </x:c>
      <x:c r="N464" t="str">
        <x:f>IF(K464="","",IFERROR(FIND(CHAR(1),SUBSTITUTE(INDEX($B$3:$B$168,K464),CHAR(10),CHAR(1),L464)),LEN(INDEX($B$3:$B$168,K464))+1))</x:f>
      </x:c>
    </x:row>
    <x:row r="465">
      <x:c r="A465"/>
      <x:c r="B465"/>
      <x:c r="C465"/>
      <x:c r="D465" t="str">
        <x:f>IFERROR(IF(463&lt;=$O$1,INDEX($A$3:$A$168,MATCH(463,$I$3:$I$168,0)),IF(463&lt;=$O$1+$O$2,INDEX($F$3:$F$1994,MATCH(463-$O$1,$G$3:$G$1994,0)),"")),"")</x:f>
      </x:c>
      <x:c r="E465" t="str">
        <x:f>IF(K465="","",IF(N465&lt;=M465,"",TRIM(CLEAN(MID(INDEX($B$3:$B$168,K465),M465,N465-M465)))))</x:f>
      </x:c>
      <x:c r="F465" t="str">
        <x:f>IF(E465="","",IF(E465=TRIM(INDEX($A$3:$A$168,K465)),"",IF(RIGHT(TRIM(INDEX($A$3:$A$168,K465)),1)="]",LEFT(TRIM(INDEX($A$3:$A$168,K465)),LEN(TRIM(INDEX($A$3:$A$168,K465)))-1)&amp;", "&amp;SUBSTITUTE(SUBSTITUTE(SUBSTITUTE(E465," [",", "),"[",", "),"]","")&amp;"]",TRIM(INDEX($A$3:$A$168,K465))&amp;" ["&amp;SUBSTITUTE(SUBSTITUTE(SUBSTITUTE(E465," [",", "),"[",", "),"]","")&amp;"]")))</x:f>
      </x:c>
      <x:c r="G465" t="str">
        <x:f>IF(F465&lt;&gt;"",ROWS($F$3:F465)-COUNTBLANK($F$3:F465),"")</x:f>
      </x:c>
      <x:c r="H465"/>
      <x:c r="I465"/>
      <x:c r="J465"/>
      <x:c r="K465" t="str">
        <x:f>IF(ROW()-ROW($K$2)&lt;=SUM($J$3:$J$168),COUNTIF($H$3:$H$168,"&lt;"&amp;(ROW()-ROW($K$2))),"")</x:f>
      </x:c>
      <x:c r="L465" t="str">
        <x:f>IF(K465="","",ROW()-ROW($L$2)-INDEX($H$3:$H$168,K465))</x:f>
      </x:c>
      <x:c r="M465" t="str">
        <x:f>IF(K465="","",IF(L465=1,1,FIND(CHAR(1),SUBSTITUTE(INDEX($B$3:$B$168,K465),CHAR(10),CHAR(1),L465-1))+1))</x:f>
      </x:c>
      <x:c r="N465" t="str">
        <x:f>IF(K465="","",IFERROR(FIND(CHAR(1),SUBSTITUTE(INDEX($B$3:$B$168,K465),CHAR(10),CHAR(1),L465)),LEN(INDEX($B$3:$B$168,K465))+1))</x:f>
      </x:c>
    </x:row>
    <x:row r="466">
      <x:c r="A466"/>
      <x:c r="B466"/>
      <x:c r="C466"/>
      <x:c r="D466" t="str">
        <x:f>IFERROR(IF(464&lt;=$O$1,INDEX($A$3:$A$168,MATCH(464,$I$3:$I$168,0)),IF(464&lt;=$O$1+$O$2,INDEX($F$3:$F$1994,MATCH(464-$O$1,$G$3:$G$1994,0)),"")),"")</x:f>
      </x:c>
      <x:c r="E466" t="str">
        <x:f>IF(K466="","",IF(N466&lt;=M466,"",TRIM(CLEAN(MID(INDEX($B$3:$B$168,K466),M466,N466-M466)))))</x:f>
      </x:c>
      <x:c r="F466" t="str">
        <x:f>IF(E466="","",IF(E466=TRIM(INDEX($A$3:$A$168,K466)),"",IF(RIGHT(TRIM(INDEX($A$3:$A$168,K466)),1)="]",LEFT(TRIM(INDEX($A$3:$A$168,K466)),LEN(TRIM(INDEX($A$3:$A$168,K466)))-1)&amp;", "&amp;SUBSTITUTE(SUBSTITUTE(SUBSTITUTE(E466," [",", "),"[",", "),"]","")&amp;"]",TRIM(INDEX($A$3:$A$168,K466))&amp;" ["&amp;SUBSTITUTE(SUBSTITUTE(SUBSTITUTE(E466," [",", "),"[",", "),"]","")&amp;"]")))</x:f>
      </x:c>
      <x:c r="G466" t="str">
        <x:f>IF(F466&lt;&gt;"",ROWS($F$3:F466)-COUNTBLANK($F$3:F466),"")</x:f>
      </x:c>
      <x:c r="H466"/>
      <x:c r="I466"/>
      <x:c r="J466"/>
      <x:c r="K466" t="str">
        <x:f>IF(ROW()-ROW($K$2)&lt;=SUM($J$3:$J$168),COUNTIF($H$3:$H$168,"&lt;"&amp;(ROW()-ROW($K$2))),"")</x:f>
      </x:c>
      <x:c r="L466" t="str">
        <x:f>IF(K466="","",ROW()-ROW($L$2)-INDEX($H$3:$H$168,K466))</x:f>
      </x:c>
      <x:c r="M466" t="str">
        <x:f>IF(K466="","",IF(L466=1,1,FIND(CHAR(1),SUBSTITUTE(INDEX($B$3:$B$168,K466),CHAR(10),CHAR(1),L466-1))+1))</x:f>
      </x:c>
      <x:c r="N466" t="str">
        <x:f>IF(K466="","",IFERROR(FIND(CHAR(1),SUBSTITUTE(INDEX($B$3:$B$168,K466),CHAR(10),CHAR(1),L466)),LEN(INDEX($B$3:$B$168,K466))+1))</x:f>
      </x:c>
    </x:row>
    <x:row r="467">
      <x:c r="A467"/>
      <x:c r="B467"/>
      <x:c r="C467"/>
      <x:c r="D467" t="str">
        <x:f>IFERROR(IF(465&lt;=$O$1,INDEX($A$3:$A$168,MATCH(465,$I$3:$I$168,0)),IF(465&lt;=$O$1+$O$2,INDEX($F$3:$F$1994,MATCH(465-$O$1,$G$3:$G$1994,0)),"")),"")</x:f>
      </x:c>
      <x:c r="E467" t="str">
        <x:f>IF(K467="","",IF(N467&lt;=M467,"",TRIM(CLEAN(MID(INDEX($B$3:$B$168,K467),M467,N467-M467)))))</x:f>
      </x:c>
      <x:c r="F467" t="str">
        <x:f>IF(E467="","",IF(E467=TRIM(INDEX($A$3:$A$168,K467)),"",IF(RIGHT(TRIM(INDEX($A$3:$A$168,K467)),1)="]",LEFT(TRIM(INDEX($A$3:$A$168,K467)),LEN(TRIM(INDEX($A$3:$A$168,K467)))-1)&amp;", "&amp;SUBSTITUTE(SUBSTITUTE(SUBSTITUTE(E467," [",", "),"[",", "),"]","")&amp;"]",TRIM(INDEX($A$3:$A$168,K467))&amp;" ["&amp;SUBSTITUTE(SUBSTITUTE(SUBSTITUTE(E467," [",", "),"[",", "),"]","")&amp;"]")))</x:f>
      </x:c>
      <x:c r="G467" t="str">
        <x:f>IF(F467&lt;&gt;"",ROWS($F$3:F467)-COUNTBLANK($F$3:F467),"")</x:f>
      </x:c>
      <x:c r="H467"/>
      <x:c r="I467"/>
      <x:c r="J467"/>
      <x:c r="K467" t="str">
        <x:f>IF(ROW()-ROW($K$2)&lt;=SUM($J$3:$J$168),COUNTIF($H$3:$H$168,"&lt;"&amp;(ROW()-ROW($K$2))),"")</x:f>
      </x:c>
      <x:c r="L467" t="str">
        <x:f>IF(K467="","",ROW()-ROW($L$2)-INDEX($H$3:$H$168,K467))</x:f>
      </x:c>
      <x:c r="M467" t="str">
        <x:f>IF(K467="","",IF(L467=1,1,FIND(CHAR(1),SUBSTITUTE(INDEX($B$3:$B$168,K467),CHAR(10),CHAR(1),L467-1))+1))</x:f>
      </x:c>
      <x:c r="N467" t="str">
        <x:f>IF(K467="","",IFERROR(FIND(CHAR(1),SUBSTITUTE(INDEX($B$3:$B$168,K467),CHAR(10),CHAR(1),L467)),LEN(INDEX($B$3:$B$168,K467))+1))</x:f>
      </x:c>
    </x:row>
    <x:row r="468">
      <x:c r="A468"/>
      <x:c r="B468"/>
      <x:c r="C468"/>
      <x:c r="D468" t="str">
        <x:f>IFERROR(IF(466&lt;=$O$1,INDEX($A$3:$A$168,MATCH(466,$I$3:$I$168,0)),IF(466&lt;=$O$1+$O$2,INDEX($F$3:$F$1994,MATCH(466-$O$1,$G$3:$G$1994,0)),"")),"")</x:f>
      </x:c>
      <x:c r="E468" t="str">
        <x:f>IF(K468="","",IF(N468&lt;=M468,"",TRIM(CLEAN(MID(INDEX($B$3:$B$168,K468),M468,N468-M468)))))</x:f>
      </x:c>
      <x:c r="F468" t="str">
        <x:f>IF(E468="","",IF(E468=TRIM(INDEX($A$3:$A$168,K468)),"",IF(RIGHT(TRIM(INDEX($A$3:$A$168,K468)),1)="]",LEFT(TRIM(INDEX($A$3:$A$168,K468)),LEN(TRIM(INDEX($A$3:$A$168,K468)))-1)&amp;", "&amp;SUBSTITUTE(SUBSTITUTE(SUBSTITUTE(E468," [",", "),"[",", "),"]","")&amp;"]",TRIM(INDEX($A$3:$A$168,K468))&amp;" ["&amp;SUBSTITUTE(SUBSTITUTE(SUBSTITUTE(E468," [",", "),"[",", "),"]","")&amp;"]")))</x:f>
      </x:c>
      <x:c r="G468" t="str">
        <x:f>IF(F468&lt;&gt;"",ROWS($F$3:F468)-COUNTBLANK($F$3:F468),"")</x:f>
      </x:c>
      <x:c r="H468"/>
      <x:c r="I468"/>
      <x:c r="J468"/>
      <x:c r="K468" t="str">
        <x:f>IF(ROW()-ROW($K$2)&lt;=SUM($J$3:$J$168),COUNTIF($H$3:$H$168,"&lt;"&amp;(ROW()-ROW($K$2))),"")</x:f>
      </x:c>
      <x:c r="L468" t="str">
        <x:f>IF(K468="","",ROW()-ROW($L$2)-INDEX($H$3:$H$168,K468))</x:f>
      </x:c>
      <x:c r="M468" t="str">
        <x:f>IF(K468="","",IF(L468=1,1,FIND(CHAR(1),SUBSTITUTE(INDEX($B$3:$B$168,K468),CHAR(10),CHAR(1),L468-1))+1))</x:f>
      </x:c>
      <x:c r="N468" t="str">
        <x:f>IF(K468="","",IFERROR(FIND(CHAR(1),SUBSTITUTE(INDEX($B$3:$B$168,K468),CHAR(10),CHAR(1),L468)),LEN(INDEX($B$3:$B$168,K468))+1))</x:f>
      </x:c>
    </x:row>
    <x:row r="469">
      <x:c r="A469"/>
      <x:c r="B469"/>
      <x:c r="C469"/>
      <x:c r="D469" t="str">
        <x:f>IFERROR(IF(467&lt;=$O$1,INDEX($A$3:$A$168,MATCH(467,$I$3:$I$168,0)),IF(467&lt;=$O$1+$O$2,INDEX($F$3:$F$1994,MATCH(467-$O$1,$G$3:$G$1994,0)),"")),"")</x:f>
      </x:c>
      <x:c r="E469" t="str">
        <x:f>IF(K469="","",IF(N469&lt;=M469,"",TRIM(CLEAN(MID(INDEX($B$3:$B$168,K469),M469,N469-M469)))))</x:f>
      </x:c>
      <x:c r="F469" t="str">
        <x:f>IF(E469="","",IF(E469=TRIM(INDEX($A$3:$A$168,K469)),"",IF(RIGHT(TRIM(INDEX($A$3:$A$168,K469)),1)="]",LEFT(TRIM(INDEX($A$3:$A$168,K469)),LEN(TRIM(INDEX($A$3:$A$168,K469)))-1)&amp;", "&amp;SUBSTITUTE(SUBSTITUTE(SUBSTITUTE(E469," [",", "),"[",", "),"]","")&amp;"]",TRIM(INDEX($A$3:$A$168,K469))&amp;" ["&amp;SUBSTITUTE(SUBSTITUTE(SUBSTITUTE(E469," [",", "),"[",", "),"]","")&amp;"]")))</x:f>
      </x:c>
      <x:c r="G469" t="str">
        <x:f>IF(F469&lt;&gt;"",ROWS($F$3:F469)-COUNTBLANK($F$3:F469),"")</x:f>
      </x:c>
      <x:c r="H469"/>
      <x:c r="I469"/>
      <x:c r="J469"/>
      <x:c r="K469" t="str">
        <x:f>IF(ROW()-ROW($K$2)&lt;=SUM($J$3:$J$168),COUNTIF($H$3:$H$168,"&lt;"&amp;(ROW()-ROW($K$2))),"")</x:f>
      </x:c>
      <x:c r="L469" t="str">
        <x:f>IF(K469="","",ROW()-ROW($L$2)-INDEX($H$3:$H$168,K469))</x:f>
      </x:c>
      <x:c r="M469" t="str">
        <x:f>IF(K469="","",IF(L469=1,1,FIND(CHAR(1),SUBSTITUTE(INDEX($B$3:$B$168,K469),CHAR(10),CHAR(1),L469-1))+1))</x:f>
      </x:c>
      <x:c r="N469" t="str">
        <x:f>IF(K469="","",IFERROR(FIND(CHAR(1),SUBSTITUTE(INDEX($B$3:$B$168,K469),CHAR(10),CHAR(1),L469)),LEN(INDEX($B$3:$B$168,K469))+1))</x:f>
      </x:c>
    </x:row>
    <x:row r="470">
      <x:c r="A470"/>
      <x:c r="B470"/>
      <x:c r="C470"/>
      <x:c r="D470" t="str">
        <x:f>IFERROR(IF(468&lt;=$O$1,INDEX($A$3:$A$168,MATCH(468,$I$3:$I$168,0)),IF(468&lt;=$O$1+$O$2,INDEX($F$3:$F$1994,MATCH(468-$O$1,$G$3:$G$1994,0)),"")),"")</x:f>
      </x:c>
      <x:c r="E470" t="str">
        <x:f>IF(K470="","",IF(N470&lt;=M470,"",TRIM(CLEAN(MID(INDEX($B$3:$B$168,K470),M470,N470-M470)))))</x:f>
      </x:c>
      <x:c r="F470" t="str">
        <x:f>IF(E470="","",IF(E470=TRIM(INDEX($A$3:$A$168,K470)),"",IF(RIGHT(TRIM(INDEX($A$3:$A$168,K470)),1)="]",LEFT(TRIM(INDEX($A$3:$A$168,K470)),LEN(TRIM(INDEX($A$3:$A$168,K470)))-1)&amp;", "&amp;SUBSTITUTE(SUBSTITUTE(SUBSTITUTE(E470," [",", "),"[",", "),"]","")&amp;"]",TRIM(INDEX($A$3:$A$168,K470))&amp;" ["&amp;SUBSTITUTE(SUBSTITUTE(SUBSTITUTE(E470," [",", "),"[",", "),"]","")&amp;"]")))</x:f>
      </x:c>
      <x:c r="G470" t="str">
        <x:f>IF(F470&lt;&gt;"",ROWS($F$3:F470)-COUNTBLANK($F$3:F470),"")</x:f>
      </x:c>
      <x:c r="H470"/>
      <x:c r="I470"/>
      <x:c r="J470"/>
      <x:c r="K470" t="str">
        <x:f>IF(ROW()-ROW($K$2)&lt;=SUM($J$3:$J$168),COUNTIF($H$3:$H$168,"&lt;"&amp;(ROW()-ROW($K$2))),"")</x:f>
      </x:c>
      <x:c r="L470" t="str">
        <x:f>IF(K470="","",ROW()-ROW($L$2)-INDEX($H$3:$H$168,K470))</x:f>
      </x:c>
      <x:c r="M470" t="str">
        <x:f>IF(K470="","",IF(L470=1,1,FIND(CHAR(1),SUBSTITUTE(INDEX($B$3:$B$168,K470),CHAR(10),CHAR(1),L470-1))+1))</x:f>
      </x:c>
      <x:c r="N470" t="str">
        <x:f>IF(K470="","",IFERROR(FIND(CHAR(1),SUBSTITUTE(INDEX($B$3:$B$168,K470),CHAR(10),CHAR(1),L470)),LEN(INDEX($B$3:$B$168,K470))+1))</x:f>
      </x:c>
    </x:row>
    <x:row r="471">
      <x:c r="A471"/>
      <x:c r="B471"/>
      <x:c r="C471"/>
      <x:c r="D471" t="str">
        <x:f>IFERROR(IF(469&lt;=$O$1,INDEX($A$3:$A$168,MATCH(469,$I$3:$I$168,0)),IF(469&lt;=$O$1+$O$2,INDEX($F$3:$F$1994,MATCH(469-$O$1,$G$3:$G$1994,0)),"")),"")</x:f>
      </x:c>
      <x:c r="E471" t="str">
        <x:f>IF(K471="","",IF(N471&lt;=M471,"",TRIM(CLEAN(MID(INDEX($B$3:$B$168,K471),M471,N471-M471)))))</x:f>
      </x:c>
      <x:c r="F471" t="str">
        <x:f>IF(E471="","",IF(E471=TRIM(INDEX($A$3:$A$168,K471)),"",IF(RIGHT(TRIM(INDEX($A$3:$A$168,K471)),1)="]",LEFT(TRIM(INDEX($A$3:$A$168,K471)),LEN(TRIM(INDEX($A$3:$A$168,K471)))-1)&amp;", "&amp;SUBSTITUTE(SUBSTITUTE(SUBSTITUTE(E471," [",", "),"[",", "),"]","")&amp;"]",TRIM(INDEX($A$3:$A$168,K471))&amp;" ["&amp;SUBSTITUTE(SUBSTITUTE(SUBSTITUTE(E471," [",", "),"[",", "),"]","")&amp;"]")))</x:f>
      </x:c>
      <x:c r="G471" t="str">
        <x:f>IF(F471&lt;&gt;"",ROWS($F$3:F471)-COUNTBLANK($F$3:F471),"")</x:f>
      </x:c>
      <x:c r="H471"/>
      <x:c r="I471"/>
      <x:c r="J471"/>
      <x:c r="K471" t="str">
        <x:f>IF(ROW()-ROW($K$2)&lt;=SUM($J$3:$J$168),COUNTIF($H$3:$H$168,"&lt;"&amp;(ROW()-ROW($K$2))),"")</x:f>
      </x:c>
      <x:c r="L471" t="str">
        <x:f>IF(K471="","",ROW()-ROW($L$2)-INDEX($H$3:$H$168,K471))</x:f>
      </x:c>
      <x:c r="M471" t="str">
        <x:f>IF(K471="","",IF(L471=1,1,FIND(CHAR(1),SUBSTITUTE(INDEX($B$3:$B$168,K471),CHAR(10),CHAR(1),L471-1))+1))</x:f>
      </x:c>
      <x:c r="N471" t="str">
        <x:f>IF(K471="","",IFERROR(FIND(CHAR(1),SUBSTITUTE(INDEX($B$3:$B$168,K471),CHAR(10),CHAR(1),L471)),LEN(INDEX($B$3:$B$168,K471))+1))</x:f>
      </x:c>
    </x:row>
    <x:row r="472">
      <x:c r="A472"/>
      <x:c r="B472"/>
      <x:c r="C472"/>
      <x:c r="D472" t="str">
        <x:f>IFERROR(IF(470&lt;=$O$1,INDEX($A$3:$A$168,MATCH(470,$I$3:$I$168,0)),IF(470&lt;=$O$1+$O$2,INDEX($F$3:$F$1994,MATCH(470-$O$1,$G$3:$G$1994,0)),"")),"")</x:f>
      </x:c>
      <x:c r="E472" t="str">
        <x:f>IF(K472="","",IF(N472&lt;=M472,"",TRIM(CLEAN(MID(INDEX($B$3:$B$168,K472),M472,N472-M472)))))</x:f>
      </x:c>
      <x:c r="F472" t="str">
        <x:f>IF(E472="","",IF(E472=TRIM(INDEX($A$3:$A$168,K472)),"",IF(RIGHT(TRIM(INDEX($A$3:$A$168,K472)),1)="]",LEFT(TRIM(INDEX($A$3:$A$168,K472)),LEN(TRIM(INDEX($A$3:$A$168,K472)))-1)&amp;", "&amp;SUBSTITUTE(SUBSTITUTE(SUBSTITUTE(E472," [",", "),"[",", "),"]","")&amp;"]",TRIM(INDEX($A$3:$A$168,K472))&amp;" ["&amp;SUBSTITUTE(SUBSTITUTE(SUBSTITUTE(E472," [",", "),"[",", "),"]","")&amp;"]")))</x:f>
      </x:c>
      <x:c r="G472" t="str">
        <x:f>IF(F472&lt;&gt;"",ROWS($F$3:F472)-COUNTBLANK($F$3:F472),"")</x:f>
      </x:c>
      <x:c r="H472"/>
      <x:c r="I472"/>
      <x:c r="J472"/>
      <x:c r="K472" t="str">
        <x:f>IF(ROW()-ROW($K$2)&lt;=SUM($J$3:$J$168),COUNTIF($H$3:$H$168,"&lt;"&amp;(ROW()-ROW($K$2))),"")</x:f>
      </x:c>
      <x:c r="L472" t="str">
        <x:f>IF(K472="","",ROW()-ROW($L$2)-INDEX($H$3:$H$168,K472))</x:f>
      </x:c>
      <x:c r="M472" t="str">
        <x:f>IF(K472="","",IF(L472=1,1,FIND(CHAR(1),SUBSTITUTE(INDEX($B$3:$B$168,K472),CHAR(10),CHAR(1),L472-1))+1))</x:f>
      </x:c>
      <x:c r="N472" t="str">
        <x:f>IF(K472="","",IFERROR(FIND(CHAR(1),SUBSTITUTE(INDEX($B$3:$B$168,K472),CHAR(10),CHAR(1),L472)),LEN(INDEX($B$3:$B$168,K472))+1))</x:f>
      </x:c>
    </x:row>
    <x:row r="473">
      <x:c r="A473"/>
      <x:c r="B473"/>
      <x:c r="C473"/>
      <x:c r="D473" t="str">
        <x:f>IFERROR(IF(471&lt;=$O$1,INDEX($A$3:$A$168,MATCH(471,$I$3:$I$168,0)),IF(471&lt;=$O$1+$O$2,INDEX($F$3:$F$1994,MATCH(471-$O$1,$G$3:$G$1994,0)),"")),"")</x:f>
      </x:c>
      <x:c r="E473" t="str">
        <x:f>IF(K473="","",IF(N473&lt;=M473,"",TRIM(CLEAN(MID(INDEX($B$3:$B$168,K473),M473,N473-M473)))))</x:f>
      </x:c>
      <x:c r="F473" t="str">
        <x:f>IF(E473="","",IF(E473=TRIM(INDEX($A$3:$A$168,K473)),"",IF(RIGHT(TRIM(INDEX($A$3:$A$168,K473)),1)="]",LEFT(TRIM(INDEX($A$3:$A$168,K473)),LEN(TRIM(INDEX($A$3:$A$168,K473)))-1)&amp;", "&amp;SUBSTITUTE(SUBSTITUTE(SUBSTITUTE(E473," [",", "),"[",", "),"]","")&amp;"]",TRIM(INDEX($A$3:$A$168,K473))&amp;" ["&amp;SUBSTITUTE(SUBSTITUTE(SUBSTITUTE(E473," [",", "),"[",", "),"]","")&amp;"]")))</x:f>
      </x:c>
      <x:c r="G473" t="str">
        <x:f>IF(F473&lt;&gt;"",ROWS($F$3:F473)-COUNTBLANK($F$3:F473),"")</x:f>
      </x:c>
      <x:c r="H473"/>
      <x:c r="I473"/>
      <x:c r="J473"/>
      <x:c r="K473" t="str">
        <x:f>IF(ROW()-ROW($K$2)&lt;=SUM($J$3:$J$168),COUNTIF($H$3:$H$168,"&lt;"&amp;(ROW()-ROW($K$2))),"")</x:f>
      </x:c>
      <x:c r="L473" t="str">
        <x:f>IF(K473="","",ROW()-ROW($L$2)-INDEX($H$3:$H$168,K473))</x:f>
      </x:c>
      <x:c r="M473" t="str">
        <x:f>IF(K473="","",IF(L473=1,1,FIND(CHAR(1),SUBSTITUTE(INDEX($B$3:$B$168,K473),CHAR(10),CHAR(1),L473-1))+1))</x:f>
      </x:c>
      <x:c r="N473" t="str">
        <x:f>IF(K473="","",IFERROR(FIND(CHAR(1),SUBSTITUTE(INDEX($B$3:$B$168,K473),CHAR(10),CHAR(1),L473)),LEN(INDEX($B$3:$B$168,K473))+1))</x:f>
      </x:c>
    </x:row>
    <x:row r="474">
      <x:c r="A474"/>
      <x:c r="B474"/>
      <x:c r="C474"/>
      <x:c r="D474" t="str">
        <x:f>IFERROR(IF(472&lt;=$O$1,INDEX($A$3:$A$168,MATCH(472,$I$3:$I$168,0)),IF(472&lt;=$O$1+$O$2,INDEX($F$3:$F$1994,MATCH(472-$O$1,$G$3:$G$1994,0)),"")),"")</x:f>
      </x:c>
      <x:c r="E474" t="str">
        <x:f>IF(K474="","",IF(N474&lt;=M474,"",TRIM(CLEAN(MID(INDEX($B$3:$B$168,K474),M474,N474-M474)))))</x:f>
      </x:c>
      <x:c r="F474" t="str">
        <x:f>IF(E474="","",IF(E474=TRIM(INDEX($A$3:$A$168,K474)),"",IF(RIGHT(TRIM(INDEX($A$3:$A$168,K474)),1)="]",LEFT(TRIM(INDEX($A$3:$A$168,K474)),LEN(TRIM(INDEX($A$3:$A$168,K474)))-1)&amp;", "&amp;SUBSTITUTE(SUBSTITUTE(SUBSTITUTE(E474," [",", "),"[",", "),"]","")&amp;"]",TRIM(INDEX($A$3:$A$168,K474))&amp;" ["&amp;SUBSTITUTE(SUBSTITUTE(SUBSTITUTE(E474," [",", "),"[",", "),"]","")&amp;"]")))</x:f>
      </x:c>
      <x:c r="G474" t="str">
        <x:f>IF(F474&lt;&gt;"",ROWS($F$3:F474)-COUNTBLANK($F$3:F474),"")</x:f>
      </x:c>
      <x:c r="H474"/>
      <x:c r="I474"/>
      <x:c r="J474"/>
      <x:c r="K474" t="str">
        <x:f>IF(ROW()-ROW($K$2)&lt;=SUM($J$3:$J$168),COUNTIF($H$3:$H$168,"&lt;"&amp;(ROW()-ROW($K$2))),"")</x:f>
      </x:c>
      <x:c r="L474" t="str">
        <x:f>IF(K474="","",ROW()-ROW($L$2)-INDEX($H$3:$H$168,K474))</x:f>
      </x:c>
      <x:c r="M474" t="str">
        <x:f>IF(K474="","",IF(L474=1,1,FIND(CHAR(1),SUBSTITUTE(INDEX($B$3:$B$168,K474),CHAR(10),CHAR(1),L474-1))+1))</x:f>
      </x:c>
      <x:c r="N474" t="str">
        <x:f>IF(K474="","",IFERROR(FIND(CHAR(1),SUBSTITUTE(INDEX($B$3:$B$168,K474),CHAR(10),CHAR(1),L474)),LEN(INDEX($B$3:$B$168,K474))+1))</x:f>
      </x:c>
    </x:row>
    <x:row r="475">
      <x:c r="A475"/>
      <x:c r="B475"/>
      <x:c r="C475"/>
      <x:c r="D475" t="str">
        <x:f>IFERROR(IF(473&lt;=$O$1,INDEX($A$3:$A$168,MATCH(473,$I$3:$I$168,0)),IF(473&lt;=$O$1+$O$2,INDEX($F$3:$F$1994,MATCH(473-$O$1,$G$3:$G$1994,0)),"")),"")</x:f>
      </x:c>
      <x:c r="E475" t="str">
        <x:f>IF(K475="","",IF(N475&lt;=M475,"",TRIM(CLEAN(MID(INDEX($B$3:$B$168,K475),M475,N475-M475)))))</x:f>
      </x:c>
      <x:c r="F475" t="str">
        <x:f>IF(E475="","",IF(E475=TRIM(INDEX($A$3:$A$168,K475)),"",IF(RIGHT(TRIM(INDEX($A$3:$A$168,K475)),1)="]",LEFT(TRIM(INDEX($A$3:$A$168,K475)),LEN(TRIM(INDEX($A$3:$A$168,K475)))-1)&amp;", "&amp;SUBSTITUTE(SUBSTITUTE(SUBSTITUTE(E475," [",", "),"[",", "),"]","")&amp;"]",TRIM(INDEX($A$3:$A$168,K475))&amp;" ["&amp;SUBSTITUTE(SUBSTITUTE(SUBSTITUTE(E475," [",", "),"[",", "),"]","")&amp;"]")))</x:f>
      </x:c>
      <x:c r="G475" t="str">
        <x:f>IF(F475&lt;&gt;"",ROWS($F$3:F475)-COUNTBLANK($F$3:F475),"")</x:f>
      </x:c>
      <x:c r="H475"/>
      <x:c r="I475"/>
      <x:c r="J475"/>
      <x:c r="K475" t="str">
        <x:f>IF(ROW()-ROW($K$2)&lt;=SUM($J$3:$J$168),COUNTIF($H$3:$H$168,"&lt;"&amp;(ROW()-ROW($K$2))),"")</x:f>
      </x:c>
      <x:c r="L475" t="str">
        <x:f>IF(K475="","",ROW()-ROW($L$2)-INDEX($H$3:$H$168,K475))</x:f>
      </x:c>
      <x:c r="M475" t="str">
        <x:f>IF(K475="","",IF(L475=1,1,FIND(CHAR(1),SUBSTITUTE(INDEX($B$3:$B$168,K475),CHAR(10),CHAR(1),L475-1))+1))</x:f>
      </x:c>
      <x:c r="N475" t="str">
        <x:f>IF(K475="","",IFERROR(FIND(CHAR(1),SUBSTITUTE(INDEX($B$3:$B$168,K475),CHAR(10),CHAR(1),L475)),LEN(INDEX($B$3:$B$168,K475))+1))</x:f>
      </x:c>
    </x:row>
    <x:row r="476">
      <x:c r="A476"/>
      <x:c r="B476"/>
      <x:c r="C476"/>
      <x:c r="D476" t="str">
        <x:f>IFERROR(IF(474&lt;=$O$1,INDEX($A$3:$A$168,MATCH(474,$I$3:$I$168,0)),IF(474&lt;=$O$1+$O$2,INDEX($F$3:$F$1994,MATCH(474-$O$1,$G$3:$G$1994,0)),"")),"")</x:f>
      </x:c>
      <x:c r="E476" t="str">
        <x:f>IF(K476="","",IF(N476&lt;=M476,"",TRIM(CLEAN(MID(INDEX($B$3:$B$168,K476),M476,N476-M476)))))</x:f>
      </x:c>
      <x:c r="F476" t="str">
        <x:f>IF(E476="","",IF(E476=TRIM(INDEX($A$3:$A$168,K476)),"",IF(RIGHT(TRIM(INDEX($A$3:$A$168,K476)),1)="]",LEFT(TRIM(INDEX($A$3:$A$168,K476)),LEN(TRIM(INDEX($A$3:$A$168,K476)))-1)&amp;", "&amp;SUBSTITUTE(SUBSTITUTE(SUBSTITUTE(E476," [",", "),"[",", "),"]","")&amp;"]",TRIM(INDEX($A$3:$A$168,K476))&amp;" ["&amp;SUBSTITUTE(SUBSTITUTE(SUBSTITUTE(E476," [",", "),"[",", "),"]","")&amp;"]")))</x:f>
      </x:c>
      <x:c r="G476" t="str">
        <x:f>IF(F476&lt;&gt;"",ROWS($F$3:F476)-COUNTBLANK($F$3:F476),"")</x:f>
      </x:c>
      <x:c r="H476"/>
      <x:c r="I476"/>
      <x:c r="J476"/>
      <x:c r="K476" t="str">
        <x:f>IF(ROW()-ROW($K$2)&lt;=SUM($J$3:$J$168),COUNTIF($H$3:$H$168,"&lt;"&amp;(ROW()-ROW($K$2))),"")</x:f>
      </x:c>
      <x:c r="L476" t="str">
        <x:f>IF(K476="","",ROW()-ROW($L$2)-INDEX($H$3:$H$168,K476))</x:f>
      </x:c>
      <x:c r="M476" t="str">
        <x:f>IF(K476="","",IF(L476=1,1,FIND(CHAR(1),SUBSTITUTE(INDEX($B$3:$B$168,K476),CHAR(10),CHAR(1),L476-1))+1))</x:f>
      </x:c>
      <x:c r="N476" t="str">
        <x:f>IF(K476="","",IFERROR(FIND(CHAR(1),SUBSTITUTE(INDEX($B$3:$B$168,K476),CHAR(10),CHAR(1),L476)),LEN(INDEX($B$3:$B$168,K476))+1))</x:f>
      </x:c>
    </x:row>
    <x:row r="477">
      <x:c r="A477"/>
      <x:c r="B477"/>
      <x:c r="C477"/>
      <x:c r="D477" t="str">
        <x:f>IFERROR(IF(475&lt;=$O$1,INDEX($A$3:$A$168,MATCH(475,$I$3:$I$168,0)),IF(475&lt;=$O$1+$O$2,INDEX($F$3:$F$1994,MATCH(475-$O$1,$G$3:$G$1994,0)),"")),"")</x:f>
      </x:c>
      <x:c r="E477" t="str">
        <x:f>IF(K477="","",IF(N477&lt;=M477,"",TRIM(CLEAN(MID(INDEX($B$3:$B$168,K477),M477,N477-M477)))))</x:f>
      </x:c>
      <x:c r="F477" t="str">
        <x:f>IF(E477="","",IF(E477=TRIM(INDEX($A$3:$A$168,K477)),"",IF(RIGHT(TRIM(INDEX($A$3:$A$168,K477)),1)="]",LEFT(TRIM(INDEX($A$3:$A$168,K477)),LEN(TRIM(INDEX($A$3:$A$168,K477)))-1)&amp;", "&amp;SUBSTITUTE(SUBSTITUTE(SUBSTITUTE(E477," [",", "),"[",", "),"]","")&amp;"]",TRIM(INDEX($A$3:$A$168,K477))&amp;" ["&amp;SUBSTITUTE(SUBSTITUTE(SUBSTITUTE(E477," [",", "),"[",", "),"]","")&amp;"]")))</x:f>
      </x:c>
      <x:c r="G477" t="str">
        <x:f>IF(F477&lt;&gt;"",ROWS($F$3:F477)-COUNTBLANK($F$3:F477),"")</x:f>
      </x:c>
      <x:c r="H477"/>
      <x:c r="I477"/>
      <x:c r="J477"/>
      <x:c r="K477" t="str">
        <x:f>IF(ROW()-ROW($K$2)&lt;=SUM($J$3:$J$168),COUNTIF($H$3:$H$168,"&lt;"&amp;(ROW()-ROW($K$2))),"")</x:f>
      </x:c>
      <x:c r="L477" t="str">
        <x:f>IF(K477="","",ROW()-ROW($L$2)-INDEX($H$3:$H$168,K477))</x:f>
      </x:c>
      <x:c r="M477" t="str">
        <x:f>IF(K477="","",IF(L477=1,1,FIND(CHAR(1),SUBSTITUTE(INDEX($B$3:$B$168,K477),CHAR(10),CHAR(1),L477-1))+1))</x:f>
      </x:c>
      <x:c r="N477" t="str">
        <x:f>IF(K477="","",IFERROR(FIND(CHAR(1),SUBSTITUTE(INDEX($B$3:$B$168,K477),CHAR(10),CHAR(1),L477)),LEN(INDEX($B$3:$B$168,K477))+1))</x:f>
      </x:c>
    </x:row>
    <x:row r="478">
      <x:c r="A478"/>
      <x:c r="B478"/>
      <x:c r="C478"/>
      <x:c r="D478" t="str">
        <x:f>IFERROR(IF(476&lt;=$O$1,INDEX($A$3:$A$168,MATCH(476,$I$3:$I$168,0)),IF(476&lt;=$O$1+$O$2,INDEX($F$3:$F$1994,MATCH(476-$O$1,$G$3:$G$1994,0)),"")),"")</x:f>
      </x:c>
      <x:c r="E478" t="str">
        <x:f>IF(K478="","",IF(N478&lt;=M478,"",TRIM(CLEAN(MID(INDEX($B$3:$B$168,K478),M478,N478-M478)))))</x:f>
      </x:c>
      <x:c r="F478" t="str">
        <x:f>IF(E478="","",IF(E478=TRIM(INDEX($A$3:$A$168,K478)),"",IF(RIGHT(TRIM(INDEX($A$3:$A$168,K478)),1)="]",LEFT(TRIM(INDEX($A$3:$A$168,K478)),LEN(TRIM(INDEX($A$3:$A$168,K478)))-1)&amp;", "&amp;SUBSTITUTE(SUBSTITUTE(SUBSTITUTE(E478," [",", "),"[",", "),"]","")&amp;"]",TRIM(INDEX($A$3:$A$168,K478))&amp;" ["&amp;SUBSTITUTE(SUBSTITUTE(SUBSTITUTE(E478," [",", "),"[",", "),"]","")&amp;"]")))</x:f>
      </x:c>
      <x:c r="G478" t="str">
        <x:f>IF(F478&lt;&gt;"",ROWS($F$3:F478)-COUNTBLANK($F$3:F478),"")</x:f>
      </x:c>
      <x:c r="H478"/>
      <x:c r="I478"/>
      <x:c r="J478"/>
      <x:c r="K478" t="str">
        <x:f>IF(ROW()-ROW($K$2)&lt;=SUM($J$3:$J$168),COUNTIF($H$3:$H$168,"&lt;"&amp;(ROW()-ROW($K$2))),"")</x:f>
      </x:c>
      <x:c r="L478" t="str">
        <x:f>IF(K478="","",ROW()-ROW($L$2)-INDEX($H$3:$H$168,K478))</x:f>
      </x:c>
      <x:c r="M478" t="str">
        <x:f>IF(K478="","",IF(L478=1,1,FIND(CHAR(1),SUBSTITUTE(INDEX($B$3:$B$168,K478),CHAR(10),CHAR(1),L478-1))+1))</x:f>
      </x:c>
      <x:c r="N478" t="str">
        <x:f>IF(K478="","",IFERROR(FIND(CHAR(1),SUBSTITUTE(INDEX($B$3:$B$168,K478),CHAR(10),CHAR(1),L478)),LEN(INDEX($B$3:$B$168,K478))+1))</x:f>
      </x:c>
    </x:row>
    <x:row r="479">
      <x:c r="A479"/>
      <x:c r="B479"/>
      <x:c r="C479"/>
      <x:c r="D479" t="str">
        <x:f>IFERROR(IF(477&lt;=$O$1,INDEX($A$3:$A$168,MATCH(477,$I$3:$I$168,0)),IF(477&lt;=$O$1+$O$2,INDEX($F$3:$F$1994,MATCH(477-$O$1,$G$3:$G$1994,0)),"")),"")</x:f>
      </x:c>
      <x:c r="E479" t="str">
        <x:f>IF(K479="","",IF(N479&lt;=M479,"",TRIM(CLEAN(MID(INDEX($B$3:$B$168,K479),M479,N479-M479)))))</x:f>
      </x:c>
      <x:c r="F479" t="str">
        <x:f>IF(E479="","",IF(E479=TRIM(INDEX($A$3:$A$168,K479)),"",IF(RIGHT(TRIM(INDEX($A$3:$A$168,K479)),1)="]",LEFT(TRIM(INDEX($A$3:$A$168,K479)),LEN(TRIM(INDEX($A$3:$A$168,K479)))-1)&amp;", "&amp;SUBSTITUTE(SUBSTITUTE(SUBSTITUTE(E479," [",", "),"[",", "),"]","")&amp;"]",TRIM(INDEX($A$3:$A$168,K479))&amp;" ["&amp;SUBSTITUTE(SUBSTITUTE(SUBSTITUTE(E479," [",", "),"[",", "),"]","")&amp;"]")))</x:f>
      </x:c>
      <x:c r="G479" t="str">
        <x:f>IF(F479&lt;&gt;"",ROWS($F$3:F479)-COUNTBLANK($F$3:F479),"")</x:f>
      </x:c>
      <x:c r="H479"/>
      <x:c r="I479"/>
      <x:c r="J479"/>
      <x:c r="K479" t="str">
        <x:f>IF(ROW()-ROW($K$2)&lt;=SUM($J$3:$J$168),COUNTIF($H$3:$H$168,"&lt;"&amp;(ROW()-ROW($K$2))),"")</x:f>
      </x:c>
      <x:c r="L479" t="str">
        <x:f>IF(K479="","",ROW()-ROW($L$2)-INDEX($H$3:$H$168,K479))</x:f>
      </x:c>
      <x:c r="M479" t="str">
        <x:f>IF(K479="","",IF(L479=1,1,FIND(CHAR(1),SUBSTITUTE(INDEX($B$3:$B$168,K479),CHAR(10),CHAR(1),L479-1))+1))</x:f>
      </x:c>
      <x:c r="N479" t="str">
        <x:f>IF(K479="","",IFERROR(FIND(CHAR(1),SUBSTITUTE(INDEX($B$3:$B$168,K479),CHAR(10),CHAR(1),L479)),LEN(INDEX($B$3:$B$168,K479))+1))</x:f>
      </x:c>
    </x:row>
    <x:row r="480">
      <x:c r="A480"/>
      <x:c r="B480"/>
      <x:c r="C480"/>
      <x:c r="D480" t="str">
        <x:f>IFERROR(IF(478&lt;=$O$1,INDEX($A$3:$A$168,MATCH(478,$I$3:$I$168,0)),IF(478&lt;=$O$1+$O$2,INDEX($F$3:$F$1994,MATCH(478-$O$1,$G$3:$G$1994,0)),"")),"")</x:f>
      </x:c>
      <x:c r="E480" t="str">
        <x:f>IF(K480="","",IF(N480&lt;=M480,"",TRIM(CLEAN(MID(INDEX($B$3:$B$168,K480),M480,N480-M480)))))</x:f>
      </x:c>
      <x:c r="F480" t="str">
        <x:f>IF(E480="","",IF(E480=TRIM(INDEX($A$3:$A$168,K480)),"",IF(RIGHT(TRIM(INDEX($A$3:$A$168,K480)),1)="]",LEFT(TRIM(INDEX($A$3:$A$168,K480)),LEN(TRIM(INDEX($A$3:$A$168,K480)))-1)&amp;", "&amp;SUBSTITUTE(SUBSTITUTE(SUBSTITUTE(E480," [",", "),"[",", "),"]","")&amp;"]",TRIM(INDEX($A$3:$A$168,K480))&amp;" ["&amp;SUBSTITUTE(SUBSTITUTE(SUBSTITUTE(E480," [",", "),"[",", "),"]","")&amp;"]")))</x:f>
      </x:c>
      <x:c r="G480" t="str">
        <x:f>IF(F480&lt;&gt;"",ROWS($F$3:F480)-COUNTBLANK($F$3:F480),"")</x:f>
      </x:c>
      <x:c r="H480"/>
      <x:c r="I480"/>
      <x:c r="J480"/>
      <x:c r="K480" t="str">
        <x:f>IF(ROW()-ROW($K$2)&lt;=SUM($J$3:$J$168),COUNTIF($H$3:$H$168,"&lt;"&amp;(ROW()-ROW($K$2))),"")</x:f>
      </x:c>
      <x:c r="L480" t="str">
        <x:f>IF(K480="","",ROW()-ROW($L$2)-INDEX($H$3:$H$168,K480))</x:f>
      </x:c>
      <x:c r="M480" t="str">
        <x:f>IF(K480="","",IF(L480=1,1,FIND(CHAR(1),SUBSTITUTE(INDEX($B$3:$B$168,K480),CHAR(10),CHAR(1),L480-1))+1))</x:f>
      </x:c>
      <x:c r="N480" t="str">
        <x:f>IF(K480="","",IFERROR(FIND(CHAR(1),SUBSTITUTE(INDEX($B$3:$B$168,K480),CHAR(10),CHAR(1),L480)),LEN(INDEX($B$3:$B$168,K480))+1))</x:f>
      </x:c>
    </x:row>
    <x:row r="481">
      <x:c r="A481"/>
      <x:c r="B481"/>
      <x:c r="C481"/>
      <x:c r="D481" t="str">
        <x:f>IFERROR(IF(479&lt;=$O$1,INDEX($A$3:$A$168,MATCH(479,$I$3:$I$168,0)),IF(479&lt;=$O$1+$O$2,INDEX($F$3:$F$1994,MATCH(479-$O$1,$G$3:$G$1994,0)),"")),"")</x:f>
      </x:c>
      <x:c r="E481" t="str">
        <x:f>IF(K481="","",IF(N481&lt;=M481,"",TRIM(CLEAN(MID(INDEX($B$3:$B$168,K481),M481,N481-M481)))))</x:f>
      </x:c>
      <x:c r="F481" t="str">
        <x:f>IF(E481="","",IF(E481=TRIM(INDEX($A$3:$A$168,K481)),"",IF(RIGHT(TRIM(INDEX($A$3:$A$168,K481)),1)="]",LEFT(TRIM(INDEX($A$3:$A$168,K481)),LEN(TRIM(INDEX($A$3:$A$168,K481)))-1)&amp;", "&amp;SUBSTITUTE(SUBSTITUTE(SUBSTITUTE(E481," [",", "),"[",", "),"]","")&amp;"]",TRIM(INDEX($A$3:$A$168,K481))&amp;" ["&amp;SUBSTITUTE(SUBSTITUTE(SUBSTITUTE(E481," [",", "),"[",", "),"]","")&amp;"]")))</x:f>
      </x:c>
      <x:c r="G481" t="str">
        <x:f>IF(F481&lt;&gt;"",ROWS($F$3:F481)-COUNTBLANK($F$3:F481),"")</x:f>
      </x:c>
      <x:c r="H481"/>
      <x:c r="I481"/>
      <x:c r="J481"/>
      <x:c r="K481" t="str">
        <x:f>IF(ROW()-ROW($K$2)&lt;=SUM($J$3:$J$168),COUNTIF($H$3:$H$168,"&lt;"&amp;(ROW()-ROW($K$2))),"")</x:f>
      </x:c>
      <x:c r="L481" t="str">
        <x:f>IF(K481="","",ROW()-ROW($L$2)-INDEX($H$3:$H$168,K481))</x:f>
      </x:c>
      <x:c r="M481" t="str">
        <x:f>IF(K481="","",IF(L481=1,1,FIND(CHAR(1),SUBSTITUTE(INDEX($B$3:$B$168,K481),CHAR(10),CHAR(1),L481-1))+1))</x:f>
      </x:c>
      <x:c r="N481" t="str">
        <x:f>IF(K481="","",IFERROR(FIND(CHAR(1),SUBSTITUTE(INDEX($B$3:$B$168,K481),CHAR(10),CHAR(1),L481)),LEN(INDEX($B$3:$B$168,K481))+1))</x:f>
      </x:c>
    </x:row>
    <x:row r="482">
      <x:c r="A482"/>
      <x:c r="B482"/>
      <x:c r="C482"/>
      <x:c r="D482" t="str">
        <x:f>IFERROR(IF(480&lt;=$O$1,INDEX($A$3:$A$168,MATCH(480,$I$3:$I$168,0)),IF(480&lt;=$O$1+$O$2,INDEX($F$3:$F$1994,MATCH(480-$O$1,$G$3:$G$1994,0)),"")),"")</x:f>
      </x:c>
      <x:c r="E482" t="str">
        <x:f>IF(K482="","",IF(N482&lt;=M482,"",TRIM(CLEAN(MID(INDEX($B$3:$B$168,K482),M482,N482-M482)))))</x:f>
      </x:c>
      <x:c r="F482" t="str">
        <x:f>IF(E482="","",IF(E482=TRIM(INDEX($A$3:$A$168,K482)),"",IF(RIGHT(TRIM(INDEX($A$3:$A$168,K482)),1)="]",LEFT(TRIM(INDEX($A$3:$A$168,K482)),LEN(TRIM(INDEX($A$3:$A$168,K482)))-1)&amp;", "&amp;SUBSTITUTE(SUBSTITUTE(SUBSTITUTE(E482," [",", "),"[",", "),"]","")&amp;"]",TRIM(INDEX($A$3:$A$168,K482))&amp;" ["&amp;SUBSTITUTE(SUBSTITUTE(SUBSTITUTE(E482," [",", "),"[",", "),"]","")&amp;"]")))</x:f>
      </x:c>
      <x:c r="G482" t="str">
        <x:f>IF(F482&lt;&gt;"",ROWS($F$3:F482)-COUNTBLANK($F$3:F482),"")</x:f>
      </x:c>
      <x:c r="H482"/>
      <x:c r="I482"/>
      <x:c r="J482"/>
      <x:c r="K482" t="str">
        <x:f>IF(ROW()-ROW($K$2)&lt;=SUM($J$3:$J$168),COUNTIF($H$3:$H$168,"&lt;"&amp;(ROW()-ROW($K$2))),"")</x:f>
      </x:c>
      <x:c r="L482" t="str">
        <x:f>IF(K482="","",ROW()-ROW($L$2)-INDEX($H$3:$H$168,K482))</x:f>
      </x:c>
      <x:c r="M482" t="str">
        <x:f>IF(K482="","",IF(L482=1,1,FIND(CHAR(1),SUBSTITUTE(INDEX($B$3:$B$168,K482),CHAR(10),CHAR(1),L482-1))+1))</x:f>
      </x:c>
      <x:c r="N482" t="str">
        <x:f>IF(K482="","",IFERROR(FIND(CHAR(1),SUBSTITUTE(INDEX($B$3:$B$168,K482),CHAR(10),CHAR(1),L482)),LEN(INDEX($B$3:$B$168,K482))+1))</x:f>
      </x:c>
    </x:row>
    <x:row r="483">
      <x:c r="A483"/>
      <x:c r="B483"/>
      <x:c r="C483"/>
      <x:c r="D483" t="str">
        <x:f>IFERROR(IF(481&lt;=$O$1,INDEX($A$3:$A$168,MATCH(481,$I$3:$I$168,0)),IF(481&lt;=$O$1+$O$2,INDEX($F$3:$F$1994,MATCH(481-$O$1,$G$3:$G$1994,0)),"")),"")</x:f>
      </x:c>
      <x:c r="E483" t="str">
        <x:f>IF(K483="","",IF(N483&lt;=M483,"",TRIM(CLEAN(MID(INDEX($B$3:$B$168,K483),M483,N483-M483)))))</x:f>
      </x:c>
      <x:c r="F483" t="str">
        <x:f>IF(E483="","",IF(E483=TRIM(INDEX($A$3:$A$168,K483)),"",IF(RIGHT(TRIM(INDEX($A$3:$A$168,K483)),1)="]",LEFT(TRIM(INDEX($A$3:$A$168,K483)),LEN(TRIM(INDEX($A$3:$A$168,K483)))-1)&amp;", "&amp;SUBSTITUTE(SUBSTITUTE(SUBSTITUTE(E483," [",", "),"[",", "),"]","")&amp;"]",TRIM(INDEX($A$3:$A$168,K483))&amp;" ["&amp;SUBSTITUTE(SUBSTITUTE(SUBSTITUTE(E483," [",", "),"[",", "),"]","")&amp;"]")))</x:f>
      </x:c>
      <x:c r="G483" t="str">
        <x:f>IF(F483&lt;&gt;"",ROWS($F$3:F483)-COUNTBLANK($F$3:F483),"")</x:f>
      </x:c>
      <x:c r="H483"/>
      <x:c r="I483"/>
      <x:c r="J483"/>
      <x:c r="K483" t="str">
        <x:f>IF(ROW()-ROW($K$2)&lt;=SUM($J$3:$J$168),COUNTIF($H$3:$H$168,"&lt;"&amp;(ROW()-ROW($K$2))),"")</x:f>
      </x:c>
      <x:c r="L483" t="str">
        <x:f>IF(K483="","",ROW()-ROW($L$2)-INDEX($H$3:$H$168,K483))</x:f>
      </x:c>
      <x:c r="M483" t="str">
        <x:f>IF(K483="","",IF(L483=1,1,FIND(CHAR(1),SUBSTITUTE(INDEX($B$3:$B$168,K483),CHAR(10),CHAR(1),L483-1))+1))</x:f>
      </x:c>
      <x:c r="N483" t="str">
        <x:f>IF(K483="","",IFERROR(FIND(CHAR(1),SUBSTITUTE(INDEX($B$3:$B$168,K483),CHAR(10),CHAR(1),L483)),LEN(INDEX($B$3:$B$168,K483))+1))</x:f>
      </x:c>
    </x:row>
    <x:row r="484">
      <x:c r="A484"/>
      <x:c r="B484"/>
      <x:c r="C484"/>
      <x:c r="D484" t="str">
        <x:f>IFERROR(IF(482&lt;=$O$1,INDEX($A$3:$A$168,MATCH(482,$I$3:$I$168,0)),IF(482&lt;=$O$1+$O$2,INDEX($F$3:$F$1994,MATCH(482-$O$1,$G$3:$G$1994,0)),"")),"")</x:f>
      </x:c>
      <x:c r="E484" t="str">
        <x:f>IF(K484="","",IF(N484&lt;=M484,"",TRIM(CLEAN(MID(INDEX($B$3:$B$168,K484),M484,N484-M484)))))</x:f>
      </x:c>
      <x:c r="F484" t="str">
        <x:f>IF(E484="","",IF(E484=TRIM(INDEX($A$3:$A$168,K484)),"",IF(RIGHT(TRIM(INDEX($A$3:$A$168,K484)),1)="]",LEFT(TRIM(INDEX($A$3:$A$168,K484)),LEN(TRIM(INDEX($A$3:$A$168,K484)))-1)&amp;", "&amp;SUBSTITUTE(SUBSTITUTE(SUBSTITUTE(E484," [",", "),"[",", "),"]","")&amp;"]",TRIM(INDEX($A$3:$A$168,K484))&amp;" ["&amp;SUBSTITUTE(SUBSTITUTE(SUBSTITUTE(E484," [",", "),"[",", "),"]","")&amp;"]")))</x:f>
      </x:c>
      <x:c r="G484" t="str">
        <x:f>IF(F484&lt;&gt;"",ROWS($F$3:F484)-COUNTBLANK($F$3:F484),"")</x:f>
      </x:c>
      <x:c r="H484"/>
      <x:c r="I484"/>
      <x:c r="J484"/>
      <x:c r="K484" t="str">
        <x:f>IF(ROW()-ROW($K$2)&lt;=SUM($J$3:$J$168),COUNTIF($H$3:$H$168,"&lt;"&amp;(ROW()-ROW($K$2))),"")</x:f>
      </x:c>
      <x:c r="L484" t="str">
        <x:f>IF(K484="","",ROW()-ROW($L$2)-INDEX($H$3:$H$168,K484))</x:f>
      </x:c>
      <x:c r="M484" t="str">
        <x:f>IF(K484="","",IF(L484=1,1,FIND(CHAR(1),SUBSTITUTE(INDEX($B$3:$B$168,K484),CHAR(10),CHAR(1),L484-1))+1))</x:f>
      </x:c>
      <x:c r="N484" t="str">
        <x:f>IF(K484="","",IFERROR(FIND(CHAR(1),SUBSTITUTE(INDEX($B$3:$B$168,K484),CHAR(10),CHAR(1),L484)),LEN(INDEX($B$3:$B$168,K484))+1))</x:f>
      </x:c>
    </x:row>
    <x:row r="485">
      <x:c r="A485"/>
      <x:c r="B485"/>
      <x:c r="C485"/>
      <x:c r="D485" t="str">
        <x:f>IFERROR(IF(483&lt;=$O$1,INDEX($A$3:$A$168,MATCH(483,$I$3:$I$168,0)),IF(483&lt;=$O$1+$O$2,INDEX($F$3:$F$1994,MATCH(483-$O$1,$G$3:$G$1994,0)),"")),"")</x:f>
      </x:c>
      <x:c r="E485" t="str">
        <x:f>IF(K485="","",IF(N485&lt;=M485,"",TRIM(CLEAN(MID(INDEX($B$3:$B$168,K485),M485,N485-M485)))))</x:f>
      </x:c>
      <x:c r="F485" t="str">
        <x:f>IF(E485="","",IF(E485=TRIM(INDEX($A$3:$A$168,K485)),"",IF(RIGHT(TRIM(INDEX($A$3:$A$168,K485)),1)="]",LEFT(TRIM(INDEX($A$3:$A$168,K485)),LEN(TRIM(INDEX($A$3:$A$168,K485)))-1)&amp;", "&amp;SUBSTITUTE(SUBSTITUTE(SUBSTITUTE(E485," [",", "),"[",", "),"]","")&amp;"]",TRIM(INDEX($A$3:$A$168,K485))&amp;" ["&amp;SUBSTITUTE(SUBSTITUTE(SUBSTITUTE(E485," [",", "),"[",", "),"]","")&amp;"]")))</x:f>
      </x:c>
      <x:c r="G485" t="str">
        <x:f>IF(F485&lt;&gt;"",ROWS($F$3:F485)-COUNTBLANK($F$3:F485),"")</x:f>
      </x:c>
      <x:c r="H485"/>
      <x:c r="I485"/>
      <x:c r="J485"/>
      <x:c r="K485" t="str">
        <x:f>IF(ROW()-ROW($K$2)&lt;=SUM($J$3:$J$168),COUNTIF($H$3:$H$168,"&lt;"&amp;(ROW()-ROW($K$2))),"")</x:f>
      </x:c>
      <x:c r="L485" t="str">
        <x:f>IF(K485="","",ROW()-ROW($L$2)-INDEX($H$3:$H$168,K485))</x:f>
      </x:c>
      <x:c r="M485" t="str">
        <x:f>IF(K485="","",IF(L485=1,1,FIND(CHAR(1),SUBSTITUTE(INDEX($B$3:$B$168,K485),CHAR(10),CHAR(1),L485-1))+1))</x:f>
      </x:c>
      <x:c r="N485" t="str">
        <x:f>IF(K485="","",IFERROR(FIND(CHAR(1),SUBSTITUTE(INDEX($B$3:$B$168,K485),CHAR(10),CHAR(1),L485)),LEN(INDEX($B$3:$B$168,K485))+1))</x:f>
      </x:c>
    </x:row>
    <x:row r="486">
      <x:c r="A486"/>
      <x:c r="B486"/>
      <x:c r="C486"/>
      <x:c r="D486" t="str">
        <x:f>IFERROR(IF(484&lt;=$O$1,INDEX($A$3:$A$168,MATCH(484,$I$3:$I$168,0)),IF(484&lt;=$O$1+$O$2,INDEX($F$3:$F$1994,MATCH(484-$O$1,$G$3:$G$1994,0)),"")),"")</x:f>
      </x:c>
      <x:c r="E486" t="str">
        <x:f>IF(K486="","",IF(N486&lt;=M486,"",TRIM(CLEAN(MID(INDEX($B$3:$B$168,K486),M486,N486-M486)))))</x:f>
      </x:c>
      <x:c r="F486" t="str">
        <x:f>IF(E486="","",IF(E486=TRIM(INDEX($A$3:$A$168,K486)),"",IF(RIGHT(TRIM(INDEX($A$3:$A$168,K486)),1)="]",LEFT(TRIM(INDEX($A$3:$A$168,K486)),LEN(TRIM(INDEX($A$3:$A$168,K486)))-1)&amp;", "&amp;SUBSTITUTE(SUBSTITUTE(SUBSTITUTE(E486," [",", "),"[",", "),"]","")&amp;"]",TRIM(INDEX($A$3:$A$168,K486))&amp;" ["&amp;SUBSTITUTE(SUBSTITUTE(SUBSTITUTE(E486," [",", "),"[",", "),"]","")&amp;"]")))</x:f>
      </x:c>
      <x:c r="G486" t="str">
        <x:f>IF(F486&lt;&gt;"",ROWS($F$3:F486)-COUNTBLANK($F$3:F486),"")</x:f>
      </x:c>
      <x:c r="H486"/>
      <x:c r="I486"/>
      <x:c r="J486"/>
      <x:c r="K486" t="str">
        <x:f>IF(ROW()-ROW($K$2)&lt;=SUM($J$3:$J$168),COUNTIF($H$3:$H$168,"&lt;"&amp;(ROW()-ROW($K$2))),"")</x:f>
      </x:c>
      <x:c r="L486" t="str">
        <x:f>IF(K486="","",ROW()-ROW($L$2)-INDEX($H$3:$H$168,K486))</x:f>
      </x:c>
      <x:c r="M486" t="str">
        <x:f>IF(K486="","",IF(L486=1,1,FIND(CHAR(1),SUBSTITUTE(INDEX($B$3:$B$168,K486),CHAR(10),CHAR(1),L486-1))+1))</x:f>
      </x:c>
      <x:c r="N486" t="str">
        <x:f>IF(K486="","",IFERROR(FIND(CHAR(1),SUBSTITUTE(INDEX($B$3:$B$168,K486),CHAR(10),CHAR(1),L486)),LEN(INDEX($B$3:$B$168,K486))+1))</x:f>
      </x:c>
    </x:row>
    <x:row r="487">
      <x:c r="A487"/>
      <x:c r="B487"/>
      <x:c r="C487"/>
      <x:c r="D487" t="str">
        <x:f>IFERROR(IF(485&lt;=$O$1,INDEX($A$3:$A$168,MATCH(485,$I$3:$I$168,0)),IF(485&lt;=$O$1+$O$2,INDEX($F$3:$F$1994,MATCH(485-$O$1,$G$3:$G$1994,0)),"")),"")</x:f>
      </x:c>
      <x:c r="E487" t="str">
        <x:f>IF(K487="","",IF(N487&lt;=M487,"",TRIM(CLEAN(MID(INDEX($B$3:$B$168,K487),M487,N487-M487)))))</x:f>
      </x:c>
      <x:c r="F487" t="str">
        <x:f>IF(E487="","",IF(E487=TRIM(INDEX($A$3:$A$168,K487)),"",IF(RIGHT(TRIM(INDEX($A$3:$A$168,K487)),1)="]",LEFT(TRIM(INDEX($A$3:$A$168,K487)),LEN(TRIM(INDEX($A$3:$A$168,K487)))-1)&amp;", "&amp;SUBSTITUTE(SUBSTITUTE(SUBSTITUTE(E487," [",", "),"[",", "),"]","")&amp;"]",TRIM(INDEX($A$3:$A$168,K487))&amp;" ["&amp;SUBSTITUTE(SUBSTITUTE(SUBSTITUTE(E487," [",", "),"[",", "),"]","")&amp;"]")))</x:f>
      </x:c>
      <x:c r="G487" t="str">
        <x:f>IF(F487&lt;&gt;"",ROWS($F$3:F487)-COUNTBLANK($F$3:F487),"")</x:f>
      </x:c>
      <x:c r="H487"/>
      <x:c r="I487"/>
      <x:c r="J487"/>
      <x:c r="K487" t="str">
        <x:f>IF(ROW()-ROW($K$2)&lt;=SUM($J$3:$J$168),COUNTIF($H$3:$H$168,"&lt;"&amp;(ROW()-ROW($K$2))),"")</x:f>
      </x:c>
      <x:c r="L487" t="str">
        <x:f>IF(K487="","",ROW()-ROW($L$2)-INDEX($H$3:$H$168,K487))</x:f>
      </x:c>
      <x:c r="M487" t="str">
        <x:f>IF(K487="","",IF(L487=1,1,FIND(CHAR(1),SUBSTITUTE(INDEX($B$3:$B$168,K487),CHAR(10),CHAR(1),L487-1))+1))</x:f>
      </x:c>
      <x:c r="N487" t="str">
        <x:f>IF(K487="","",IFERROR(FIND(CHAR(1),SUBSTITUTE(INDEX($B$3:$B$168,K487),CHAR(10),CHAR(1),L487)),LEN(INDEX($B$3:$B$168,K487))+1))</x:f>
      </x:c>
    </x:row>
    <x:row r="488">
      <x:c r="A488"/>
      <x:c r="B488"/>
      <x:c r="C488"/>
      <x:c r="D488" t="str">
        <x:f>IFERROR(IF(486&lt;=$O$1,INDEX($A$3:$A$168,MATCH(486,$I$3:$I$168,0)),IF(486&lt;=$O$1+$O$2,INDEX($F$3:$F$1994,MATCH(486-$O$1,$G$3:$G$1994,0)),"")),"")</x:f>
      </x:c>
      <x:c r="E488" t="str">
        <x:f>IF(K488="","",IF(N488&lt;=M488,"",TRIM(CLEAN(MID(INDEX($B$3:$B$168,K488),M488,N488-M488)))))</x:f>
      </x:c>
      <x:c r="F488" t="str">
        <x:f>IF(E488="","",IF(E488=TRIM(INDEX($A$3:$A$168,K488)),"",IF(RIGHT(TRIM(INDEX($A$3:$A$168,K488)),1)="]",LEFT(TRIM(INDEX($A$3:$A$168,K488)),LEN(TRIM(INDEX($A$3:$A$168,K488)))-1)&amp;", "&amp;SUBSTITUTE(SUBSTITUTE(SUBSTITUTE(E488," [",", "),"[",", "),"]","")&amp;"]",TRIM(INDEX($A$3:$A$168,K488))&amp;" ["&amp;SUBSTITUTE(SUBSTITUTE(SUBSTITUTE(E488," [",", "),"[",", "),"]","")&amp;"]")))</x:f>
      </x:c>
      <x:c r="G488" t="str">
        <x:f>IF(F488&lt;&gt;"",ROWS($F$3:F488)-COUNTBLANK($F$3:F488),"")</x:f>
      </x:c>
      <x:c r="H488"/>
      <x:c r="I488"/>
      <x:c r="J488"/>
      <x:c r="K488" t="str">
        <x:f>IF(ROW()-ROW($K$2)&lt;=SUM($J$3:$J$168),COUNTIF($H$3:$H$168,"&lt;"&amp;(ROW()-ROW($K$2))),"")</x:f>
      </x:c>
      <x:c r="L488" t="str">
        <x:f>IF(K488="","",ROW()-ROW($L$2)-INDEX($H$3:$H$168,K488))</x:f>
      </x:c>
      <x:c r="M488" t="str">
        <x:f>IF(K488="","",IF(L488=1,1,FIND(CHAR(1),SUBSTITUTE(INDEX($B$3:$B$168,K488),CHAR(10),CHAR(1),L488-1))+1))</x:f>
      </x:c>
      <x:c r="N488" t="str">
        <x:f>IF(K488="","",IFERROR(FIND(CHAR(1),SUBSTITUTE(INDEX($B$3:$B$168,K488),CHAR(10),CHAR(1),L488)),LEN(INDEX($B$3:$B$168,K488))+1))</x:f>
      </x:c>
    </x:row>
    <x:row r="489">
      <x:c r="A489"/>
      <x:c r="B489"/>
      <x:c r="C489"/>
      <x:c r="D489" t="str">
        <x:f>IFERROR(IF(487&lt;=$O$1,INDEX($A$3:$A$168,MATCH(487,$I$3:$I$168,0)),IF(487&lt;=$O$1+$O$2,INDEX($F$3:$F$1994,MATCH(487-$O$1,$G$3:$G$1994,0)),"")),"")</x:f>
      </x:c>
      <x:c r="E489" t="str">
        <x:f>IF(K489="","",IF(N489&lt;=M489,"",TRIM(CLEAN(MID(INDEX($B$3:$B$168,K489),M489,N489-M489)))))</x:f>
      </x:c>
      <x:c r="F489" t="str">
        <x:f>IF(E489="","",IF(E489=TRIM(INDEX($A$3:$A$168,K489)),"",IF(RIGHT(TRIM(INDEX($A$3:$A$168,K489)),1)="]",LEFT(TRIM(INDEX($A$3:$A$168,K489)),LEN(TRIM(INDEX($A$3:$A$168,K489)))-1)&amp;", "&amp;SUBSTITUTE(SUBSTITUTE(SUBSTITUTE(E489," [",", "),"[",", "),"]","")&amp;"]",TRIM(INDEX($A$3:$A$168,K489))&amp;" ["&amp;SUBSTITUTE(SUBSTITUTE(SUBSTITUTE(E489," [",", "),"[",", "),"]","")&amp;"]")))</x:f>
      </x:c>
      <x:c r="G489" t="str">
        <x:f>IF(F489&lt;&gt;"",ROWS($F$3:F489)-COUNTBLANK($F$3:F489),"")</x:f>
      </x:c>
      <x:c r="H489"/>
      <x:c r="I489"/>
      <x:c r="J489"/>
      <x:c r="K489" t="str">
        <x:f>IF(ROW()-ROW($K$2)&lt;=SUM($J$3:$J$168),COUNTIF($H$3:$H$168,"&lt;"&amp;(ROW()-ROW($K$2))),"")</x:f>
      </x:c>
      <x:c r="L489" t="str">
        <x:f>IF(K489="","",ROW()-ROW($L$2)-INDEX($H$3:$H$168,K489))</x:f>
      </x:c>
      <x:c r="M489" t="str">
        <x:f>IF(K489="","",IF(L489=1,1,FIND(CHAR(1),SUBSTITUTE(INDEX($B$3:$B$168,K489),CHAR(10),CHAR(1),L489-1))+1))</x:f>
      </x:c>
      <x:c r="N489" t="str">
        <x:f>IF(K489="","",IFERROR(FIND(CHAR(1),SUBSTITUTE(INDEX($B$3:$B$168,K489),CHAR(10),CHAR(1),L489)),LEN(INDEX($B$3:$B$168,K489))+1))</x:f>
      </x:c>
    </x:row>
    <x:row r="490">
      <x:c r="A490"/>
      <x:c r="B490"/>
      <x:c r="C490"/>
      <x:c r="D490" t="str">
        <x:f>IFERROR(IF(488&lt;=$O$1,INDEX($A$3:$A$168,MATCH(488,$I$3:$I$168,0)),IF(488&lt;=$O$1+$O$2,INDEX($F$3:$F$1994,MATCH(488-$O$1,$G$3:$G$1994,0)),"")),"")</x:f>
      </x:c>
      <x:c r="E490" t="str">
        <x:f>IF(K490="","",IF(N490&lt;=M490,"",TRIM(CLEAN(MID(INDEX($B$3:$B$168,K490),M490,N490-M490)))))</x:f>
      </x:c>
      <x:c r="F490" t="str">
        <x:f>IF(E490="","",IF(E490=TRIM(INDEX($A$3:$A$168,K490)),"",IF(RIGHT(TRIM(INDEX($A$3:$A$168,K490)),1)="]",LEFT(TRIM(INDEX($A$3:$A$168,K490)),LEN(TRIM(INDEX($A$3:$A$168,K490)))-1)&amp;", "&amp;SUBSTITUTE(SUBSTITUTE(SUBSTITUTE(E490," [",", "),"[",", "),"]","")&amp;"]",TRIM(INDEX($A$3:$A$168,K490))&amp;" ["&amp;SUBSTITUTE(SUBSTITUTE(SUBSTITUTE(E490," [",", "),"[",", "),"]","")&amp;"]")))</x:f>
      </x:c>
      <x:c r="G490" t="str">
        <x:f>IF(F490&lt;&gt;"",ROWS($F$3:F490)-COUNTBLANK($F$3:F490),"")</x:f>
      </x:c>
      <x:c r="H490"/>
      <x:c r="I490"/>
      <x:c r="J490"/>
      <x:c r="K490" t="str">
        <x:f>IF(ROW()-ROW($K$2)&lt;=SUM($J$3:$J$168),COUNTIF($H$3:$H$168,"&lt;"&amp;(ROW()-ROW($K$2))),"")</x:f>
      </x:c>
      <x:c r="L490" t="str">
        <x:f>IF(K490="","",ROW()-ROW($L$2)-INDEX($H$3:$H$168,K490))</x:f>
      </x:c>
      <x:c r="M490" t="str">
        <x:f>IF(K490="","",IF(L490=1,1,FIND(CHAR(1),SUBSTITUTE(INDEX($B$3:$B$168,K490),CHAR(10),CHAR(1),L490-1))+1))</x:f>
      </x:c>
      <x:c r="N490" t="str">
        <x:f>IF(K490="","",IFERROR(FIND(CHAR(1),SUBSTITUTE(INDEX($B$3:$B$168,K490),CHAR(10),CHAR(1),L490)),LEN(INDEX($B$3:$B$168,K490))+1))</x:f>
      </x:c>
    </x:row>
    <x:row r="491">
      <x:c r="A491"/>
      <x:c r="B491"/>
      <x:c r="C491"/>
      <x:c r="D491" t="str">
        <x:f>IFERROR(IF(489&lt;=$O$1,INDEX($A$3:$A$168,MATCH(489,$I$3:$I$168,0)),IF(489&lt;=$O$1+$O$2,INDEX($F$3:$F$1994,MATCH(489-$O$1,$G$3:$G$1994,0)),"")),"")</x:f>
      </x:c>
      <x:c r="E491" t="str">
        <x:f>IF(K491="","",IF(N491&lt;=M491,"",TRIM(CLEAN(MID(INDEX($B$3:$B$168,K491),M491,N491-M491)))))</x:f>
      </x:c>
      <x:c r="F491" t="str">
        <x:f>IF(E491="","",IF(E491=TRIM(INDEX($A$3:$A$168,K491)),"",IF(RIGHT(TRIM(INDEX($A$3:$A$168,K491)),1)="]",LEFT(TRIM(INDEX($A$3:$A$168,K491)),LEN(TRIM(INDEX($A$3:$A$168,K491)))-1)&amp;", "&amp;SUBSTITUTE(SUBSTITUTE(SUBSTITUTE(E491," [",", "),"[",", "),"]","")&amp;"]",TRIM(INDEX($A$3:$A$168,K491))&amp;" ["&amp;SUBSTITUTE(SUBSTITUTE(SUBSTITUTE(E491," [",", "),"[",", "),"]","")&amp;"]")))</x:f>
      </x:c>
      <x:c r="G491" t="str">
        <x:f>IF(F491&lt;&gt;"",ROWS($F$3:F491)-COUNTBLANK($F$3:F491),"")</x:f>
      </x:c>
      <x:c r="H491"/>
      <x:c r="I491"/>
      <x:c r="J491"/>
      <x:c r="K491" t="str">
        <x:f>IF(ROW()-ROW($K$2)&lt;=SUM($J$3:$J$168),COUNTIF($H$3:$H$168,"&lt;"&amp;(ROW()-ROW($K$2))),"")</x:f>
      </x:c>
      <x:c r="L491" t="str">
        <x:f>IF(K491="","",ROW()-ROW($L$2)-INDEX($H$3:$H$168,K491))</x:f>
      </x:c>
      <x:c r="M491" t="str">
        <x:f>IF(K491="","",IF(L491=1,1,FIND(CHAR(1),SUBSTITUTE(INDEX($B$3:$B$168,K491),CHAR(10),CHAR(1),L491-1))+1))</x:f>
      </x:c>
      <x:c r="N491" t="str">
        <x:f>IF(K491="","",IFERROR(FIND(CHAR(1),SUBSTITUTE(INDEX($B$3:$B$168,K491),CHAR(10),CHAR(1),L491)),LEN(INDEX($B$3:$B$168,K491))+1))</x:f>
      </x:c>
    </x:row>
    <x:row r="492">
      <x:c r="A492"/>
      <x:c r="B492"/>
      <x:c r="C492"/>
      <x:c r="D492" t="str">
        <x:f>IFERROR(IF(490&lt;=$O$1,INDEX($A$3:$A$168,MATCH(490,$I$3:$I$168,0)),IF(490&lt;=$O$1+$O$2,INDEX($F$3:$F$1994,MATCH(490-$O$1,$G$3:$G$1994,0)),"")),"")</x:f>
      </x:c>
      <x:c r="E492" t="str">
        <x:f>IF(K492="","",IF(N492&lt;=M492,"",TRIM(CLEAN(MID(INDEX($B$3:$B$168,K492),M492,N492-M492)))))</x:f>
      </x:c>
      <x:c r="F492" t="str">
        <x:f>IF(E492="","",IF(E492=TRIM(INDEX($A$3:$A$168,K492)),"",IF(RIGHT(TRIM(INDEX($A$3:$A$168,K492)),1)="]",LEFT(TRIM(INDEX($A$3:$A$168,K492)),LEN(TRIM(INDEX($A$3:$A$168,K492)))-1)&amp;", "&amp;SUBSTITUTE(SUBSTITUTE(SUBSTITUTE(E492," [",", "),"[",", "),"]","")&amp;"]",TRIM(INDEX($A$3:$A$168,K492))&amp;" ["&amp;SUBSTITUTE(SUBSTITUTE(SUBSTITUTE(E492," [",", "),"[",", "),"]","")&amp;"]")))</x:f>
      </x:c>
      <x:c r="G492" t="str">
        <x:f>IF(F492&lt;&gt;"",ROWS($F$3:F492)-COUNTBLANK($F$3:F492),"")</x:f>
      </x:c>
      <x:c r="H492"/>
      <x:c r="I492"/>
      <x:c r="J492"/>
      <x:c r="K492" t="str">
        <x:f>IF(ROW()-ROW($K$2)&lt;=SUM($J$3:$J$168),COUNTIF($H$3:$H$168,"&lt;"&amp;(ROW()-ROW($K$2))),"")</x:f>
      </x:c>
      <x:c r="L492" t="str">
        <x:f>IF(K492="","",ROW()-ROW($L$2)-INDEX($H$3:$H$168,K492))</x:f>
      </x:c>
      <x:c r="M492" t="str">
        <x:f>IF(K492="","",IF(L492=1,1,FIND(CHAR(1),SUBSTITUTE(INDEX($B$3:$B$168,K492),CHAR(10),CHAR(1),L492-1))+1))</x:f>
      </x:c>
      <x:c r="N492" t="str">
        <x:f>IF(K492="","",IFERROR(FIND(CHAR(1),SUBSTITUTE(INDEX($B$3:$B$168,K492),CHAR(10),CHAR(1),L492)),LEN(INDEX($B$3:$B$168,K492))+1))</x:f>
      </x:c>
    </x:row>
    <x:row r="493">
      <x:c r="A493"/>
      <x:c r="B493"/>
      <x:c r="C493"/>
      <x:c r="D493" t="str">
        <x:f>IFERROR(IF(491&lt;=$O$1,INDEX($A$3:$A$168,MATCH(491,$I$3:$I$168,0)),IF(491&lt;=$O$1+$O$2,INDEX($F$3:$F$1994,MATCH(491-$O$1,$G$3:$G$1994,0)),"")),"")</x:f>
      </x:c>
      <x:c r="E493" t="str">
        <x:f>IF(K493="","",IF(N493&lt;=M493,"",TRIM(CLEAN(MID(INDEX($B$3:$B$168,K493),M493,N493-M493)))))</x:f>
      </x:c>
      <x:c r="F493" t="str">
        <x:f>IF(E493="","",IF(E493=TRIM(INDEX($A$3:$A$168,K493)),"",IF(RIGHT(TRIM(INDEX($A$3:$A$168,K493)),1)="]",LEFT(TRIM(INDEX($A$3:$A$168,K493)),LEN(TRIM(INDEX($A$3:$A$168,K493)))-1)&amp;", "&amp;SUBSTITUTE(SUBSTITUTE(SUBSTITUTE(E493," [",", "),"[",", "),"]","")&amp;"]",TRIM(INDEX($A$3:$A$168,K493))&amp;" ["&amp;SUBSTITUTE(SUBSTITUTE(SUBSTITUTE(E493," [",", "),"[",", "),"]","")&amp;"]")))</x:f>
      </x:c>
      <x:c r="G493" t="str">
        <x:f>IF(F493&lt;&gt;"",ROWS($F$3:F493)-COUNTBLANK($F$3:F493),"")</x:f>
      </x:c>
      <x:c r="H493"/>
      <x:c r="I493"/>
      <x:c r="J493"/>
      <x:c r="K493" t="str">
        <x:f>IF(ROW()-ROW($K$2)&lt;=SUM($J$3:$J$168),COUNTIF($H$3:$H$168,"&lt;"&amp;(ROW()-ROW($K$2))),"")</x:f>
      </x:c>
      <x:c r="L493" t="str">
        <x:f>IF(K493="","",ROW()-ROW($L$2)-INDEX($H$3:$H$168,K493))</x:f>
      </x:c>
      <x:c r="M493" t="str">
        <x:f>IF(K493="","",IF(L493=1,1,FIND(CHAR(1),SUBSTITUTE(INDEX($B$3:$B$168,K493),CHAR(10),CHAR(1),L493-1))+1))</x:f>
      </x:c>
      <x:c r="N493" t="str">
        <x:f>IF(K493="","",IFERROR(FIND(CHAR(1),SUBSTITUTE(INDEX($B$3:$B$168,K493),CHAR(10),CHAR(1),L493)),LEN(INDEX($B$3:$B$168,K493))+1))</x:f>
      </x:c>
    </x:row>
    <x:row r="494">
      <x:c r="A494"/>
      <x:c r="B494"/>
      <x:c r="C494"/>
      <x:c r="D494" t="str">
        <x:f>IFERROR(IF(492&lt;=$O$1,INDEX($A$3:$A$168,MATCH(492,$I$3:$I$168,0)),IF(492&lt;=$O$1+$O$2,INDEX($F$3:$F$1994,MATCH(492-$O$1,$G$3:$G$1994,0)),"")),"")</x:f>
      </x:c>
      <x:c r="E494" t="str">
        <x:f>IF(K494="","",IF(N494&lt;=M494,"",TRIM(CLEAN(MID(INDEX($B$3:$B$168,K494),M494,N494-M494)))))</x:f>
      </x:c>
      <x:c r="F494" t="str">
        <x:f>IF(E494="","",IF(E494=TRIM(INDEX($A$3:$A$168,K494)),"",IF(RIGHT(TRIM(INDEX($A$3:$A$168,K494)),1)="]",LEFT(TRIM(INDEX($A$3:$A$168,K494)),LEN(TRIM(INDEX($A$3:$A$168,K494)))-1)&amp;", "&amp;SUBSTITUTE(SUBSTITUTE(SUBSTITUTE(E494," [",", "),"[",", "),"]","")&amp;"]",TRIM(INDEX($A$3:$A$168,K494))&amp;" ["&amp;SUBSTITUTE(SUBSTITUTE(SUBSTITUTE(E494," [",", "),"[",", "),"]","")&amp;"]")))</x:f>
      </x:c>
      <x:c r="G494" t="str">
        <x:f>IF(F494&lt;&gt;"",ROWS($F$3:F494)-COUNTBLANK($F$3:F494),"")</x:f>
      </x:c>
      <x:c r="H494"/>
      <x:c r="I494"/>
      <x:c r="J494"/>
      <x:c r="K494" t="str">
        <x:f>IF(ROW()-ROW($K$2)&lt;=SUM($J$3:$J$168),COUNTIF($H$3:$H$168,"&lt;"&amp;(ROW()-ROW($K$2))),"")</x:f>
      </x:c>
      <x:c r="L494" t="str">
        <x:f>IF(K494="","",ROW()-ROW($L$2)-INDEX($H$3:$H$168,K494))</x:f>
      </x:c>
      <x:c r="M494" t="str">
        <x:f>IF(K494="","",IF(L494=1,1,FIND(CHAR(1),SUBSTITUTE(INDEX($B$3:$B$168,K494),CHAR(10),CHAR(1),L494-1))+1))</x:f>
      </x:c>
      <x:c r="N494" t="str">
        <x:f>IF(K494="","",IFERROR(FIND(CHAR(1),SUBSTITUTE(INDEX($B$3:$B$168,K494),CHAR(10),CHAR(1),L494)),LEN(INDEX($B$3:$B$168,K494))+1))</x:f>
      </x:c>
    </x:row>
    <x:row r="495">
      <x:c r="A495"/>
      <x:c r="B495"/>
      <x:c r="C495"/>
      <x:c r="D495" t="str">
        <x:f>IFERROR(IF(493&lt;=$O$1,INDEX($A$3:$A$168,MATCH(493,$I$3:$I$168,0)),IF(493&lt;=$O$1+$O$2,INDEX($F$3:$F$1994,MATCH(493-$O$1,$G$3:$G$1994,0)),"")),"")</x:f>
      </x:c>
      <x:c r="E495" t="str">
        <x:f>IF(K495="","",IF(N495&lt;=M495,"",TRIM(CLEAN(MID(INDEX($B$3:$B$168,K495),M495,N495-M495)))))</x:f>
      </x:c>
      <x:c r="F495" t="str">
        <x:f>IF(E495="","",IF(E495=TRIM(INDEX($A$3:$A$168,K495)),"",IF(RIGHT(TRIM(INDEX($A$3:$A$168,K495)),1)="]",LEFT(TRIM(INDEX($A$3:$A$168,K495)),LEN(TRIM(INDEX($A$3:$A$168,K495)))-1)&amp;", "&amp;SUBSTITUTE(SUBSTITUTE(SUBSTITUTE(E495," [",", "),"[",", "),"]","")&amp;"]",TRIM(INDEX($A$3:$A$168,K495))&amp;" ["&amp;SUBSTITUTE(SUBSTITUTE(SUBSTITUTE(E495," [",", "),"[",", "),"]","")&amp;"]")))</x:f>
      </x:c>
      <x:c r="G495" t="str">
        <x:f>IF(F495&lt;&gt;"",ROWS($F$3:F495)-COUNTBLANK($F$3:F495),"")</x:f>
      </x:c>
      <x:c r="H495"/>
      <x:c r="I495"/>
      <x:c r="J495"/>
      <x:c r="K495" t="str">
        <x:f>IF(ROW()-ROW($K$2)&lt;=SUM($J$3:$J$168),COUNTIF($H$3:$H$168,"&lt;"&amp;(ROW()-ROW($K$2))),"")</x:f>
      </x:c>
      <x:c r="L495" t="str">
        <x:f>IF(K495="","",ROW()-ROW($L$2)-INDEX($H$3:$H$168,K495))</x:f>
      </x:c>
      <x:c r="M495" t="str">
        <x:f>IF(K495="","",IF(L495=1,1,FIND(CHAR(1),SUBSTITUTE(INDEX($B$3:$B$168,K495),CHAR(10),CHAR(1),L495-1))+1))</x:f>
      </x:c>
      <x:c r="N495" t="str">
        <x:f>IF(K495="","",IFERROR(FIND(CHAR(1),SUBSTITUTE(INDEX($B$3:$B$168,K495),CHAR(10),CHAR(1),L495)),LEN(INDEX($B$3:$B$168,K495))+1))</x:f>
      </x:c>
    </x:row>
    <x:row r="496">
      <x:c r="A496"/>
      <x:c r="B496"/>
      <x:c r="C496"/>
      <x:c r="D496" t="str">
        <x:f>IFERROR(IF(494&lt;=$O$1,INDEX($A$3:$A$168,MATCH(494,$I$3:$I$168,0)),IF(494&lt;=$O$1+$O$2,INDEX($F$3:$F$1994,MATCH(494-$O$1,$G$3:$G$1994,0)),"")),"")</x:f>
      </x:c>
      <x:c r="E496" t="str">
        <x:f>IF(K496="","",IF(N496&lt;=M496,"",TRIM(CLEAN(MID(INDEX($B$3:$B$168,K496),M496,N496-M496)))))</x:f>
      </x:c>
      <x:c r="F496" t="str">
        <x:f>IF(E496="","",IF(E496=TRIM(INDEX($A$3:$A$168,K496)),"",IF(RIGHT(TRIM(INDEX($A$3:$A$168,K496)),1)="]",LEFT(TRIM(INDEX($A$3:$A$168,K496)),LEN(TRIM(INDEX($A$3:$A$168,K496)))-1)&amp;", "&amp;SUBSTITUTE(SUBSTITUTE(SUBSTITUTE(E496," [",", "),"[",", "),"]","")&amp;"]",TRIM(INDEX($A$3:$A$168,K496))&amp;" ["&amp;SUBSTITUTE(SUBSTITUTE(SUBSTITUTE(E496," [",", "),"[",", "),"]","")&amp;"]")))</x:f>
      </x:c>
      <x:c r="G496" t="str">
        <x:f>IF(F496&lt;&gt;"",ROWS($F$3:F496)-COUNTBLANK($F$3:F496),"")</x:f>
      </x:c>
      <x:c r="H496"/>
      <x:c r="I496"/>
      <x:c r="J496"/>
      <x:c r="K496" t="str">
        <x:f>IF(ROW()-ROW($K$2)&lt;=SUM($J$3:$J$168),COUNTIF($H$3:$H$168,"&lt;"&amp;(ROW()-ROW($K$2))),"")</x:f>
      </x:c>
      <x:c r="L496" t="str">
        <x:f>IF(K496="","",ROW()-ROW($L$2)-INDEX($H$3:$H$168,K496))</x:f>
      </x:c>
      <x:c r="M496" t="str">
        <x:f>IF(K496="","",IF(L496=1,1,FIND(CHAR(1),SUBSTITUTE(INDEX($B$3:$B$168,K496),CHAR(10),CHAR(1),L496-1))+1))</x:f>
      </x:c>
      <x:c r="N496" t="str">
        <x:f>IF(K496="","",IFERROR(FIND(CHAR(1),SUBSTITUTE(INDEX($B$3:$B$168,K496),CHAR(10),CHAR(1),L496)),LEN(INDEX($B$3:$B$168,K496))+1))</x:f>
      </x:c>
    </x:row>
    <x:row r="497">
      <x:c r="A497"/>
      <x:c r="B497"/>
      <x:c r="C497"/>
      <x:c r="D497" t="str">
        <x:f>IFERROR(IF(495&lt;=$O$1,INDEX($A$3:$A$168,MATCH(495,$I$3:$I$168,0)),IF(495&lt;=$O$1+$O$2,INDEX($F$3:$F$1994,MATCH(495-$O$1,$G$3:$G$1994,0)),"")),"")</x:f>
      </x:c>
      <x:c r="E497" t="str">
        <x:f>IF(K497="","",IF(N497&lt;=M497,"",TRIM(CLEAN(MID(INDEX($B$3:$B$168,K497),M497,N497-M497)))))</x:f>
      </x:c>
      <x:c r="F497" t="str">
        <x:f>IF(E497="","",IF(E497=TRIM(INDEX($A$3:$A$168,K497)),"",IF(RIGHT(TRIM(INDEX($A$3:$A$168,K497)),1)="]",LEFT(TRIM(INDEX($A$3:$A$168,K497)),LEN(TRIM(INDEX($A$3:$A$168,K497)))-1)&amp;", "&amp;SUBSTITUTE(SUBSTITUTE(SUBSTITUTE(E497," [",", "),"[",", "),"]","")&amp;"]",TRIM(INDEX($A$3:$A$168,K497))&amp;" ["&amp;SUBSTITUTE(SUBSTITUTE(SUBSTITUTE(E497," [",", "),"[",", "),"]","")&amp;"]")))</x:f>
      </x:c>
      <x:c r="G497" t="str">
        <x:f>IF(F497&lt;&gt;"",ROWS($F$3:F497)-COUNTBLANK($F$3:F497),"")</x:f>
      </x:c>
      <x:c r="H497"/>
      <x:c r="I497"/>
      <x:c r="J497"/>
      <x:c r="K497" t="str">
        <x:f>IF(ROW()-ROW($K$2)&lt;=SUM($J$3:$J$168),COUNTIF($H$3:$H$168,"&lt;"&amp;(ROW()-ROW($K$2))),"")</x:f>
      </x:c>
      <x:c r="L497" t="str">
        <x:f>IF(K497="","",ROW()-ROW($L$2)-INDEX($H$3:$H$168,K497))</x:f>
      </x:c>
      <x:c r="M497" t="str">
        <x:f>IF(K497="","",IF(L497=1,1,FIND(CHAR(1),SUBSTITUTE(INDEX($B$3:$B$168,K497),CHAR(10),CHAR(1),L497-1))+1))</x:f>
      </x:c>
      <x:c r="N497" t="str">
        <x:f>IF(K497="","",IFERROR(FIND(CHAR(1),SUBSTITUTE(INDEX($B$3:$B$168,K497),CHAR(10),CHAR(1),L497)),LEN(INDEX($B$3:$B$168,K497))+1))</x:f>
      </x:c>
    </x:row>
    <x:row r="498">
      <x:c r="A498"/>
      <x:c r="B498"/>
      <x:c r="C498"/>
      <x:c r="D498" t="str">
        <x:f>IFERROR(IF(496&lt;=$O$1,INDEX($A$3:$A$168,MATCH(496,$I$3:$I$168,0)),IF(496&lt;=$O$1+$O$2,INDEX($F$3:$F$1994,MATCH(496-$O$1,$G$3:$G$1994,0)),"")),"")</x:f>
      </x:c>
      <x:c r="E498" t="str">
        <x:f>IF(K498="","",IF(N498&lt;=M498,"",TRIM(CLEAN(MID(INDEX($B$3:$B$168,K498),M498,N498-M498)))))</x:f>
      </x:c>
      <x:c r="F498" t="str">
        <x:f>IF(E498="","",IF(E498=TRIM(INDEX($A$3:$A$168,K498)),"",IF(RIGHT(TRIM(INDEX($A$3:$A$168,K498)),1)="]",LEFT(TRIM(INDEX($A$3:$A$168,K498)),LEN(TRIM(INDEX($A$3:$A$168,K498)))-1)&amp;", "&amp;SUBSTITUTE(SUBSTITUTE(SUBSTITUTE(E498," [",", "),"[",", "),"]","")&amp;"]",TRIM(INDEX($A$3:$A$168,K498))&amp;" ["&amp;SUBSTITUTE(SUBSTITUTE(SUBSTITUTE(E498," [",", "),"[",", "),"]","")&amp;"]")))</x:f>
      </x:c>
      <x:c r="G498" t="str">
        <x:f>IF(F498&lt;&gt;"",ROWS($F$3:F498)-COUNTBLANK($F$3:F498),"")</x:f>
      </x:c>
      <x:c r="H498"/>
      <x:c r="I498"/>
      <x:c r="J498"/>
      <x:c r="K498" t="str">
        <x:f>IF(ROW()-ROW($K$2)&lt;=SUM($J$3:$J$168),COUNTIF($H$3:$H$168,"&lt;"&amp;(ROW()-ROW($K$2))),"")</x:f>
      </x:c>
      <x:c r="L498" t="str">
        <x:f>IF(K498="","",ROW()-ROW($L$2)-INDEX($H$3:$H$168,K498))</x:f>
      </x:c>
      <x:c r="M498" t="str">
        <x:f>IF(K498="","",IF(L498=1,1,FIND(CHAR(1),SUBSTITUTE(INDEX($B$3:$B$168,K498),CHAR(10),CHAR(1),L498-1))+1))</x:f>
      </x:c>
      <x:c r="N498" t="str">
        <x:f>IF(K498="","",IFERROR(FIND(CHAR(1),SUBSTITUTE(INDEX($B$3:$B$168,K498),CHAR(10),CHAR(1),L498)),LEN(INDEX($B$3:$B$168,K498))+1))</x:f>
      </x:c>
    </x:row>
    <x:row r="499">
      <x:c r="A499"/>
      <x:c r="B499"/>
      <x:c r="C499"/>
      <x:c r="D499" t="str">
        <x:f>IFERROR(IF(497&lt;=$O$1,INDEX($A$3:$A$168,MATCH(497,$I$3:$I$168,0)),IF(497&lt;=$O$1+$O$2,INDEX($F$3:$F$1994,MATCH(497-$O$1,$G$3:$G$1994,0)),"")),"")</x:f>
      </x:c>
      <x:c r="E499" t="str">
        <x:f>IF(K499="","",IF(N499&lt;=M499,"",TRIM(CLEAN(MID(INDEX($B$3:$B$168,K499),M499,N499-M499)))))</x:f>
      </x:c>
      <x:c r="F499" t="str">
        <x:f>IF(E499="","",IF(E499=TRIM(INDEX($A$3:$A$168,K499)),"",IF(RIGHT(TRIM(INDEX($A$3:$A$168,K499)),1)="]",LEFT(TRIM(INDEX($A$3:$A$168,K499)),LEN(TRIM(INDEX($A$3:$A$168,K499)))-1)&amp;", "&amp;SUBSTITUTE(SUBSTITUTE(SUBSTITUTE(E499," [",", "),"[",", "),"]","")&amp;"]",TRIM(INDEX($A$3:$A$168,K499))&amp;" ["&amp;SUBSTITUTE(SUBSTITUTE(SUBSTITUTE(E499," [",", "),"[",", "),"]","")&amp;"]")))</x:f>
      </x:c>
      <x:c r="G499" t="str">
        <x:f>IF(F499&lt;&gt;"",ROWS($F$3:F499)-COUNTBLANK($F$3:F499),"")</x:f>
      </x:c>
      <x:c r="H499"/>
      <x:c r="I499"/>
      <x:c r="J499"/>
      <x:c r="K499" t="str">
        <x:f>IF(ROW()-ROW($K$2)&lt;=SUM($J$3:$J$168),COUNTIF($H$3:$H$168,"&lt;"&amp;(ROW()-ROW($K$2))),"")</x:f>
      </x:c>
      <x:c r="L499" t="str">
        <x:f>IF(K499="","",ROW()-ROW($L$2)-INDEX($H$3:$H$168,K499))</x:f>
      </x:c>
      <x:c r="M499" t="str">
        <x:f>IF(K499="","",IF(L499=1,1,FIND(CHAR(1),SUBSTITUTE(INDEX($B$3:$B$168,K499),CHAR(10),CHAR(1),L499-1))+1))</x:f>
      </x:c>
      <x:c r="N499" t="str">
        <x:f>IF(K499="","",IFERROR(FIND(CHAR(1),SUBSTITUTE(INDEX($B$3:$B$168,K499),CHAR(10),CHAR(1),L499)),LEN(INDEX($B$3:$B$168,K499))+1))</x:f>
      </x:c>
    </x:row>
    <x:row r="500">
      <x:c r="A500"/>
      <x:c r="B500"/>
      <x:c r="C500"/>
      <x:c r="D500" t="str">
        <x:f>IFERROR(IF(498&lt;=$O$1,INDEX($A$3:$A$168,MATCH(498,$I$3:$I$168,0)),IF(498&lt;=$O$1+$O$2,INDEX($F$3:$F$1994,MATCH(498-$O$1,$G$3:$G$1994,0)),"")),"")</x:f>
      </x:c>
      <x:c r="E500" t="str">
        <x:f>IF(K500="","",IF(N500&lt;=M500,"",TRIM(CLEAN(MID(INDEX($B$3:$B$168,K500),M500,N500-M500)))))</x:f>
      </x:c>
      <x:c r="F500" t="str">
        <x:f>IF(E500="","",IF(E500=TRIM(INDEX($A$3:$A$168,K500)),"",IF(RIGHT(TRIM(INDEX($A$3:$A$168,K500)),1)="]",LEFT(TRIM(INDEX($A$3:$A$168,K500)),LEN(TRIM(INDEX($A$3:$A$168,K500)))-1)&amp;", "&amp;SUBSTITUTE(SUBSTITUTE(SUBSTITUTE(E500," [",", "),"[",", "),"]","")&amp;"]",TRIM(INDEX($A$3:$A$168,K500))&amp;" ["&amp;SUBSTITUTE(SUBSTITUTE(SUBSTITUTE(E500," [",", "),"[",", "),"]","")&amp;"]")))</x:f>
      </x:c>
      <x:c r="G500" t="str">
        <x:f>IF(F500&lt;&gt;"",ROWS($F$3:F500)-COUNTBLANK($F$3:F500),"")</x:f>
      </x:c>
      <x:c r="H500"/>
      <x:c r="I500"/>
      <x:c r="J500"/>
      <x:c r="K500" t="str">
        <x:f>IF(ROW()-ROW($K$2)&lt;=SUM($J$3:$J$168),COUNTIF($H$3:$H$168,"&lt;"&amp;(ROW()-ROW($K$2))),"")</x:f>
      </x:c>
      <x:c r="L500" t="str">
        <x:f>IF(K500="","",ROW()-ROW($L$2)-INDEX($H$3:$H$168,K500))</x:f>
      </x:c>
      <x:c r="M500" t="str">
        <x:f>IF(K500="","",IF(L500=1,1,FIND(CHAR(1),SUBSTITUTE(INDEX($B$3:$B$168,K500),CHAR(10),CHAR(1),L500-1))+1))</x:f>
      </x:c>
      <x:c r="N500" t="str">
        <x:f>IF(K500="","",IFERROR(FIND(CHAR(1),SUBSTITUTE(INDEX($B$3:$B$168,K500),CHAR(10),CHAR(1),L500)),LEN(INDEX($B$3:$B$168,K500))+1))</x:f>
      </x:c>
    </x:row>
    <x:row r="501">
      <x:c r="A501"/>
      <x:c r="B501"/>
      <x:c r="C501"/>
      <x:c r="D501" t="str">
        <x:f>IFERROR(IF(499&lt;=$O$1,INDEX($A$3:$A$168,MATCH(499,$I$3:$I$168,0)),IF(499&lt;=$O$1+$O$2,INDEX($F$3:$F$1994,MATCH(499-$O$1,$G$3:$G$1994,0)),"")),"")</x:f>
      </x:c>
      <x:c r="E501" t="str">
        <x:f>IF(K501="","",IF(N501&lt;=M501,"",TRIM(CLEAN(MID(INDEX($B$3:$B$168,K501),M501,N501-M501)))))</x:f>
      </x:c>
      <x:c r="F501" t="str">
        <x:f>IF(E501="","",IF(E501=TRIM(INDEX($A$3:$A$168,K501)),"",IF(RIGHT(TRIM(INDEX($A$3:$A$168,K501)),1)="]",LEFT(TRIM(INDEX($A$3:$A$168,K501)),LEN(TRIM(INDEX($A$3:$A$168,K501)))-1)&amp;", "&amp;SUBSTITUTE(SUBSTITUTE(SUBSTITUTE(E501," [",", "),"[",", "),"]","")&amp;"]",TRIM(INDEX($A$3:$A$168,K501))&amp;" ["&amp;SUBSTITUTE(SUBSTITUTE(SUBSTITUTE(E501," [",", "),"[",", "),"]","")&amp;"]")))</x:f>
      </x:c>
      <x:c r="G501" t="str">
        <x:f>IF(F501&lt;&gt;"",ROWS($F$3:F501)-COUNTBLANK($F$3:F501),"")</x:f>
      </x:c>
      <x:c r="H501"/>
      <x:c r="I501"/>
      <x:c r="J501"/>
      <x:c r="K501" t="str">
        <x:f>IF(ROW()-ROW($K$2)&lt;=SUM($J$3:$J$168),COUNTIF($H$3:$H$168,"&lt;"&amp;(ROW()-ROW($K$2))),"")</x:f>
      </x:c>
      <x:c r="L501" t="str">
        <x:f>IF(K501="","",ROW()-ROW($L$2)-INDEX($H$3:$H$168,K501))</x:f>
      </x:c>
      <x:c r="M501" t="str">
        <x:f>IF(K501="","",IF(L501=1,1,FIND(CHAR(1),SUBSTITUTE(INDEX($B$3:$B$168,K501),CHAR(10),CHAR(1),L501-1))+1))</x:f>
      </x:c>
      <x:c r="N501" t="str">
        <x:f>IF(K501="","",IFERROR(FIND(CHAR(1),SUBSTITUTE(INDEX($B$3:$B$168,K501),CHAR(10),CHAR(1),L501)),LEN(INDEX($B$3:$B$168,K501))+1))</x:f>
      </x:c>
    </x:row>
    <x:row r="502">
      <x:c r="A502"/>
      <x:c r="B502"/>
      <x:c r="C502"/>
      <x:c r="D502" t="str">
        <x:f>IFERROR(IF(500&lt;=$O$1,INDEX($A$3:$A$168,MATCH(500,$I$3:$I$168,0)),IF(500&lt;=$O$1+$O$2,INDEX($F$3:$F$1994,MATCH(500-$O$1,$G$3:$G$1994,0)),"")),"")</x:f>
      </x:c>
      <x:c r="E502" t="str">
        <x:f>IF(K502="","",IF(N502&lt;=M502,"",TRIM(CLEAN(MID(INDEX($B$3:$B$168,K502),M502,N502-M502)))))</x:f>
      </x:c>
      <x:c r="F502" t="str">
        <x:f>IF(E502="","",IF(E502=TRIM(INDEX($A$3:$A$168,K502)),"",IF(RIGHT(TRIM(INDEX($A$3:$A$168,K502)),1)="]",LEFT(TRIM(INDEX($A$3:$A$168,K502)),LEN(TRIM(INDEX($A$3:$A$168,K502)))-1)&amp;", "&amp;SUBSTITUTE(SUBSTITUTE(SUBSTITUTE(E502," [",", "),"[",", "),"]","")&amp;"]",TRIM(INDEX($A$3:$A$168,K502))&amp;" ["&amp;SUBSTITUTE(SUBSTITUTE(SUBSTITUTE(E502," [",", "),"[",", "),"]","")&amp;"]")))</x:f>
      </x:c>
      <x:c r="G502" t="str">
        <x:f>IF(F502&lt;&gt;"",ROWS($F$3:F502)-COUNTBLANK($F$3:F502),"")</x:f>
      </x:c>
      <x:c r="H502"/>
      <x:c r="I502"/>
      <x:c r="J502"/>
      <x:c r="K502" t="str">
        <x:f>IF(ROW()-ROW($K$2)&lt;=SUM($J$3:$J$168),COUNTIF($H$3:$H$168,"&lt;"&amp;(ROW()-ROW($K$2))),"")</x:f>
      </x:c>
      <x:c r="L502" t="str">
        <x:f>IF(K502="","",ROW()-ROW($L$2)-INDEX($H$3:$H$168,K502))</x:f>
      </x:c>
      <x:c r="M502" t="str">
        <x:f>IF(K502="","",IF(L502=1,1,FIND(CHAR(1),SUBSTITUTE(INDEX($B$3:$B$168,K502),CHAR(10),CHAR(1),L502-1))+1))</x:f>
      </x:c>
      <x:c r="N502" t="str">
        <x:f>IF(K502="","",IFERROR(FIND(CHAR(1),SUBSTITUTE(INDEX($B$3:$B$168,K502),CHAR(10),CHAR(1),L502)),LEN(INDEX($B$3:$B$168,K502))+1))</x:f>
      </x:c>
    </x:row>
    <x:row r="503">
      <x:c r="A503"/>
      <x:c r="B503"/>
      <x:c r="C503"/>
      <x:c r="D503" t="str">
        <x:f>IFERROR(IF(501&lt;=$O$1,INDEX($A$3:$A$168,MATCH(501,$I$3:$I$168,0)),IF(501&lt;=$O$1+$O$2,INDEX($F$3:$F$1994,MATCH(501-$O$1,$G$3:$G$1994,0)),"")),"")</x:f>
      </x:c>
      <x:c r="E503" t="str">
        <x:f>IF(K503="","",IF(N503&lt;=M503,"",TRIM(CLEAN(MID(INDEX($B$3:$B$168,K503),M503,N503-M503)))))</x:f>
      </x:c>
      <x:c r="F503" t="str">
        <x:f>IF(E503="","",IF(E503=TRIM(INDEX($A$3:$A$168,K503)),"",IF(RIGHT(TRIM(INDEX($A$3:$A$168,K503)),1)="]",LEFT(TRIM(INDEX($A$3:$A$168,K503)),LEN(TRIM(INDEX($A$3:$A$168,K503)))-1)&amp;", "&amp;SUBSTITUTE(SUBSTITUTE(SUBSTITUTE(E503," [",", "),"[",", "),"]","")&amp;"]",TRIM(INDEX($A$3:$A$168,K503))&amp;" ["&amp;SUBSTITUTE(SUBSTITUTE(SUBSTITUTE(E503," [",", "),"[",", "),"]","")&amp;"]")))</x:f>
      </x:c>
      <x:c r="G503" t="str">
        <x:f>IF(F503&lt;&gt;"",ROWS($F$3:F503)-COUNTBLANK($F$3:F503),"")</x:f>
      </x:c>
      <x:c r="H503"/>
      <x:c r="I503"/>
      <x:c r="J503"/>
      <x:c r="K503" t="str">
        <x:f>IF(ROW()-ROW($K$2)&lt;=SUM($J$3:$J$168),COUNTIF($H$3:$H$168,"&lt;"&amp;(ROW()-ROW($K$2))),"")</x:f>
      </x:c>
      <x:c r="L503" t="str">
        <x:f>IF(K503="","",ROW()-ROW($L$2)-INDEX($H$3:$H$168,K503))</x:f>
      </x:c>
      <x:c r="M503" t="str">
        <x:f>IF(K503="","",IF(L503=1,1,FIND(CHAR(1),SUBSTITUTE(INDEX($B$3:$B$168,K503),CHAR(10),CHAR(1),L503-1))+1))</x:f>
      </x:c>
      <x:c r="N503" t="str">
        <x:f>IF(K503="","",IFERROR(FIND(CHAR(1),SUBSTITUTE(INDEX($B$3:$B$168,K503),CHAR(10),CHAR(1),L503)),LEN(INDEX($B$3:$B$168,K503))+1))</x:f>
      </x:c>
    </x:row>
    <x:row r="504">
      <x:c r="A504"/>
      <x:c r="B504"/>
      <x:c r="C504"/>
      <x:c r="D504" t="str">
        <x:f>IFERROR(IF(502&lt;=$O$1,INDEX($A$3:$A$168,MATCH(502,$I$3:$I$168,0)),IF(502&lt;=$O$1+$O$2,INDEX($F$3:$F$1994,MATCH(502-$O$1,$G$3:$G$1994,0)),"")),"")</x:f>
      </x:c>
      <x:c r="E504" t="str">
        <x:f>IF(K504="","",IF(N504&lt;=M504,"",TRIM(CLEAN(MID(INDEX($B$3:$B$168,K504),M504,N504-M504)))))</x:f>
      </x:c>
      <x:c r="F504" t="str">
        <x:f>IF(E504="","",IF(E504=TRIM(INDEX($A$3:$A$168,K504)),"",IF(RIGHT(TRIM(INDEX($A$3:$A$168,K504)),1)="]",LEFT(TRIM(INDEX($A$3:$A$168,K504)),LEN(TRIM(INDEX($A$3:$A$168,K504)))-1)&amp;", "&amp;SUBSTITUTE(SUBSTITUTE(SUBSTITUTE(E504," [",", "),"[",", "),"]","")&amp;"]",TRIM(INDEX($A$3:$A$168,K504))&amp;" ["&amp;SUBSTITUTE(SUBSTITUTE(SUBSTITUTE(E504," [",", "),"[",", "),"]","")&amp;"]")))</x:f>
      </x:c>
      <x:c r="G504" t="str">
        <x:f>IF(F504&lt;&gt;"",ROWS($F$3:F504)-COUNTBLANK($F$3:F504),"")</x:f>
      </x:c>
      <x:c r="H504"/>
      <x:c r="I504"/>
      <x:c r="J504"/>
      <x:c r="K504" t="str">
        <x:f>IF(ROW()-ROW($K$2)&lt;=SUM($J$3:$J$168),COUNTIF($H$3:$H$168,"&lt;"&amp;(ROW()-ROW($K$2))),"")</x:f>
      </x:c>
      <x:c r="L504" t="str">
        <x:f>IF(K504="","",ROW()-ROW($L$2)-INDEX($H$3:$H$168,K504))</x:f>
      </x:c>
      <x:c r="M504" t="str">
        <x:f>IF(K504="","",IF(L504=1,1,FIND(CHAR(1),SUBSTITUTE(INDEX($B$3:$B$168,K504),CHAR(10),CHAR(1),L504-1))+1))</x:f>
      </x:c>
      <x:c r="N504" t="str">
        <x:f>IF(K504="","",IFERROR(FIND(CHAR(1),SUBSTITUTE(INDEX($B$3:$B$168,K504),CHAR(10),CHAR(1),L504)),LEN(INDEX($B$3:$B$168,K504))+1))</x:f>
      </x:c>
    </x:row>
    <x:row r="505">
      <x:c r="A505"/>
      <x:c r="B505"/>
      <x:c r="C505"/>
      <x:c r="D505" t="str">
        <x:f>IFERROR(IF(503&lt;=$O$1,INDEX($A$3:$A$168,MATCH(503,$I$3:$I$168,0)),IF(503&lt;=$O$1+$O$2,INDEX($F$3:$F$1994,MATCH(503-$O$1,$G$3:$G$1994,0)),"")),"")</x:f>
      </x:c>
      <x:c r="E505" t="str">
        <x:f>IF(K505="","",IF(N505&lt;=M505,"",TRIM(CLEAN(MID(INDEX($B$3:$B$168,K505),M505,N505-M505)))))</x:f>
      </x:c>
      <x:c r="F505" t="str">
        <x:f>IF(E505="","",IF(E505=TRIM(INDEX($A$3:$A$168,K505)),"",IF(RIGHT(TRIM(INDEX($A$3:$A$168,K505)),1)="]",LEFT(TRIM(INDEX($A$3:$A$168,K505)),LEN(TRIM(INDEX($A$3:$A$168,K505)))-1)&amp;", "&amp;SUBSTITUTE(SUBSTITUTE(SUBSTITUTE(E505," [",", "),"[",", "),"]","")&amp;"]",TRIM(INDEX($A$3:$A$168,K505))&amp;" ["&amp;SUBSTITUTE(SUBSTITUTE(SUBSTITUTE(E505," [",", "),"[",", "),"]","")&amp;"]")))</x:f>
      </x:c>
      <x:c r="G505" t="str">
        <x:f>IF(F505&lt;&gt;"",ROWS($F$3:F505)-COUNTBLANK($F$3:F505),"")</x:f>
      </x:c>
      <x:c r="H505"/>
      <x:c r="I505"/>
      <x:c r="J505"/>
      <x:c r="K505" t="str">
        <x:f>IF(ROW()-ROW($K$2)&lt;=SUM($J$3:$J$168),COUNTIF($H$3:$H$168,"&lt;"&amp;(ROW()-ROW($K$2))),"")</x:f>
      </x:c>
      <x:c r="L505" t="str">
        <x:f>IF(K505="","",ROW()-ROW($L$2)-INDEX($H$3:$H$168,K505))</x:f>
      </x:c>
      <x:c r="M505" t="str">
        <x:f>IF(K505="","",IF(L505=1,1,FIND(CHAR(1),SUBSTITUTE(INDEX($B$3:$B$168,K505),CHAR(10),CHAR(1),L505-1))+1))</x:f>
      </x:c>
      <x:c r="N505" t="str">
        <x:f>IF(K505="","",IFERROR(FIND(CHAR(1),SUBSTITUTE(INDEX($B$3:$B$168,K505),CHAR(10),CHAR(1),L505)),LEN(INDEX($B$3:$B$168,K505))+1))</x:f>
      </x:c>
    </x:row>
    <x:row r="506">
      <x:c r="A506"/>
      <x:c r="B506"/>
      <x:c r="C506"/>
      <x:c r="D506" t="str">
        <x:f>IFERROR(IF(504&lt;=$O$1,INDEX($A$3:$A$168,MATCH(504,$I$3:$I$168,0)),IF(504&lt;=$O$1+$O$2,INDEX($F$3:$F$1994,MATCH(504-$O$1,$G$3:$G$1994,0)),"")),"")</x:f>
      </x:c>
      <x:c r="E506" t="str">
        <x:f>IF(K506="","",IF(N506&lt;=M506,"",TRIM(CLEAN(MID(INDEX($B$3:$B$168,K506),M506,N506-M506)))))</x:f>
      </x:c>
      <x:c r="F506" t="str">
        <x:f>IF(E506="","",IF(E506=TRIM(INDEX($A$3:$A$168,K506)),"",IF(RIGHT(TRIM(INDEX($A$3:$A$168,K506)),1)="]",LEFT(TRIM(INDEX($A$3:$A$168,K506)),LEN(TRIM(INDEX($A$3:$A$168,K506)))-1)&amp;", "&amp;SUBSTITUTE(SUBSTITUTE(SUBSTITUTE(E506," [",", "),"[",", "),"]","")&amp;"]",TRIM(INDEX($A$3:$A$168,K506))&amp;" ["&amp;SUBSTITUTE(SUBSTITUTE(SUBSTITUTE(E506," [",", "),"[",", "),"]","")&amp;"]")))</x:f>
      </x:c>
      <x:c r="G506" t="str">
        <x:f>IF(F506&lt;&gt;"",ROWS($F$3:F506)-COUNTBLANK($F$3:F506),"")</x:f>
      </x:c>
      <x:c r="H506"/>
      <x:c r="I506"/>
      <x:c r="J506"/>
      <x:c r="K506" t="str">
        <x:f>IF(ROW()-ROW($K$2)&lt;=SUM($J$3:$J$168),COUNTIF($H$3:$H$168,"&lt;"&amp;(ROW()-ROW($K$2))),"")</x:f>
      </x:c>
      <x:c r="L506" t="str">
        <x:f>IF(K506="","",ROW()-ROW($L$2)-INDEX($H$3:$H$168,K506))</x:f>
      </x:c>
      <x:c r="M506" t="str">
        <x:f>IF(K506="","",IF(L506=1,1,FIND(CHAR(1),SUBSTITUTE(INDEX($B$3:$B$168,K506),CHAR(10),CHAR(1),L506-1))+1))</x:f>
      </x:c>
      <x:c r="N506" t="str">
        <x:f>IF(K506="","",IFERROR(FIND(CHAR(1),SUBSTITUTE(INDEX($B$3:$B$168,K506),CHAR(10),CHAR(1),L506)),LEN(INDEX($B$3:$B$168,K506))+1))</x:f>
      </x:c>
    </x:row>
    <x:row r="507">
      <x:c r="A507"/>
      <x:c r="B507"/>
      <x:c r="C507"/>
      <x:c r="D507" t="str">
        <x:f>IFERROR(IF(505&lt;=$O$1,INDEX($A$3:$A$168,MATCH(505,$I$3:$I$168,0)),IF(505&lt;=$O$1+$O$2,INDEX($F$3:$F$1994,MATCH(505-$O$1,$G$3:$G$1994,0)),"")),"")</x:f>
      </x:c>
      <x:c r="E507" t="str">
        <x:f>IF(K507="","",IF(N507&lt;=M507,"",TRIM(CLEAN(MID(INDEX($B$3:$B$168,K507),M507,N507-M507)))))</x:f>
      </x:c>
      <x:c r="F507" t="str">
        <x:f>IF(E507="","",IF(E507=TRIM(INDEX($A$3:$A$168,K507)),"",IF(RIGHT(TRIM(INDEX($A$3:$A$168,K507)),1)="]",LEFT(TRIM(INDEX($A$3:$A$168,K507)),LEN(TRIM(INDEX($A$3:$A$168,K507)))-1)&amp;", "&amp;SUBSTITUTE(SUBSTITUTE(SUBSTITUTE(E507," [",", "),"[",", "),"]","")&amp;"]",TRIM(INDEX($A$3:$A$168,K507))&amp;" ["&amp;SUBSTITUTE(SUBSTITUTE(SUBSTITUTE(E507," [",", "),"[",", "),"]","")&amp;"]")))</x:f>
      </x:c>
      <x:c r="G507" t="str">
        <x:f>IF(F507&lt;&gt;"",ROWS($F$3:F507)-COUNTBLANK($F$3:F507),"")</x:f>
      </x:c>
      <x:c r="H507"/>
      <x:c r="I507"/>
      <x:c r="J507"/>
      <x:c r="K507" t="str">
        <x:f>IF(ROW()-ROW($K$2)&lt;=SUM($J$3:$J$168),COUNTIF($H$3:$H$168,"&lt;"&amp;(ROW()-ROW($K$2))),"")</x:f>
      </x:c>
      <x:c r="L507" t="str">
        <x:f>IF(K507="","",ROW()-ROW($L$2)-INDEX($H$3:$H$168,K507))</x:f>
      </x:c>
      <x:c r="M507" t="str">
        <x:f>IF(K507="","",IF(L507=1,1,FIND(CHAR(1),SUBSTITUTE(INDEX($B$3:$B$168,K507),CHAR(10),CHAR(1),L507-1))+1))</x:f>
      </x:c>
      <x:c r="N507" t="str">
        <x:f>IF(K507="","",IFERROR(FIND(CHAR(1),SUBSTITUTE(INDEX($B$3:$B$168,K507),CHAR(10),CHAR(1),L507)),LEN(INDEX($B$3:$B$168,K507))+1))</x:f>
      </x:c>
    </x:row>
    <x:row r="508">
      <x:c r="A508"/>
      <x:c r="B508"/>
      <x:c r="C508"/>
      <x:c r="D508" t="str">
        <x:f>IFERROR(IF(506&lt;=$O$1,INDEX($A$3:$A$168,MATCH(506,$I$3:$I$168,0)),IF(506&lt;=$O$1+$O$2,INDEX($F$3:$F$1994,MATCH(506-$O$1,$G$3:$G$1994,0)),"")),"")</x:f>
      </x:c>
      <x:c r="E508" t="str">
        <x:f>IF(K508="","",IF(N508&lt;=M508,"",TRIM(CLEAN(MID(INDEX($B$3:$B$168,K508),M508,N508-M508)))))</x:f>
      </x:c>
      <x:c r="F508" t="str">
        <x:f>IF(E508="","",IF(E508=TRIM(INDEX($A$3:$A$168,K508)),"",IF(RIGHT(TRIM(INDEX($A$3:$A$168,K508)),1)="]",LEFT(TRIM(INDEX($A$3:$A$168,K508)),LEN(TRIM(INDEX($A$3:$A$168,K508)))-1)&amp;", "&amp;SUBSTITUTE(SUBSTITUTE(SUBSTITUTE(E508," [",", "),"[",", "),"]","")&amp;"]",TRIM(INDEX($A$3:$A$168,K508))&amp;" ["&amp;SUBSTITUTE(SUBSTITUTE(SUBSTITUTE(E508," [",", "),"[",", "),"]","")&amp;"]")))</x:f>
      </x:c>
      <x:c r="G508" t="str">
        <x:f>IF(F508&lt;&gt;"",ROWS($F$3:F508)-COUNTBLANK($F$3:F508),"")</x:f>
      </x:c>
      <x:c r="H508"/>
      <x:c r="I508"/>
      <x:c r="J508"/>
      <x:c r="K508" t="str">
        <x:f>IF(ROW()-ROW($K$2)&lt;=SUM($J$3:$J$168),COUNTIF($H$3:$H$168,"&lt;"&amp;(ROW()-ROW($K$2))),"")</x:f>
      </x:c>
      <x:c r="L508" t="str">
        <x:f>IF(K508="","",ROW()-ROW($L$2)-INDEX($H$3:$H$168,K508))</x:f>
      </x:c>
      <x:c r="M508" t="str">
        <x:f>IF(K508="","",IF(L508=1,1,FIND(CHAR(1),SUBSTITUTE(INDEX($B$3:$B$168,K508),CHAR(10),CHAR(1),L508-1))+1))</x:f>
      </x:c>
      <x:c r="N508" t="str">
        <x:f>IF(K508="","",IFERROR(FIND(CHAR(1),SUBSTITUTE(INDEX($B$3:$B$168,K508),CHAR(10),CHAR(1),L508)),LEN(INDEX($B$3:$B$168,K508))+1))</x:f>
      </x:c>
    </x:row>
    <x:row r="509">
      <x:c r="A509"/>
      <x:c r="B509"/>
      <x:c r="C509"/>
      <x:c r="D509" t="str">
        <x:f>IFERROR(IF(507&lt;=$O$1,INDEX($A$3:$A$168,MATCH(507,$I$3:$I$168,0)),IF(507&lt;=$O$1+$O$2,INDEX($F$3:$F$1994,MATCH(507-$O$1,$G$3:$G$1994,0)),"")),"")</x:f>
      </x:c>
      <x:c r="E509" t="str">
        <x:f>IF(K509="","",IF(N509&lt;=M509,"",TRIM(CLEAN(MID(INDEX($B$3:$B$168,K509),M509,N509-M509)))))</x:f>
      </x:c>
      <x:c r="F509" t="str">
        <x:f>IF(E509="","",IF(E509=TRIM(INDEX($A$3:$A$168,K509)),"",IF(RIGHT(TRIM(INDEX($A$3:$A$168,K509)),1)="]",LEFT(TRIM(INDEX($A$3:$A$168,K509)),LEN(TRIM(INDEX($A$3:$A$168,K509)))-1)&amp;", "&amp;SUBSTITUTE(SUBSTITUTE(SUBSTITUTE(E509," [",", "),"[",", "),"]","")&amp;"]",TRIM(INDEX($A$3:$A$168,K509))&amp;" ["&amp;SUBSTITUTE(SUBSTITUTE(SUBSTITUTE(E509," [",", "),"[",", "),"]","")&amp;"]")))</x:f>
      </x:c>
      <x:c r="G509" t="str">
        <x:f>IF(F509&lt;&gt;"",ROWS($F$3:F509)-COUNTBLANK($F$3:F509),"")</x:f>
      </x:c>
      <x:c r="H509"/>
      <x:c r="I509"/>
      <x:c r="J509"/>
      <x:c r="K509" t="str">
        <x:f>IF(ROW()-ROW($K$2)&lt;=SUM($J$3:$J$168),COUNTIF($H$3:$H$168,"&lt;"&amp;(ROW()-ROW($K$2))),"")</x:f>
      </x:c>
      <x:c r="L509" t="str">
        <x:f>IF(K509="","",ROW()-ROW($L$2)-INDEX($H$3:$H$168,K509))</x:f>
      </x:c>
      <x:c r="M509" t="str">
        <x:f>IF(K509="","",IF(L509=1,1,FIND(CHAR(1),SUBSTITUTE(INDEX($B$3:$B$168,K509),CHAR(10),CHAR(1),L509-1))+1))</x:f>
      </x:c>
      <x:c r="N509" t="str">
        <x:f>IF(K509="","",IFERROR(FIND(CHAR(1),SUBSTITUTE(INDEX($B$3:$B$168,K509),CHAR(10),CHAR(1),L509)),LEN(INDEX($B$3:$B$168,K509))+1))</x:f>
      </x:c>
    </x:row>
    <x:row r="510">
      <x:c r="A510"/>
      <x:c r="B510"/>
      <x:c r="C510"/>
      <x:c r="D510" t="str">
        <x:f>IFERROR(IF(508&lt;=$O$1,INDEX($A$3:$A$168,MATCH(508,$I$3:$I$168,0)),IF(508&lt;=$O$1+$O$2,INDEX($F$3:$F$1994,MATCH(508-$O$1,$G$3:$G$1994,0)),"")),"")</x:f>
      </x:c>
      <x:c r="E510" t="str">
        <x:f>IF(K510="","",IF(N510&lt;=M510,"",TRIM(CLEAN(MID(INDEX($B$3:$B$168,K510),M510,N510-M510)))))</x:f>
      </x:c>
      <x:c r="F510" t="str">
        <x:f>IF(E510="","",IF(E510=TRIM(INDEX($A$3:$A$168,K510)),"",IF(RIGHT(TRIM(INDEX($A$3:$A$168,K510)),1)="]",LEFT(TRIM(INDEX($A$3:$A$168,K510)),LEN(TRIM(INDEX($A$3:$A$168,K510)))-1)&amp;", "&amp;SUBSTITUTE(SUBSTITUTE(SUBSTITUTE(E510," [",", "),"[",", "),"]","")&amp;"]",TRIM(INDEX($A$3:$A$168,K510))&amp;" ["&amp;SUBSTITUTE(SUBSTITUTE(SUBSTITUTE(E510," [",", "),"[",", "),"]","")&amp;"]")))</x:f>
      </x:c>
      <x:c r="G510" t="str">
        <x:f>IF(F510&lt;&gt;"",ROWS($F$3:F510)-COUNTBLANK($F$3:F510),"")</x:f>
      </x:c>
      <x:c r="H510"/>
      <x:c r="I510"/>
      <x:c r="J510"/>
      <x:c r="K510" t="str">
        <x:f>IF(ROW()-ROW($K$2)&lt;=SUM($J$3:$J$168),COUNTIF($H$3:$H$168,"&lt;"&amp;(ROW()-ROW($K$2))),"")</x:f>
      </x:c>
      <x:c r="L510" t="str">
        <x:f>IF(K510="","",ROW()-ROW($L$2)-INDEX($H$3:$H$168,K510))</x:f>
      </x:c>
      <x:c r="M510" t="str">
        <x:f>IF(K510="","",IF(L510=1,1,FIND(CHAR(1),SUBSTITUTE(INDEX($B$3:$B$168,K510),CHAR(10),CHAR(1),L510-1))+1))</x:f>
      </x:c>
      <x:c r="N510" t="str">
        <x:f>IF(K510="","",IFERROR(FIND(CHAR(1),SUBSTITUTE(INDEX($B$3:$B$168,K510),CHAR(10),CHAR(1),L510)),LEN(INDEX($B$3:$B$168,K510))+1))</x:f>
      </x:c>
    </x:row>
    <x:row r="511">
      <x:c r="A511"/>
      <x:c r="B511"/>
      <x:c r="C511"/>
      <x:c r="D511" t="str">
        <x:f>IFERROR(IF(509&lt;=$O$1,INDEX($A$3:$A$168,MATCH(509,$I$3:$I$168,0)),IF(509&lt;=$O$1+$O$2,INDEX($F$3:$F$1994,MATCH(509-$O$1,$G$3:$G$1994,0)),"")),"")</x:f>
      </x:c>
      <x:c r="E511" t="str">
        <x:f>IF(K511="","",IF(N511&lt;=M511,"",TRIM(CLEAN(MID(INDEX($B$3:$B$168,K511),M511,N511-M511)))))</x:f>
      </x:c>
      <x:c r="F511" t="str">
        <x:f>IF(E511="","",IF(E511=TRIM(INDEX($A$3:$A$168,K511)),"",IF(RIGHT(TRIM(INDEX($A$3:$A$168,K511)),1)="]",LEFT(TRIM(INDEX($A$3:$A$168,K511)),LEN(TRIM(INDEX($A$3:$A$168,K511)))-1)&amp;", "&amp;SUBSTITUTE(SUBSTITUTE(SUBSTITUTE(E511," [",", "),"[",", "),"]","")&amp;"]",TRIM(INDEX($A$3:$A$168,K511))&amp;" ["&amp;SUBSTITUTE(SUBSTITUTE(SUBSTITUTE(E511," [",", "),"[",", "),"]","")&amp;"]")))</x:f>
      </x:c>
      <x:c r="G511" t="str">
        <x:f>IF(F511&lt;&gt;"",ROWS($F$3:F511)-COUNTBLANK($F$3:F511),"")</x:f>
      </x:c>
      <x:c r="H511"/>
      <x:c r="I511"/>
      <x:c r="J511"/>
      <x:c r="K511" t="str">
        <x:f>IF(ROW()-ROW($K$2)&lt;=SUM($J$3:$J$168),COUNTIF($H$3:$H$168,"&lt;"&amp;(ROW()-ROW($K$2))),"")</x:f>
      </x:c>
      <x:c r="L511" t="str">
        <x:f>IF(K511="","",ROW()-ROW($L$2)-INDEX($H$3:$H$168,K511))</x:f>
      </x:c>
      <x:c r="M511" t="str">
        <x:f>IF(K511="","",IF(L511=1,1,FIND(CHAR(1),SUBSTITUTE(INDEX($B$3:$B$168,K511),CHAR(10),CHAR(1),L511-1))+1))</x:f>
      </x:c>
      <x:c r="N511" t="str">
        <x:f>IF(K511="","",IFERROR(FIND(CHAR(1),SUBSTITUTE(INDEX($B$3:$B$168,K511),CHAR(10),CHAR(1),L511)),LEN(INDEX($B$3:$B$168,K511))+1))</x:f>
      </x:c>
    </x:row>
    <x:row r="512">
      <x:c r="A512"/>
      <x:c r="B512"/>
      <x:c r="C512"/>
      <x:c r="D512" t="str">
        <x:f>IFERROR(IF(510&lt;=$O$1,INDEX($A$3:$A$168,MATCH(510,$I$3:$I$168,0)),IF(510&lt;=$O$1+$O$2,INDEX($F$3:$F$1994,MATCH(510-$O$1,$G$3:$G$1994,0)),"")),"")</x:f>
      </x:c>
      <x:c r="E512" t="str">
        <x:f>IF(K512="","",IF(N512&lt;=M512,"",TRIM(CLEAN(MID(INDEX($B$3:$B$168,K512),M512,N512-M512)))))</x:f>
      </x:c>
      <x:c r="F512" t="str">
        <x:f>IF(E512="","",IF(E512=TRIM(INDEX($A$3:$A$168,K512)),"",IF(RIGHT(TRIM(INDEX($A$3:$A$168,K512)),1)="]",LEFT(TRIM(INDEX($A$3:$A$168,K512)),LEN(TRIM(INDEX($A$3:$A$168,K512)))-1)&amp;", "&amp;SUBSTITUTE(SUBSTITUTE(SUBSTITUTE(E512," [",", "),"[",", "),"]","")&amp;"]",TRIM(INDEX($A$3:$A$168,K512))&amp;" ["&amp;SUBSTITUTE(SUBSTITUTE(SUBSTITUTE(E512," [",", "),"[",", "),"]","")&amp;"]")))</x:f>
      </x:c>
      <x:c r="G512" t="str">
        <x:f>IF(F512&lt;&gt;"",ROWS($F$3:F512)-COUNTBLANK($F$3:F512),"")</x:f>
      </x:c>
      <x:c r="H512"/>
      <x:c r="I512"/>
      <x:c r="J512"/>
      <x:c r="K512" t="str">
        <x:f>IF(ROW()-ROW($K$2)&lt;=SUM($J$3:$J$168),COUNTIF($H$3:$H$168,"&lt;"&amp;(ROW()-ROW($K$2))),"")</x:f>
      </x:c>
      <x:c r="L512" t="str">
        <x:f>IF(K512="","",ROW()-ROW($L$2)-INDEX($H$3:$H$168,K512))</x:f>
      </x:c>
      <x:c r="M512" t="str">
        <x:f>IF(K512="","",IF(L512=1,1,FIND(CHAR(1),SUBSTITUTE(INDEX($B$3:$B$168,K512),CHAR(10),CHAR(1),L512-1))+1))</x:f>
      </x:c>
      <x:c r="N512" t="str">
        <x:f>IF(K512="","",IFERROR(FIND(CHAR(1),SUBSTITUTE(INDEX($B$3:$B$168,K512),CHAR(10),CHAR(1),L512)),LEN(INDEX($B$3:$B$168,K512))+1))</x:f>
      </x:c>
    </x:row>
    <x:row r="513">
      <x:c r="A513"/>
      <x:c r="B513"/>
      <x:c r="C513"/>
      <x:c r="D513" t="str">
        <x:f>IFERROR(IF(511&lt;=$O$1,INDEX($A$3:$A$168,MATCH(511,$I$3:$I$168,0)),IF(511&lt;=$O$1+$O$2,INDEX($F$3:$F$1994,MATCH(511-$O$1,$G$3:$G$1994,0)),"")),"")</x:f>
      </x:c>
      <x:c r="E513" t="str">
        <x:f>IF(K513="","",IF(N513&lt;=M513,"",TRIM(CLEAN(MID(INDEX($B$3:$B$168,K513),M513,N513-M513)))))</x:f>
      </x:c>
      <x:c r="F513" t="str">
        <x:f>IF(E513="","",IF(E513=TRIM(INDEX($A$3:$A$168,K513)),"",IF(RIGHT(TRIM(INDEX($A$3:$A$168,K513)),1)="]",LEFT(TRIM(INDEX($A$3:$A$168,K513)),LEN(TRIM(INDEX($A$3:$A$168,K513)))-1)&amp;", "&amp;SUBSTITUTE(SUBSTITUTE(SUBSTITUTE(E513," [",", "),"[",", "),"]","")&amp;"]",TRIM(INDEX($A$3:$A$168,K513))&amp;" ["&amp;SUBSTITUTE(SUBSTITUTE(SUBSTITUTE(E513," [",", "),"[",", "),"]","")&amp;"]")))</x:f>
      </x:c>
      <x:c r="G513" t="str">
        <x:f>IF(F513&lt;&gt;"",ROWS($F$3:F513)-COUNTBLANK($F$3:F513),"")</x:f>
      </x:c>
      <x:c r="H513"/>
      <x:c r="I513"/>
      <x:c r="J513"/>
      <x:c r="K513" t="str">
        <x:f>IF(ROW()-ROW($K$2)&lt;=SUM($J$3:$J$168),COUNTIF($H$3:$H$168,"&lt;"&amp;(ROW()-ROW($K$2))),"")</x:f>
      </x:c>
      <x:c r="L513" t="str">
        <x:f>IF(K513="","",ROW()-ROW($L$2)-INDEX($H$3:$H$168,K513))</x:f>
      </x:c>
      <x:c r="M513" t="str">
        <x:f>IF(K513="","",IF(L513=1,1,FIND(CHAR(1),SUBSTITUTE(INDEX($B$3:$B$168,K513),CHAR(10),CHAR(1),L513-1))+1))</x:f>
      </x:c>
      <x:c r="N513" t="str">
        <x:f>IF(K513="","",IFERROR(FIND(CHAR(1),SUBSTITUTE(INDEX($B$3:$B$168,K513),CHAR(10),CHAR(1),L513)),LEN(INDEX($B$3:$B$168,K513))+1))</x:f>
      </x:c>
    </x:row>
    <x:row r="514">
      <x:c r="A514"/>
      <x:c r="B514"/>
      <x:c r="C514"/>
      <x:c r="D514" t="str">
        <x:f>IFERROR(IF(512&lt;=$O$1,INDEX($A$3:$A$168,MATCH(512,$I$3:$I$168,0)),IF(512&lt;=$O$1+$O$2,INDEX($F$3:$F$1994,MATCH(512-$O$1,$G$3:$G$1994,0)),"")),"")</x:f>
      </x:c>
      <x:c r="E514" t="str">
        <x:f>IF(K514="","",IF(N514&lt;=M514,"",TRIM(CLEAN(MID(INDEX($B$3:$B$168,K514),M514,N514-M514)))))</x:f>
      </x:c>
      <x:c r="F514" t="str">
        <x:f>IF(E514="","",IF(E514=TRIM(INDEX($A$3:$A$168,K514)),"",IF(RIGHT(TRIM(INDEX($A$3:$A$168,K514)),1)="]",LEFT(TRIM(INDEX($A$3:$A$168,K514)),LEN(TRIM(INDEX($A$3:$A$168,K514)))-1)&amp;", "&amp;SUBSTITUTE(SUBSTITUTE(SUBSTITUTE(E514," [",", "),"[",", "),"]","")&amp;"]",TRIM(INDEX($A$3:$A$168,K514))&amp;" ["&amp;SUBSTITUTE(SUBSTITUTE(SUBSTITUTE(E514," [",", "),"[",", "),"]","")&amp;"]")))</x:f>
      </x:c>
      <x:c r="G514" t="str">
        <x:f>IF(F514&lt;&gt;"",ROWS($F$3:F514)-COUNTBLANK($F$3:F514),"")</x:f>
      </x:c>
      <x:c r="H514"/>
      <x:c r="I514"/>
      <x:c r="J514"/>
      <x:c r="K514" t="str">
        <x:f>IF(ROW()-ROW($K$2)&lt;=SUM($J$3:$J$168),COUNTIF($H$3:$H$168,"&lt;"&amp;(ROW()-ROW($K$2))),"")</x:f>
      </x:c>
      <x:c r="L514" t="str">
        <x:f>IF(K514="","",ROW()-ROW($L$2)-INDEX($H$3:$H$168,K514))</x:f>
      </x:c>
      <x:c r="M514" t="str">
        <x:f>IF(K514="","",IF(L514=1,1,FIND(CHAR(1),SUBSTITUTE(INDEX($B$3:$B$168,K514),CHAR(10),CHAR(1),L514-1))+1))</x:f>
      </x:c>
      <x:c r="N514" t="str">
        <x:f>IF(K514="","",IFERROR(FIND(CHAR(1),SUBSTITUTE(INDEX($B$3:$B$168,K514),CHAR(10),CHAR(1),L514)),LEN(INDEX($B$3:$B$168,K514))+1))</x:f>
      </x:c>
    </x:row>
    <x:row r="515">
      <x:c r="A515"/>
      <x:c r="B515"/>
      <x:c r="C515"/>
      <x:c r="D515" t="str">
        <x:f>IFERROR(IF(513&lt;=$O$1,INDEX($A$3:$A$168,MATCH(513,$I$3:$I$168,0)),IF(513&lt;=$O$1+$O$2,INDEX($F$3:$F$1994,MATCH(513-$O$1,$G$3:$G$1994,0)),"")),"")</x:f>
      </x:c>
      <x:c r="E515" t="str">
        <x:f>IF(K515="","",IF(N515&lt;=M515,"",TRIM(CLEAN(MID(INDEX($B$3:$B$168,K515),M515,N515-M515)))))</x:f>
      </x:c>
      <x:c r="F515" t="str">
        <x:f>IF(E515="","",IF(E515=TRIM(INDEX($A$3:$A$168,K515)),"",IF(RIGHT(TRIM(INDEX($A$3:$A$168,K515)),1)="]",LEFT(TRIM(INDEX($A$3:$A$168,K515)),LEN(TRIM(INDEX($A$3:$A$168,K515)))-1)&amp;", "&amp;SUBSTITUTE(SUBSTITUTE(SUBSTITUTE(E515," [",", "),"[",", "),"]","")&amp;"]",TRIM(INDEX($A$3:$A$168,K515))&amp;" ["&amp;SUBSTITUTE(SUBSTITUTE(SUBSTITUTE(E515," [",", "),"[",", "),"]","")&amp;"]")))</x:f>
      </x:c>
      <x:c r="G515" t="str">
        <x:f>IF(F515&lt;&gt;"",ROWS($F$3:F515)-COUNTBLANK($F$3:F515),"")</x:f>
      </x:c>
      <x:c r="H515"/>
      <x:c r="I515"/>
      <x:c r="J515"/>
      <x:c r="K515" t="str">
        <x:f>IF(ROW()-ROW($K$2)&lt;=SUM($J$3:$J$168),COUNTIF($H$3:$H$168,"&lt;"&amp;(ROW()-ROW($K$2))),"")</x:f>
      </x:c>
      <x:c r="L515" t="str">
        <x:f>IF(K515="","",ROW()-ROW($L$2)-INDEX($H$3:$H$168,K515))</x:f>
      </x:c>
      <x:c r="M515" t="str">
        <x:f>IF(K515="","",IF(L515=1,1,FIND(CHAR(1),SUBSTITUTE(INDEX($B$3:$B$168,K515),CHAR(10),CHAR(1),L515-1))+1))</x:f>
      </x:c>
      <x:c r="N515" t="str">
        <x:f>IF(K515="","",IFERROR(FIND(CHAR(1),SUBSTITUTE(INDEX($B$3:$B$168,K515),CHAR(10),CHAR(1),L515)),LEN(INDEX($B$3:$B$168,K515))+1))</x:f>
      </x:c>
    </x:row>
    <x:row r="516">
      <x:c r="A516"/>
      <x:c r="B516"/>
      <x:c r="C516"/>
      <x:c r="D516" t="str">
        <x:f>IFERROR(IF(514&lt;=$O$1,INDEX($A$3:$A$168,MATCH(514,$I$3:$I$168,0)),IF(514&lt;=$O$1+$O$2,INDEX($F$3:$F$1994,MATCH(514-$O$1,$G$3:$G$1994,0)),"")),"")</x:f>
      </x:c>
      <x:c r="E516" t="str">
        <x:f>IF(K516="","",IF(N516&lt;=M516,"",TRIM(CLEAN(MID(INDEX($B$3:$B$168,K516),M516,N516-M516)))))</x:f>
      </x:c>
      <x:c r="F516" t="str">
        <x:f>IF(E516="","",IF(E516=TRIM(INDEX($A$3:$A$168,K516)),"",IF(RIGHT(TRIM(INDEX($A$3:$A$168,K516)),1)="]",LEFT(TRIM(INDEX($A$3:$A$168,K516)),LEN(TRIM(INDEX($A$3:$A$168,K516)))-1)&amp;", "&amp;SUBSTITUTE(SUBSTITUTE(SUBSTITUTE(E516," [",", "),"[",", "),"]","")&amp;"]",TRIM(INDEX($A$3:$A$168,K516))&amp;" ["&amp;SUBSTITUTE(SUBSTITUTE(SUBSTITUTE(E516," [",", "),"[",", "),"]","")&amp;"]")))</x:f>
      </x:c>
      <x:c r="G516" t="str">
        <x:f>IF(F516&lt;&gt;"",ROWS($F$3:F516)-COUNTBLANK($F$3:F516),"")</x:f>
      </x:c>
      <x:c r="H516"/>
      <x:c r="I516"/>
      <x:c r="J516"/>
      <x:c r="K516" t="str">
        <x:f>IF(ROW()-ROW($K$2)&lt;=SUM($J$3:$J$168),COUNTIF($H$3:$H$168,"&lt;"&amp;(ROW()-ROW($K$2))),"")</x:f>
      </x:c>
      <x:c r="L516" t="str">
        <x:f>IF(K516="","",ROW()-ROW($L$2)-INDEX($H$3:$H$168,K516))</x:f>
      </x:c>
      <x:c r="M516" t="str">
        <x:f>IF(K516="","",IF(L516=1,1,FIND(CHAR(1),SUBSTITUTE(INDEX($B$3:$B$168,K516),CHAR(10),CHAR(1),L516-1))+1))</x:f>
      </x:c>
      <x:c r="N516" t="str">
        <x:f>IF(K516="","",IFERROR(FIND(CHAR(1),SUBSTITUTE(INDEX($B$3:$B$168,K516),CHAR(10),CHAR(1),L516)),LEN(INDEX($B$3:$B$168,K516))+1))</x:f>
      </x:c>
    </x:row>
    <x:row r="517">
      <x:c r="A517"/>
      <x:c r="B517"/>
      <x:c r="C517"/>
      <x:c r="D517" t="str">
        <x:f>IFERROR(IF(515&lt;=$O$1,INDEX($A$3:$A$168,MATCH(515,$I$3:$I$168,0)),IF(515&lt;=$O$1+$O$2,INDEX($F$3:$F$1994,MATCH(515-$O$1,$G$3:$G$1994,0)),"")),"")</x:f>
      </x:c>
      <x:c r="E517" t="str">
        <x:f>IF(K517="","",IF(N517&lt;=M517,"",TRIM(CLEAN(MID(INDEX($B$3:$B$168,K517),M517,N517-M517)))))</x:f>
      </x:c>
      <x:c r="F517" t="str">
        <x:f>IF(E517="","",IF(E517=TRIM(INDEX($A$3:$A$168,K517)),"",IF(RIGHT(TRIM(INDEX($A$3:$A$168,K517)),1)="]",LEFT(TRIM(INDEX($A$3:$A$168,K517)),LEN(TRIM(INDEX($A$3:$A$168,K517)))-1)&amp;", "&amp;SUBSTITUTE(SUBSTITUTE(SUBSTITUTE(E517," [",", "),"[",", "),"]","")&amp;"]",TRIM(INDEX($A$3:$A$168,K517))&amp;" ["&amp;SUBSTITUTE(SUBSTITUTE(SUBSTITUTE(E517," [",", "),"[",", "),"]","")&amp;"]")))</x:f>
      </x:c>
      <x:c r="G517" t="str">
        <x:f>IF(F517&lt;&gt;"",ROWS($F$3:F517)-COUNTBLANK($F$3:F517),"")</x:f>
      </x:c>
      <x:c r="H517"/>
      <x:c r="I517"/>
      <x:c r="J517"/>
      <x:c r="K517" t="str">
        <x:f>IF(ROW()-ROW($K$2)&lt;=SUM($J$3:$J$168),COUNTIF($H$3:$H$168,"&lt;"&amp;(ROW()-ROW($K$2))),"")</x:f>
      </x:c>
      <x:c r="L517" t="str">
        <x:f>IF(K517="","",ROW()-ROW($L$2)-INDEX($H$3:$H$168,K517))</x:f>
      </x:c>
      <x:c r="M517" t="str">
        <x:f>IF(K517="","",IF(L517=1,1,FIND(CHAR(1),SUBSTITUTE(INDEX($B$3:$B$168,K517),CHAR(10),CHAR(1),L517-1))+1))</x:f>
      </x:c>
      <x:c r="N517" t="str">
        <x:f>IF(K517="","",IFERROR(FIND(CHAR(1),SUBSTITUTE(INDEX($B$3:$B$168,K517),CHAR(10),CHAR(1),L517)),LEN(INDEX($B$3:$B$168,K517))+1))</x:f>
      </x:c>
    </x:row>
    <x:row r="518">
      <x:c r="A518"/>
      <x:c r="B518"/>
      <x:c r="C518"/>
      <x:c r="D518" t="str">
        <x:f>IFERROR(IF(516&lt;=$O$1,INDEX($A$3:$A$168,MATCH(516,$I$3:$I$168,0)),IF(516&lt;=$O$1+$O$2,INDEX($F$3:$F$1994,MATCH(516-$O$1,$G$3:$G$1994,0)),"")),"")</x:f>
      </x:c>
      <x:c r="E518" t="str">
        <x:f>IF(K518="","",IF(N518&lt;=M518,"",TRIM(CLEAN(MID(INDEX($B$3:$B$168,K518),M518,N518-M518)))))</x:f>
      </x:c>
      <x:c r="F518" t="str">
        <x:f>IF(E518="","",IF(E518=TRIM(INDEX($A$3:$A$168,K518)),"",IF(RIGHT(TRIM(INDEX($A$3:$A$168,K518)),1)="]",LEFT(TRIM(INDEX($A$3:$A$168,K518)),LEN(TRIM(INDEX($A$3:$A$168,K518)))-1)&amp;", "&amp;SUBSTITUTE(SUBSTITUTE(SUBSTITUTE(E518," [",", "),"[",", "),"]","")&amp;"]",TRIM(INDEX($A$3:$A$168,K518))&amp;" ["&amp;SUBSTITUTE(SUBSTITUTE(SUBSTITUTE(E518," [",", "),"[",", "),"]","")&amp;"]")))</x:f>
      </x:c>
      <x:c r="G518" t="str">
        <x:f>IF(F518&lt;&gt;"",ROWS($F$3:F518)-COUNTBLANK($F$3:F518),"")</x:f>
      </x:c>
      <x:c r="H518"/>
      <x:c r="I518"/>
      <x:c r="J518"/>
      <x:c r="K518" t="str">
        <x:f>IF(ROW()-ROW($K$2)&lt;=SUM($J$3:$J$168),COUNTIF($H$3:$H$168,"&lt;"&amp;(ROW()-ROW($K$2))),"")</x:f>
      </x:c>
      <x:c r="L518" t="str">
        <x:f>IF(K518="","",ROW()-ROW($L$2)-INDEX($H$3:$H$168,K518))</x:f>
      </x:c>
      <x:c r="M518" t="str">
        <x:f>IF(K518="","",IF(L518=1,1,FIND(CHAR(1),SUBSTITUTE(INDEX($B$3:$B$168,K518),CHAR(10),CHAR(1),L518-1))+1))</x:f>
      </x:c>
      <x:c r="N518" t="str">
        <x:f>IF(K518="","",IFERROR(FIND(CHAR(1),SUBSTITUTE(INDEX($B$3:$B$168,K518),CHAR(10),CHAR(1),L518)),LEN(INDEX($B$3:$B$168,K518))+1))</x:f>
      </x:c>
    </x:row>
    <x:row r="519">
      <x:c r="A519"/>
      <x:c r="B519"/>
      <x:c r="C519"/>
      <x:c r="D519" t="str">
        <x:f>IFERROR(IF(517&lt;=$O$1,INDEX($A$3:$A$168,MATCH(517,$I$3:$I$168,0)),IF(517&lt;=$O$1+$O$2,INDEX($F$3:$F$1994,MATCH(517-$O$1,$G$3:$G$1994,0)),"")),"")</x:f>
      </x:c>
      <x:c r="E519" t="str">
        <x:f>IF(K519="","",IF(N519&lt;=M519,"",TRIM(CLEAN(MID(INDEX($B$3:$B$168,K519),M519,N519-M519)))))</x:f>
      </x:c>
      <x:c r="F519" t="str">
        <x:f>IF(E519="","",IF(E519=TRIM(INDEX($A$3:$A$168,K519)),"",IF(RIGHT(TRIM(INDEX($A$3:$A$168,K519)),1)="]",LEFT(TRIM(INDEX($A$3:$A$168,K519)),LEN(TRIM(INDEX($A$3:$A$168,K519)))-1)&amp;", "&amp;SUBSTITUTE(SUBSTITUTE(SUBSTITUTE(E519," [",", "),"[",", "),"]","")&amp;"]",TRIM(INDEX($A$3:$A$168,K519))&amp;" ["&amp;SUBSTITUTE(SUBSTITUTE(SUBSTITUTE(E519," [",", "),"[",", "),"]","")&amp;"]")))</x:f>
      </x:c>
      <x:c r="G519" t="str">
        <x:f>IF(F519&lt;&gt;"",ROWS($F$3:F519)-COUNTBLANK($F$3:F519),"")</x:f>
      </x:c>
      <x:c r="H519"/>
      <x:c r="I519"/>
      <x:c r="J519"/>
      <x:c r="K519" t="str">
        <x:f>IF(ROW()-ROW($K$2)&lt;=SUM($J$3:$J$168),COUNTIF($H$3:$H$168,"&lt;"&amp;(ROW()-ROW($K$2))),"")</x:f>
      </x:c>
      <x:c r="L519" t="str">
        <x:f>IF(K519="","",ROW()-ROW($L$2)-INDEX($H$3:$H$168,K519))</x:f>
      </x:c>
      <x:c r="M519" t="str">
        <x:f>IF(K519="","",IF(L519=1,1,FIND(CHAR(1),SUBSTITUTE(INDEX($B$3:$B$168,K519),CHAR(10),CHAR(1),L519-1))+1))</x:f>
      </x:c>
      <x:c r="N519" t="str">
        <x:f>IF(K519="","",IFERROR(FIND(CHAR(1),SUBSTITUTE(INDEX($B$3:$B$168,K519),CHAR(10),CHAR(1),L519)),LEN(INDEX($B$3:$B$168,K519))+1))</x:f>
      </x:c>
    </x:row>
    <x:row r="520">
      <x:c r="A520"/>
      <x:c r="B520"/>
      <x:c r="C520"/>
      <x:c r="D520" t="str">
        <x:f>IFERROR(IF(518&lt;=$O$1,INDEX($A$3:$A$168,MATCH(518,$I$3:$I$168,0)),IF(518&lt;=$O$1+$O$2,INDEX($F$3:$F$1994,MATCH(518-$O$1,$G$3:$G$1994,0)),"")),"")</x:f>
      </x:c>
      <x:c r="E520" t="str">
        <x:f>IF(K520="","",IF(N520&lt;=M520,"",TRIM(CLEAN(MID(INDEX($B$3:$B$168,K520),M520,N520-M520)))))</x:f>
      </x:c>
      <x:c r="F520" t="str">
        <x:f>IF(E520="","",IF(E520=TRIM(INDEX($A$3:$A$168,K520)),"",IF(RIGHT(TRIM(INDEX($A$3:$A$168,K520)),1)="]",LEFT(TRIM(INDEX($A$3:$A$168,K520)),LEN(TRIM(INDEX($A$3:$A$168,K520)))-1)&amp;", "&amp;SUBSTITUTE(SUBSTITUTE(SUBSTITUTE(E520," [",", "),"[",", "),"]","")&amp;"]",TRIM(INDEX($A$3:$A$168,K520))&amp;" ["&amp;SUBSTITUTE(SUBSTITUTE(SUBSTITUTE(E520," [",", "),"[",", "),"]","")&amp;"]")))</x:f>
      </x:c>
      <x:c r="G520" t="str">
        <x:f>IF(F520&lt;&gt;"",ROWS($F$3:F520)-COUNTBLANK($F$3:F520),"")</x:f>
      </x:c>
      <x:c r="H520"/>
      <x:c r="I520"/>
      <x:c r="J520"/>
      <x:c r="K520" t="str">
        <x:f>IF(ROW()-ROW($K$2)&lt;=SUM($J$3:$J$168),COUNTIF($H$3:$H$168,"&lt;"&amp;(ROW()-ROW($K$2))),"")</x:f>
      </x:c>
      <x:c r="L520" t="str">
        <x:f>IF(K520="","",ROW()-ROW($L$2)-INDEX($H$3:$H$168,K520))</x:f>
      </x:c>
      <x:c r="M520" t="str">
        <x:f>IF(K520="","",IF(L520=1,1,FIND(CHAR(1),SUBSTITUTE(INDEX($B$3:$B$168,K520),CHAR(10),CHAR(1),L520-1))+1))</x:f>
      </x:c>
      <x:c r="N520" t="str">
        <x:f>IF(K520="","",IFERROR(FIND(CHAR(1),SUBSTITUTE(INDEX($B$3:$B$168,K520),CHAR(10),CHAR(1),L520)),LEN(INDEX($B$3:$B$168,K520))+1))</x:f>
      </x:c>
    </x:row>
    <x:row r="521">
      <x:c r="A521"/>
      <x:c r="B521"/>
      <x:c r="C521"/>
      <x:c r="D521" t="str">
        <x:f>IFERROR(IF(519&lt;=$O$1,INDEX($A$3:$A$168,MATCH(519,$I$3:$I$168,0)),IF(519&lt;=$O$1+$O$2,INDEX($F$3:$F$1994,MATCH(519-$O$1,$G$3:$G$1994,0)),"")),"")</x:f>
      </x:c>
      <x:c r="E521" t="str">
        <x:f>IF(K521="","",IF(N521&lt;=M521,"",TRIM(CLEAN(MID(INDEX($B$3:$B$168,K521),M521,N521-M521)))))</x:f>
      </x:c>
      <x:c r="F521" t="str">
        <x:f>IF(E521="","",IF(E521=TRIM(INDEX($A$3:$A$168,K521)),"",IF(RIGHT(TRIM(INDEX($A$3:$A$168,K521)),1)="]",LEFT(TRIM(INDEX($A$3:$A$168,K521)),LEN(TRIM(INDEX($A$3:$A$168,K521)))-1)&amp;", "&amp;SUBSTITUTE(SUBSTITUTE(SUBSTITUTE(E521," [",", "),"[",", "),"]","")&amp;"]",TRIM(INDEX($A$3:$A$168,K521))&amp;" ["&amp;SUBSTITUTE(SUBSTITUTE(SUBSTITUTE(E521," [",", "),"[",", "),"]","")&amp;"]")))</x:f>
      </x:c>
      <x:c r="G521" t="str">
        <x:f>IF(F521&lt;&gt;"",ROWS($F$3:F521)-COUNTBLANK($F$3:F521),"")</x:f>
      </x:c>
      <x:c r="H521"/>
      <x:c r="I521"/>
      <x:c r="J521"/>
      <x:c r="K521" t="str">
        <x:f>IF(ROW()-ROW($K$2)&lt;=SUM($J$3:$J$168),COUNTIF($H$3:$H$168,"&lt;"&amp;(ROW()-ROW($K$2))),"")</x:f>
      </x:c>
      <x:c r="L521" t="str">
        <x:f>IF(K521="","",ROW()-ROW($L$2)-INDEX($H$3:$H$168,K521))</x:f>
      </x:c>
      <x:c r="M521" t="str">
        <x:f>IF(K521="","",IF(L521=1,1,FIND(CHAR(1),SUBSTITUTE(INDEX($B$3:$B$168,K521),CHAR(10),CHAR(1),L521-1))+1))</x:f>
      </x:c>
      <x:c r="N521" t="str">
        <x:f>IF(K521="","",IFERROR(FIND(CHAR(1),SUBSTITUTE(INDEX($B$3:$B$168,K521),CHAR(10),CHAR(1),L521)),LEN(INDEX($B$3:$B$168,K521))+1))</x:f>
      </x:c>
    </x:row>
    <x:row r="522">
      <x:c r="A522"/>
      <x:c r="B522"/>
      <x:c r="C522"/>
      <x:c r="D522" t="str">
        <x:f>IFERROR(IF(520&lt;=$O$1,INDEX($A$3:$A$168,MATCH(520,$I$3:$I$168,0)),IF(520&lt;=$O$1+$O$2,INDEX($F$3:$F$1994,MATCH(520-$O$1,$G$3:$G$1994,0)),"")),"")</x:f>
      </x:c>
      <x:c r="E522" t="str">
        <x:f>IF(K522="","",IF(N522&lt;=M522,"",TRIM(CLEAN(MID(INDEX($B$3:$B$168,K522),M522,N522-M522)))))</x:f>
      </x:c>
      <x:c r="F522" t="str">
        <x:f>IF(E522="","",IF(E522=TRIM(INDEX($A$3:$A$168,K522)),"",IF(RIGHT(TRIM(INDEX($A$3:$A$168,K522)),1)="]",LEFT(TRIM(INDEX($A$3:$A$168,K522)),LEN(TRIM(INDEX($A$3:$A$168,K522)))-1)&amp;", "&amp;SUBSTITUTE(SUBSTITUTE(SUBSTITUTE(E522," [",", "),"[",", "),"]","")&amp;"]",TRIM(INDEX($A$3:$A$168,K522))&amp;" ["&amp;SUBSTITUTE(SUBSTITUTE(SUBSTITUTE(E522," [",", "),"[",", "),"]","")&amp;"]")))</x:f>
      </x:c>
      <x:c r="G522" t="str">
        <x:f>IF(F522&lt;&gt;"",ROWS($F$3:F522)-COUNTBLANK($F$3:F522),"")</x:f>
      </x:c>
      <x:c r="H522"/>
      <x:c r="I522"/>
      <x:c r="J522"/>
      <x:c r="K522" t="str">
        <x:f>IF(ROW()-ROW($K$2)&lt;=SUM($J$3:$J$168),COUNTIF($H$3:$H$168,"&lt;"&amp;(ROW()-ROW($K$2))),"")</x:f>
      </x:c>
      <x:c r="L522" t="str">
        <x:f>IF(K522="","",ROW()-ROW($L$2)-INDEX($H$3:$H$168,K522))</x:f>
      </x:c>
      <x:c r="M522" t="str">
        <x:f>IF(K522="","",IF(L522=1,1,FIND(CHAR(1),SUBSTITUTE(INDEX($B$3:$B$168,K522),CHAR(10),CHAR(1),L522-1))+1))</x:f>
      </x:c>
      <x:c r="N522" t="str">
        <x:f>IF(K522="","",IFERROR(FIND(CHAR(1),SUBSTITUTE(INDEX($B$3:$B$168,K522),CHAR(10),CHAR(1),L522)),LEN(INDEX($B$3:$B$168,K522))+1))</x:f>
      </x:c>
    </x:row>
    <x:row r="523">
      <x:c r="A523"/>
      <x:c r="B523"/>
      <x:c r="C523"/>
      <x:c r="D523" t="str">
        <x:f>IFERROR(IF(521&lt;=$O$1,INDEX($A$3:$A$168,MATCH(521,$I$3:$I$168,0)),IF(521&lt;=$O$1+$O$2,INDEX($F$3:$F$1994,MATCH(521-$O$1,$G$3:$G$1994,0)),"")),"")</x:f>
      </x:c>
      <x:c r="E523" t="str">
        <x:f>IF(K523="","",IF(N523&lt;=M523,"",TRIM(CLEAN(MID(INDEX($B$3:$B$168,K523),M523,N523-M523)))))</x:f>
      </x:c>
      <x:c r="F523" t="str">
        <x:f>IF(E523="","",IF(E523=TRIM(INDEX($A$3:$A$168,K523)),"",IF(RIGHT(TRIM(INDEX($A$3:$A$168,K523)),1)="]",LEFT(TRIM(INDEX($A$3:$A$168,K523)),LEN(TRIM(INDEX($A$3:$A$168,K523)))-1)&amp;", "&amp;SUBSTITUTE(SUBSTITUTE(SUBSTITUTE(E523," [",", "),"[",", "),"]","")&amp;"]",TRIM(INDEX($A$3:$A$168,K523))&amp;" ["&amp;SUBSTITUTE(SUBSTITUTE(SUBSTITUTE(E523," [",", "),"[",", "),"]","")&amp;"]")))</x:f>
      </x:c>
      <x:c r="G523" t="str">
        <x:f>IF(F523&lt;&gt;"",ROWS($F$3:F523)-COUNTBLANK($F$3:F523),"")</x:f>
      </x:c>
      <x:c r="H523"/>
      <x:c r="I523"/>
      <x:c r="J523"/>
      <x:c r="K523" t="str">
        <x:f>IF(ROW()-ROW($K$2)&lt;=SUM($J$3:$J$168),COUNTIF($H$3:$H$168,"&lt;"&amp;(ROW()-ROW($K$2))),"")</x:f>
      </x:c>
      <x:c r="L523" t="str">
        <x:f>IF(K523="","",ROW()-ROW($L$2)-INDEX($H$3:$H$168,K523))</x:f>
      </x:c>
      <x:c r="M523" t="str">
        <x:f>IF(K523="","",IF(L523=1,1,FIND(CHAR(1),SUBSTITUTE(INDEX($B$3:$B$168,K523),CHAR(10),CHAR(1),L523-1))+1))</x:f>
      </x:c>
      <x:c r="N523" t="str">
        <x:f>IF(K523="","",IFERROR(FIND(CHAR(1),SUBSTITUTE(INDEX($B$3:$B$168,K523),CHAR(10),CHAR(1),L523)),LEN(INDEX($B$3:$B$168,K523))+1))</x:f>
      </x:c>
    </x:row>
    <x:row r="524">
      <x:c r="A524"/>
      <x:c r="B524"/>
      <x:c r="C524"/>
      <x:c r="D524" t="str">
        <x:f>IFERROR(IF(522&lt;=$O$1,INDEX($A$3:$A$168,MATCH(522,$I$3:$I$168,0)),IF(522&lt;=$O$1+$O$2,INDEX($F$3:$F$1994,MATCH(522-$O$1,$G$3:$G$1994,0)),"")),"")</x:f>
      </x:c>
      <x:c r="E524" t="str">
        <x:f>IF(K524="","",IF(N524&lt;=M524,"",TRIM(CLEAN(MID(INDEX($B$3:$B$168,K524),M524,N524-M524)))))</x:f>
      </x:c>
      <x:c r="F524" t="str">
        <x:f>IF(E524="","",IF(E524=TRIM(INDEX($A$3:$A$168,K524)),"",IF(RIGHT(TRIM(INDEX($A$3:$A$168,K524)),1)="]",LEFT(TRIM(INDEX($A$3:$A$168,K524)),LEN(TRIM(INDEX($A$3:$A$168,K524)))-1)&amp;", "&amp;SUBSTITUTE(SUBSTITUTE(SUBSTITUTE(E524," [",", "),"[",", "),"]","")&amp;"]",TRIM(INDEX($A$3:$A$168,K524))&amp;" ["&amp;SUBSTITUTE(SUBSTITUTE(SUBSTITUTE(E524," [",", "),"[",", "),"]","")&amp;"]")))</x:f>
      </x:c>
      <x:c r="G524" t="str">
        <x:f>IF(F524&lt;&gt;"",ROWS($F$3:F524)-COUNTBLANK($F$3:F524),"")</x:f>
      </x:c>
      <x:c r="H524"/>
      <x:c r="I524"/>
      <x:c r="J524"/>
      <x:c r="K524" t="str">
        <x:f>IF(ROW()-ROW($K$2)&lt;=SUM($J$3:$J$168),COUNTIF($H$3:$H$168,"&lt;"&amp;(ROW()-ROW($K$2))),"")</x:f>
      </x:c>
      <x:c r="L524" t="str">
        <x:f>IF(K524="","",ROW()-ROW($L$2)-INDEX($H$3:$H$168,K524))</x:f>
      </x:c>
      <x:c r="M524" t="str">
        <x:f>IF(K524="","",IF(L524=1,1,FIND(CHAR(1),SUBSTITUTE(INDEX($B$3:$B$168,K524),CHAR(10),CHAR(1),L524-1))+1))</x:f>
      </x:c>
      <x:c r="N524" t="str">
        <x:f>IF(K524="","",IFERROR(FIND(CHAR(1),SUBSTITUTE(INDEX($B$3:$B$168,K524),CHAR(10),CHAR(1),L524)),LEN(INDEX($B$3:$B$168,K524))+1))</x:f>
      </x:c>
    </x:row>
    <x:row r="525">
      <x:c r="A525"/>
      <x:c r="B525"/>
      <x:c r="C525"/>
      <x:c r="D525" t="str">
        <x:f>IFERROR(IF(523&lt;=$O$1,INDEX($A$3:$A$168,MATCH(523,$I$3:$I$168,0)),IF(523&lt;=$O$1+$O$2,INDEX($F$3:$F$1994,MATCH(523-$O$1,$G$3:$G$1994,0)),"")),"")</x:f>
      </x:c>
      <x:c r="E525" t="str">
        <x:f>IF(K525="","",IF(N525&lt;=M525,"",TRIM(CLEAN(MID(INDEX($B$3:$B$168,K525),M525,N525-M525)))))</x:f>
      </x:c>
      <x:c r="F525" t="str">
        <x:f>IF(E525="","",IF(E525=TRIM(INDEX($A$3:$A$168,K525)),"",IF(RIGHT(TRIM(INDEX($A$3:$A$168,K525)),1)="]",LEFT(TRIM(INDEX($A$3:$A$168,K525)),LEN(TRIM(INDEX($A$3:$A$168,K525)))-1)&amp;", "&amp;SUBSTITUTE(SUBSTITUTE(SUBSTITUTE(E525," [",", "),"[",", "),"]","")&amp;"]",TRIM(INDEX($A$3:$A$168,K525))&amp;" ["&amp;SUBSTITUTE(SUBSTITUTE(SUBSTITUTE(E525," [",", "),"[",", "),"]","")&amp;"]")))</x:f>
      </x:c>
      <x:c r="G525" t="str">
        <x:f>IF(F525&lt;&gt;"",ROWS($F$3:F525)-COUNTBLANK($F$3:F525),"")</x:f>
      </x:c>
      <x:c r="H525"/>
      <x:c r="I525"/>
      <x:c r="J525"/>
      <x:c r="K525" t="str">
        <x:f>IF(ROW()-ROW($K$2)&lt;=SUM($J$3:$J$168),COUNTIF($H$3:$H$168,"&lt;"&amp;(ROW()-ROW($K$2))),"")</x:f>
      </x:c>
      <x:c r="L525" t="str">
        <x:f>IF(K525="","",ROW()-ROW($L$2)-INDEX($H$3:$H$168,K525))</x:f>
      </x:c>
      <x:c r="M525" t="str">
        <x:f>IF(K525="","",IF(L525=1,1,FIND(CHAR(1),SUBSTITUTE(INDEX($B$3:$B$168,K525),CHAR(10),CHAR(1),L525-1))+1))</x:f>
      </x:c>
      <x:c r="N525" t="str">
        <x:f>IF(K525="","",IFERROR(FIND(CHAR(1),SUBSTITUTE(INDEX($B$3:$B$168,K525),CHAR(10),CHAR(1),L525)),LEN(INDEX($B$3:$B$168,K525))+1))</x:f>
      </x:c>
    </x:row>
    <x:row r="526">
      <x:c r="A526"/>
      <x:c r="B526"/>
      <x:c r="C526"/>
      <x:c r="D526" t="str">
        <x:f>IFERROR(IF(524&lt;=$O$1,INDEX($A$3:$A$168,MATCH(524,$I$3:$I$168,0)),IF(524&lt;=$O$1+$O$2,INDEX($F$3:$F$1994,MATCH(524-$O$1,$G$3:$G$1994,0)),"")),"")</x:f>
      </x:c>
      <x:c r="E526" t="str">
        <x:f>IF(K526="","",IF(N526&lt;=M526,"",TRIM(CLEAN(MID(INDEX($B$3:$B$168,K526),M526,N526-M526)))))</x:f>
      </x:c>
      <x:c r="F526" t="str">
        <x:f>IF(E526="","",IF(E526=TRIM(INDEX($A$3:$A$168,K526)),"",IF(RIGHT(TRIM(INDEX($A$3:$A$168,K526)),1)="]",LEFT(TRIM(INDEX($A$3:$A$168,K526)),LEN(TRIM(INDEX($A$3:$A$168,K526)))-1)&amp;", "&amp;SUBSTITUTE(SUBSTITUTE(SUBSTITUTE(E526," [",", "),"[",", "),"]","")&amp;"]",TRIM(INDEX($A$3:$A$168,K526))&amp;" ["&amp;SUBSTITUTE(SUBSTITUTE(SUBSTITUTE(E526," [",", "),"[",", "),"]","")&amp;"]")))</x:f>
      </x:c>
      <x:c r="G526" t="str">
        <x:f>IF(F526&lt;&gt;"",ROWS($F$3:F526)-COUNTBLANK($F$3:F526),"")</x:f>
      </x:c>
      <x:c r="H526"/>
      <x:c r="I526"/>
      <x:c r="J526"/>
      <x:c r="K526" t="str">
        <x:f>IF(ROW()-ROW($K$2)&lt;=SUM($J$3:$J$168),COUNTIF($H$3:$H$168,"&lt;"&amp;(ROW()-ROW($K$2))),"")</x:f>
      </x:c>
      <x:c r="L526" t="str">
        <x:f>IF(K526="","",ROW()-ROW($L$2)-INDEX($H$3:$H$168,K526))</x:f>
      </x:c>
      <x:c r="M526" t="str">
        <x:f>IF(K526="","",IF(L526=1,1,FIND(CHAR(1),SUBSTITUTE(INDEX($B$3:$B$168,K526),CHAR(10),CHAR(1),L526-1))+1))</x:f>
      </x:c>
      <x:c r="N526" t="str">
        <x:f>IF(K526="","",IFERROR(FIND(CHAR(1),SUBSTITUTE(INDEX($B$3:$B$168,K526),CHAR(10),CHAR(1),L526)),LEN(INDEX($B$3:$B$168,K526))+1))</x:f>
      </x:c>
    </x:row>
    <x:row r="527">
      <x:c r="A527"/>
      <x:c r="B527"/>
      <x:c r="C527"/>
      <x:c r="D527" t="str">
        <x:f>IFERROR(IF(525&lt;=$O$1,INDEX($A$3:$A$168,MATCH(525,$I$3:$I$168,0)),IF(525&lt;=$O$1+$O$2,INDEX($F$3:$F$1994,MATCH(525-$O$1,$G$3:$G$1994,0)),"")),"")</x:f>
      </x:c>
      <x:c r="E527" t="str">
        <x:f>IF(K527="","",IF(N527&lt;=M527,"",TRIM(CLEAN(MID(INDEX($B$3:$B$168,K527),M527,N527-M527)))))</x:f>
      </x:c>
      <x:c r="F527" t="str">
        <x:f>IF(E527="","",IF(E527=TRIM(INDEX($A$3:$A$168,K527)),"",IF(RIGHT(TRIM(INDEX($A$3:$A$168,K527)),1)="]",LEFT(TRIM(INDEX($A$3:$A$168,K527)),LEN(TRIM(INDEX($A$3:$A$168,K527)))-1)&amp;", "&amp;SUBSTITUTE(SUBSTITUTE(SUBSTITUTE(E527," [",", "),"[",", "),"]","")&amp;"]",TRIM(INDEX($A$3:$A$168,K527))&amp;" ["&amp;SUBSTITUTE(SUBSTITUTE(SUBSTITUTE(E527," [",", "),"[",", "),"]","")&amp;"]")))</x:f>
      </x:c>
      <x:c r="G527" t="str">
        <x:f>IF(F527&lt;&gt;"",ROWS($F$3:F527)-COUNTBLANK($F$3:F527),"")</x:f>
      </x:c>
      <x:c r="H527"/>
      <x:c r="I527"/>
      <x:c r="J527"/>
      <x:c r="K527" t="str">
        <x:f>IF(ROW()-ROW($K$2)&lt;=SUM($J$3:$J$168),COUNTIF($H$3:$H$168,"&lt;"&amp;(ROW()-ROW($K$2))),"")</x:f>
      </x:c>
      <x:c r="L527" t="str">
        <x:f>IF(K527="","",ROW()-ROW($L$2)-INDEX($H$3:$H$168,K527))</x:f>
      </x:c>
      <x:c r="M527" t="str">
        <x:f>IF(K527="","",IF(L527=1,1,FIND(CHAR(1),SUBSTITUTE(INDEX($B$3:$B$168,K527),CHAR(10),CHAR(1),L527-1))+1))</x:f>
      </x:c>
      <x:c r="N527" t="str">
        <x:f>IF(K527="","",IFERROR(FIND(CHAR(1),SUBSTITUTE(INDEX($B$3:$B$168,K527),CHAR(10),CHAR(1),L527)),LEN(INDEX($B$3:$B$168,K527))+1))</x:f>
      </x:c>
    </x:row>
    <x:row r="528">
      <x:c r="A528"/>
      <x:c r="B528"/>
      <x:c r="C528"/>
      <x:c r="D528" t="str">
        <x:f>IFERROR(IF(526&lt;=$O$1,INDEX($A$3:$A$168,MATCH(526,$I$3:$I$168,0)),IF(526&lt;=$O$1+$O$2,INDEX($F$3:$F$1994,MATCH(526-$O$1,$G$3:$G$1994,0)),"")),"")</x:f>
      </x:c>
      <x:c r="E528" t="str">
        <x:f>IF(K528="","",IF(N528&lt;=M528,"",TRIM(CLEAN(MID(INDEX($B$3:$B$168,K528),M528,N528-M528)))))</x:f>
      </x:c>
      <x:c r="F528" t="str">
        <x:f>IF(E528="","",IF(E528=TRIM(INDEX($A$3:$A$168,K528)),"",IF(RIGHT(TRIM(INDEX($A$3:$A$168,K528)),1)="]",LEFT(TRIM(INDEX($A$3:$A$168,K528)),LEN(TRIM(INDEX($A$3:$A$168,K528)))-1)&amp;", "&amp;SUBSTITUTE(SUBSTITUTE(SUBSTITUTE(E528," [",", "),"[",", "),"]","")&amp;"]",TRIM(INDEX($A$3:$A$168,K528))&amp;" ["&amp;SUBSTITUTE(SUBSTITUTE(SUBSTITUTE(E528," [",", "),"[",", "),"]","")&amp;"]")))</x:f>
      </x:c>
      <x:c r="G528" t="str">
        <x:f>IF(F528&lt;&gt;"",ROWS($F$3:F528)-COUNTBLANK($F$3:F528),"")</x:f>
      </x:c>
      <x:c r="H528"/>
      <x:c r="I528"/>
      <x:c r="J528"/>
      <x:c r="K528" t="str">
        <x:f>IF(ROW()-ROW($K$2)&lt;=SUM($J$3:$J$168),COUNTIF($H$3:$H$168,"&lt;"&amp;(ROW()-ROW($K$2))),"")</x:f>
      </x:c>
      <x:c r="L528" t="str">
        <x:f>IF(K528="","",ROW()-ROW($L$2)-INDEX($H$3:$H$168,K528))</x:f>
      </x:c>
      <x:c r="M528" t="str">
        <x:f>IF(K528="","",IF(L528=1,1,FIND(CHAR(1),SUBSTITUTE(INDEX($B$3:$B$168,K528),CHAR(10),CHAR(1),L528-1))+1))</x:f>
      </x:c>
      <x:c r="N528" t="str">
        <x:f>IF(K528="","",IFERROR(FIND(CHAR(1),SUBSTITUTE(INDEX($B$3:$B$168,K528),CHAR(10),CHAR(1),L528)),LEN(INDEX($B$3:$B$168,K528))+1))</x:f>
      </x:c>
    </x:row>
    <x:row r="529">
      <x:c r="A529"/>
      <x:c r="B529"/>
      <x:c r="C529"/>
      <x:c r="D529" t="str">
        <x:f>IFERROR(IF(527&lt;=$O$1,INDEX($A$3:$A$168,MATCH(527,$I$3:$I$168,0)),IF(527&lt;=$O$1+$O$2,INDEX($F$3:$F$1994,MATCH(527-$O$1,$G$3:$G$1994,0)),"")),"")</x:f>
      </x:c>
      <x:c r="E529" t="str">
        <x:f>IF(K529="","",IF(N529&lt;=M529,"",TRIM(CLEAN(MID(INDEX($B$3:$B$168,K529),M529,N529-M529)))))</x:f>
      </x:c>
      <x:c r="F529" t="str">
        <x:f>IF(E529="","",IF(E529=TRIM(INDEX($A$3:$A$168,K529)),"",IF(RIGHT(TRIM(INDEX($A$3:$A$168,K529)),1)="]",LEFT(TRIM(INDEX($A$3:$A$168,K529)),LEN(TRIM(INDEX($A$3:$A$168,K529)))-1)&amp;", "&amp;SUBSTITUTE(SUBSTITUTE(SUBSTITUTE(E529," [",", "),"[",", "),"]","")&amp;"]",TRIM(INDEX($A$3:$A$168,K529))&amp;" ["&amp;SUBSTITUTE(SUBSTITUTE(SUBSTITUTE(E529," [",", "),"[",", "),"]","")&amp;"]")))</x:f>
      </x:c>
      <x:c r="G529" t="str">
        <x:f>IF(F529&lt;&gt;"",ROWS($F$3:F529)-COUNTBLANK($F$3:F529),"")</x:f>
      </x:c>
      <x:c r="H529"/>
      <x:c r="I529"/>
      <x:c r="J529"/>
      <x:c r="K529" t="str">
        <x:f>IF(ROW()-ROW($K$2)&lt;=SUM($J$3:$J$168),COUNTIF($H$3:$H$168,"&lt;"&amp;(ROW()-ROW($K$2))),"")</x:f>
      </x:c>
      <x:c r="L529" t="str">
        <x:f>IF(K529="","",ROW()-ROW($L$2)-INDEX($H$3:$H$168,K529))</x:f>
      </x:c>
      <x:c r="M529" t="str">
        <x:f>IF(K529="","",IF(L529=1,1,FIND(CHAR(1),SUBSTITUTE(INDEX($B$3:$B$168,K529),CHAR(10),CHAR(1),L529-1))+1))</x:f>
      </x:c>
      <x:c r="N529" t="str">
        <x:f>IF(K529="","",IFERROR(FIND(CHAR(1),SUBSTITUTE(INDEX($B$3:$B$168,K529),CHAR(10),CHAR(1),L529)),LEN(INDEX($B$3:$B$168,K529))+1))</x:f>
      </x:c>
    </x:row>
    <x:row r="530">
      <x:c r="A530"/>
      <x:c r="B530"/>
      <x:c r="C530"/>
      <x:c r="D530" t="str">
        <x:f>IFERROR(IF(528&lt;=$O$1,INDEX($A$3:$A$168,MATCH(528,$I$3:$I$168,0)),IF(528&lt;=$O$1+$O$2,INDEX($F$3:$F$1994,MATCH(528-$O$1,$G$3:$G$1994,0)),"")),"")</x:f>
      </x:c>
      <x:c r="E530" t="str">
        <x:f>IF(K530="","",IF(N530&lt;=M530,"",TRIM(CLEAN(MID(INDEX($B$3:$B$168,K530),M530,N530-M530)))))</x:f>
      </x:c>
      <x:c r="F530" t="str">
        <x:f>IF(E530="","",IF(E530=TRIM(INDEX($A$3:$A$168,K530)),"",IF(RIGHT(TRIM(INDEX($A$3:$A$168,K530)),1)="]",LEFT(TRIM(INDEX($A$3:$A$168,K530)),LEN(TRIM(INDEX($A$3:$A$168,K530)))-1)&amp;", "&amp;SUBSTITUTE(SUBSTITUTE(SUBSTITUTE(E530," [",", "),"[",", "),"]","")&amp;"]",TRIM(INDEX($A$3:$A$168,K530))&amp;" ["&amp;SUBSTITUTE(SUBSTITUTE(SUBSTITUTE(E530," [",", "),"[",", "),"]","")&amp;"]")))</x:f>
      </x:c>
      <x:c r="G530" t="str">
        <x:f>IF(F530&lt;&gt;"",ROWS($F$3:F530)-COUNTBLANK($F$3:F530),"")</x:f>
      </x:c>
      <x:c r="H530"/>
      <x:c r="I530"/>
      <x:c r="J530"/>
      <x:c r="K530" t="str">
        <x:f>IF(ROW()-ROW($K$2)&lt;=SUM($J$3:$J$168),COUNTIF($H$3:$H$168,"&lt;"&amp;(ROW()-ROW($K$2))),"")</x:f>
      </x:c>
      <x:c r="L530" t="str">
        <x:f>IF(K530="","",ROW()-ROW($L$2)-INDEX($H$3:$H$168,K530))</x:f>
      </x:c>
      <x:c r="M530" t="str">
        <x:f>IF(K530="","",IF(L530=1,1,FIND(CHAR(1),SUBSTITUTE(INDEX($B$3:$B$168,K530),CHAR(10),CHAR(1),L530-1))+1))</x:f>
      </x:c>
      <x:c r="N530" t="str">
        <x:f>IF(K530="","",IFERROR(FIND(CHAR(1),SUBSTITUTE(INDEX($B$3:$B$168,K530),CHAR(10),CHAR(1),L530)),LEN(INDEX($B$3:$B$168,K530))+1))</x:f>
      </x:c>
    </x:row>
    <x:row r="531">
      <x:c r="A531"/>
      <x:c r="B531"/>
      <x:c r="C531"/>
      <x:c r="D531" t="str">
        <x:f>IFERROR(IF(529&lt;=$O$1,INDEX($A$3:$A$168,MATCH(529,$I$3:$I$168,0)),IF(529&lt;=$O$1+$O$2,INDEX($F$3:$F$1994,MATCH(529-$O$1,$G$3:$G$1994,0)),"")),"")</x:f>
      </x:c>
      <x:c r="E531" t="str">
        <x:f>IF(K531="","",IF(N531&lt;=M531,"",TRIM(CLEAN(MID(INDEX($B$3:$B$168,K531),M531,N531-M531)))))</x:f>
      </x:c>
      <x:c r="F531" t="str">
        <x:f>IF(E531="","",IF(E531=TRIM(INDEX($A$3:$A$168,K531)),"",IF(RIGHT(TRIM(INDEX($A$3:$A$168,K531)),1)="]",LEFT(TRIM(INDEX($A$3:$A$168,K531)),LEN(TRIM(INDEX($A$3:$A$168,K531)))-1)&amp;", "&amp;SUBSTITUTE(SUBSTITUTE(SUBSTITUTE(E531," [",", "),"[",", "),"]","")&amp;"]",TRIM(INDEX($A$3:$A$168,K531))&amp;" ["&amp;SUBSTITUTE(SUBSTITUTE(SUBSTITUTE(E531," [",", "),"[",", "),"]","")&amp;"]")))</x:f>
      </x:c>
      <x:c r="G531" t="str">
        <x:f>IF(F531&lt;&gt;"",ROWS($F$3:F531)-COUNTBLANK($F$3:F531),"")</x:f>
      </x:c>
      <x:c r="H531"/>
      <x:c r="I531"/>
      <x:c r="J531"/>
      <x:c r="K531" t="str">
        <x:f>IF(ROW()-ROW($K$2)&lt;=SUM($J$3:$J$168),COUNTIF($H$3:$H$168,"&lt;"&amp;(ROW()-ROW($K$2))),"")</x:f>
      </x:c>
      <x:c r="L531" t="str">
        <x:f>IF(K531="","",ROW()-ROW($L$2)-INDEX($H$3:$H$168,K531))</x:f>
      </x:c>
      <x:c r="M531" t="str">
        <x:f>IF(K531="","",IF(L531=1,1,FIND(CHAR(1),SUBSTITUTE(INDEX($B$3:$B$168,K531),CHAR(10),CHAR(1),L531-1))+1))</x:f>
      </x:c>
      <x:c r="N531" t="str">
        <x:f>IF(K531="","",IFERROR(FIND(CHAR(1),SUBSTITUTE(INDEX($B$3:$B$168,K531),CHAR(10),CHAR(1),L531)),LEN(INDEX($B$3:$B$168,K531))+1))</x:f>
      </x:c>
    </x:row>
    <x:row r="532">
      <x:c r="A532"/>
      <x:c r="B532"/>
      <x:c r="C532"/>
      <x:c r="D532" t="str">
        <x:f>IFERROR(IF(530&lt;=$O$1,INDEX($A$3:$A$168,MATCH(530,$I$3:$I$168,0)),IF(530&lt;=$O$1+$O$2,INDEX($F$3:$F$1994,MATCH(530-$O$1,$G$3:$G$1994,0)),"")),"")</x:f>
      </x:c>
      <x:c r="E532" t="str">
        <x:f>IF(K532="","",IF(N532&lt;=M532,"",TRIM(CLEAN(MID(INDEX($B$3:$B$168,K532),M532,N532-M532)))))</x:f>
      </x:c>
      <x:c r="F532" t="str">
        <x:f>IF(E532="","",IF(E532=TRIM(INDEX($A$3:$A$168,K532)),"",IF(RIGHT(TRIM(INDEX($A$3:$A$168,K532)),1)="]",LEFT(TRIM(INDEX($A$3:$A$168,K532)),LEN(TRIM(INDEX($A$3:$A$168,K532)))-1)&amp;", "&amp;SUBSTITUTE(SUBSTITUTE(SUBSTITUTE(E532," [",", "),"[",", "),"]","")&amp;"]",TRIM(INDEX($A$3:$A$168,K532))&amp;" ["&amp;SUBSTITUTE(SUBSTITUTE(SUBSTITUTE(E532," [",", "),"[",", "),"]","")&amp;"]")))</x:f>
      </x:c>
      <x:c r="G532" t="str">
        <x:f>IF(F532&lt;&gt;"",ROWS($F$3:F532)-COUNTBLANK($F$3:F532),"")</x:f>
      </x:c>
      <x:c r="H532"/>
      <x:c r="I532"/>
      <x:c r="J532"/>
      <x:c r="K532" t="str">
        <x:f>IF(ROW()-ROW($K$2)&lt;=SUM($J$3:$J$168),COUNTIF($H$3:$H$168,"&lt;"&amp;(ROW()-ROW($K$2))),"")</x:f>
      </x:c>
      <x:c r="L532" t="str">
        <x:f>IF(K532="","",ROW()-ROW($L$2)-INDEX($H$3:$H$168,K532))</x:f>
      </x:c>
      <x:c r="M532" t="str">
        <x:f>IF(K532="","",IF(L532=1,1,FIND(CHAR(1),SUBSTITUTE(INDEX($B$3:$B$168,K532),CHAR(10),CHAR(1),L532-1))+1))</x:f>
      </x:c>
      <x:c r="N532" t="str">
        <x:f>IF(K532="","",IFERROR(FIND(CHAR(1),SUBSTITUTE(INDEX($B$3:$B$168,K532),CHAR(10),CHAR(1),L532)),LEN(INDEX($B$3:$B$168,K532))+1))</x:f>
      </x:c>
    </x:row>
    <x:row r="533">
      <x:c r="A533"/>
      <x:c r="B533"/>
      <x:c r="C533"/>
      <x:c r="D533" t="str">
        <x:f>IFERROR(IF(531&lt;=$O$1,INDEX($A$3:$A$168,MATCH(531,$I$3:$I$168,0)),IF(531&lt;=$O$1+$O$2,INDEX($F$3:$F$1994,MATCH(531-$O$1,$G$3:$G$1994,0)),"")),"")</x:f>
      </x:c>
      <x:c r="E533" t="str">
        <x:f>IF(K533="","",IF(N533&lt;=M533,"",TRIM(CLEAN(MID(INDEX($B$3:$B$168,K533),M533,N533-M533)))))</x:f>
      </x:c>
      <x:c r="F533" t="str">
        <x:f>IF(E533="","",IF(E533=TRIM(INDEX($A$3:$A$168,K533)),"",IF(RIGHT(TRIM(INDEX($A$3:$A$168,K533)),1)="]",LEFT(TRIM(INDEX($A$3:$A$168,K533)),LEN(TRIM(INDEX($A$3:$A$168,K533)))-1)&amp;", "&amp;SUBSTITUTE(SUBSTITUTE(SUBSTITUTE(E533," [",", "),"[",", "),"]","")&amp;"]",TRIM(INDEX($A$3:$A$168,K533))&amp;" ["&amp;SUBSTITUTE(SUBSTITUTE(SUBSTITUTE(E533," [",", "),"[",", "),"]","")&amp;"]")))</x:f>
      </x:c>
      <x:c r="G533" t="str">
        <x:f>IF(F533&lt;&gt;"",ROWS($F$3:F533)-COUNTBLANK($F$3:F533),"")</x:f>
      </x:c>
      <x:c r="H533"/>
      <x:c r="I533"/>
      <x:c r="J533"/>
      <x:c r="K533" t="str">
        <x:f>IF(ROW()-ROW($K$2)&lt;=SUM($J$3:$J$168),COUNTIF($H$3:$H$168,"&lt;"&amp;(ROW()-ROW($K$2))),"")</x:f>
      </x:c>
      <x:c r="L533" t="str">
        <x:f>IF(K533="","",ROW()-ROW($L$2)-INDEX($H$3:$H$168,K533))</x:f>
      </x:c>
      <x:c r="M533" t="str">
        <x:f>IF(K533="","",IF(L533=1,1,FIND(CHAR(1),SUBSTITUTE(INDEX($B$3:$B$168,K533),CHAR(10),CHAR(1),L533-1))+1))</x:f>
      </x:c>
      <x:c r="N533" t="str">
        <x:f>IF(K533="","",IFERROR(FIND(CHAR(1),SUBSTITUTE(INDEX($B$3:$B$168,K533),CHAR(10),CHAR(1),L533)),LEN(INDEX($B$3:$B$168,K533))+1))</x:f>
      </x:c>
    </x:row>
    <x:row r="534">
      <x:c r="A534"/>
      <x:c r="B534"/>
      <x:c r="C534"/>
      <x:c r="D534" t="str">
        <x:f>IFERROR(IF(532&lt;=$O$1,INDEX($A$3:$A$168,MATCH(532,$I$3:$I$168,0)),IF(532&lt;=$O$1+$O$2,INDEX($F$3:$F$1994,MATCH(532-$O$1,$G$3:$G$1994,0)),"")),"")</x:f>
      </x:c>
      <x:c r="E534" t="str">
        <x:f>IF(K534="","",IF(N534&lt;=M534,"",TRIM(CLEAN(MID(INDEX($B$3:$B$168,K534),M534,N534-M534)))))</x:f>
      </x:c>
      <x:c r="F534" t="str">
        <x:f>IF(E534="","",IF(E534=TRIM(INDEX($A$3:$A$168,K534)),"",IF(RIGHT(TRIM(INDEX($A$3:$A$168,K534)),1)="]",LEFT(TRIM(INDEX($A$3:$A$168,K534)),LEN(TRIM(INDEX($A$3:$A$168,K534)))-1)&amp;", "&amp;SUBSTITUTE(SUBSTITUTE(SUBSTITUTE(E534," [",", "),"[",", "),"]","")&amp;"]",TRIM(INDEX($A$3:$A$168,K534))&amp;" ["&amp;SUBSTITUTE(SUBSTITUTE(SUBSTITUTE(E534," [",", "),"[",", "),"]","")&amp;"]")))</x:f>
      </x:c>
      <x:c r="G534" t="str">
        <x:f>IF(F534&lt;&gt;"",ROWS($F$3:F534)-COUNTBLANK($F$3:F534),"")</x:f>
      </x:c>
      <x:c r="H534"/>
      <x:c r="I534"/>
      <x:c r="J534"/>
      <x:c r="K534" t="str">
        <x:f>IF(ROW()-ROW($K$2)&lt;=SUM($J$3:$J$168),COUNTIF($H$3:$H$168,"&lt;"&amp;(ROW()-ROW($K$2))),"")</x:f>
      </x:c>
      <x:c r="L534" t="str">
        <x:f>IF(K534="","",ROW()-ROW($L$2)-INDEX($H$3:$H$168,K534))</x:f>
      </x:c>
      <x:c r="M534" t="str">
        <x:f>IF(K534="","",IF(L534=1,1,FIND(CHAR(1),SUBSTITUTE(INDEX($B$3:$B$168,K534),CHAR(10),CHAR(1),L534-1))+1))</x:f>
      </x:c>
      <x:c r="N534" t="str">
        <x:f>IF(K534="","",IFERROR(FIND(CHAR(1),SUBSTITUTE(INDEX($B$3:$B$168,K534),CHAR(10),CHAR(1),L534)),LEN(INDEX($B$3:$B$168,K534))+1))</x:f>
      </x:c>
    </x:row>
    <x:row r="535">
      <x:c r="A535"/>
      <x:c r="B535"/>
      <x:c r="C535"/>
      <x:c r="D535" t="str">
        <x:f>IFERROR(IF(533&lt;=$O$1,INDEX($A$3:$A$168,MATCH(533,$I$3:$I$168,0)),IF(533&lt;=$O$1+$O$2,INDEX($F$3:$F$1994,MATCH(533-$O$1,$G$3:$G$1994,0)),"")),"")</x:f>
      </x:c>
      <x:c r="E535" t="str">
        <x:f>IF(K535="","",IF(N535&lt;=M535,"",TRIM(CLEAN(MID(INDEX($B$3:$B$168,K535),M535,N535-M535)))))</x:f>
      </x:c>
      <x:c r="F535" t="str">
        <x:f>IF(E535="","",IF(E535=TRIM(INDEX($A$3:$A$168,K535)),"",IF(RIGHT(TRIM(INDEX($A$3:$A$168,K535)),1)="]",LEFT(TRIM(INDEX($A$3:$A$168,K535)),LEN(TRIM(INDEX($A$3:$A$168,K535)))-1)&amp;", "&amp;SUBSTITUTE(SUBSTITUTE(SUBSTITUTE(E535," [",", "),"[",", "),"]","")&amp;"]",TRIM(INDEX($A$3:$A$168,K535))&amp;" ["&amp;SUBSTITUTE(SUBSTITUTE(SUBSTITUTE(E535," [",", "),"[",", "),"]","")&amp;"]")))</x:f>
      </x:c>
      <x:c r="G535" t="str">
        <x:f>IF(F535&lt;&gt;"",ROWS($F$3:F535)-COUNTBLANK($F$3:F535),"")</x:f>
      </x:c>
      <x:c r="H535"/>
      <x:c r="I535"/>
      <x:c r="J535"/>
      <x:c r="K535" t="str">
        <x:f>IF(ROW()-ROW($K$2)&lt;=SUM($J$3:$J$168),COUNTIF($H$3:$H$168,"&lt;"&amp;(ROW()-ROW($K$2))),"")</x:f>
      </x:c>
      <x:c r="L535" t="str">
        <x:f>IF(K535="","",ROW()-ROW($L$2)-INDEX($H$3:$H$168,K535))</x:f>
      </x:c>
      <x:c r="M535" t="str">
        <x:f>IF(K535="","",IF(L535=1,1,FIND(CHAR(1),SUBSTITUTE(INDEX($B$3:$B$168,K535),CHAR(10),CHAR(1),L535-1))+1))</x:f>
      </x:c>
      <x:c r="N535" t="str">
        <x:f>IF(K535="","",IFERROR(FIND(CHAR(1),SUBSTITUTE(INDEX($B$3:$B$168,K535),CHAR(10),CHAR(1),L535)),LEN(INDEX($B$3:$B$168,K535))+1))</x:f>
      </x:c>
    </x:row>
    <x:row r="536">
      <x:c r="A536"/>
      <x:c r="B536"/>
      <x:c r="C536"/>
      <x:c r="D536" t="str">
        <x:f>IFERROR(IF(534&lt;=$O$1,INDEX($A$3:$A$168,MATCH(534,$I$3:$I$168,0)),IF(534&lt;=$O$1+$O$2,INDEX($F$3:$F$1994,MATCH(534-$O$1,$G$3:$G$1994,0)),"")),"")</x:f>
      </x:c>
      <x:c r="E536" t="str">
        <x:f>IF(K536="","",IF(N536&lt;=M536,"",TRIM(CLEAN(MID(INDEX($B$3:$B$168,K536),M536,N536-M536)))))</x:f>
      </x:c>
      <x:c r="F536" t="str">
        <x:f>IF(E536="","",IF(E536=TRIM(INDEX($A$3:$A$168,K536)),"",IF(RIGHT(TRIM(INDEX($A$3:$A$168,K536)),1)="]",LEFT(TRIM(INDEX($A$3:$A$168,K536)),LEN(TRIM(INDEX($A$3:$A$168,K536)))-1)&amp;", "&amp;SUBSTITUTE(SUBSTITUTE(SUBSTITUTE(E536," [",", "),"[",", "),"]","")&amp;"]",TRIM(INDEX($A$3:$A$168,K536))&amp;" ["&amp;SUBSTITUTE(SUBSTITUTE(SUBSTITUTE(E536," [",", "),"[",", "),"]","")&amp;"]")))</x:f>
      </x:c>
      <x:c r="G536" t="str">
        <x:f>IF(F536&lt;&gt;"",ROWS($F$3:F536)-COUNTBLANK($F$3:F536),"")</x:f>
      </x:c>
      <x:c r="H536"/>
      <x:c r="I536"/>
      <x:c r="J536"/>
      <x:c r="K536" t="str">
        <x:f>IF(ROW()-ROW($K$2)&lt;=SUM($J$3:$J$168),COUNTIF($H$3:$H$168,"&lt;"&amp;(ROW()-ROW($K$2))),"")</x:f>
      </x:c>
      <x:c r="L536" t="str">
        <x:f>IF(K536="","",ROW()-ROW($L$2)-INDEX($H$3:$H$168,K536))</x:f>
      </x:c>
      <x:c r="M536" t="str">
        <x:f>IF(K536="","",IF(L536=1,1,FIND(CHAR(1),SUBSTITUTE(INDEX($B$3:$B$168,K536),CHAR(10),CHAR(1),L536-1))+1))</x:f>
      </x:c>
      <x:c r="N536" t="str">
        <x:f>IF(K536="","",IFERROR(FIND(CHAR(1),SUBSTITUTE(INDEX($B$3:$B$168,K536),CHAR(10),CHAR(1),L536)),LEN(INDEX($B$3:$B$168,K536))+1))</x:f>
      </x:c>
    </x:row>
    <x:row r="537">
      <x:c r="A537"/>
      <x:c r="B537"/>
      <x:c r="C537"/>
      <x:c r="D537" t="str">
        <x:f>IFERROR(IF(535&lt;=$O$1,INDEX($A$3:$A$168,MATCH(535,$I$3:$I$168,0)),IF(535&lt;=$O$1+$O$2,INDEX($F$3:$F$1994,MATCH(535-$O$1,$G$3:$G$1994,0)),"")),"")</x:f>
      </x:c>
      <x:c r="E537" t="str">
        <x:f>IF(K537="","",IF(N537&lt;=M537,"",TRIM(CLEAN(MID(INDEX($B$3:$B$168,K537),M537,N537-M537)))))</x:f>
      </x:c>
      <x:c r="F537" t="str">
        <x:f>IF(E537="","",IF(E537=TRIM(INDEX($A$3:$A$168,K537)),"",IF(RIGHT(TRIM(INDEX($A$3:$A$168,K537)),1)="]",LEFT(TRIM(INDEX($A$3:$A$168,K537)),LEN(TRIM(INDEX($A$3:$A$168,K537)))-1)&amp;", "&amp;SUBSTITUTE(SUBSTITUTE(SUBSTITUTE(E537," [",", "),"[",", "),"]","")&amp;"]",TRIM(INDEX($A$3:$A$168,K537))&amp;" ["&amp;SUBSTITUTE(SUBSTITUTE(SUBSTITUTE(E537," [",", "),"[",", "),"]","")&amp;"]")))</x:f>
      </x:c>
      <x:c r="G537" t="str">
        <x:f>IF(F537&lt;&gt;"",ROWS($F$3:F537)-COUNTBLANK($F$3:F537),"")</x:f>
      </x:c>
      <x:c r="H537"/>
      <x:c r="I537"/>
      <x:c r="J537"/>
      <x:c r="K537" t="str">
        <x:f>IF(ROW()-ROW($K$2)&lt;=SUM($J$3:$J$168),COUNTIF($H$3:$H$168,"&lt;"&amp;(ROW()-ROW($K$2))),"")</x:f>
      </x:c>
      <x:c r="L537" t="str">
        <x:f>IF(K537="","",ROW()-ROW($L$2)-INDEX($H$3:$H$168,K537))</x:f>
      </x:c>
      <x:c r="M537" t="str">
        <x:f>IF(K537="","",IF(L537=1,1,FIND(CHAR(1),SUBSTITUTE(INDEX($B$3:$B$168,K537),CHAR(10),CHAR(1),L537-1))+1))</x:f>
      </x:c>
      <x:c r="N537" t="str">
        <x:f>IF(K537="","",IFERROR(FIND(CHAR(1),SUBSTITUTE(INDEX($B$3:$B$168,K537),CHAR(10),CHAR(1),L537)),LEN(INDEX($B$3:$B$168,K537))+1))</x:f>
      </x:c>
    </x:row>
    <x:row r="538">
      <x:c r="A538"/>
      <x:c r="B538"/>
      <x:c r="C538"/>
      <x:c r="D538" t="str">
        <x:f>IFERROR(IF(536&lt;=$O$1,INDEX($A$3:$A$168,MATCH(536,$I$3:$I$168,0)),IF(536&lt;=$O$1+$O$2,INDEX($F$3:$F$1994,MATCH(536-$O$1,$G$3:$G$1994,0)),"")),"")</x:f>
      </x:c>
      <x:c r="E538" t="str">
        <x:f>IF(K538="","",IF(N538&lt;=M538,"",TRIM(CLEAN(MID(INDEX($B$3:$B$168,K538),M538,N538-M538)))))</x:f>
      </x:c>
      <x:c r="F538" t="str">
        <x:f>IF(E538="","",IF(E538=TRIM(INDEX($A$3:$A$168,K538)),"",IF(RIGHT(TRIM(INDEX($A$3:$A$168,K538)),1)="]",LEFT(TRIM(INDEX($A$3:$A$168,K538)),LEN(TRIM(INDEX($A$3:$A$168,K538)))-1)&amp;", "&amp;SUBSTITUTE(SUBSTITUTE(SUBSTITUTE(E538," [",", "),"[",", "),"]","")&amp;"]",TRIM(INDEX($A$3:$A$168,K538))&amp;" ["&amp;SUBSTITUTE(SUBSTITUTE(SUBSTITUTE(E538," [",", "),"[",", "),"]","")&amp;"]")))</x:f>
      </x:c>
      <x:c r="G538" t="str">
        <x:f>IF(F538&lt;&gt;"",ROWS($F$3:F538)-COUNTBLANK($F$3:F538),"")</x:f>
      </x:c>
      <x:c r="H538"/>
      <x:c r="I538"/>
      <x:c r="J538"/>
      <x:c r="K538" t="str">
        <x:f>IF(ROW()-ROW($K$2)&lt;=SUM($J$3:$J$168),COUNTIF($H$3:$H$168,"&lt;"&amp;(ROW()-ROW($K$2))),"")</x:f>
      </x:c>
      <x:c r="L538" t="str">
        <x:f>IF(K538="","",ROW()-ROW($L$2)-INDEX($H$3:$H$168,K538))</x:f>
      </x:c>
      <x:c r="M538" t="str">
        <x:f>IF(K538="","",IF(L538=1,1,FIND(CHAR(1),SUBSTITUTE(INDEX($B$3:$B$168,K538),CHAR(10),CHAR(1),L538-1))+1))</x:f>
      </x:c>
      <x:c r="N538" t="str">
        <x:f>IF(K538="","",IFERROR(FIND(CHAR(1),SUBSTITUTE(INDEX($B$3:$B$168,K538),CHAR(10),CHAR(1),L538)),LEN(INDEX($B$3:$B$168,K538))+1))</x:f>
      </x:c>
    </x:row>
    <x:row r="539">
      <x:c r="A539"/>
      <x:c r="B539"/>
      <x:c r="C539"/>
      <x:c r="D539" t="str">
        <x:f>IFERROR(IF(537&lt;=$O$1,INDEX($A$3:$A$168,MATCH(537,$I$3:$I$168,0)),IF(537&lt;=$O$1+$O$2,INDEX($F$3:$F$1994,MATCH(537-$O$1,$G$3:$G$1994,0)),"")),"")</x:f>
      </x:c>
      <x:c r="E539" t="str">
        <x:f>IF(K539="","",IF(N539&lt;=M539,"",TRIM(CLEAN(MID(INDEX($B$3:$B$168,K539),M539,N539-M539)))))</x:f>
      </x:c>
      <x:c r="F539" t="str">
        <x:f>IF(E539="","",IF(E539=TRIM(INDEX($A$3:$A$168,K539)),"",IF(RIGHT(TRIM(INDEX($A$3:$A$168,K539)),1)="]",LEFT(TRIM(INDEX($A$3:$A$168,K539)),LEN(TRIM(INDEX($A$3:$A$168,K539)))-1)&amp;", "&amp;SUBSTITUTE(SUBSTITUTE(SUBSTITUTE(E539," [",", "),"[",", "),"]","")&amp;"]",TRIM(INDEX($A$3:$A$168,K539))&amp;" ["&amp;SUBSTITUTE(SUBSTITUTE(SUBSTITUTE(E539," [",", "),"[",", "),"]","")&amp;"]")))</x:f>
      </x:c>
      <x:c r="G539" t="str">
        <x:f>IF(F539&lt;&gt;"",ROWS($F$3:F539)-COUNTBLANK($F$3:F539),"")</x:f>
      </x:c>
      <x:c r="H539"/>
      <x:c r="I539"/>
      <x:c r="J539"/>
      <x:c r="K539" t="str">
        <x:f>IF(ROW()-ROW($K$2)&lt;=SUM($J$3:$J$168),COUNTIF($H$3:$H$168,"&lt;"&amp;(ROW()-ROW($K$2))),"")</x:f>
      </x:c>
      <x:c r="L539" t="str">
        <x:f>IF(K539="","",ROW()-ROW($L$2)-INDEX($H$3:$H$168,K539))</x:f>
      </x:c>
      <x:c r="M539" t="str">
        <x:f>IF(K539="","",IF(L539=1,1,FIND(CHAR(1),SUBSTITUTE(INDEX($B$3:$B$168,K539),CHAR(10),CHAR(1),L539-1))+1))</x:f>
      </x:c>
      <x:c r="N539" t="str">
        <x:f>IF(K539="","",IFERROR(FIND(CHAR(1),SUBSTITUTE(INDEX($B$3:$B$168,K539),CHAR(10),CHAR(1),L539)),LEN(INDEX($B$3:$B$168,K539))+1))</x:f>
      </x:c>
    </x:row>
    <x:row r="540">
      <x:c r="A540"/>
      <x:c r="B540"/>
      <x:c r="C540"/>
      <x:c r="D540" t="str">
        <x:f>IFERROR(IF(538&lt;=$O$1,INDEX($A$3:$A$168,MATCH(538,$I$3:$I$168,0)),IF(538&lt;=$O$1+$O$2,INDEX($F$3:$F$1994,MATCH(538-$O$1,$G$3:$G$1994,0)),"")),"")</x:f>
      </x:c>
      <x:c r="E540" t="str">
        <x:f>IF(K540="","",IF(N540&lt;=M540,"",TRIM(CLEAN(MID(INDEX($B$3:$B$168,K540),M540,N540-M540)))))</x:f>
      </x:c>
      <x:c r="F540" t="str">
        <x:f>IF(E540="","",IF(E540=TRIM(INDEX($A$3:$A$168,K540)),"",IF(RIGHT(TRIM(INDEX($A$3:$A$168,K540)),1)="]",LEFT(TRIM(INDEX($A$3:$A$168,K540)),LEN(TRIM(INDEX($A$3:$A$168,K540)))-1)&amp;", "&amp;SUBSTITUTE(SUBSTITUTE(SUBSTITUTE(E540," [",", "),"[",", "),"]","")&amp;"]",TRIM(INDEX($A$3:$A$168,K540))&amp;" ["&amp;SUBSTITUTE(SUBSTITUTE(SUBSTITUTE(E540," [",", "),"[",", "),"]","")&amp;"]")))</x:f>
      </x:c>
      <x:c r="G540" t="str">
        <x:f>IF(F540&lt;&gt;"",ROWS($F$3:F540)-COUNTBLANK($F$3:F540),"")</x:f>
      </x:c>
      <x:c r="H540"/>
      <x:c r="I540"/>
      <x:c r="J540"/>
      <x:c r="K540" t="str">
        <x:f>IF(ROW()-ROW($K$2)&lt;=SUM($J$3:$J$168),COUNTIF($H$3:$H$168,"&lt;"&amp;(ROW()-ROW($K$2))),"")</x:f>
      </x:c>
      <x:c r="L540" t="str">
        <x:f>IF(K540="","",ROW()-ROW($L$2)-INDEX($H$3:$H$168,K540))</x:f>
      </x:c>
      <x:c r="M540" t="str">
        <x:f>IF(K540="","",IF(L540=1,1,FIND(CHAR(1),SUBSTITUTE(INDEX($B$3:$B$168,K540),CHAR(10),CHAR(1),L540-1))+1))</x:f>
      </x:c>
      <x:c r="N540" t="str">
        <x:f>IF(K540="","",IFERROR(FIND(CHAR(1),SUBSTITUTE(INDEX($B$3:$B$168,K540),CHAR(10),CHAR(1),L540)),LEN(INDEX($B$3:$B$168,K540))+1))</x:f>
      </x:c>
    </x:row>
    <x:row r="541">
      <x:c r="A541"/>
      <x:c r="B541"/>
      <x:c r="C541"/>
      <x:c r="D541" t="str">
        <x:f>IFERROR(IF(539&lt;=$O$1,INDEX($A$3:$A$168,MATCH(539,$I$3:$I$168,0)),IF(539&lt;=$O$1+$O$2,INDEX($F$3:$F$1994,MATCH(539-$O$1,$G$3:$G$1994,0)),"")),"")</x:f>
      </x:c>
      <x:c r="E541" t="str">
        <x:f>IF(K541="","",IF(N541&lt;=M541,"",TRIM(CLEAN(MID(INDEX($B$3:$B$168,K541),M541,N541-M541)))))</x:f>
      </x:c>
      <x:c r="F541" t="str">
        <x:f>IF(E541="","",IF(E541=TRIM(INDEX($A$3:$A$168,K541)),"",IF(RIGHT(TRIM(INDEX($A$3:$A$168,K541)),1)="]",LEFT(TRIM(INDEX($A$3:$A$168,K541)),LEN(TRIM(INDEX($A$3:$A$168,K541)))-1)&amp;", "&amp;SUBSTITUTE(SUBSTITUTE(SUBSTITUTE(E541," [",", "),"[",", "),"]","")&amp;"]",TRIM(INDEX($A$3:$A$168,K541))&amp;" ["&amp;SUBSTITUTE(SUBSTITUTE(SUBSTITUTE(E541," [",", "),"[",", "),"]","")&amp;"]")))</x:f>
      </x:c>
      <x:c r="G541" t="str">
        <x:f>IF(F541&lt;&gt;"",ROWS($F$3:F541)-COUNTBLANK($F$3:F541),"")</x:f>
      </x:c>
      <x:c r="H541"/>
      <x:c r="I541"/>
      <x:c r="J541"/>
      <x:c r="K541" t="str">
        <x:f>IF(ROW()-ROW($K$2)&lt;=SUM($J$3:$J$168),COUNTIF($H$3:$H$168,"&lt;"&amp;(ROW()-ROW($K$2))),"")</x:f>
      </x:c>
      <x:c r="L541" t="str">
        <x:f>IF(K541="","",ROW()-ROW($L$2)-INDEX($H$3:$H$168,K541))</x:f>
      </x:c>
      <x:c r="M541" t="str">
        <x:f>IF(K541="","",IF(L541=1,1,FIND(CHAR(1),SUBSTITUTE(INDEX($B$3:$B$168,K541),CHAR(10),CHAR(1),L541-1))+1))</x:f>
      </x:c>
      <x:c r="N541" t="str">
        <x:f>IF(K541="","",IFERROR(FIND(CHAR(1),SUBSTITUTE(INDEX($B$3:$B$168,K541),CHAR(10),CHAR(1),L541)),LEN(INDEX($B$3:$B$168,K541))+1))</x:f>
      </x:c>
    </x:row>
    <x:row r="542">
      <x:c r="A542"/>
      <x:c r="B542"/>
      <x:c r="C542"/>
      <x:c r="D542" t="str">
        <x:f>IFERROR(IF(540&lt;=$O$1,INDEX($A$3:$A$168,MATCH(540,$I$3:$I$168,0)),IF(540&lt;=$O$1+$O$2,INDEX($F$3:$F$1994,MATCH(540-$O$1,$G$3:$G$1994,0)),"")),"")</x:f>
      </x:c>
      <x:c r="E542" t="str">
        <x:f>IF(K542="","",IF(N542&lt;=M542,"",TRIM(CLEAN(MID(INDEX($B$3:$B$168,K542),M542,N542-M542)))))</x:f>
      </x:c>
      <x:c r="F542" t="str">
        <x:f>IF(E542="","",IF(E542=TRIM(INDEX($A$3:$A$168,K542)),"",IF(RIGHT(TRIM(INDEX($A$3:$A$168,K542)),1)="]",LEFT(TRIM(INDEX($A$3:$A$168,K542)),LEN(TRIM(INDEX($A$3:$A$168,K542)))-1)&amp;", "&amp;SUBSTITUTE(SUBSTITUTE(SUBSTITUTE(E542," [",", "),"[",", "),"]","")&amp;"]",TRIM(INDEX($A$3:$A$168,K542))&amp;" ["&amp;SUBSTITUTE(SUBSTITUTE(SUBSTITUTE(E542," [",", "),"[",", "),"]","")&amp;"]")))</x:f>
      </x:c>
      <x:c r="G542" t="str">
        <x:f>IF(F542&lt;&gt;"",ROWS($F$3:F542)-COUNTBLANK($F$3:F542),"")</x:f>
      </x:c>
      <x:c r="H542"/>
      <x:c r="I542"/>
      <x:c r="J542"/>
      <x:c r="K542" t="str">
        <x:f>IF(ROW()-ROW($K$2)&lt;=SUM($J$3:$J$168),COUNTIF($H$3:$H$168,"&lt;"&amp;(ROW()-ROW($K$2))),"")</x:f>
      </x:c>
      <x:c r="L542" t="str">
        <x:f>IF(K542="","",ROW()-ROW($L$2)-INDEX($H$3:$H$168,K542))</x:f>
      </x:c>
      <x:c r="M542" t="str">
        <x:f>IF(K542="","",IF(L542=1,1,FIND(CHAR(1),SUBSTITUTE(INDEX($B$3:$B$168,K542),CHAR(10),CHAR(1),L542-1))+1))</x:f>
      </x:c>
      <x:c r="N542" t="str">
        <x:f>IF(K542="","",IFERROR(FIND(CHAR(1),SUBSTITUTE(INDEX($B$3:$B$168,K542),CHAR(10),CHAR(1),L542)),LEN(INDEX($B$3:$B$168,K542))+1))</x:f>
      </x:c>
    </x:row>
    <x:row r="543">
      <x:c r="A543"/>
      <x:c r="B543"/>
      <x:c r="C543"/>
      <x:c r="D543" t="str">
        <x:f>IFERROR(IF(541&lt;=$O$1,INDEX($A$3:$A$168,MATCH(541,$I$3:$I$168,0)),IF(541&lt;=$O$1+$O$2,INDEX($F$3:$F$1994,MATCH(541-$O$1,$G$3:$G$1994,0)),"")),"")</x:f>
      </x:c>
      <x:c r="E543" t="str">
        <x:f>IF(K543="","",IF(N543&lt;=M543,"",TRIM(CLEAN(MID(INDEX($B$3:$B$168,K543),M543,N543-M543)))))</x:f>
      </x:c>
      <x:c r="F543" t="str">
        <x:f>IF(E543="","",IF(E543=TRIM(INDEX($A$3:$A$168,K543)),"",IF(RIGHT(TRIM(INDEX($A$3:$A$168,K543)),1)="]",LEFT(TRIM(INDEX($A$3:$A$168,K543)),LEN(TRIM(INDEX($A$3:$A$168,K543)))-1)&amp;", "&amp;SUBSTITUTE(SUBSTITUTE(SUBSTITUTE(E543," [",", "),"[",", "),"]","")&amp;"]",TRIM(INDEX($A$3:$A$168,K543))&amp;" ["&amp;SUBSTITUTE(SUBSTITUTE(SUBSTITUTE(E543," [",", "),"[",", "),"]","")&amp;"]")))</x:f>
      </x:c>
      <x:c r="G543" t="str">
        <x:f>IF(F543&lt;&gt;"",ROWS($F$3:F543)-COUNTBLANK($F$3:F543),"")</x:f>
      </x:c>
      <x:c r="H543"/>
      <x:c r="I543"/>
      <x:c r="J543"/>
      <x:c r="K543" t="str">
        <x:f>IF(ROW()-ROW($K$2)&lt;=SUM($J$3:$J$168),COUNTIF($H$3:$H$168,"&lt;"&amp;(ROW()-ROW($K$2))),"")</x:f>
      </x:c>
      <x:c r="L543" t="str">
        <x:f>IF(K543="","",ROW()-ROW($L$2)-INDEX($H$3:$H$168,K543))</x:f>
      </x:c>
      <x:c r="M543" t="str">
        <x:f>IF(K543="","",IF(L543=1,1,FIND(CHAR(1),SUBSTITUTE(INDEX($B$3:$B$168,K543),CHAR(10),CHAR(1),L543-1))+1))</x:f>
      </x:c>
      <x:c r="N543" t="str">
        <x:f>IF(K543="","",IFERROR(FIND(CHAR(1),SUBSTITUTE(INDEX($B$3:$B$168,K543),CHAR(10),CHAR(1),L543)),LEN(INDEX($B$3:$B$168,K543))+1))</x:f>
      </x:c>
    </x:row>
    <x:row r="544">
      <x:c r="A544"/>
      <x:c r="B544"/>
      <x:c r="C544"/>
      <x:c r="D544" t="str">
        <x:f>IFERROR(IF(542&lt;=$O$1,INDEX($A$3:$A$168,MATCH(542,$I$3:$I$168,0)),IF(542&lt;=$O$1+$O$2,INDEX($F$3:$F$1994,MATCH(542-$O$1,$G$3:$G$1994,0)),"")),"")</x:f>
      </x:c>
      <x:c r="E544" t="str">
        <x:f>IF(K544="","",IF(N544&lt;=M544,"",TRIM(CLEAN(MID(INDEX($B$3:$B$168,K544),M544,N544-M544)))))</x:f>
      </x:c>
      <x:c r="F544" t="str">
        <x:f>IF(E544="","",IF(E544=TRIM(INDEX($A$3:$A$168,K544)),"",IF(RIGHT(TRIM(INDEX($A$3:$A$168,K544)),1)="]",LEFT(TRIM(INDEX($A$3:$A$168,K544)),LEN(TRIM(INDEX($A$3:$A$168,K544)))-1)&amp;", "&amp;SUBSTITUTE(SUBSTITUTE(SUBSTITUTE(E544," [",", "),"[",", "),"]","")&amp;"]",TRIM(INDEX($A$3:$A$168,K544))&amp;" ["&amp;SUBSTITUTE(SUBSTITUTE(SUBSTITUTE(E544," [",", "),"[",", "),"]","")&amp;"]")))</x:f>
      </x:c>
      <x:c r="G544" t="str">
        <x:f>IF(F544&lt;&gt;"",ROWS($F$3:F544)-COUNTBLANK($F$3:F544),"")</x:f>
      </x:c>
      <x:c r="H544"/>
      <x:c r="I544"/>
      <x:c r="J544"/>
      <x:c r="K544" t="str">
        <x:f>IF(ROW()-ROW($K$2)&lt;=SUM($J$3:$J$168),COUNTIF($H$3:$H$168,"&lt;"&amp;(ROW()-ROW($K$2))),"")</x:f>
      </x:c>
      <x:c r="L544" t="str">
        <x:f>IF(K544="","",ROW()-ROW($L$2)-INDEX($H$3:$H$168,K544))</x:f>
      </x:c>
      <x:c r="M544" t="str">
        <x:f>IF(K544="","",IF(L544=1,1,FIND(CHAR(1),SUBSTITUTE(INDEX($B$3:$B$168,K544),CHAR(10),CHAR(1),L544-1))+1))</x:f>
      </x:c>
      <x:c r="N544" t="str">
        <x:f>IF(K544="","",IFERROR(FIND(CHAR(1),SUBSTITUTE(INDEX($B$3:$B$168,K544),CHAR(10),CHAR(1),L544)),LEN(INDEX($B$3:$B$168,K544))+1))</x:f>
      </x:c>
    </x:row>
    <x:row r="545">
      <x:c r="A545"/>
      <x:c r="B545"/>
      <x:c r="C545"/>
      <x:c r="D545" t="str">
        <x:f>IFERROR(IF(543&lt;=$O$1,INDEX($A$3:$A$168,MATCH(543,$I$3:$I$168,0)),IF(543&lt;=$O$1+$O$2,INDEX($F$3:$F$1994,MATCH(543-$O$1,$G$3:$G$1994,0)),"")),"")</x:f>
      </x:c>
      <x:c r="E545" t="str">
        <x:f>IF(K545="","",IF(N545&lt;=M545,"",TRIM(CLEAN(MID(INDEX($B$3:$B$168,K545),M545,N545-M545)))))</x:f>
      </x:c>
      <x:c r="F545" t="str">
        <x:f>IF(E545="","",IF(E545=TRIM(INDEX($A$3:$A$168,K545)),"",IF(RIGHT(TRIM(INDEX($A$3:$A$168,K545)),1)="]",LEFT(TRIM(INDEX($A$3:$A$168,K545)),LEN(TRIM(INDEX($A$3:$A$168,K545)))-1)&amp;", "&amp;SUBSTITUTE(SUBSTITUTE(SUBSTITUTE(E545," [",", "),"[",", "),"]","")&amp;"]",TRIM(INDEX($A$3:$A$168,K545))&amp;" ["&amp;SUBSTITUTE(SUBSTITUTE(SUBSTITUTE(E545," [",", "),"[",", "),"]","")&amp;"]")))</x:f>
      </x:c>
      <x:c r="G545" t="str">
        <x:f>IF(F545&lt;&gt;"",ROWS($F$3:F545)-COUNTBLANK($F$3:F545),"")</x:f>
      </x:c>
      <x:c r="H545"/>
      <x:c r="I545"/>
      <x:c r="J545"/>
      <x:c r="K545" t="str">
        <x:f>IF(ROW()-ROW($K$2)&lt;=SUM($J$3:$J$168),COUNTIF($H$3:$H$168,"&lt;"&amp;(ROW()-ROW($K$2))),"")</x:f>
      </x:c>
      <x:c r="L545" t="str">
        <x:f>IF(K545="","",ROW()-ROW($L$2)-INDEX($H$3:$H$168,K545))</x:f>
      </x:c>
      <x:c r="M545" t="str">
        <x:f>IF(K545="","",IF(L545=1,1,FIND(CHAR(1),SUBSTITUTE(INDEX($B$3:$B$168,K545),CHAR(10),CHAR(1),L545-1))+1))</x:f>
      </x:c>
      <x:c r="N545" t="str">
        <x:f>IF(K545="","",IFERROR(FIND(CHAR(1),SUBSTITUTE(INDEX($B$3:$B$168,K545),CHAR(10),CHAR(1),L545)),LEN(INDEX($B$3:$B$168,K545))+1))</x:f>
      </x:c>
    </x:row>
    <x:row r="546">
      <x:c r="A546"/>
      <x:c r="B546"/>
      <x:c r="C546"/>
      <x:c r="D546" t="str">
        <x:f>IFERROR(IF(544&lt;=$O$1,INDEX($A$3:$A$168,MATCH(544,$I$3:$I$168,0)),IF(544&lt;=$O$1+$O$2,INDEX($F$3:$F$1994,MATCH(544-$O$1,$G$3:$G$1994,0)),"")),"")</x:f>
      </x:c>
      <x:c r="E546" t="str">
        <x:f>IF(K546="","",IF(N546&lt;=M546,"",TRIM(CLEAN(MID(INDEX($B$3:$B$168,K546),M546,N546-M546)))))</x:f>
      </x:c>
      <x:c r="F546" t="str">
        <x:f>IF(E546="","",IF(E546=TRIM(INDEX($A$3:$A$168,K546)),"",IF(RIGHT(TRIM(INDEX($A$3:$A$168,K546)),1)="]",LEFT(TRIM(INDEX($A$3:$A$168,K546)),LEN(TRIM(INDEX($A$3:$A$168,K546)))-1)&amp;", "&amp;SUBSTITUTE(SUBSTITUTE(SUBSTITUTE(E546," [",", "),"[",", "),"]","")&amp;"]",TRIM(INDEX($A$3:$A$168,K546))&amp;" ["&amp;SUBSTITUTE(SUBSTITUTE(SUBSTITUTE(E546," [",", "),"[",", "),"]","")&amp;"]")))</x:f>
      </x:c>
      <x:c r="G546" t="str">
        <x:f>IF(F546&lt;&gt;"",ROWS($F$3:F546)-COUNTBLANK($F$3:F546),"")</x:f>
      </x:c>
      <x:c r="H546"/>
      <x:c r="I546"/>
      <x:c r="J546"/>
      <x:c r="K546" t="str">
        <x:f>IF(ROW()-ROW($K$2)&lt;=SUM($J$3:$J$168),COUNTIF($H$3:$H$168,"&lt;"&amp;(ROW()-ROW($K$2))),"")</x:f>
      </x:c>
      <x:c r="L546" t="str">
        <x:f>IF(K546="","",ROW()-ROW($L$2)-INDEX($H$3:$H$168,K546))</x:f>
      </x:c>
      <x:c r="M546" t="str">
        <x:f>IF(K546="","",IF(L546=1,1,FIND(CHAR(1),SUBSTITUTE(INDEX($B$3:$B$168,K546),CHAR(10),CHAR(1),L546-1))+1))</x:f>
      </x:c>
      <x:c r="N546" t="str">
        <x:f>IF(K546="","",IFERROR(FIND(CHAR(1),SUBSTITUTE(INDEX($B$3:$B$168,K546),CHAR(10),CHAR(1),L546)),LEN(INDEX($B$3:$B$168,K546))+1))</x:f>
      </x:c>
    </x:row>
    <x:row r="547">
      <x:c r="A547"/>
      <x:c r="B547"/>
      <x:c r="C547"/>
      <x:c r="D547" t="str">
        <x:f>IFERROR(IF(545&lt;=$O$1,INDEX($A$3:$A$168,MATCH(545,$I$3:$I$168,0)),IF(545&lt;=$O$1+$O$2,INDEX($F$3:$F$1994,MATCH(545-$O$1,$G$3:$G$1994,0)),"")),"")</x:f>
      </x:c>
      <x:c r="E547" t="str">
        <x:f>IF(K547="","",IF(N547&lt;=M547,"",TRIM(CLEAN(MID(INDEX($B$3:$B$168,K547),M547,N547-M547)))))</x:f>
      </x:c>
      <x:c r="F547" t="str">
        <x:f>IF(E547="","",IF(E547=TRIM(INDEX($A$3:$A$168,K547)),"",IF(RIGHT(TRIM(INDEX($A$3:$A$168,K547)),1)="]",LEFT(TRIM(INDEX($A$3:$A$168,K547)),LEN(TRIM(INDEX($A$3:$A$168,K547)))-1)&amp;", "&amp;SUBSTITUTE(SUBSTITUTE(SUBSTITUTE(E547," [",", "),"[",", "),"]","")&amp;"]",TRIM(INDEX($A$3:$A$168,K547))&amp;" ["&amp;SUBSTITUTE(SUBSTITUTE(SUBSTITUTE(E547," [",", "),"[",", "),"]","")&amp;"]")))</x:f>
      </x:c>
      <x:c r="G547" t="str">
        <x:f>IF(F547&lt;&gt;"",ROWS($F$3:F547)-COUNTBLANK($F$3:F547),"")</x:f>
      </x:c>
      <x:c r="H547"/>
      <x:c r="I547"/>
      <x:c r="J547"/>
      <x:c r="K547" t="str">
        <x:f>IF(ROW()-ROW($K$2)&lt;=SUM($J$3:$J$168),COUNTIF($H$3:$H$168,"&lt;"&amp;(ROW()-ROW($K$2))),"")</x:f>
      </x:c>
      <x:c r="L547" t="str">
        <x:f>IF(K547="","",ROW()-ROW($L$2)-INDEX($H$3:$H$168,K547))</x:f>
      </x:c>
      <x:c r="M547" t="str">
        <x:f>IF(K547="","",IF(L547=1,1,FIND(CHAR(1),SUBSTITUTE(INDEX($B$3:$B$168,K547),CHAR(10),CHAR(1),L547-1))+1))</x:f>
      </x:c>
      <x:c r="N547" t="str">
        <x:f>IF(K547="","",IFERROR(FIND(CHAR(1),SUBSTITUTE(INDEX($B$3:$B$168,K547),CHAR(10),CHAR(1),L547)),LEN(INDEX($B$3:$B$168,K547))+1))</x:f>
      </x:c>
    </x:row>
    <x:row r="548">
      <x:c r="A548"/>
      <x:c r="B548"/>
      <x:c r="C548"/>
      <x:c r="D548" t="str">
        <x:f>IFERROR(IF(546&lt;=$O$1,INDEX($A$3:$A$168,MATCH(546,$I$3:$I$168,0)),IF(546&lt;=$O$1+$O$2,INDEX($F$3:$F$1994,MATCH(546-$O$1,$G$3:$G$1994,0)),"")),"")</x:f>
      </x:c>
      <x:c r="E548" t="str">
        <x:f>IF(K548="","",IF(N548&lt;=M548,"",TRIM(CLEAN(MID(INDEX($B$3:$B$168,K548),M548,N548-M548)))))</x:f>
      </x:c>
      <x:c r="F548" t="str">
        <x:f>IF(E548="","",IF(E548=TRIM(INDEX($A$3:$A$168,K548)),"",IF(RIGHT(TRIM(INDEX($A$3:$A$168,K548)),1)="]",LEFT(TRIM(INDEX($A$3:$A$168,K548)),LEN(TRIM(INDEX($A$3:$A$168,K548)))-1)&amp;", "&amp;SUBSTITUTE(SUBSTITUTE(SUBSTITUTE(E548," [",", "),"[",", "),"]","")&amp;"]",TRIM(INDEX($A$3:$A$168,K548))&amp;" ["&amp;SUBSTITUTE(SUBSTITUTE(SUBSTITUTE(E548," [",", "),"[",", "),"]","")&amp;"]")))</x:f>
      </x:c>
      <x:c r="G548" t="str">
        <x:f>IF(F548&lt;&gt;"",ROWS($F$3:F548)-COUNTBLANK($F$3:F548),"")</x:f>
      </x:c>
      <x:c r="H548"/>
      <x:c r="I548"/>
      <x:c r="J548"/>
      <x:c r="K548" t="str">
        <x:f>IF(ROW()-ROW($K$2)&lt;=SUM($J$3:$J$168),COUNTIF($H$3:$H$168,"&lt;"&amp;(ROW()-ROW($K$2))),"")</x:f>
      </x:c>
      <x:c r="L548" t="str">
        <x:f>IF(K548="","",ROW()-ROW($L$2)-INDEX($H$3:$H$168,K548))</x:f>
      </x:c>
      <x:c r="M548" t="str">
        <x:f>IF(K548="","",IF(L548=1,1,FIND(CHAR(1),SUBSTITUTE(INDEX($B$3:$B$168,K548),CHAR(10),CHAR(1),L548-1))+1))</x:f>
      </x:c>
      <x:c r="N548" t="str">
        <x:f>IF(K548="","",IFERROR(FIND(CHAR(1),SUBSTITUTE(INDEX($B$3:$B$168,K548),CHAR(10),CHAR(1),L548)),LEN(INDEX($B$3:$B$168,K548))+1))</x:f>
      </x:c>
    </x:row>
    <x:row r="549">
      <x:c r="A549"/>
      <x:c r="B549"/>
      <x:c r="C549"/>
      <x:c r="D549" t="str">
        <x:f>IFERROR(IF(547&lt;=$O$1,INDEX($A$3:$A$168,MATCH(547,$I$3:$I$168,0)),IF(547&lt;=$O$1+$O$2,INDEX($F$3:$F$1994,MATCH(547-$O$1,$G$3:$G$1994,0)),"")),"")</x:f>
      </x:c>
      <x:c r="E549" t="str">
        <x:f>IF(K549="","",IF(N549&lt;=M549,"",TRIM(CLEAN(MID(INDEX($B$3:$B$168,K549),M549,N549-M549)))))</x:f>
      </x:c>
      <x:c r="F549" t="str">
        <x:f>IF(E549="","",IF(E549=TRIM(INDEX($A$3:$A$168,K549)),"",IF(RIGHT(TRIM(INDEX($A$3:$A$168,K549)),1)="]",LEFT(TRIM(INDEX($A$3:$A$168,K549)),LEN(TRIM(INDEX($A$3:$A$168,K549)))-1)&amp;", "&amp;SUBSTITUTE(SUBSTITUTE(SUBSTITUTE(E549," [",", "),"[",", "),"]","")&amp;"]",TRIM(INDEX($A$3:$A$168,K549))&amp;" ["&amp;SUBSTITUTE(SUBSTITUTE(SUBSTITUTE(E549," [",", "),"[",", "),"]","")&amp;"]")))</x:f>
      </x:c>
      <x:c r="G549" t="str">
        <x:f>IF(F549&lt;&gt;"",ROWS($F$3:F549)-COUNTBLANK($F$3:F549),"")</x:f>
      </x:c>
      <x:c r="H549"/>
      <x:c r="I549"/>
      <x:c r="J549"/>
      <x:c r="K549" t="str">
        <x:f>IF(ROW()-ROW($K$2)&lt;=SUM($J$3:$J$168),COUNTIF($H$3:$H$168,"&lt;"&amp;(ROW()-ROW($K$2))),"")</x:f>
      </x:c>
      <x:c r="L549" t="str">
        <x:f>IF(K549="","",ROW()-ROW($L$2)-INDEX($H$3:$H$168,K549))</x:f>
      </x:c>
      <x:c r="M549" t="str">
        <x:f>IF(K549="","",IF(L549=1,1,FIND(CHAR(1),SUBSTITUTE(INDEX($B$3:$B$168,K549),CHAR(10),CHAR(1),L549-1))+1))</x:f>
      </x:c>
      <x:c r="N549" t="str">
        <x:f>IF(K549="","",IFERROR(FIND(CHAR(1),SUBSTITUTE(INDEX($B$3:$B$168,K549),CHAR(10),CHAR(1),L549)),LEN(INDEX($B$3:$B$168,K549))+1))</x:f>
      </x:c>
    </x:row>
    <x:row r="550">
      <x:c r="A550"/>
      <x:c r="B550"/>
      <x:c r="C550"/>
      <x:c r="D550" t="str">
        <x:f>IFERROR(IF(548&lt;=$O$1,INDEX($A$3:$A$168,MATCH(548,$I$3:$I$168,0)),IF(548&lt;=$O$1+$O$2,INDEX($F$3:$F$1994,MATCH(548-$O$1,$G$3:$G$1994,0)),"")),"")</x:f>
      </x:c>
      <x:c r="E550" t="str">
        <x:f>IF(K550="","",IF(N550&lt;=M550,"",TRIM(CLEAN(MID(INDEX($B$3:$B$168,K550),M550,N550-M550)))))</x:f>
      </x:c>
      <x:c r="F550" t="str">
        <x:f>IF(E550="","",IF(E550=TRIM(INDEX($A$3:$A$168,K550)),"",IF(RIGHT(TRIM(INDEX($A$3:$A$168,K550)),1)="]",LEFT(TRIM(INDEX($A$3:$A$168,K550)),LEN(TRIM(INDEX($A$3:$A$168,K550)))-1)&amp;", "&amp;SUBSTITUTE(SUBSTITUTE(SUBSTITUTE(E550," [",", "),"[",", "),"]","")&amp;"]",TRIM(INDEX($A$3:$A$168,K550))&amp;" ["&amp;SUBSTITUTE(SUBSTITUTE(SUBSTITUTE(E550," [",", "),"[",", "),"]","")&amp;"]")))</x:f>
      </x:c>
      <x:c r="G550" t="str">
        <x:f>IF(F550&lt;&gt;"",ROWS($F$3:F550)-COUNTBLANK($F$3:F550),"")</x:f>
      </x:c>
      <x:c r="H550"/>
      <x:c r="I550"/>
      <x:c r="J550"/>
      <x:c r="K550" t="str">
        <x:f>IF(ROW()-ROW($K$2)&lt;=SUM($J$3:$J$168),COUNTIF($H$3:$H$168,"&lt;"&amp;(ROW()-ROW($K$2))),"")</x:f>
      </x:c>
      <x:c r="L550" t="str">
        <x:f>IF(K550="","",ROW()-ROW($L$2)-INDEX($H$3:$H$168,K550))</x:f>
      </x:c>
      <x:c r="M550" t="str">
        <x:f>IF(K550="","",IF(L550=1,1,FIND(CHAR(1),SUBSTITUTE(INDEX($B$3:$B$168,K550),CHAR(10),CHAR(1),L550-1))+1))</x:f>
      </x:c>
      <x:c r="N550" t="str">
        <x:f>IF(K550="","",IFERROR(FIND(CHAR(1),SUBSTITUTE(INDEX($B$3:$B$168,K550),CHAR(10),CHAR(1),L550)),LEN(INDEX($B$3:$B$168,K550))+1))</x:f>
      </x:c>
    </x:row>
    <x:row r="551">
      <x:c r="A551"/>
      <x:c r="B551"/>
      <x:c r="C551"/>
      <x:c r="D551" t="str">
        <x:f>IFERROR(IF(549&lt;=$O$1,INDEX($A$3:$A$168,MATCH(549,$I$3:$I$168,0)),IF(549&lt;=$O$1+$O$2,INDEX($F$3:$F$1994,MATCH(549-$O$1,$G$3:$G$1994,0)),"")),"")</x:f>
      </x:c>
      <x:c r="E551" t="str">
        <x:f>IF(K551="","",IF(N551&lt;=M551,"",TRIM(CLEAN(MID(INDEX($B$3:$B$168,K551),M551,N551-M551)))))</x:f>
      </x:c>
      <x:c r="F551" t="str">
        <x:f>IF(E551="","",IF(E551=TRIM(INDEX($A$3:$A$168,K551)),"",IF(RIGHT(TRIM(INDEX($A$3:$A$168,K551)),1)="]",LEFT(TRIM(INDEX($A$3:$A$168,K551)),LEN(TRIM(INDEX($A$3:$A$168,K551)))-1)&amp;", "&amp;SUBSTITUTE(SUBSTITUTE(SUBSTITUTE(E551," [",", "),"[",", "),"]","")&amp;"]",TRIM(INDEX($A$3:$A$168,K551))&amp;" ["&amp;SUBSTITUTE(SUBSTITUTE(SUBSTITUTE(E551," [",", "),"[",", "),"]","")&amp;"]")))</x:f>
      </x:c>
      <x:c r="G551" t="str">
        <x:f>IF(F551&lt;&gt;"",ROWS($F$3:F551)-COUNTBLANK($F$3:F551),"")</x:f>
      </x:c>
      <x:c r="H551"/>
      <x:c r="I551"/>
      <x:c r="J551"/>
      <x:c r="K551" t="str">
        <x:f>IF(ROW()-ROW($K$2)&lt;=SUM($J$3:$J$168),COUNTIF($H$3:$H$168,"&lt;"&amp;(ROW()-ROW($K$2))),"")</x:f>
      </x:c>
      <x:c r="L551" t="str">
        <x:f>IF(K551="","",ROW()-ROW($L$2)-INDEX($H$3:$H$168,K551))</x:f>
      </x:c>
      <x:c r="M551" t="str">
        <x:f>IF(K551="","",IF(L551=1,1,FIND(CHAR(1),SUBSTITUTE(INDEX($B$3:$B$168,K551),CHAR(10),CHAR(1),L551-1))+1))</x:f>
      </x:c>
      <x:c r="N551" t="str">
        <x:f>IF(K551="","",IFERROR(FIND(CHAR(1),SUBSTITUTE(INDEX($B$3:$B$168,K551),CHAR(10),CHAR(1),L551)),LEN(INDEX($B$3:$B$168,K551))+1))</x:f>
      </x:c>
    </x:row>
    <x:row r="552">
      <x:c r="A552"/>
      <x:c r="B552"/>
      <x:c r="C552"/>
      <x:c r="D552" t="str">
        <x:f>IFERROR(IF(550&lt;=$O$1,INDEX($A$3:$A$168,MATCH(550,$I$3:$I$168,0)),IF(550&lt;=$O$1+$O$2,INDEX($F$3:$F$1994,MATCH(550-$O$1,$G$3:$G$1994,0)),"")),"")</x:f>
      </x:c>
      <x:c r="E552" t="str">
        <x:f>IF(K552="","",IF(N552&lt;=M552,"",TRIM(CLEAN(MID(INDEX($B$3:$B$168,K552),M552,N552-M552)))))</x:f>
      </x:c>
      <x:c r="F552" t="str">
        <x:f>IF(E552="","",IF(E552=TRIM(INDEX($A$3:$A$168,K552)),"",IF(RIGHT(TRIM(INDEX($A$3:$A$168,K552)),1)="]",LEFT(TRIM(INDEX($A$3:$A$168,K552)),LEN(TRIM(INDEX($A$3:$A$168,K552)))-1)&amp;", "&amp;SUBSTITUTE(SUBSTITUTE(SUBSTITUTE(E552," [",", "),"[",", "),"]","")&amp;"]",TRIM(INDEX($A$3:$A$168,K552))&amp;" ["&amp;SUBSTITUTE(SUBSTITUTE(SUBSTITUTE(E552," [",", "),"[",", "),"]","")&amp;"]")))</x:f>
      </x:c>
      <x:c r="G552" t="str">
        <x:f>IF(F552&lt;&gt;"",ROWS($F$3:F552)-COUNTBLANK($F$3:F552),"")</x:f>
      </x:c>
      <x:c r="H552"/>
      <x:c r="I552"/>
      <x:c r="J552"/>
      <x:c r="K552" t="str">
        <x:f>IF(ROW()-ROW($K$2)&lt;=SUM($J$3:$J$168),COUNTIF($H$3:$H$168,"&lt;"&amp;(ROW()-ROW($K$2))),"")</x:f>
      </x:c>
      <x:c r="L552" t="str">
        <x:f>IF(K552="","",ROW()-ROW($L$2)-INDEX($H$3:$H$168,K552))</x:f>
      </x:c>
      <x:c r="M552" t="str">
        <x:f>IF(K552="","",IF(L552=1,1,FIND(CHAR(1),SUBSTITUTE(INDEX($B$3:$B$168,K552),CHAR(10),CHAR(1),L552-1))+1))</x:f>
      </x:c>
      <x:c r="N552" t="str">
        <x:f>IF(K552="","",IFERROR(FIND(CHAR(1),SUBSTITUTE(INDEX($B$3:$B$168,K552),CHAR(10),CHAR(1),L552)),LEN(INDEX($B$3:$B$168,K552))+1))</x:f>
      </x:c>
    </x:row>
    <x:row r="553">
      <x:c r="A553"/>
      <x:c r="B553"/>
      <x:c r="C553"/>
      <x:c r="D553" t="str">
        <x:f>IFERROR(IF(551&lt;=$O$1,INDEX($A$3:$A$168,MATCH(551,$I$3:$I$168,0)),IF(551&lt;=$O$1+$O$2,INDEX($F$3:$F$1994,MATCH(551-$O$1,$G$3:$G$1994,0)),"")),"")</x:f>
      </x:c>
      <x:c r="E553" t="str">
        <x:f>IF(K553="","",IF(N553&lt;=M553,"",TRIM(CLEAN(MID(INDEX($B$3:$B$168,K553),M553,N553-M553)))))</x:f>
      </x:c>
      <x:c r="F553" t="str">
        <x:f>IF(E553="","",IF(E553=TRIM(INDEX($A$3:$A$168,K553)),"",IF(RIGHT(TRIM(INDEX($A$3:$A$168,K553)),1)="]",LEFT(TRIM(INDEX($A$3:$A$168,K553)),LEN(TRIM(INDEX($A$3:$A$168,K553)))-1)&amp;", "&amp;SUBSTITUTE(SUBSTITUTE(SUBSTITUTE(E553," [",", "),"[",", "),"]","")&amp;"]",TRIM(INDEX($A$3:$A$168,K553))&amp;" ["&amp;SUBSTITUTE(SUBSTITUTE(SUBSTITUTE(E553," [",", "),"[",", "),"]","")&amp;"]")))</x:f>
      </x:c>
      <x:c r="G553" t="str">
        <x:f>IF(F553&lt;&gt;"",ROWS($F$3:F553)-COUNTBLANK($F$3:F553),"")</x:f>
      </x:c>
      <x:c r="H553"/>
      <x:c r="I553"/>
      <x:c r="J553"/>
      <x:c r="K553" t="str">
        <x:f>IF(ROW()-ROW($K$2)&lt;=SUM($J$3:$J$168),COUNTIF($H$3:$H$168,"&lt;"&amp;(ROW()-ROW($K$2))),"")</x:f>
      </x:c>
      <x:c r="L553" t="str">
        <x:f>IF(K553="","",ROW()-ROW($L$2)-INDEX($H$3:$H$168,K553))</x:f>
      </x:c>
      <x:c r="M553" t="str">
        <x:f>IF(K553="","",IF(L553=1,1,FIND(CHAR(1),SUBSTITUTE(INDEX($B$3:$B$168,K553),CHAR(10),CHAR(1),L553-1))+1))</x:f>
      </x:c>
      <x:c r="N553" t="str">
        <x:f>IF(K553="","",IFERROR(FIND(CHAR(1),SUBSTITUTE(INDEX($B$3:$B$168,K553),CHAR(10),CHAR(1),L553)),LEN(INDEX($B$3:$B$168,K553))+1))</x:f>
      </x:c>
    </x:row>
    <x:row r="554">
      <x:c r="A554"/>
      <x:c r="B554"/>
      <x:c r="C554"/>
      <x:c r="D554" t="str">
        <x:f>IFERROR(IF(552&lt;=$O$1,INDEX($A$3:$A$168,MATCH(552,$I$3:$I$168,0)),IF(552&lt;=$O$1+$O$2,INDEX($F$3:$F$1994,MATCH(552-$O$1,$G$3:$G$1994,0)),"")),"")</x:f>
      </x:c>
      <x:c r="E554" t="str">
        <x:f>IF(K554="","",IF(N554&lt;=M554,"",TRIM(CLEAN(MID(INDEX($B$3:$B$168,K554),M554,N554-M554)))))</x:f>
      </x:c>
      <x:c r="F554" t="str">
        <x:f>IF(E554="","",IF(E554=TRIM(INDEX($A$3:$A$168,K554)),"",IF(RIGHT(TRIM(INDEX($A$3:$A$168,K554)),1)="]",LEFT(TRIM(INDEX($A$3:$A$168,K554)),LEN(TRIM(INDEX($A$3:$A$168,K554)))-1)&amp;", "&amp;SUBSTITUTE(SUBSTITUTE(SUBSTITUTE(E554," [",", "),"[",", "),"]","")&amp;"]",TRIM(INDEX($A$3:$A$168,K554))&amp;" ["&amp;SUBSTITUTE(SUBSTITUTE(SUBSTITUTE(E554," [",", "),"[",", "),"]","")&amp;"]")))</x:f>
      </x:c>
      <x:c r="G554" t="str">
        <x:f>IF(F554&lt;&gt;"",ROWS($F$3:F554)-COUNTBLANK($F$3:F554),"")</x:f>
      </x:c>
      <x:c r="H554"/>
      <x:c r="I554"/>
      <x:c r="J554"/>
      <x:c r="K554" t="str">
        <x:f>IF(ROW()-ROW($K$2)&lt;=SUM($J$3:$J$168),COUNTIF($H$3:$H$168,"&lt;"&amp;(ROW()-ROW($K$2))),"")</x:f>
      </x:c>
      <x:c r="L554" t="str">
        <x:f>IF(K554="","",ROW()-ROW($L$2)-INDEX($H$3:$H$168,K554))</x:f>
      </x:c>
      <x:c r="M554" t="str">
        <x:f>IF(K554="","",IF(L554=1,1,FIND(CHAR(1),SUBSTITUTE(INDEX($B$3:$B$168,K554),CHAR(10),CHAR(1),L554-1))+1))</x:f>
      </x:c>
      <x:c r="N554" t="str">
        <x:f>IF(K554="","",IFERROR(FIND(CHAR(1),SUBSTITUTE(INDEX($B$3:$B$168,K554),CHAR(10),CHAR(1),L554)),LEN(INDEX($B$3:$B$168,K554))+1))</x:f>
      </x:c>
    </x:row>
    <x:row r="555">
      <x:c r="A555"/>
      <x:c r="B555"/>
      <x:c r="C555"/>
      <x:c r="D555" t="str">
        <x:f>IFERROR(IF(553&lt;=$O$1,INDEX($A$3:$A$168,MATCH(553,$I$3:$I$168,0)),IF(553&lt;=$O$1+$O$2,INDEX($F$3:$F$1994,MATCH(553-$O$1,$G$3:$G$1994,0)),"")),"")</x:f>
      </x:c>
      <x:c r="E555" t="str">
        <x:f>IF(K555="","",IF(N555&lt;=M555,"",TRIM(CLEAN(MID(INDEX($B$3:$B$168,K555),M555,N555-M555)))))</x:f>
      </x:c>
      <x:c r="F555" t="str">
        <x:f>IF(E555="","",IF(E555=TRIM(INDEX($A$3:$A$168,K555)),"",IF(RIGHT(TRIM(INDEX($A$3:$A$168,K555)),1)="]",LEFT(TRIM(INDEX($A$3:$A$168,K555)),LEN(TRIM(INDEX($A$3:$A$168,K555)))-1)&amp;", "&amp;SUBSTITUTE(SUBSTITUTE(SUBSTITUTE(E555," [",", "),"[",", "),"]","")&amp;"]",TRIM(INDEX($A$3:$A$168,K555))&amp;" ["&amp;SUBSTITUTE(SUBSTITUTE(SUBSTITUTE(E555," [",", "),"[",", "),"]","")&amp;"]")))</x:f>
      </x:c>
      <x:c r="G555" t="str">
        <x:f>IF(F555&lt;&gt;"",ROWS($F$3:F555)-COUNTBLANK($F$3:F555),"")</x:f>
      </x:c>
      <x:c r="H555"/>
      <x:c r="I555"/>
      <x:c r="J555"/>
      <x:c r="K555" t="str">
        <x:f>IF(ROW()-ROW($K$2)&lt;=SUM($J$3:$J$168),COUNTIF($H$3:$H$168,"&lt;"&amp;(ROW()-ROW($K$2))),"")</x:f>
      </x:c>
      <x:c r="L555" t="str">
        <x:f>IF(K555="","",ROW()-ROW($L$2)-INDEX($H$3:$H$168,K555))</x:f>
      </x:c>
      <x:c r="M555" t="str">
        <x:f>IF(K555="","",IF(L555=1,1,FIND(CHAR(1),SUBSTITUTE(INDEX($B$3:$B$168,K555),CHAR(10),CHAR(1),L555-1))+1))</x:f>
      </x:c>
      <x:c r="N555" t="str">
        <x:f>IF(K555="","",IFERROR(FIND(CHAR(1),SUBSTITUTE(INDEX($B$3:$B$168,K555),CHAR(10),CHAR(1),L555)),LEN(INDEX($B$3:$B$168,K555))+1))</x:f>
      </x:c>
    </x:row>
    <x:row r="556">
      <x:c r="A556"/>
      <x:c r="B556"/>
      <x:c r="C556"/>
      <x:c r="D556" t="str">
        <x:f>IFERROR(IF(554&lt;=$O$1,INDEX($A$3:$A$168,MATCH(554,$I$3:$I$168,0)),IF(554&lt;=$O$1+$O$2,INDEX($F$3:$F$1994,MATCH(554-$O$1,$G$3:$G$1994,0)),"")),"")</x:f>
      </x:c>
      <x:c r="E556" t="str">
        <x:f>IF(K556="","",IF(N556&lt;=M556,"",TRIM(CLEAN(MID(INDEX($B$3:$B$168,K556),M556,N556-M556)))))</x:f>
      </x:c>
      <x:c r="F556" t="str">
        <x:f>IF(E556="","",IF(E556=TRIM(INDEX($A$3:$A$168,K556)),"",IF(RIGHT(TRIM(INDEX($A$3:$A$168,K556)),1)="]",LEFT(TRIM(INDEX($A$3:$A$168,K556)),LEN(TRIM(INDEX($A$3:$A$168,K556)))-1)&amp;", "&amp;SUBSTITUTE(SUBSTITUTE(SUBSTITUTE(E556," [",", "),"[",", "),"]","")&amp;"]",TRIM(INDEX($A$3:$A$168,K556))&amp;" ["&amp;SUBSTITUTE(SUBSTITUTE(SUBSTITUTE(E556," [",", "),"[",", "),"]","")&amp;"]")))</x:f>
      </x:c>
      <x:c r="G556" t="str">
        <x:f>IF(F556&lt;&gt;"",ROWS($F$3:F556)-COUNTBLANK($F$3:F556),"")</x:f>
      </x:c>
      <x:c r="H556"/>
      <x:c r="I556"/>
      <x:c r="J556"/>
      <x:c r="K556" t="str">
        <x:f>IF(ROW()-ROW($K$2)&lt;=SUM($J$3:$J$168),COUNTIF($H$3:$H$168,"&lt;"&amp;(ROW()-ROW($K$2))),"")</x:f>
      </x:c>
      <x:c r="L556" t="str">
        <x:f>IF(K556="","",ROW()-ROW($L$2)-INDEX($H$3:$H$168,K556))</x:f>
      </x:c>
      <x:c r="M556" t="str">
        <x:f>IF(K556="","",IF(L556=1,1,FIND(CHAR(1),SUBSTITUTE(INDEX($B$3:$B$168,K556),CHAR(10),CHAR(1),L556-1))+1))</x:f>
      </x:c>
      <x:c r="N556" t="str">
        <x:f>IF(K556="","",IFERROR(FIND(CHAR(1),SUBSTITUTE(INDEX($B$3:$B$168,K556),CHAR(10),CHAR(1),L556)),LEN(INDEX($B$3:$B$168,K556))+1))</x:f>
      </x:c>
    </x:row>
    <x:row r="557">
      <x:c r="A557"/>
      <x:c r="B557"/>
      <x:c r="C557"/>
      <x:c r="D557" t="str">
        <x:f>IFERROR(IF(555&lt;=$O$1,INDEX($A$3:$A$168,MATCH(555,$I$3:$I$168,0)),IF(555&lt;=$O$1+$O$2,INDEX($F$3:$F$1994,MATCH(555-$O$1,$G$3:$G$1994,0)),"")),"")</x:f>
      </x:c>
      <x:c r="E557" t="str">
        <x:f>IF(K557="","",IF(N557&lt;=M557,"",TRIM(CLEAN(MID(INDEX($B$3:$B$168,K557),M557,N557-M557)))))</x:f>
      </x:c>
      <x:c r="F557" t="str">
        <x:f>IF(E557="","",IF(E557=TRIM(INDEX($A$3:$A$168,K557)),"",IF(RIGHT(TRIM(INDEX($A$3:$A$168,K557)),1)="]",LEFT(TRIM(INDEX($A$3:$A$168,K557)),LEN(TRIM(INDEX($A$3:$A$168,K557)))-1)&amp;", "&amp;SUBSTITUTE(SUBSTITUTE(SUBSTITUTE(E557," [",", "),"[",", "),"]","")&amp;"]",TRIM(INDEX($A$3:$A$168,K557))&amp;" ["&amp;SUBSTITUTE(SUBSTITUTE(SUBSTITUTE(E557," [",", "),"[",", "),"]","")&amp;"]")))</x:f>
      </x:c>
      <x:c r="G557" t="str">
        <x:f>IF(F557&lt;&gt;"",ROWS($F$3:F557)-COUNTBLANK($F$3:F557),"")</x:f>
      </x:c>
      <x:c r="H557"/>
      <x:c r="I557"/>
      <x:c r="J557"/>
      <x:c r="K557" t="str">
        <x:f>IF(ROW()-ROW($K$2)&lt;=SUM($J$3:$J$168),COUNTIF($H$3:$H$168,"&lt;"&amp;(ROW()-ROW($K$2))),"")</x:f>
      </x:c>
      <x:c r="L557" t="str">
        <x:f>IF(K557="","",ROW()-ROW($L$2)-INDEX($H$3:$H$168,K557))</x:f>
      </x:c>
      <x:c r="M557" t="str">
        <x:f>IF(K557="","",IF(L557=1,1,FIND(CHAR(1),SUBSTITUTE(INDEX($B$3:$B$168,K557),CHAR(10),CHAR(1),L557-1))+1))</x:f>
      </x:c>
      <x:c r="N557" t="str">
        <x:f>IF(K557="","",IFERROR(FIND(CHAR(1),SUBSTITUTE(INDEX($B$3:$B$168,K557),CHAR(10),CHAR(1),L557)),LEN(INDEX($B$3:$B$168,K557))+1))</x:f>
      </x:c>
    </x:row>
    <x:row r="558">
      <x:c r="A558"/>
      <x:c r="B558"/>
      <x:c r="C558"/>
      <x:c r="D558" t="str">
        <x:f>IFERROR(IF(556&lt;=$O$1,INDEX($A$3:$A$168,MATCH(556,$I$3:$I$168,0)),IF(556&lt;=$O$1+$O$2,INDEX($F$3:$F$1994,MATCH(556-$O$1,$G$3:$G$1994,0)),"")),"")</x:f>
      </x:c>
      <x:c r="E558" t="str">
        <x:f>IF(K558="","",IF(N558&lt;=M558,"",TRIM(CLEAN(MID(INDEX($B$3:$B$168,K558),M558,N558-M558)))))</x:f>
      </x:c>
      <x:c r="F558" t="str">
        <x:f>IF(E558="","",IF(E558=TRIM(INDEX($A$3:$A$168,K558)),"",IF(RIGHT(TRIM(INDEX($A$3:$A$168,K558)),1)="]",LEFT(TRIM(INDEX($A$3:$A$168,K558)),LEN(TRIM(INDEX($A$3:$A$168,K558)))-1)&amp;", "&amp;SUBSTITUTE(SUBSTITUTE(SUBSTITUTE(E558," [",", "),"[",", "),"]","")&amp;"]",TRIM(INDEX($A$3:$A$168,K558))&amp;" ["&amp;SUBSTITUTE(SUBSTITUTE(SUBSTITUTE(E558," [",", "),"[",", "),"]","")&amp;"]")))</x:f>
      </x:c>
      <x:c r="G558" t="str">
        <x:f>IF(F558&lt;&gt;"",ROWS($F$3:F558)-COUNTBLANK($F$3:F558),"")</x:f>
      </x:c>
      <x:c r="H558"/>
      <x:c r="I558"/>
      <x:c r="J558"/>
      <x:c r="K558" t="str">
        <x:f>IF(ROW()-ROW($K$2)&lt;=SUM($J$3:$J$168),COUNTIF($H$3:$H$168,"&lt;"&amp;(ROW()-ROW($K$2))),"")</x:f>
      </x:c>
      <x:c r="L558" t="str">
        <x:f>IF(K558="","",ROW()-ROW($L$2)-INDEX($H$3:$H$168,K558))</x:f>
      </x:c>
      <x:c r="M558" t="str">
        <x:f>IF(K558="","",IF(L558=1,1,FIND(CHAR(1),SUBSTITUTE(INDEX($B$3:$B$168,K558),CHAR(10),CHAR(1),L558-1))+1))</x:f>
      </x:c>
      <x:c r="N558" t="str">
        <x:f>IF(K558="","",IFERROR(FIND(CHAR(1),SUBSTITUTE(INDEX($B$3:$B$168,K558),CHAR(10),CHAR(1),L558)),LEN(INDEX($B$3:$B$168,K558))+1))</x:f>
      </x:c>
    </x:row>
    <x:row r="559">
      <x:c r="A559"/>
      <x:c r="B559"/>
      <x:c r="C559"/>
      <x:c r="D559" t="str">
        <x:f>IFERROR(IF(557&lt;=$O$1,INDEX($A$3:$A$168,MATCH(557,$I$3:$I$168,0)),IF(557&lt;=$O$1+$O$2,INDEX($F$3:$F$1994,MATCH(557-$O$1,$G$3:$G$1994,0)),"")),"")</x:f>
      </x:c>
      <x:c r="E559" t="str">
        <x:f>IF(K559="","",IF(N559&lt;=M559,"",TRIM(CLEAN(MID(INDEX($B$3:$B$168,K559),M559,N559-M559)))))</x:f>
      </x:c>
      <x:c r="F559" t="str">
        <x:f>IF(E559="","",IF(E559=TRIM(INDEX($A$3:$A$168,K559)),"",IF(RIGHT(TRIM(INDEX($A$3:$A$168,K559)),1)="]",LEFT(TRIM(INDEX($A$3:$A$168,K559)),LEN(TRIM(INDEX($A$3:$A$168,K559)))-1)&amp;", "&amp;SUBSTITUTE(SUBSTITUTE(SUBSTITUTE(E559," [",", "),"[",", "),"]","")&amp;"]",TRIM(INDEX($A$3:$A$168,K559))&amp;" ["&amp;SUBSTITUTE(SUBSTITUTE(SUBSTITUTE(E559," [",", "),"[",", "),"]","")&amp;"]")))</x:f>
      </x:c>
      <x:c r="G559" t="str">
        <x:f>IF(F559&lt;&gt;"",ROWS($F$3:F559)-COUNTBLANK($F$3:F559),"")</x:f>
      </x:c>
      <x:c r="H559"/>
      <x:c r="I559"/>
      <x:c r="J559"/>
      <x:c r="K559" t="str">
        <x:f>IF(ROW()-ROW($K$2)&lt;=SUM($J$3:$J$168),COUNTIF($H$3:$H$168,"&lt;"&amp;(ROW()-ROW($K$2))),"")</x:f>
      </x:c>
      <x:c r="L559" t="str">
        <x:f>IF(K559="","",ROW()-ROW($L$2)-INDEX($H$3:$H$168,K559))</x:f>
      </x:c>
      <x:c r="M559" t="str">
        <x:f>IF(K559="","",IF(L559=1,1,FIND(CHAR(1),SUBSTITUTE(INDEX($B$3:$B$168,K559),CHAR(10),CHAR(1),L559-1))+1))</x:f>
      </x:c>
      <x:c r="N559" t="str">
        <x:f>IF(K559="","",IFERROR(FIND(CHAR(1),SUBSTITUTE(INDEX($B$3:$B$168,K559),CHAR(10),CHAR(1),L559)),LEN(INDEX($B$3:$B$168,K559))+1))</x:f>
      </x:c>
    </x:row>
    <x:row r="560">
      <x:c r="A560"/>
      <x:c r="B560"/>
      <x:c r="C560"/>
      <x:c r="D560" t="str">
        <x:f>IFERROR(IF(558&lt;=$O$1,INDEX($A$3:$A$168,MATCH(558,$I$3:$I$168,0)),IF(558&lt;=$O$1+$O$2,INDEX($F$3:$F$1994,MATCH(558-$O$1,$G$3:$G$1994,0)),"")),"")</x:f>
      </x:c>
      <x:c r="E560" t="str">
        <x:f>IF(K560="","",IF(N560&lt;=M560,"",TRIM(CLEAN(MID(INDEX($B$3:$B$168,K560),M560,N560-M560)))))</x:f>
      </x:c>
      <x:c r="F560" t="str">
        <x:f>IF(E560="","",IF(E560=TRIM(INDEX($A$3:$A$168,K560)),"",IF(RIGHT(TRIM(INDEX($A$3:$A$168,K560)),1)="]",LEFT(TRIM(INDEX($A$3:$A$168,K560)),LEN(TRIM(INDEX($A$3:$A$168,K560)))-1)&amp;", "&amp;SUBSTITUTE(SUBSTITUTE(SUBSTITUTE(E560," [",", "),"[",", "),"]","")&amp;"]",TRIM(INDEX($A$3:$A$168,K560))&amp;" ["&amp;SUBSTITUTE(SUBSTITUTE(SUBSTITUTE(E560," [",", "),"[",", "),"]","")&amp;"]")))</x:f>
      </x:c>
      <x:c r="G560" t="str">
        <x:f>IF(F560&lt;&gt;"",ROWS($F$3:F560)-COUNTBLANK($F$3:F560),"")</x:f>
      </x:c>
      <x:c r="H560"/>
      <x:c r="I560"/>
      <x:c r="J560"/>
      <x:c r="K560" t="str">
        <x:f>IF(ROW()-ROW($K$2)&lt;=SUM($J$3:$J$168),COUNTIF($H$3:$H$168,"&lt;"&amp;(ROW()-ROW($K$2))),"")</x:f>
      </x:c>
      <x:c r="L560" t="str">
        <x:f>IF(K560="","",ROW()-ROW($L$2)-INDEX($H$3:$H$168,K560))</x:f>
      </x:c>
      <x:c r="M560" t="str">
        <x:f>IF(K560="","",IF(L560=1,1,FIND(CHAR(1),SUBSTITUTE(INDEX($B$3:$B$168,K560),CHAR(10),CHAR(1),L560-1))+1))</x:f>
      </x:c>
      <x:c r="N560" t="str">
        <x:f>IF(K560="","",IFERROR(FIND(CHAR(1),SUBSTITUTE(INDEX($B$3:$B$168,K560),CHAR(10),CHAR(1),L560)),LEN(INDEX($B$3:$B$168,K560))+1))</x:f>
      </x:c>
    </x:row>
    <x:row r="561">
      <x:c r="A561"/>
      <x:c r="B561"/>
      <x:c r="C561"/>
      <x:c r="D561" t="str">
        <x:f>IFERROR(IF(559&lt;=$O$1,INDEX($A$3:$A$168,MATCH(559,$I$3:$I$168,0)),IF(559&lt;=$O$1+$O$2,INDEX($F$3:$F$1994,MATCH(559-$O$1,$G$3:$G$1994,0)),"")),"")</x:f>
      </x:c>
      <x:c r="E561" t="str">
        <x:f>IF(K561="","",IF(N561&lt;=M561,"",TRIM(CLEAN(MID(INDEX($B$3:$B$168,K561),M561,N561-M561)))))</x:f>
      </x:c>
      <x:c r="F561" t="str">
        <x:f>IF(E561="","",IF(E561=TRIM(INDEX($A$3:$A$168,K561)),"",IF(RIGHT(TRIM(INDEX($A$3:$A$168,K561)),1)="]",LEFT(TRIM(INDEX($A$3:$A$168,K561)),LEN(TRIM(INDEX($A$3:$A$168,K561)))-1)&amp;", "&amp;SUBSTITUTE(SUBSTITUTE(SUBSTITUTE(E561," [",", "),"[",", "),"]","")&amp;"]",TRIM(INDEX($A$3:$A$168,K561))&amp;" ["&amp;SUBSTITUTE(SUBSTITUTE(SUBSTITUTE(E561," [",", "),"[",", "),"]","")&amp;"]")))</x:f>
      </x:c>
      <x:c r="G561" t="str">
        <x:f>IF(F561&lt;&gt;"",ROWS($F$3:F561)-COUNTBLANK($F$3:F561),"")</x:f>
      </x:c>
      <x:c r="H561"/>
      <x:c r="I561"/>
      <x:c r="J561"/>
      <x:c r="K561" t="str">
        <x:f>IF(ROW()-ROW($K$2)&lt;=SUM($J$3:$J$168),COUNTIF($H$3:$H$168,"&lt;"&amp;(ROW()-ROW($K$2))),"")</x:f>
      </x:c>
      <x:c r="L561" t="str">
        <x:f>IF(K561="","",ROW()-ROW($L$2)-INDEX($H$3:$H$168,K561))</x:f>
      </x:c>
      <x:c r="M561" t="str">
        <x:f>IF(K561="","",IF(L561=1,1,FIND(CHAR(1),SUBSTITUTE(INDEX($B$3:$B$168,K561),CHAR(10),CHAR(1),L561-1))+1))</x:f>
      </x:c>
      <x:c r="N561" t="str">
        <x:f>IF(K561="","",IFERROR(FIND(CHAR(1),SUBSTITUTE(INDEX($B$3:$B$168,K561),CHAR(10),CHAR(1),L561)),LEN(INDEX($B$3:$B$168,K561))+1))</x:f>
      </x:c>
    </x:row>
    <x:row r="562">
      <x:c r="A562"/>
      <x:c r="B562"/>
      <x:c r="C562"/>
      <x:c r="D562" t="str">
        <x:f>IFERROR(IF(560&lt;=$O$1,INDEX($A$3:$A$168,MATCH(560,$I$3:$I$168,0)),IF(560&lt;=$O$1+$O$2,INDEX($F$3:$F$1994,MATCH(560-$O$1,$G$3:$G$1994,0)),"")),"")</x:f>
      </x:c>
      <x:c r="E562" t="str">
        <x:f>IF(K562="","",IF(N562&lt;=M562,"",TRIM(CLEAN(MID(INDEX($B$3:$B$168,K562),M562,N562-M562)))))</x:f>
      </x:c>
      <x:c r="F562" t="str">
        <x:f>IF(E562="","",IF(E562=TRIM(INDEX($A$3:$A$168,K562)),"",IF(RIGHT(TRIM(INDEX($A$3:$A$168,K562)),1)="]",LEFT(TRIM(INDEX($A$3:$A$168,K562)),LEN(TRIM(INDEX($A$3:$A$168,K562)))-1)&amp;", "&amp;SUBSTITUTE(SUBSTITUTE(SUBSTITUTE(E562," [",", "),"[",", "),"]","")&amp;"]",TRIM(INDEX($A$3:$A$168,K562))&amp;" ["&amp;SUBSTITUTE(SUBSTITUTE(SUBSTITUTE(E562," [",", "),"[",", "),"]","")&amp;"]")))</x:f>
      </x:c>
      <x:c r="G562" t="str">
        <x:f>IF(F562&lt;&gt;"",ROWS($F$3:F562)-COUNTBLANK($F$3:F562),"")</x:f>
      </x:c>
      <x:c r="H562"/>
      <x:c r="I562"/>
      <x:c r="J562"/>
      <x:c r="K562" t="str">
        <x:f>IF(ROW()-ROW($K$2)&lt;=SUM($J$3:$J$168),COUNTIF($H$3:$H$168,"&lt;"&amp;(ROW()-ROW($K$2))),"")</x:f>
      </x:c>
      <x:c r="L562" t="str">
        <x:f>IF(K562="","",ROW()-ROW($L$2)-INDEX($H$3:$H$168,K562))</x:f>
      </x:c>
      <x:c r="M562" t="str">
        <x:f>IF(K562="","",IF(L562=1,1,FIND(CHAR(1),SUBSTITUTE(INDEX($B$3:$B$168,K562),CHAR(10),CHAR(1),L562-1))+1))</x:f>
      </x:c>
      <x:c r="N562" t="str">
        <x:f>IF(K562="","",IFERROR(FIND(CHAR(1),SUBSTITUTE(INDEX($B$3:$B$168,K562),CHAR(10),CHAR(1),L562)),LEN(INDEX($B$3:$B$168,K562))+1))</x:f>
      </x:c>
    </x:row>
    <x:row r="563">
      <x:c r="A563"/>
      <x:c r="B563"/>
      <x:c r="C563"/>
      <x:c r="D563" t="str">
        <x:f>IFERROR(IF(561&lt;=$O$1,INDEX($A$3:$A$168,MATCH(561,$I$3:$I$168,0)),IF(561&lt;=$O$1+$O$2,INDEX($F$3:$F$1994,MATCH(561-$O$1,$G$3:$G$1994,0)),"")),"")</x:f>
      </x:c>
      <x:c r="E563" t="str">
        <x:f>IF(K563="","",IF(N563&lt;=M563,"",TRIM(CLEAN(MID(INDEX($B$3:$B$168,K563),M563,N563-M563)))))</x:f>
      </x:c>
      <x:c r="F563" t="str">
        <x:f>IF(E563="","",IF(E563=TRIM(INDEX($A$3:$A$168,K563)),"",IF(RIGHT(TRIM(INDEX($A$3:$A$168,K563)),1)="]",LEFT(TRIM(INDEX($A$3:$A$168,K563)),LEN(TRIM(INDEX($A$3:$A$168,K563)))-1)&amp;", "&amp;SUBSTITUTE(SUBSTITUTE(SUBSTITUTE(E563," [",", "),"[",", "),"]","")&amp;"]",TRIM(INDEX($A$3:$A$168,K563))&amp;" ["&amp;SUBSTITUTE(SUBSTITUTE(SUBSTITUTE(E563," [",", "),"[",", "),"]","")&amp;"]")))</x:f>
      </x:c>
      <x:c r="G563" t="str">
        <x:f>IF(F563&lt;&gt;"",ROWS($F$3:F563)-COUNTBLANK($F$3:F563),"")</x:f>
      </x:c>
      <x:c r="H563"/>
      <x:c r="I563"/>
      <x:c r="J563"/>
      <x:c r="K563" t="str">
        <x:f>IF(ROW()-ROW($K$2)&lt;=SUM($J$3:$J$168),COUNTIF($H$3:$H$168,"&lt;"&amp;(ROW()-ROW($K$2))),"")</x:f>
      </x:c>
      <x:c r="L563" t="str">
        <x:f>IF(K563="","",ROW()-ROW($L$2)-INDEX($H$3:$H$168,K563))</x:f>
      </x:c>
      <x:c r="M563" t="str">
        <x:f>IF(K563="","",IF(L563=1,1,FIND(CHAR(1),SUBSTITUTE(INDEX($B$3:$B$168,K563),CHAR(10),CHAR(1),L563-1))+1))</x:f>
      </x:c>
      <x:c r="N563" t="str">
        <x:f>IF(K563="","",IFERROR(FIND(CHAR(1),SUBSTITUTE(INDEX($B$3:$B$168,K563),CHAR(10),CHAR(1),L563)),LEN(INDEX($B$3:$B$168,K563))+1))</x:f>
      </x:c>
    </x:row>
    <x:row r="564">
      <x:c r="A564"/>
      <x:c r="B564"/>
      <x:c r="C564"/>
      <x:c r="D564" t="str">
        <x:f>IFERROR(IF(562&lt;=$O$1,INDEX($A$3:$A$168,MATCH(562,$I$3:$I$168,0)),IF(562&lt;=$O$1+$O$2,INDEX($F$3:$F$1994,MATCH(562-$O$1,$G$3:$G$1994,0)),"")),"")</x:f>
      </x:c>
      <x:c r="E564" t="str">
        <x:f>IF(K564="","",IF(N564&lt;=M564,"",TRIM(CLEAN(MID(INDEX($B$3:$B$168,K564),M564,N564-M564)))))</x:f>
      </x:c>
      <x:c r="F564" t="str">
        <x:f>IF(E564="","",IF(E564=TRIM(INDEX($A$3:$A$168,K564)),"",IF(RIGHT(TRIM(INDEX($A$3:$A$168,K564)),1)="]",LEFT(TRIM(INDEX($A$3:$A$168,K564)),LEN(TRIM(INDEX($A$3:$A$168,K564)))-1)&amp;", "&amp;SUBSTITUTE(SUBSTITUTE(SUBSTITUTE(E564," [",", "),"[",", "),"]","")&amp;"]",TRIM(INDEX($A$3:$A$168,K564))&amp;" ["&amp;SUBSTITUTE(SUBSTITUTE(SUBSTITUTE(E564," [",", "),"[",", "),"]","")&amp;"]")))</x:f>
      </x:c>
      <x:c r="G564" t="str">
        <x:f>IF(F564&lt;&gt;"",ROWS($F$3:F564)-COUNTBLANK($F$3:F564),"")</x:f>
      </x:c>
      <x:c r="H564"/>
      <x:c r="I564"/>
      <x:c r="J564"/>
      <x:c r="K564" t="str">
        <x:f>IF(ROW()-ROW($K$2)&lt;=SUM($J$3:$J$168),COUNTIF($H$3:$H$168,"&lt;"&amp;(ROW()-ROW($K$2))),"")</x:f>
      </x:c>
      <x:c r="L564" t="str">
        <x:f>IF(K564="","",ROW()-ROW($L$2)-INDEX($H$3:$H$168,K564))</x:f>
      </x:c>
      <x:c r="M564" t="str">
        <x:f>IF(K564="","",IF(L564=1,1,FIND(CHAR(1),SUBSTITUTE(INDEX($B$3:$B$168,K564),CHAR(10),CHAR(1),L564-1))+1))</x:f>
      </x:c>
      <x:c r="N564" t="str">
        <x:f>IF(K564="","",IFERROR(FIND(CHAR(1),SUBSTITUTE(INDEX($B$3:$B$168,K564),CHAR(10),CHAR(1),L564)),LEN(INDEX($B$3:$B$168,K564))+1))</x:f>
      </x:c>
    </x:row>
    <x:row r="565">
      <x:c r="A565"/>
      <x:c r="B565"/>
      <x:c r="C565"/>
      <x:c r="D565" t="str">
        <x:f>IFERROR(IF(563&lt;=$O$1,INDEX($A$3:$A$168,MATCH(563,$I$3:$I$168,0)),IF(563&lt;=$O$1+$O$2,INDEX($F$3:$F$1994,MATCH(563-$O$1,$G$3:$G$1994,0)),"")),"")</x:f>
      </x:c>
      <x:c r="E565" t="str">
        <x:f>IF(K565="","",IF(N565&lt;=M565,"",TRIM(CLEAN(MID(INDEX($B$3:$B$168,K565),M565,N565-M565)))))</x:f>
      </x:c>
      <x:c r="F565" t="str">
        <x:f>IF(E565="","",IF(E565=TRIM(INDEX($A$3:$A$168,K565)),"",IF(RIGHT(TRIM(INDEX($A$3:$A$168,K565)),1)="]",LEFT(TRIM(INDEX($A$3:$A$168,K565)),LEN(TRIM(INDEX($A$3:$A$168,K565)))-1)&amp;", "&amp;SUBSTITUTE(SUBSTITUTE(SUBSTITUTE(E565," [",", "),"[",", "),"]","")&amp;"]",TRIM(INDEX($A$3:$A$168,K565))&amp;" ["&amp;SUBSTITUTE(SUBSTITUTE(SUBSTITUTE(E565," [",", "),"[",", "),"]","")&amp;"]")))</x:f>
      </x:c>
      <x:c r="G565" t="str">
        <x:f>IF(F565&lt;&gt;"",ROWS($F$3:F565)-COUNTBLANK($F$3:F565),"")</x:f>
      </x:c>
      <x:c r="H565"/>
      <x:c r="I565"/>
      <x:c r="J565"/>
      <x:c r="K565" t="str">
        <x:f>IF(ROW()-ROW($K$2)&lt;=SUM($J$3:$J$168),COUNTIF($H$3:$H$168,"&lt;"&amp;(ROW()-ROW($K$2))),"")</x:f>
      </x:c>
      <x:c r="L565" t="str">
        <x:f>IF(K565="","",ROW()-ROW($L$2)-INDEX($H$3:$H$168,K565))</x:f>
      </x:c>
      <x:c r="M565" t="str">
        <x:f>IF(K565="","",IF(L565=1,1,FIND(CHAR(1),SUBSTITUTE(INDEX($B$3:$B$168,K565),CHAR(10),CHAR(1),L565-1))+1))</x:f>
      </x:c>
      <x:c r="N565" t="str">
        <x:f>IF(K565="","",IFERROR(FIND(CHAR(1),SUBSTITUTE(INDEX($B$3:$B$168,K565),CHAR(10),CHAR(1),L565)),LEN(INDEX($B$3:$B$168,K565))+1))</x:f>
      </x:c>
    </x:row>
    <x:row r="566">
      <x:c r="A566"/>
      <x:c r="B566"/>
      <x:c r="C566"/>
      <x:c r="D566" t="str">
        <x:f>IFERROR(IF(564&lt;=$O$1,INDEX($A$3:$A$168,MATCH(564,$I$3:$I$168,0)),IF(564&lt;=$O$1+$O$2,INDEX($F$3:$F$1994,MATCH(564-$O$1,$G$3:$G$1994,0)),"")),"")</x:f>
      </x:c>
      <x:c r="E566" t="str">
        <x:f>IF(K566="","",IF(N566&lt;=M566,"",TRIM(CLEAN(MID(INDEX($B$3:$B$168,K566),M566,N566-M566)))))</x:f>
      </x:c>
      <x:c r="F566" t="str">
        <x:f>IF(E566="","",IF(E566=TRIM(INDEX($A$3:$A$168,K566)),"",IF(RIGHT(TRIM(INDEX($A$3:$A$168,K566)),1)="]",LEFT(TRIM(INDEX($A$3:$A$168,K566)),LEN(TRIM(INDEX($A$3:$A$168,K566)))-1)&amp;", "&amp;SUBSTITUTE(SUBSTITUTE(SUBSTITUTE(E566," [",", "),"[",", "),"]","")&amp;"]",TRIM(INDEX($A$3:$A$168,K566))&amp;" ["&amp;SUBSTITUTE(SUBSTITUTE(SUBSTITUTE(E566," [",", "),"[",", "),"]","")&amp;"]")))</x:f>
      </x:c>
      <x:c r="G566" t="str">
        <x:f>IF(F566&lt;&gt;"",ROWS($F$3:F566)-COUNTBLANK($F$3:F566),"")</x:f>
      </x:c>
      <x:c r="H566"/>
      <x:c r="I566"/>
      <x:c r="J566"/>
      <x:c r="K566" t="str">
        <x:f>IF(ROW()-ROW($K$2)&lt;=SUM($J$3:$J$168),COUNTIF($H$3:$H$168,"&lt;"&amp;(ROW()-ROW($K$2))),"")</x:f>
      </x:c>
      <x:c r="L566" t="str">
        <x:f>IF(K566="","",ROW()-ROW($L$2)-INDEX($H$3:$H$168,K566))</x:f>
      </x:c>
      <x:c r="M566" t="str">
        <x:f>IF(K566="","",IF(L566=1,1,FIND(CHAR(1),SUBSTITUTE(INDEX($B$3:$B$168,K566),CHAR(10),CHAR(1),L566-1))+1))</x:f>
      </x:c>
      <x:c r="N566" t="str">
        <x:f>IF(K566="","",IFERROR(FIND(CHAR(1),SUBSTITUTE(INDEX($B$3:$B$168,K566),CHAR(10),CHAR(1),L566)),LEN(INDEX($B$3:$B$168,K566))+1))</x:f>
      </x:c>
    </x:row>
    <x:row r="567">
      <x:c r="A567"/>
      <x:c r="B567"/>
      <x:c r="C567"/>
      <x:c r="D567" t="str">
        <x:f>IFERROR(IF(565&lt;=$O$1,INDEX($A$3:$A$168,MATCH(565,$I$3:$I$168,0)),IF(565&lt;=$O$1+$O$2,INDEX($F$3:$F$1994,MATCH(565-$O$1,$G$3:$G$1994,0)),"")),"")</x:f>
      </x:c>
      <x:c r="E567" t="str">
        <x:f>IF(K567="","",IF(N567&lt;=M567,"",TRIM(CLEAN(MID(INDEX($B$3:$B$168,K567),M567,N567-M567)))))</x:f>
      </x:c>
      <x:c r="F567" t="str">
        <x:f>IF(E567="","",IF(E567=TRIM(INDEX($A$3:$A$168,K567)),"",IF(RIGHT(TRIM(INDEX($A$3:$A$168,K567)),1)="]",LEFT(TRIM(INDEX($A$3:$A$168,K567)),LEN(TRIM(INDEX($A$3:$A$168,K567)))-1)&amp;", "&amp;SUBSTITUTE(SUBSTITUTE(SUBSTITUTE(E567," [",", "),"[",", "),"]","")&amp;"]",TRIM(INDEX($A$3:$A$168,K567))&amp;" ["&amp;SUBSTITUTE(SUBSTITUTE(SUBSTITUTE(E567," [",", "),"[",", "),"]","")&amp;"]")))</x:f>
      </x:c>
      <x:c r="G567" t="str">
        <x:f>IF(F567&lt;&gt;"",ROWS($F$3:F567)-COUNTBLANK($F$3:F567),"")</x:f>
      </x:c>
      <x:c r="H567"/>
      <x:c r="I567"/>
      <x:c r="J567"/>
      <x:c r="K567" t="str">
        <x:f>IF(ROW()-ROW($K$2)&lt;=SUM($J$3:$J$168),COUNTIF($H$3:$H$168,"&lt;"&amp;(ROW()-ROW($K$2))),"")</x:f>
      </x:c>
      <x:c r="L567" t="str">
        <x:f>IF(K567="","",ROW()-ROW($L$2)-INDEX($H$3:$H$168,K567))</x:f>
      </x:c>
      <x:c r="M567" t="str">
        <x:f>IF(K567="","",IF(L567=1,1,FIND(CHAR(1),SUBSTITUTE(INDEX($B$3:$B$168,K567),CHAR(10),CHAR(1),L567-1))+1))</x:f>
      </x:c>
      <x:c r="N567" t="str">
        <x:f>IF(K567="","",IFERROR(FIND(CHAR(1),SUBSTITUTE(INDEX($B$3:$B$168,K567),CHAR(10),CHAR(1),L567)),LEN(INDEX($B$3:$B$168,K567))+1))</x:f>
      </x:c>
    </x:row>
    <x:row r="568">
      <x:c r="A568"/>
      <x:c r="B568"/>
      <x:c r="C568"/>
      <x:c r="D568" t="str">
        <x:f>IFERROR(IF(566&lt;=$O$1,INDEX($A$3:$A$168,MATCH(566,$I$3:$I$168,0)),IF(566&lt;=$O$1+$O$2,INDEX($F$3:$F$1994,MATCH(566-$O$1,$G$3:$G$1994,0)),"")),"")</x:f>
      </x:c>
      <x:c r="E568" t="str">
        <x:f>IF(K568="","",IF(N568&lt;=M568,"",TRIM(CLEAN(MID(INDEX($B$3:$B$168,K568),M568,N568-M568)))))</x:f>
      </x:c>
      <x:c r="F568" t="str">
        <x:f>IF(E568="","",IF(E568=TRIM(INDEX($A$3:$A$168,K568)),"",IF(RIGHT(TRIM(INDEX($A$3:$A$168,K568)),1)="]",LEFT(TRIM(INDEX($A$3:$A$168,K568)),LEN(TRIM(INDEX($A$3:$A$168,K568)))-1)&amp;", "&amp;SUBSTITUTE(SUBSTITUTE(SUBSTITUTE(E568," [",", "),"[",", "),"]","")&amp;"]",TRIM(INDEX($A$3:$A$168,K568))&amp;" ["&amp;SUBSTITUTE(SUBSTITUTE(SUBSTITUTE(E568," [",", "),"[",", "),"]","")&amp;"]")))</x:f>
      </x:c>
      <x:c r="G568" t="str">
        <x:f>IF(F568&lt;&gt;"",ROWS($F$3:F568)-COUNTBLANK($F$3:F568),"")</x:f>
      </x:c>
      <x:c r="H568"/>
      <x:c r="I568"/>
      <x:c r="J568"/>
      <x:c r="K568" t="str">
        <x:f>IF(ROW()-ROW($K$2)&lt;=SUM($J$3:$J$168),COUNTIF($H$3:$H$168,"&lt;"&amp;(ROW()-ROW($K$2))),"")</x:f>
      </x:c>
      <x:c r="L568" t="str">
        <x:f>IF(K568="","",ROW()-ROW($L$2)-INDEX($H$3:$H$168,K568))</x:f>
      </x:c>
      <x:c r="M568" t="str">
        <x:f>IF(K568="","",IF(L568=1,1,FIND(CHAR(1),SUBSTITUTE(INDEX($B$3:$B$168,K568),CHAR(10),CHAR(1),L568-1))+1))</x:f>
      </x:c>
      <x:c r="N568" t="str">
        <x:f>IF(K568="","",IFERROR(FIND(CHAR(1),SUBSTITUTE(INDEX($B$3:$B$168,K568),CHAR(10),CHAR(1),L568)),LEN(INDEX($B$3:$B$168,K568))+1))</x:f>
      </x:c>
    </x:row>
    <x:row r="569">
      <x:c r="A569"/>
      <x:c r="B569"/>
      <x:c r="C569"/>
      <x:c r="D569" t="str">
        <x:f>IFERROR(IF(567&lt;=$O$1,INDEX($A$3:$A$168,MATCH(567,$I$3:$I$168,0)),IF(567&lt;=$O$1+$O$2,INDEX($F$3:$F$1994,MATCH(567-$O$1,$G$3:$G$1994,0)),"")),"")</x:f>
      </x:c>
      <x:c r="E569" t="str">
        <x:f>IF(K569="","",IF(N569&lt;=M569,"",TRIM(CLEAN(MID(INDEX($B$3:$B$168,K569),M569,N569-M569)))))</x:f>
      </x:c>
      <x:c r="F569" t="str">
        <x:f>IF(E569="","",IF(E569=TRIM(INDEX($A$3:$A$168,K569)),"",IF(RIGHT(TRIM(INDEX($A$3:$A$168,K569)),1)="]",LEFT(TRIM(INDEX($A$3:$A$168,K569)),LEN(TRIM(INDEX($A$3:$A$168,K569)))-1)&amp;", "&amp;SUBSTITUTE(SUBSTITUTE(SUBSTITUTE(E569," [",", "),"[",", "),"]","")&amp;"]",TRIM(INDEX($A$3:$A$168,K569))&amp;" ["&amp;SUBSTITUTE(SUBSTITUTE(SUBSTITUTE(E569," [",", "),"[",", "),"]","")&amp;"]")))</x:f>
      </x:c>
      <x:c r="G569" t="str">
        <x:f>IF(F569&lt;&gt;"",ROWS($F$3:F569)-COUNTBLANK($F$3:F569),"")</x:f>
      </x:c>
      <x:c r="H569"/>
      <x:c r="I569"/>
      <x:c r="J569"/>
      <x:c r="K569" t="str">
        <x:f>IF(ROW()-ROW($K$2)&lt;=SUM($J$3:$J$168),COUNTIF($H$3:$H$168,"&lt;"&amp;(ROW()-ROW($K$2))),"")</x:f>
      </x:c>
      <x:c r="L569" t="str">
        <x:f>IF(K569="","",ROW()-ROW($L$2)-INDEX($H$3:$H$168,K569))</x:f>
      </x:c>
      <x:c r="M569" t="str">
        <x:f>IF(K569="","",IF(L569=1,1,FIND(CHAR(1),SUBSTITUTE(INDEX($B$3:$B$168,K569),CHAR(10),CHAR(1),L569-1))+1))</x:f>
      </x:c>
      <x:c r="N569" t="str">
        <x:f>IF(K569="","",IFERROR(FIND(CHAR(1),SUBSTITUTE(INDEX($B$3:$B$168,K569),CHAR(10),CHAR(1),L569)),LEN(INDEX($B$3:$B$168,K569))+1))</x:f>
      </x:c>
    </x:row>
    <x:row r="570">
      <x:c r="A570"/>
      <x:c r="B570"/>
      <x:c r="C570"/>
      <x:c r="D570" t="str">
        <x:f>IFERROR(IF(568&lt;=$O$1,INDEX($A$3:$A$168,MATCH(568,$I$3:$I$168,0)),IF(568&lt;=$O$1+$O$2,INDEX($F$3:$F$1994,MATCH(568-$O$1,$G$3:$G$1994,0)),"")),"")</x:f>
      </x:c>
      <x:c r="E570" t="str">
        <x:f>IF(K570="","",IF(N570&lt;=M570,"",TRIM(CLEAN(MID(INDEX($B$3:$B$168,K570),M570,N570-M570)))))</x:f>
      </x:c>
      <x:c r="F570" t="str">
        <x:f>IF(E570="","",IF(E570=TRIM(INDEX($A$3:$A$168,K570)),"",IF(RIGHT(TRIM(INDEX($A$3:$A$168,K570)),1)="]",LEFT(TRIM(INDEX($A$3:$A$168,K570)),LEN(TRIM(INDEX($A$3:$A$168,K570)))-1)&amp;", "&amp;SUBSTITUTE(SUBSTITUTE(SUBSTITUTE(E570," [",", "),"[",", "),"]","")&amp;"]",TRIM(INDEX($A$3:$A$168,K570))&amp;" ["&amp;SUBSTITUTE(SUBSTITUTE(SUBSTITUTE(E570," [",", "),"[",", "),"]","")&amp;"]")))</x:f>
      </x:c>
      <x:c r="G570" t="str">
        <x:f>IF(F570&lt;&gt;"",ROWS($F$3:F570)-COUNTBLANK($F$3:F570),"")</x:f>
      </x:c>
      <x:c r="H570"/>
      <x:c r="I570"/>
      <x:c r="J570"/>
      <x:c r="K570" t="str">
        <x:f>IF(ROW()-ROW($K$2)&lt;=SUM($J$3:$J$168),COUNTIF($H$3:$H$168,"&lt;"&amp;(ROW()-ROW($K$2))),"")</x:f>
      </x:c>
      <x:c r="L570" t="str">
        <x:f>IF(K570="","",ROW()-ROW($L$2)-INDEX($H$3:$H$168,K570))</x:f>
      </x:c>
      <x:c r="M570" t="str">
        <x:f>IF(K570="","",IF(L570=1,1,FIND(CHAR(1),SUBSTITUTE(INDEX($B$3:$B$168,K570),CHAR(10),CHAR(1),L570-1))+1))</x:f>
      </x:c>
      <x:c r="N570" t="str">
        <x:f>IF(K570="","",IFERROR(FIND(CHAR(1),SUBSTITUTE(INDEX($B$3:$B$168,K570),CHAR(10),CHAR(1),L570)),LEN(INDEX($B$3:$B$168,K570))+1))</x:f>
      </x:c>
    </x:row>
    <x:row r="571">
      <x:c r="A571"/>
      <x:c r="B571"/>
      <x:c r="C571"/>
      <x:c r="D571" t="str">
        <x:f>IFERROR(IF(569&lt;=$O$1,INDEX($A$3:$A$168,MATCH(569,$I$3:$I$168,0)),IF(569&lt;=$O$1+$O$2,INDEX($F$3:$F$1994,MATCH(569-$O$1,$G$3:$G$1994,0)),"")),"")</x:f>
      </x:c>
      <x:c r="E571" t="str">
        <x:f>IF(K571="","",IF(N571&lt;=M571,"",TRIM(CLEAN(MID(INDEX($B$3:$B$168,K571),M571,N571-M571)))))</x:f>
      </x:c>
      <x:c r="F571" t="str">
        <x:f>IF(E571="","",IF(E571=TRIM(INDEX($A$3:$A$168,K571)),"",IF(RIGHT(TRIM(INDEX($A$3:$A$168,K571)),1)="]",LEFT(TRIM(INDEX($A$3:$A$168,K571)),LEN(TRIM(INDEX($A$3:$A$168,K571)))-1)&amp;", "&amp;SUBSTITUTE(SUBSTITUTE(SUBSTITUTE(E571," [",", "),"[",", "),"]","")&amp;"]",TRIM(INDEX($A$3:$A$168,K571))&amp;" ["&amp;SUBSTITUTE(SUBSTITUTE(SUBSTITUTE(E571," [",", "),"[",", "),"]","")&amp;"]")))</x:f>
      </x:c>
      <x:c r="G571" t="str">
        <x:f>IF(F571&lt;&gt;"",ROWS($F$3:F571)-COUNTBLANK($F$3:F571),"")</x:f>
      </x:c>
      <x:c r="H571"/>
      <x:c r="I571"/>
      <x:c r="J571"/>
      <x:c r="K571" t="str">
        <x:f>IF(ROW()-ROW($K$2)&lt;=SUM($J$3:$J$168),COUNTIF($H$3:$H$168,"&lt;"&amp;(ROW()-ROW($K$2))),"")</x:f>
      </x:c>
      <x:c r="L571" t="str">
        <x:f>IF(K571="","",ROW()-ROW($L$2)-INDEX($H$3:$H$168,K571))</x:f>
      </x:c>
      <x:c r="M571" t="str">
        <x:f>IF(K571="","",IF(L571=1,1,FIND(CHAR(1),SUBSTITUTE(INDEX($B$3:$B$168,K571),CHAR(10),CHAR(1),L571-1))+1))</x:f>
      </x:c>
      <x:c r="N571" t="str">
        <x:f>IF(K571="","",IFERROR(FIND(CHAR(1),SUBSTITUTE(INDEX($B$3:$B$168,K571),CHAR(10),CHAR(1),L571)),LEN(INDEX($B$3:$B$168,K571))+1))</x:f>
      </x:c>
    </x:row>
    <x:row r="572">
      <x:c r="A572"/>
      <x:c r="B572"/>
      <x:c r="C572"/>
      <x:c r="D572" t="str">
        <x:f>IFERROR(IF(570&lt;=$O$1,INDEX($A$3:$A$168,MATCH(570,$I$3:$I$168,0)),IF(570&lt;=$O$1+$O$2,INDEX($F$3:$F$1994,MATCH(570-$O$1,$G$3:$G$1994,0)),"")),"")</x:f>
      </x:c>
      <x:c r="E572" t="str">
        <x:f>IF(K572="","",IF(N572&lt;=M572,"",TRIM(CLEAN(MID(INDEX($B$3:$B$168,K572),M572,N572-M572)))))</x:f>
      </x:c>
      <x:c r="F572" t="str">
        <x:f>IF(E572="","",IF(E572=TRIM(INDEX($A$3:$A$168,K572)),"",IF(RIGHT(TRIM(INDEX($A$3:$A$168,K572)),1)="]",LEFT(TRIM(INDEX($A$3:$A$168,K572)),LEN(TRIM(INDEX($A$3:$A$168,K572)))-1)&amp;", "&amp;SUBSTITUTE(SUBSTITUTE(SUBSTITUTE(E572," [",", "),"[",", "),"]","")&amp;"]",TRIM(INDEX($A$3:$A$168,K572))&amp;" ["&amp;SUBSTITUTE(SUBSTITUTE(SUBSTITUTE(E572," [",", "),"[",", "),"]","")&amp;"]")))</x:f>
      </x:c>
      <x:c r="G572" t="str">
        <x:f>IF(F572&lt;&gt;"",ROWS($F$3:F572)-COUNTBLANK($F$3:F572),"")</x:f>
      </x:c>
      <x:c r="H572"/>
      <x:c r="I572"/>
      <x:c r="J572"/>
      <x:c r="K572" t="str">
        <x:f>IF(ROW()-ROW($K$2)&lt;=SUM($J$3:$J$168),COUNTIF($H$3:$H$168,"&lt;"&amp;(ROW()-ROW($K$2))),"")</x:f>
      </x:c>
      <x:c r="L572" t="str">
        <x:f>IF(K572="","",ROW()-ROW($L$2)-INDEX($H$3:$H$168,K572))</x:f>
      </x:c>
      <x:c r="M572" t="str">
        <x:f>IF(K572="","",IF(L572=1,1,FIND(CHAR(1),SUBSTITUTE(INDEX($B$3:$B$168,K572),CHAR(10),CHAR(1),L572-1))+1))</x:f>
      </x:c>
      <x:c r="N572" t="str">
        <x:f>IF(K572="","",IFERROR(FIND(CHAR(1),SUBSTITUTE(INDEX($B$3:$B$168,K572),CHAR(10),CHAR(1),L572)),LEN(INDEX($B$3:$B$168,K572))+1))</x:f>
      </x:c>
    </x:row>
    <x:row r="573">
      <x:c r="A573"/>
      <x:c r="B573"/>
      <x:c r="C573"/>
      <x:c r="D573" t="str">
        <x:f>IFERROR(IF(571&lt;=$O$1,INDEX($A$3:$A$168,MATCH(571,$I$3:$I$168,0)),IF(571&lt;=$O$1+$O$2,INDEX($F$3:$F$1994,MATCH(571-$O$1,$G$3:$G$1994,0)),"")),"")</x:f>
      </x:c>
      <x:c r="E573" t="str">
        <x:f>IF(K573="","",IF(N573&lt;=M573,"",TRIM(CLEAN(MID(INDEX($B$3:$B$168,K573),M573,N573-M573)))))</x:f>
      </x:c>
      <x:c r="F573" t="str">
        <x:f>IF(E573="","",IF(E573=TRIM(INDEX($A$3:$A$168,K573)),"",IF(RIGHT(TRIM(INDEX($A$3:$A$168,K573)),1)="]",LEFT(TRIM(INDEX($A$3:$A$168,K573)),LEN(TRIM(INDEX($A$3:$A$168,K573)))-1)&amp;", "&amp;SUBSTITUTE(SUBSTITUTE(SUBSTITUTE(E573," [",", "),"[",", "),"]","")&amp;"]",TRIM(INDEX($A$3:$A$168,K573))&amp;" ["&amp;SUBSTITUTE(SUBSTITUTE(SUBSTITUTE(E573," [",", "),"[",", "),"]","")&amp;"]")))</x:f>
      </x:c>
      <x:c r="G573" t="str">
        <x:f>IF(F573&lt;&gt;"",ROWS($F$3:F573)-COUNTBLANK($F$3:F573),"")</x:f>
      </x:c>
      <x:c r="H573"/>
      <x:c r="I573"/>
      <x:c r="J573"/>
      <x:c r="K573" t="str">
        <x:f>IF(ROW()-ROW($K$2)&lt;=SUM($J$3:$J$168),COUNTIF($H$3:$H$168,"&lt;"&amp;(ROW()-ROW($K$2))),"")</x:f>
      </x:c>
      <x:c r="L573" t="str">
        <x:f>IF(K573="","",ROW()-ROW($L$2)-INDEX($H$3:$H$168,K573))</x:f>
      </x:c>
      <x:c r="M573" t="str">
        <x:f>IF(K573="","",IF(L573=1,1,FIND(CHAR(1),SUBSTITUTE(INDEX($B$3:$B$168,K573),CHAR(10),CHAR(1),L573-1))+1))</x:f>
      </x:c>
      <x:c r="N573" t="str">
        <x:f>IF(K573="","",IFERROR(FIND(CHAR(1),SUBSTITUTE(INDEX($B$3:$B$168,K573),CHAR(10),CHAR(1),L573)),LEN(INDEX($B$3:$B$168,K573))+1))</x:f>
      </x:c>
    </x:row>
    <x:row r="574">
      <x:c r="A574"/>
      <x:c r="B574"/>
      <x:c r="C574"/>
      <x:c r="D574" t="str">
        <x:f>IFERROR(IF(572&lt;=$O$1,INDEX($A$3:$A$168,MATCH(572,$I$3:$I$168,0)),IF(572&lt;=$O$1+$O$2,INDEX($F$3:$F$1994,MATCH(572-$O$1,$G$3:$G$1994,0)),"")),"")</x:f>
      </x:c>
      <x:c r="E574" t="str">
        <x:f>IF(K574="","",IF(N574&lt;=M574,"",TRIM(CLEAN(MID(INDEX($B$3:$B$168,K574),M574,N574-M574)))))</x:f>
      </x:c>
      <x:c r="F574" t="str">
        <x:f>IF(E574="","",IF(E574=TRIM(INDEX($A$3:$A$168,K574)),"",IF(RIGHT(TRIM(INDEX($A$3:$A$168,K574)),1)="]",LEFT(TRIM(INDEX($A$3:$A$168,K574)),LEN(TRIM(INDEX($A$3:$A$168,K574)))-1)&amp;", "&amp;SUBSTITUTE(SUBSTITUTE(SUBSTITUTE(E574," [",", "),"[",", "),"]","")&amp;"]",TRIM(INDEX($A$3:$A$168,K574))&amp;" ["&amp;SUBSTITUTE(SUBSTITUTE(SUBSTITUTE(E574," [",", "),"[",", "),"]","")&amp;"]")))</x:f>
      </x:c>
      <x:c r="G574" t="str">
        <x:f>IF(F574&lt;&gt;"",ROWS($F$3:F574)-COUNTBLANK($F$3:F574),"")</x:f>
      </x:c>
      <x:c r="H574"/>
      <x:c r="I574"/>
      <x:c r="J574"/>
      <x:c r="K574" t="str">
        <x:f>IF(ROW()-ROW($K$2)&lt;=SUM($J$3:$J$168),COUNTIF($H$3:$H$168,"&lt;"&amp;(ROW()-ROW($K$2))),"")</x:f>
      </x:c>
      <x:c r="L574" t="str">
        <x:f>IF(K574="","",ROW()-ROW($L$2)-INDEX($H$3:$H$168,K574))</x:f>
      </x:c>
      <x:c r="M574" t="str">
        <x:f>IF(K574="","",IF(L574=1,1,FIND(CHAR(1),SUBSTITUTE(INDEX($B$3:$B$168,K574),CHAR(10),CHAR(1),L574-1))+1))</x:f>
      </x:c>
      <x:c r="N574" t="str">
        <x:f>IF(K574="","",IFERROR(FIND(CHAR(1),SUBSTITUTE(INDEX($B$3:$B$168,K574),CHAR(10),CHAR(1),L574)),LEN(INDEX($B$3:$B$168,K574))+1))</x:f>
      </x:c>
    </x:row>
    <x:row r="575">
      <x:c r="A575"/>
      <x:c r="B575"/>
      <x:c r="C575"/>
      <x:c r="D575" t="str">
        <x:f>IFERROR(IF(573&lt;=$O$1,INDEX($A$3:$A$168,MATCH(573,$I$3:$I$168,0)),IF(573&lt;=$O$1+$O$2,INDEX($F$3:$F$1994,MATCH(573-$O$1,$G$3:$G$1994,0)),"")),"")</x:f>
      </x:c>
      <x:c r="E575" t="str">
        <x:f>IF(K575="","",IF(N575&lt;=M575,"",TRIM(CLEAN(MID(INDEX($B$3:$B$168,K575),M575,N575-M575)))))</x:f>
      </x:c>
      <x:c r="F575" t="str">
        <x:f>IF(E575="","",IF(E575=TRIM(INDEX($A$3:$A$168,K575)),"",IF(RIGHT(TRIM(INDEX($A$3:$A$168,K575)),1)="]",LEFT(TRIM(INDEX($A$3:$A$168,K575)),LEN(TRIM(INDEX($A$3:$A$168,K575)))-1)&amp;", "&amp;SUBSTITUTE(SUBSTITUTE(SUBSTITUTE(E575," [",", "),"[",", "),"]","")&amp;"]",TRIM(INDEX($A$3:$A$168,K575))&amp;" ["&amp;SUBSTITUTE(SUBSTITUTE(SUBSTITUTE(E575," [",", "),"[",", "),"]","")&amp;"]")))</x:f>
      </x:c>
      <x:c r="G575" t="str">
        <x:f>IF(F575&lt;&gt;"",ROWS($F$3:F575)-COUNTBLANK($F$3:F575),"")</x:f>
      </x:c>
      <x:c r="H575"/>
      <x:c r="I575"/>
      <x:c r="J575"/>
      <x:c r="K575" t="str">
        <x:f>IF(ROW()-ROW($K$2)&lt;=SUM($J$3:$J$168),COUNTIF($H$3:$H$168,"&lt;"&amp;(ROW()-ROW($K$2))),"")</x:f>
      </x:c>
      <x:c r="L575" t="str">
        <x:f>IF(K575="","",ROW()-ROW($L$2)-INDEX($H$3:$H$168,K575))</x:f>
      </x:c>
      <x:c r="M575" t="str">
        <x:f>IF(K575="","",IF(L575=1,1,FIND(CHAR(1),SUBSTITUTE(INDEX($B$3:$B$168,K575),CHAR(10),CHAR(1),L575-1))+1))</x:f>
      </x:c>
      <x:c r="N575" t="str">
        <x:f>IF(K575="","",IFERROR(FIND(CHAR(1),SUBSTITUTE(INDEX($B$3:$B$168,K575),CHAR(10),CHAR(1),L575)),LEN(INDEX($B$3:$B$168,K575))+1))</x:f>
      </x:c>
    </x:row>
    <x:row r="576">
      <x:c r="A576"/>
      <x:c r="B576"/>
      <x:c r="C576"/>
      <x:c r="D576" t="str">
        <x:f>IFERROR(IF(574&lt;=$O$1,INDEX($A$3:$A$168,MATCH(574,$I$3:$I$168,0)),IF(574&lt;=$O$1+$O$2,INDEX($F$3:$F$1994,MATCH(574-$O$1,$G$3:$G$1994,0)),"")),"")</x:f>
      </x:c>
      <x:c r="E576" t="str">
        <x:f>IF(K576="","",IF(N576&lt;=M576,"",TRIM(CLEAN(MID(INDEX($B$3:$B$168,K576),M576,N576-M576)))))</x:f>
      </x:c>
      <x:c r="F576" t="str">
        <x:f>IF(E576="","",IF(E576=TRIM(INDEX($A$3:$A$168,K576)),"",IF(RIGHT(TRIM(INDEX($A$3:$A$168,K576)),1)="]",LEFT(TRIM(INDEX($A$3:$A$168,K576)),LEN(TRIM(INDEX($A$3:$A$168,K576)))-1)&amp;", "&amp;SUBSTITUTE(SUBSTITUTE(SUBSTITUTE(E576," [",", "),"[",", "),"]","")&amp;"]",TRIM(INDEX($A$3:$A$168,K576))&amp;" ["&amp;SUBSTITUTE(SUBSTITUTE(SUBSTITUTE(E576," [",", "),"[",", "),"]","")&amp;"]")))</x:f>
      </x:c>
      <x:c r="G576" t="str">
        <x:f>IF(F576&lt;&gt;"",ROWS($F$3:F576)-COUNTBLANK($F$3:F576),"")</x:f>
      </x:c>
      <x:c r="H576"/>
      <x:c r="I576"/>
      <x:c r="J576"/>
      <x:c r="K576" t="str">
        <x:f>IF(ROW()-ROW($K$2)&lt;=SUM($J$3:$J$168),COUNTIF($H$3:$H$168,"&lt;"&amp;(ROW()-ROW($K$2))),"")</x:f>
      </x:c>
      <x:c r="L576" t="str">
        <x:f>IF(K576="","",ROW()-ROW($L$2)-INDEX($H$3:$H$168,K576))</x:f>
      </x:c>
      <x:c r="M576" t="str">
        <x:f>IF(K576="","",IF(L576=1,1,FIND(CHAR(1),SUBSTITUTE(INDEX($B$3:$B$168,K576),CHAR(10),CHAR(1),L576-1))+1))</x:f>
      </x:c>
      <x:c r="N576" t="str">
        <x:f>IF(K576="","",IFERROR(FIND(CHAR(1),SUBSTITUTE(INDEX($B$3:$B$168,K576),CHAR(10),CHAR(1),L576)),LEN(INDEX($B$3:$B$168,K576))+1))</x:f>
      </x:c>
    </x:row>
    <x:row r="577">
      <x:c r="A577"/>
      <x:c r="B577"/>
      <x:c r="C577"/>
      <x:c r="D577" t="str">
        <x:f>IFERROR(IF(575&lt;=$O$1,INDEX($A$3:$A$168,MATCH(575,$I$3:$I$168,0)),IF(575&lt;=$O$1+$O$2,INDEX($F$3:$F$1994,MATCH(575-$O$1,$G$3:$G$1994,0)),"")),"")</x:f>
      </x:c>
      <x:c r="E577" t="str">
        <x:f>IF(K577="","",IF(N577&lt;=M577,"",TRIM(CLEAN(MID(INDEX($B$3:$B$168,K577),M577,N577-M577)))))</x:f>
      </x:c>
      <x:c r="F577" t="str">
        <x:f>IF(E577="","",IF(E577=TRIM(INDEX($A$3:$A$168,K577)),"",IF(RIGHT(TRIM(INDEX($A$3:$A$168,K577)),1)="]",LEFT(TRIM(INDEX($A$3:$A$168,K577)),LEN(TRIM(INDEX($A$3:$A$168,K577)))-1)&amp;", "&amp;SUBSTITUTE(SUBSTITUTE(SUBSTITUTE(E577," [",", "),"[",", "),"]","")&amp;"]",TRIM(INDEX($A$3:$A$168,K577))&amp;" ["&amp;SUBSTITUTE(SUBSTITUTE(SUBSTITUTE(E577," [",", "),"[",", "),"]","")&amp;"]")))</x:f>
      </x:c>
      <x:c r="G577" t="str">
        <x:f>IF(F577&lt;&gt;"",ROWS($F$3:F577)-COUNTBLANK($F$3:F577),"")</x:f>
      </x:c>
      <x:c r="H577"/>
      <x:c r="I577"/>
      <x:c r="J577"/>
      <x:c r="K577" t="str">
        <x:f>IF(ROW()-ROW($K$2)&lt;=SUM($J$3:$J$168),COUNTIF($H$3:$H$168,"&lt;"&amp;(ROW()-ROW($K$2))),"")</x:f>
      </x:c>
      <x:c r="L577" t="str">
        <x:f>IF(K577="","",ROW()-ROW($L$2)-INDEX($H$3:$H$168,K577))</x:f>
      </x:c>
      <x:c r="M577" t="str">
        <x:f>IF(K577="","",IF(L577=1,1,FIND(CHAR(1),SUBSTITUTE(INDEX($B$3:$B$168,K577),CHAR(10),CHAR(1),L577-1))+1))</x:f>
      </x:c>
      <x:c r="N577" t="str">
        <x:f>IF(K577="","",IFERROR(FIND(CHAR(1),SUBSTITUTE(INDEX($B$3:$B$168,K577),CHAR(10),CHAR(1),L577)),LEN(INDEX($B$3:$B$168,K577))+1))</x:f>
      </x:c>
    </x:row>
    <x:row r="578">
      <x:c r="A578"/>
      <x:c r="B578"/>
      <x:c r="C578"/>
      <x:c r="D578" t="str">
        <x:f>IFERROR(IF(576&lt;=$O$1,INDEX($A$3:$A$168,MATCH(576,$I$3:$I$168,0)),IF(576&lt;=$O$1+$O$2,INDEX($F$3:$F$1994,MATCH(576-$O$1,$G$3:$G$1994,0)),"")),"")</x:f>
      </x:c>
      <x:c r="E578" t="str">
        <x:f>IF(K578="","",IF(N578&lt;=M578,"",TRIM(CLEAN(MID(INDEX($B$3:$B$168,K578),M578,N578-M578)))))</x:f>
      </x:c>
      <x:c r="F578" t="str">
        <x:f>IF(E578="","",IF(E578=TRIM(INDEX($A$3:$A$168,K578)),"",IF(RIGHT(TRIM(INDEX($A$3:$A$168,K578)),1)="]",LEFT(TRIM(INDEX($A$3:$A$168,K578)),LEN(TRIM(INDEX($A$3:$A$168,K578)))-1)&amp;", "&amp;SUBSTITUTE(SUBSTITUTE(SUBSTITUTE(E578," [",", "),"[",", "),"]","")&amp;"]",TRIM(INDEX($A$3:$A$168,K578))&amp;" ["&amp;SUBSTITUTE(SUBSTITUTE(SUBSTITUTE(E578," [",", "),"[",", "),"]","")&amp;"]")))</x:f>
      </x:c>
      <x:c r="G578" t="str">
        <x:f>IF(F578&lt;&gt;"",ROWS($F$3:F578)-COUNTBLANK($F$3:F578),"")</x:f>
      </x:c>
      <x:c r="H578"/>
      <x:c r="I578"/>
      <x:c r="J578"/>
      <x:c r="K578" t="str">
        <x:f>IF(ROW()-ROW($K$2)&lt;=SUM($J$3:$J$168),COUNTIF($H$3:$H$168,"&lt;"&amp;(ROW()-ROW($K$2))),"")</x:f>
      </x:c>
      <x:c r="L578" t="str">
        <x:f>IF(K578="","",ROW()-ROW($L$2)-INDEX($H$3:$H$168,K578))</x:f>
      </x:c>
      <x:c r="M578" t="str">
        <x:f>IF(K578="","",IF(L578=1,1,FIND(CHAR(1),SUBSTITUTE(INDEX($B$3:$B$168,K578),CHAR(10),CHAR(1),L578-1))+1))</x:f>
      </x:c>
      <x:c r="N578" t="str">
        <x:f>IF(K578="","",IFERROR(FIND(CHAR(1),SUBSTITUTE(INDEX($B$3:$B$168,K578),CHAR(10),CHAR(1),L578)),LEN(INDEX($B$3:$B$168,K578))+1))</x:f>
      </x:c>
    </x:row>
    <x:row r="579">
      <x:c r="A579"/>
      <x:c r="B579"/>
      <x:c r="C579"/>
      <x:c r="D579" t="str">
        <x:f>IFERROR(IF(577&lt;=$O$1,INDEX($A$3:$A$168,MATCH(577,$I$3:$I$168,0)),IF(577&lt;=$O$1+$O$2,INDEX($F$3:$F$1994,MATCH(577-$O$1,$G$3:$G$1994,0)),"")),"")</x:f>
      </x:c>
      <x:c r="E579" t="str">
        <x:f>IF(K579="","",IF(N579&lt;=M579,"",TRIM(CLEAN(MID(INDEX($B$3:$B$168,K579),M579,N579-M579)))))</x:f>
      </x:c>
      <x:c r="F579" t="str">
        <x:f>IF(E579="","",IF(E579=TRIM(INDEX($A$3:$A$168,K579)),"",IF(RIGHT(TRIM(INDEX($A$3:$A$168,K579)),1)="]",LEFT(TRIM(INDEX($A$3:$A$168,K579)),LEN(TRIM(INDEX($A$3:$A$168,K579)))-1)&amp;", "&amp;SUBSTITUTE(SUBSTITUTE(SUBSTITUTE(E579," [",", "),"[",", "),"]","")&amp;"]",TRIM(INDEX($A$3:$A$168,K579))&amp;" ["&amp;SUBSTITUTE(SUBSTITUTE(SUBSTITUTE(E579," [",", "),"[",", "),"]","")&amp;"]")))</x:f>
      </x:c>
      <x:c r="G579" t="str">
        <x:f>IF(F579&lt;&gt;"",ROWS($F$3:F579)-COUNTBLANK($F$3:F579),"")</x:f>
      </x:c>
      <x:c r="H579"/>
      <x:c r="I579"/>
      <x:c r="J579"/>
      <x:c r="K579" t="str">
        <x:f>IF(ROW()-ROW($K$2)&lt;=SUM($J$3:$J$168),COUNTIF($H$3:$H$168,"&lt;"&amp;(ROW()-ROW($K$2))),"")</x:f>
      </x:c>
      <x:c r="L579" t="str">
        <x:f>IF(K579="","",ROW()-ROW($L$2)-INDEX($H$3:$H$168,K579))</x:f>
      </x:c>
      <x:c r="M579" t="str">
        <x:f>IF(K579="","",IF(L579=1,1,FIND(CHAR(1),SUBSTITUTE(INDEX($B$3:$B$168,K579),CHAR(10),CHAR(1),L579-1))+1))</x:f>
      </x:c>
      <x:c r="N579" t="str">
        <x:f>IF(K579="","",IFERROR(FIND(CHAR(1),SUBSTITUTE(INDEX($B$3:$B$168,K579),CHAR(10),CHAR(1),L579)),LEN(INDEX($B$3:$B$168,K579))+1))</x:f>
      </x:c>
    </x:row>
    <x:row r="580">
      <x:c r="A580"/>
      <x:c r="B580"/>
      <x:c r="C580"/>
      <x:c r="D580" t="str">
        <x:f>IFERROR(IF(578&lt;=$O$1,INDEX($A$3:$A$168,MATCH(578,$I$3:$I$168,0)),IF(578&lt;=$O$1+$O$2,INDEX($F$3:$F$1994,MATCH(578-$O$1,$G$3:$G$1994,0)),"")),"")</x:f>
      </x:c>
      <x:c r="E580" t="str">
        <x:f>IF(K580="","",IF(N580&lt;=M580,"",TRIM(CLEAN(MID(INDEX($B$3:$B$168,K580),M580,N580-M580)))))</x:f>
      </x:c>
      <x:c r="F580" t="str">
        <x:f>IF(E580="","",IF(E580=TRIM(INDEX($A$3:$A$168,K580)),"",IF(RIGHT(TRIM(INDEX($A$3:$A$168,K580)),1)="]",LEFT(TRIM(INDEX($A$3:$A$168,K580)),LEN(TRIM(INDEX($A$3:$A$168,K580)))-1)&amp;", "&amp;SUBSTITUTE(SUBSTITUTE(SUBSTITUTE(E580," [",", "),"[",", "),"]","")&amp;"]",TRIM(INDEX($A$3:$A$168,K580))&amp;" ["&amp;SUBSTITUTE(SUBSTITUTE(SUBSTITUTE(E580," [",", "),"[",", "),"]","")&amp;"]")))</x:f>
      </x:c>
      <x:c r="G580" t="str">
        <x:f>IF(F580&lt;&gt;"",ROWS($F$3:F580)-COUNTBLANK($F$3:F580),"")</x:f>
      </x:c>
      <x:c r="H580"/>
      <x:c r="I580"/>
      <x:c r="J580"/>
      <x:c r="K580" t="str">
        <x:f>IF(ROW()-ROW($K$2)&lt;=SUM($J$3:$J$168),COUNTIF($H$3:$H$168,"&lt;"&amp;(ROW()-ROW($K$2))),"")</x:f>
      </x:c>
      <x:c r="L580" t="str">
        <x:f>IF(K580="","",ROW()-ROW($L$2)-INDEX($H$3:$H$168,K580))</x:f>
      </x:c>
      <x:c r="M580" t="str">
        <x:f>IF(K580="","",IF(L580=1,1,FIND(CHAR(1),SUBSTITUTE(INDEX($B$3:$B$168,K580),CHAR(10),CHAR(1),L580-1))+1))</x:f>
      </x:c>
      <x:c r="N580" t="str">
        <x:f>IF(K580="","",IFERROR(FIND(CHAR(1),SUBSTITUTE(INDEX($B$3:$B$168,K580),CHAR(10),CHAR(1),L580)),LEN(INDEX($B$3:$B$168,K580))+1))</x:f>
      </x:c>
    </x:row>
    <x:row r="581">
      <x:c r="A581"/>
      <x:c r="B581"/>
      <x:c r="C581"/>
      <x:c r="D581" t="str">
        <x:f>IFERROR(IF(579&lt;=$O$1,INDEX($A$3:$A$168,MATCH(579,$I$3:$I$168,0)),IF(579&lt;=$O$1+$O$2,INDEX($F$3:$F$1994,MATCH(579-$O$1,$G$3:$G$1994,0)),"")),"")</x:f>
      </x:c>
      <x:c r="E581" t="str">
        <x:f>IF(K581="","",IF(N581&lt;=M581,"",TRIM(CLEAN(MID(INDEX($B$3:$B$168,K581),M581,N581-M581)))))</x:f>
      </x:c>
      <x:c r="F581" t="str">
        <x:f>IF(E581="","",IF(E581=TRIM(INDEX($A$3:$A$168,K581)),"",IF(RIGHT(TRIM(INDEX($A$3:$A$168,K581)),1)="]",LEFT(TRIM(INDEX($A$3:$A$168,K581)),LEN(TRIM(INDEX($A$3:$A$168,K581)))-1)&amp;", "&amp;SUBSTITUTE(SUBSTITUTE(SUBSTITUTE(E581," [",", "),"[",", "),"]","")&amp;"]",TRIM(INDEX($A$3:$A$168,K581))&amp;" ["&amp;SUBSTITUTE(SUBSTITUTE(SUBSTITUTE(E581," [",", "),"[",", "),"]","")&amp;"]")))</x:f>
      </x:c>
      <x:c r="G581" t="str">
        <x:f>IF(F581&lt;&gt;"",ROWS($F$3:F581)-COUNTBLANK($F$3:F581),"")</x:f>
      </x:c>
      <x:c r="H581"/>
      <x:c r="I581"/>
      <x:c r="J581"/>
      <x:c r="K581" t="str">
        <x:f>IF(ROW()-ROW($K$2)&lt;=SUM($J$3:$J$168),COUNTIF($H$3:$H$168,"&lt;"&amp;(ROW()-ROW($K$2))),"")</x:f>
      </x:c>
      <x:c r="L581" t="str">
        <x:f>IF(K581="","",ROW()-ROW($L$2)-INDEX($H$3:$H$168,K581))</x:f>
      </x:c>
      <x:c r="M581" t="str">
        <x:f>IF(K581="","",IF(L581=1,1,FIND(CHAR(1),SUBSTITUTE(INDEX($B$3:$B$168,K581),CHAR(10),CHAR(1),L581-1))+1))</x:f>
      </x:c>
      <x:c r="N581" t="str">
        <x:f>IF(K581="","",IFERROR(FIND(CHAR(1),SUBSTITUTE(INDEX($B$3:$B$168,K581),CHAR(10),CHAR(1),L581)),LEN(INDEX($B$3:$B$168,K581))+1))</x:f>
      </x:c>
    </x:row>
    <x:row r="582">
      <x:c r="A582"/>
      <x:c r="B582"/>
      <x:c r="C582"/>
      <x:c r="D582" t="str">
        <x:f>IFERROR(IF(580&lt;=$O$1,INDEX($A$3:$A$168,MATCH(580,$I$3:$I$168,0)),IF(580&lt;=$O$1+$O$2,INDEX($F$3:$F$1994,MATCH(580-$O$1,$G$3:$G$1994,0)),"")),"")</x:f>
      </x:c>
      <x:c r="E582" t="str">
        <x:f>IF(K582="","",IF(N582&lt;=M582,"",TRIM(CLEAN(MID(INDEX($B$3:$B$168,K582),M582,N582-M582)))))</x:f>
      </x:c>
      <x:c r="F582" t="str">
        <x:f>IF(E582="","",IF(E582=TRIM(INDEX($A$3:$A$168,K582)),"",IF(RIGHT(TRIM(INDEX($A$3:$A$168,K582)),1)="]",LEFT(TRIM(INDEX($A$3:$A$168,K582)),LEN(TRIM(INDEX($A$3:$A$168,K582)))-1)&amp;", "&amp;SUBSTITUTE(SUBSTITUTE(SUBSTITUTE(E582," [",", "),"[",", "),"]","")&amp;"]",TRIM(INDEX($A$3:$A$168,K582))&amp;" ["&amp;SUBSTITUTE(SUBSTITUTE(SUBSTITUTE(E582," [",", "),"[",", "),"]","")&amp;"]")))</x:f>
      </x:c>
      <x:c r="G582" t="str">
        <x:f>IF(F582&lt;&gt;"",ROWS($F$3:F582)-COUNTBLANK($F$3:F582),"")</x:f>
      </x:c>
      <x:c r="H582"/>
      <x:c r="I582"/>
      <x:c r="J582"/>
      <x:c r="K582" t="str">
        <x:f>IF(ROW()-ROW($K$2)&lt;=SUM($J$3:$J$168),COUNTIF($H$3:$H$168,"&lt;"&amp;(ROW()-ROW($K$2))),"")</x:f>
      </x:c>
      <x:c r="L582" t="str">
        <x:f>IF(K582="","",ROW()-ROW($L$2)-INDEX($H$3:$H$168,K582))</x:f>
      </x:c>
      <x:c r="M582" t="str">
        <x:f>IF(K582="","",IF(L582=1,1,FIND(CHAR(1),SUBSTITUTE(INDEX($B$3:$B$168,K582),CHAR(10),CHAR(1),L582-1))+1))</x:f>
      </x:c>
      <x:c r="N582" t="str">
        <x:f>IF(K582="","",IFERROR(FIND(CHAR(1),SUBSTITUTE(INDEX($B$3:$B$168,K582),CHAR(10),CHAR(1),L582)),LEN(INDEX($B$3:$B$168,K582))+1))</x:f>
      </x:c>
    </x:row>
    <x:row r="583">
      <x:c r="A583"/>
      <x:c r="B583"/>
      <x:c r="C583"/>
      <x:c r="D583" t="str">
        <x:f>IFERROR(IF(581&lt;=$O$1,INDEX($A$3:$A$168,MATCH(581,$I$3:$I$168,0)),IF(581&lt;=$O$1+$O$2,INDEX($F$3:$F$1994,MATCH(581-$O$1,$G$3:$G$1994,0)),"")),"")</x:f>
      </x:c>
      <x:c r="E583" t="str">
        <x:f>IF(K583="","",IF(N583&lt;=M583,"",TRIM(CLEAN(MID(INDEX($B$3:$B$168,K583),M583,N583-M583)))))</x:f>
      </x:c>
      <x:c r="F583" t="str">
        <x:f>IF(E583="","",IF(E583=TRIM(INDEX($A$3:$A$168,K583)),"",IF(RIGHT(TRIM(INDEX($A$3:$A$168,K583)),1)="]",LEFT(TRIM(INDEX($A$3:$A$168,K583)),LEN(TRIM(INDEX($A$3:$A$168,K583)))-1)&amp;", "&amp;SUBSTITUTE(SUBSTITUTE(SUBSTITUTE(E583," [",", "),"[",", "),"]","")&amp;"]",TRIM(INDEX($A$3:$A$168,K583))&amp;" ["&amp;SUBSTITUTE(SUBSTITUTE(SUBSTITUTE(E583," [",", "),"[",", "),"]","")&amp;"]")))</x:f>
      </x:c>
      <x:c r="G583" t="str">
        <x:f>IF(F583&lt;&gt;"",ROWS($F$3:F583)-COUNTBLANK($F$3:F583),"")</x:f>
      </x:c>
      <x:c r="H583"/>
      <x:c r="I583"/>
      <x:c r="J583"/>
      <x:c r="K583" t="str">
        <x:f>IF(ROW()-ROW($K$2)&lt;=SUM($J$3:$J$168),COUNTIF($H$3:$H$168,"&lt;"&amp;(ROW()-ROW($K$2))),"")</x:f>
      </x:c>
      <x:c r="L583" t="str">
        <x:f>IF(K583="","",ROW()-ROW($L$2)-INDEX($H$3:$H$168,K583))</x:f>
      </x:c>
      <x:c r="M583" t="str">
        <x:f>IF(K583="","",IF(L583=1,1,FIND(CHAR(1),SUBSTITUTE(INDEX($B$3:$B$168,K583),CHAR(10),CHAR(1),L583-1))+1))</x:f>
      </x:c>
      <x:c r="N583" t="str">
        <x:f>IF(K583="","",IFERROR(FIND(CHAR(1),SUBSTITUTE(INDEX($B$3:$B$168,K583),CHAR(10),CHAR(1),L583)),LEN(INDEX($B$3:$B$168,K583))+1))</x:f>
      </x:c>
    </x:row>
    <x:row r="584">
      <x:c r="A584"/>
      <x:c r="B584"/>
      <x:c r="C584"/>
      <x:c r="D584" t="str">
        <x:f>IFERROR(IF(582&lt;=$O$1,INDEX($A$3:$A$168,MATCH(582,$I$3:$I$168,0)),IF(582&lt;=$O$1+$O$2,INDEX($F$3:$F$1994,MATCH(582-$O$1,$G$3:$G$1994,0)),"")),"")</x:f>
      </x:c>
      <x:c r="E584" t="str">
        <x:f>IF(K584="","",IF(N584&lt;=M584,"",TRIM(CLEAN(MID(INDEX($B$3:$B$168,K584),M584,N584-M584)))))</x:f>
      </x:c>
      <x:c r="F584" t="str">
        <x:f>IF(E584="","",IF(E584=TRIM(INDEX($A$3:$A$168,K584)),"",IF(RIGHT(TRIM(INDEX($A$3:$A$168,K584)),1)="]",LEFT(TRIM(INDEX($A$3:$A$168,K584)),LEN(TRIM(INDEX($A$3:$A$168,K584)))-1)&amp;", "&amp;SUBSTITUTE(SUBSTITUTE(SUBSTITUTE(E584," [",", "),"[",", "),"]","")&amp;"]",TRIM(INDEX($A$3:$A$168,K584))&amp;" ["&amp;SUBSTITUTE(SUBSTITUTE(SUBSTITUTE(E584," [",", "),"[",", "),"]","")&amp;"]")))</x:f>
      </x:c>
      <x:c r="G584" t="str">
        <x:f>IF(F584&lt;&gt;"",ROWS($F$3:F584)-COUNTBLANK($F$3:F584),"")</x:f>
      </x:c>
      <x:c r="H584"/>
      <x:c r="I584"/>
      <x:c r="J584"/>
      <x:c r="K584" t="str">
        <x:f>IF(ROW()-ROW($K$2)&lt;=SUM($J$3:$J$168),COUNTIF($H$3:$H$168,"&lt;"&amp;(ROW()-ROW($K$2))),"")</x:f>
      </x:c>
      <x:c r="L584" t="str">
        <x:f>IF(K584="","",ROW()-ROW($L$2)-INDEX($H$3:$H$168,K584))</x:f>
      </x:c>
      <x:c r="M584" t="str">
        <x:f>IF(K584="","",IF(L584=1,1,FIND(CHAR(1),SUBSTITUTE(INDEX($B$3:$B$168,K584),CHAR(10),CHAR(1),L584-1))+1))</x:f>
      </x:c>
      <x:c r="N584" t="str">
        <x:f>IF(K584="","",IFERROR(FIND(CHAR(1),SUBSTITUTE(INDEX($B$3:$B$168,K584),CHAR(10),CHAR(1),L584)),LEN(INDEX($B$3:$B$168,K584))+1))</x:f>
      </x:c>
    </x:row>
    <x:row r="585">
      <x:c r="A585"/>
      <x:c r="B585"/>
      <x:c r="C585"/>
      <x:c r="D585" t="str">
        <x:f>IFERROR(IF(583&lt;=$O$1,INDEX($A$3:$A$168,MATCH(583,$I$3:$I$168,0)),IF(583&lt;=$O$1+$O$2,INDEX($F$3:$F$1994,MATCH(583-$O$1,$G$3:$G$1994,0)),"")),"")</x:f>
      </x:c>
      <x:c r="E585" t="str">
        <x:f>IF(K585="","",IF(N585&lt;=M585,"",TRIM(CLEAN(MID(INDEX($B$3:$B$168,K585),M585,N585-M585)))))</x:f>
      </x:c>
      <x:c r="F585" t="str">
        <x:f>IF(E585="","",IF(E585=TRIM(INDEX($A$3:$A$168,K585)),"",IF(RIGHT(TRIM(INDEX($A$3:$A$168,K585)),1)="]",LEFT(TRIM(INDEX($A$3:$A$168,K585)),LEN(TRIM(INDEX($A$3:$A$168,K585)))-1)&amp;", "&amp;SUBSTITUTE(SUBSTITUTE(SUBSTITUTE(E585," [",", "),"[",", "),"]","")&amp;"]",TRIM(INDEX($A$3:$A$168,K585))&amp;" ["&amp;SUBSTITUTE(SUBSTITUTE(SUBSTITUTE(E585," [",", "),"[",", "),"]","")&amp;"]")))</x:f>
      </x:c>
      <x:c r="G585" t="str">
        <x:f>IF(F585&lt;&gt;"",ROWS($F$3:F585)-COUNTBLANK($F$3:F585),"")</x:f>
      </x:c>
      <x:c r="H585"/>
      <x:c r="I585"/>
      <x:c r="J585"/>
      <x:c r="K585" t="str">
        <x:f>IF(ROW()-ROW($K$2)&lt;=SUM($J$3:$J$168),COUNTIF($H$3:$H$168,"&lt;"&amp;(ROW()-ROW($K$2))),"")</x:f>
      </x:c>
      <x:c r="L585" t="str">
        <x:f>IF(K585="","",ROW()-ROW($L$2)-INDEX($H$3:$H$168,K585))</x:f>
      </x:c>
      <x:c r="M585" t="str">
        <x:f>IF(K585="","",IF(L585=1,1,FIND(CHAR(1),SUBSTITUTE(INDEX($B$3:$B$168,K585),CHAR(10),CHAR(1),L585-1))+1))</x:f>
      </x:c>
      <x:c r="N585" t="str">
        <x:f>IF(K585="","",IFERROR(FIND(CHAR(1),SUBSTITUTE(INDEX($B$3:$B$168,K585),CHAR(10),CHAR(1),L585)),LEN(INDEX($B$3:$B$168,K585))+1))</x:f>
      </x:c>
    </x:row>
    <x:row r="586">
      <x:c r="A586"/>
      <x:c r="B586"/>
      <x:c r="C586"/>
      <x:c r="D586" t="str">
        <x:f>IFERROR(IF(584&lt;=$O$1,INDEX($A$3:$A$168,MATCH(584,$I$3:$I$168,0)),IF(584&lt;=$O$1+$O$2,INDEX($F$3:$F$1994,MATCH(584-$O$1,$G$3:$G$1994,0)),"")),"")</x:f>
      </x:c>
      <x:c r="E586" t="str">
        <x:f>IF(K586="","",IF(N586&lt;=M586,"",TRIM(CLEAN(MID(INDEX($B$3:$B$168,K586),M586,N586-M586)))))</x:f>
      </x:c>
      <x:c r="F586" t="str">
        <x:f>IF(E586="","",IF(E586=TRIM(INDEX($A$3:$A$168,K586)),"",IF(RIGHT(TRIM(INDEX($A$3:$A$168,K586)),1)="]",LEFT(TRIM(INDEX($A$3:$A$168,K586)),LEN(TRIM(INDEX($A$3:$A$168,K586)))-1)&amp;", "&amp;SUBSTITUTE(SUBSTITUTE(SUBSTITUTE(E586," [",", "),"[",", "),"]","")&amp;"]",TRIM(INDEX($A$3:$A$168,K586))&amp;" ["&amp;SUBSTITUTE(SUBSTITUTE(SUBSTITUTE(E586," [",", "),"[",", "),"]","")&amp;"]")))</x:f>
      </x:c>
      <x:c r="G586" t="str">
        <x:f>IF(F586&lt;&gt;"",ROWS($F$3:F586)-COUNTBLANK($F$3:F586),"")</x:f>
      </x:c>
      <x:c r="H586"/>
      <x:c r="I586"/>
      <x:c r="J586"/>
      <x:c r="K586" t="str">
        <x:f>IF(ROW()-ROW($K$2)&lt;=SUM($J$3:$J$168),COUNTIF($H$3:$H$168,"&lt;"&amp;(ROW()-ROW($K$2))),"")</x:f>
      </x:c>
      <x:c r="L586" t="str">
        <x:f>IF(K586="","",ROW()-ROW($L$2)-INDEX($H$3:$H$168,K586))</x:f>
      </x:c>
      <x:c r="M586" t="str">
        <x:f>IF(K586="","",IF(L586=1,1,FIND(CHAR(1),SUBSTITUTE(INDEX($B$3:$B$168,K586),CHAR(10),CHAR(1),L586-1))+1))</x:f>
      </x:c>
      <x:c r="N586" t="str">
        <x:f>IF(K586="","",IFERROR(FIND(CHAR(1),SUBSTITUTE(INDEX($B$3:$B$168,K586),CHAR(10),CHAR(1),L586)),LEN(INDEX($B$3:$B$168,K586))+1))</x:f>
      </x:c>
    </x:row>
    <x:row r="587">
      <x:c r="A587"/>
      <x:c r="B587"/>
      <x:c r="C587"/>
      <x:c r="D587" t="str">
        <x:f>IFERROR(IF(585&lt;=$O$1,INDEX($A$3:$A$168,MATCH(585,$I$3:$I$168,0)),IF(585&lt;=$O$1+$O$2,INDEX($F$3:$F$1994,MATCH(585-$O$1,$G$3:$G$1994,0)),"")),"")</x:f>
      </x:c>
      <x:c r="E587" t="str">
        <x:f>IF(K587="","",IF(N587&lt;=M587,"",TRIM(CLEAN(MID(INDEX($B$3:$B$168,K587),M587,N587-M587)))))</x:f>
      </x:c>
      <x:c r="F587" t="str">
        <x:f>IF(E587="","",IF(E587=TRIM(INDEX($A$3:$A$168,K587)),"",IF(RIGHT(TRIM(INDEX($A$3:$A$168,K587)),1)="]",LEFT(TRIM(INDEX($A$3:$A$168,K587)),LEN(TRIM(INDEX($A$3:$A$168,K587)))-1)&amp;", "&amp;SUBSTITUTE(SUBSTITUTE(SUBSTITUTE(E587," [",", "),"[",", "),"]","")&amp;"]",TRIM(INDEX($A$3:$A$168,K587))&amp;" ["&amp;SUBSTITUTE(SUBSTITUTE(SUBSTITUTE(E587," [",", "),"[",", "),"]","")&amp;"]")))</x:f>
      </x:c>
      <x:c r="G587" t="str">
        <x:f>IF(F587&lt;&gt;"",ROWS($F$3:F587)-COUNTBLANK($F$3:F587),"")</x:f>
      </x:c>
      <x:c r="H587"/>
      <x:c r="I587"/>
      <x:c r="J587"/>
      <x:c r="K587" t="str">
        <x:f>IF(ROW()-ROW($K$2)&lt;=SUM($J$3:$J$168),COUNTIF($H$3:$H$168,"&lt;"&amp;(ROW()-ROW($K$2))),"")</x:f>
      </x:c>
      <x:c r="L587" t="str">
        <x:f>IF(K587="","",ROW()-ROW($L$2)-INDEX($H$3:$H$168,K587))</x:f>
      </x:c>
      <x:c r="M587" t="str">
        <x:f>IF(K587="","",IF(L587=1,1,FIND(CHAR(1),SUBSTITUTE(INDEX($B$3:$B$168,K587),CHAR(10),CHAR(1),L587-1))+1))</x:f>
      </x:c>
      <x:c r="N587" t="str">
        <x:f>IF(K587="","",IFERROR(FIND(CHAR(1),SUBSTITUTE(INDEX($B$3:$B$168,K587),CHAR(10),CHAR(1),L587)),LEN(INDEX($B$3:$B$168,K587))+1))</x:f>
      </x:c>
    </x:row>
    <x:row r="588">
      <x:c r="A588"/>
      <x:c r="B588"/>
      <x:c r="C588"/>
      <x:c r="D588" t="str">
        <x:f>IFERROR(IF(586&lt;=$O$1,INDEX($A$3:$A$168,MATCH(586,$I$3:$I$168,0)),IF(586&lt;=$O$1+$O$2,INDEX($F$3:$F$1994,MATCH(586-$O$1,$G$3:$G$1994,0)),"")),"")</x:f>
      </x:c>
      <x:c r="E588" t="str">
        <x:f>IF(K588="","",IF(N588&lt;=M588,"",TRIM(CLEAN(MID(INDEX($B$3:$B$168,K588),M588,N588-M588)))))</x:f>
      </x:c>
      <x:c r="F588" t="str">
        <x:f>IF(E588="","",IF(E588=TRIM(INDEX($A$3:$A$168,K588)),"",IF(RIGHT(TRIM(INDEX($A$3:$A$168,K588)),1)="]",LEFT(TRIM(INDEX($A$3:$A$168,K588)),LEN(TRIM(INDEX($A$3:$A$168,K588)))-1)&amp;", "&amp;SUBSTITUTE(SUBSTITUTE(SUBSTITUTE(E588," [",", "),"[",", "),"]","")&amp;"]",TRIM(INDEX($A$3:$A$168,K588))&amp;" ["&amp;SUBSTITUTE(SUBSTITUTE(SUBSTITUTE(E588," [",", "),"[",", "),"]","")&amp;"]")))</x:f>
      </x:c>
      <x:c r="G588" t="str">
        <x:f>IF(F588&lt;&gt;"",ROWS($F$3:F588)-COUNTBLANK($F$3:F588),"")</x:f>
      </x:c>
      <x:c r="H588"/>
      <x:c r="I588"/>
      <x:c r="J588"/>
      <x:c r="K588" t="str">
        <x:f>IF(ROW()-ROW($K$2)&lt;=SUM($J$3:$J$168),COUNTIF($H$3:$H$168,"&lt;"&amp;(ROW()-ROW($K$2))),"")</x:f>
      </x:c>
      <x:c r="L588" t="str">
        <x:f>IF(K588="","",ROW()-ROW($L$2)-INDEX($H$3:$H$168,K588))</x:f>
      </x:c>
      <x:c r="M588" t="str">
        <x:f>IF(K588="","",IF(L588=1,1,FIND(CHAR(1),SUBSTITUTE(INDEX($B$3:$B$168,K588),CHAR(10),CHAR(1),L588-1))+1))</x:f>
      </x:c>
      <x:c r="N588" t="str">
        <x:f>IF(K588="","",IFERROR(FIND(CHAR(1),SUBSTITUTE(INDEX($B$3:$B$168,K588),CHAR(10),CHAR(1),L588)),LEN(INDEX($B$3:$B$168,K588))+1))</x:f>
      </x:c>
    </x:row>
    <x:row r="589">
      <x:c r="A589"/>
      <x:c r="B589"/>
      <x:c r="C589"/>
      <x:c r="D589" t="str">
        <x:f>IFERROR(IF(587&lt;=$O$1,INDEX($A$3:$A$168,MATCH(587,$I$3:$I$168,0)),IF(587&lt;=$O$1+$O$2,INDEX($F$3:$F$1994,MATCH(587-$O$1,$G$3:$G$1994,0)),"")),"")</x:f>
      </x:c>
      <x:c r="E589" t="str">
        <x:f>IF(K589="","",IF(N589&lt;=M589,"",TRIM(CLEAN(MID(INDEX($B$3:$B$168,K589),M589,N589-M589)))))</x:f>
      </x:c>
      <x:c r="F589" t="str">
        <x:f>IF(E589="","",IF(E589=TRIM(INDEX($A$3:$A$168,K589)),"",IF(RIGHT(TRIM(INDEX($A$3:$A$168,K589)),1)="]",LEFT(TRIM(INDEX($A$3:$A$168,K589)),LEN(TRIM(INDEX($A$3:$A$168,K589)))-1)&amp;", "&amp;SUBSTITUTE(SUBSTITUTE(SUBSTITUTE(E589," [",", "),"[",", "),"]","")&amp;"]",TRIM(INDEX($A$3:$A$168,K589))&amp;" ["&amp;SUBSTITUTE(SUBSTITUTE(SUBSTITUTE(E589," [",", "),"[",", "),"]","")&amp;"]")))</x:f>
      </x:c>
      <x:c r="G589" t="str">
        <x:f>IF(F589&lt;&gt;"",ROWS($F$3:F589)-COUNTBLANK($F$3:F589),"")</x:f>
      </x:c>
      <x:c r="H589"/>
      <x:c r="I589"/>
      <x:c r="J589"/>
      <x:c r="K589" t="str">
        <x:f>IF(ROW()-ROW($K$2)&lt;=SUM($J$3:$J$168),COUNTIF($H$3:$H$168,"&lt;"&amp;(ROW()-ROW($K$2))),"")</x:f>
      </x:c>
      <x:c r="L589" t="str">
        <x:f>IF(K589="","",ROW()-ROW($L$2)-INDEX($H$3:$H$168,K589))</x:f>
      </x:c>
      <x:c r="M589" t="str">
        <x:f>IF(K589="","",IF(L589=1,1,FIND(CHAR(1),SUBSTITUTE(INDEX($B$3:$B$168,K589),CHAR(10),CHAR(1),L589-1))+1))</x:f>
      </x:c>
      <x:c r="N589" t="str">
        <x:f>IF(K589="","",IFERROR(FIND(CHAR(1),SUBSTITUTE(INDEX($B$3:$B$168,K589),CHAR(10),CHAR(1),L589)),LEN(INDEX($B$3:$B$168,K589))+1))</x:f>
      </x:c>
    </x:row>
    <x:row r="590">
      <x:c r="A590"/>
      <x:c r="B590"/>
      <x:c r="C590"/>
      <x:c r="D590" t="str">
        <x:f>IFERROR(IF(588&lt;=$O$1,INDEX($A$3:$A$168,MATCH(588,$I$3:$I$168,0)),IF(588&lt;=$O$1+$O$2,INDEX($F$3:$F$1994,MATCH(588-$O$1,$G$3:$G$1994,0)),"")),"")</x:f>
      </x:c>
      <x:c r="E590" t="str">
        <x:f>IF(K590="","",IF(N590&lt;=M590,"",TRIM(CLEAN(MID(INDEX($B$3:$B$168,K590),M590,N590-M590)))))</x:f>
      </x:c>
      <x:c r="F590" t="str">
        <x:f>IF(E590="","",IF(E590=TRIM(INDEX($A$3:$A$168,K590)),"",IF(RIGHT(TRIM(INDEX($A$3:$A$168,K590)),1)="]",LEFT(TRIM(INDEX($A$3:$A$168,K590)),LEN(TRIM(INDEX($A$3:$A$168,K590)))-1)&amp;", "&amp;SUBSTITUTE(SUBSTITUTE(SUBSTITUTE(E590," [",", "),"[",", "),"]","")&amp;"]",TRIM(INDEX($A$3:$A$168,K590))&amp;" ["&amp;SUBSTITUTE(SUBSTITUTE(SUBSTITUTE(E590," [",", "),"[",", "),"]","")&amp;"]")))</x:f>
      </x:c>
      <x:c r="G590" t="str">
        <x:f>IF(F590&lt;&gt;"",ROWS($F$3:F590)-COUNTBLANK($F$3:F590),"")</x:f>
      </x:c>
      <x:c r="H590"/>
      <x:c r="I590"/>
      <x:c r="J590"/>
      <x:c r="K590" t="str">
        <x:f>IF(ROW()-ROW($K$2)&lt;=SUM($J$3:$J$168),COUNTIF($H$3:$H$168,"&lt;"&amp;(ROW()-ROW($K$2))),"")</x:f>
      </x:c>
      <x:c r="L590" t="str">
        <x:f>IF(K590="","",ROW()-ROW($L$2)-INDEX($H$3:$H$168,K590))</x:f>
      </x:c>
      <x:c r="M590" t="str">
        <x:f>IF(K590="","",IF(L590=1,1,FIND(CHAR(1),SUBSTITUTE(INDEX($B$3:$B$168,K590),CHAR(10),CHAR(1),L590-1))+1))</x:f>
      </x:c>
      <x:c r="N590" t="str">
        <x:f>IF(K590="","",IFERROR(FIND(CHAR(1),SUBSTITUTE(INDEX($B$3:$B$168,K590),CHAR(10),CHAR(1),L590)),LEN(INDEX($B$3:$B$168,K590))+1))</x:f>
      </x:c>
    </x:row>
    <x:row r="591">
      <x:c r="A591"/>
      <x:c r="B591"/>
      <x:c r="C591"/>
      <x:c r="D591" t="str">
        <x:f>IFERROR(IF(589&lt;=$O$1,INDEX($A$3:$A$168,MATCH(589,$I$3:$I$168,0)),IF(589&lt;=$O$1+$O$2,INDEX($F$3:$F$1994,MATCH(589-$O$1,$G$3:$G$1994,0)),"")),"")</x:f>
      </x:c>
      <x:c r="E591" t="str">
        <x:f>IF(K591="","",IF(N591&lt;=M591,"",TRIM(CLEAN(MID(INDEX($B$3:$B$168,K591),M591,N591-M591)))))</x:f>
      </x:c>
      <x:c r="F591" t="str">
        <x:f>IF(E591="","",IF(E591=TRIM(INDEX($A$3:$A$168,K591)),"",IF(RIGHT(TRIM(INDEX($A$3:$A$168,K591)),1)="]",LEFT(TRIM(INDEX($A$3:$A$168,K591)),LEN(TRIM(INDEX($A$3:$A$168,K591)))-1)&amp;", "&amp;SUBSTITUTE(SUBSTITUTE(SUBSTITUTE(E591," [",", "),"[",", "),"]","")&amp;"]",TRIM(INDEX($A$3:$A$168,K591))&amp;" ["&amp;SUBSTITUTE(SUBSTITUTE(SUBSTITUTE(E591," [",", "),"[",", "),"]","")&amp;"]")))</x:f>
      </x:c>
      <x:c r="G591" t="str">
        <x:f>IF(F591&lt;&gt;"",ROWS($F$3:F591)-COUNTBLANK($F$3:F591),"")</x:f>
      </x:c>
      <x:c r="H591"/>
      <x:c r="I591"/>
      <x:c r="J591"/>
      <x:c r="K591" t="str">
        <x:f>IF(ROW()-ROW($K$2)&lt;=SUM($J$3:$J$168),COUNTIF($H$3:$H$168,"&lt;"&amp;(ROW()-ROW($K$2))),"")</x:f>
      </x:c>
      <x:c r="L591" t="str">
        <x:f>IF(K591="","",ROW()-ROW($L$2)-INDEX($H$3:$H$168,K591))</x:f>
      </x:c>
      <x:c r="M591" t="str">
        <x:f>IF(K591="","",IF(L591=1,1,FIND(CHAR(1),SUBSTITUTE(INDEX($B$3:$B$168,K591),CHAR(10),CHAR(1),L591-1))+1))</x:f>
      </x:c>
      <x:c r="N591" t="str">
        <x:f>IF(K591="","",IFERROR(FIND(CHAR(1),SUBSTITUTE(INDEX($B$3:$B$168,K591),CHAR(10),CHAR(1),L591)),LEN(INDEX($B$3:$B$168,K591))+1))</x:f>
      </x:c>
    </x:row>
    <x:row r="592">
      <x:c r="A592"/>
      <x:c r="B592"/>
      <x:c r="C592"/>
      <x:c r="D592" t="str">
        <x:f>IFERROR(IF(590&lt;=$O$1,INDEX($A$3:$A$168,MATCH(590,$I$3:$I$168,0)),IF(590&lt;=$O$1+$O$2,INDEX($F$3:$F$1994,MATCH(590-$O$1,$G$3:$G$1994,0)),"")),"")</x:f>
      </x:c>
      <x:c r="E592" t="str">
        <x:f>IF(K592="","",IF(N592&lt;=M592,"",TRIM(CLEAN(MID(INDEX($B$3:$B$168,K592),M592,N592-M592)))))</x:f>
      </x:c>
      <x:c r="F592" t="str">
        <x:f>IF(E592="","",IF(E592=TRIM(INDEX($A$3:$A$168,K592)),"",IF(RIGHT(TRIM(INDEX($A$3:$A$168,K592)),1)="]",LEFT(TRIM(INDEX($A$3:$A$168,K592)),LEN(TRIM(INDEX($A$3:$A$168,K592)))-1)&amp;", "&amp;SUBSTITUTE(SUBSTITUTE(SUBSTITUTE(E592," [",", "),"[",", "),"]","")&amp;"]",TRIM(INDEX($A$3:$A$168,K592))&amp;" ["&amp;SUBSTITUTE(SUBSTITUTE(SUBSTITUTE(E592," [",", "),"[",", "),"]","")&amp;"]")))</x:f>
      </x:c>
      <x:c r="G592" t="str">
        <x:f>IF(F592&lt;&gt;"",ROWS($F$3:F592)-COUNTBLANK($F$3:F592),"")</x:f>
      </x:c>
      <x:c r="H592"/>
      <x:c r="I592"/>
      <x:c r="J592"/>
      <x:c r="K592" t="str">
        <x:f>IF(ROW()-ROW($K$2)&lt;=SUM($J$3:$J$168),COUNTIF($H$3:$H$168,"&lt;"&amp;(ROW()-ROW($K$2))),"")</x:f>
      </x:c>
      <x:c r="L592" t="str">
        <x:f>IF(K592="","",ROW()-ROW($L$2)-INDEX($H$3:$H$168,K592))</x:f>
      </x:c>
      <x:c r="M592" t="str">
        <x:f>IF(K592="","",IF(L592=1,1,FIND(CHAR(1),SUBSTITUTE(INDEX($B$3:$B$168,K592),CHAR(10),CHAR(1),L592-1))+1))</x:f>
      </x:c>
      <x:c r="N592" t="str">
        <x:f>IF(K592="","",IFERROR(FIND(CHAR(1),SUBSTITUTE(INDEX($B$3:$B$168,K592),CHAR(10),CHAR(1),L592)),LEN(INDEX($B$3:$B$168,K592))+1))</x:f>
      </x:c>
    </x:row>
    <x:row r="593">
      <x:c r="A593"/>
      <x:c r="B593"/>
      <x:c r="C593"/>
      <x:c r="D593" t="str">
        <x:f>IFERROR(IF(591&lt;=$O$1,INDEX($A$3:$A$168,MATCH(591,$I$3:$I$168,0)),IF(591&lt;=$O$1+$O$2,INDEX($F$3:$F$1994,MATCH(591-$O$1,$G$3:$G$1994,0)),"")),"")</x:f>
      </x:c>
      <x:c r="E593" t="str">
        <x:f>IF(K593="","",IF(N593&lt;=M593,"",TRIM(CLEAN(MID(INDEX($B$3:$B$168,K593),M593,N593-M593)))))</x:f>
      </x:c>
      <x:c r="F593" t="str">
        <x:f>IF(E593="","",IF(E593=TRIM(INDEX($A$3:$A$168,K593)),"",IF(RIGHT(TRIM(INDEX($A$3:$A$168,K593)),1)="]",LEFT(TRIM(INDEX($A$3:$A$168,K593)),LEN(TRIM(INDEX($A$3:$A$168,K593)))-1)&amp;", "&amp;SUBSTITUTE(SUBSTITUTE(SUBSTITUTE(E593," [",", "),"[",", "),"]","")&amp;"]",TRIM(INDEX($A$3:$A$168,K593))&amp;" ["&amp;SUBSTITUTE(SUBSTITUTE(SUBSTITUTE(E593," [",", "),"[",", "),"]","")&amp;"]")))</x:f>
      </x:c>
      <x:c r="G593" t="str">
        <x:f>IF(F593&lt;&gt;"",ROWS($F$3:F593)-COUNTBLANK($F$3:F593),"")</x:f>
      </x:c>
      <x:c r="H593"/>
      <x:c r="I593"/>
      <x:c r="J593"/>
      <x:c r="K593" t="str">
        <x:f>IF(ROW()-ROW($K$2)&lt;=SUM($J$3:$J$168),COUNTIF($H$3:$H$168,"&lt;"&amp;(ROW()-ROW($K$2))),"")</x:f>
      </x:c>
      <x:c r="L593" t="str">
        <x:f>IF(K593="","",ROW()-ROW($L$2)-INDEX($H$3:$H$168,K593))</x:f>
      </x:c>
      <x:c r="M593" t="str">
        <x:f>IF(K593="","",IF(L593=1,1,FIND(CHAR(1),SUBSTITUTE(INDEX($B$3:$B$168,K593),CHAR(10),CHAR(1),L593-1))+1))</x:f>
      </x:c>
      <x:c r="N593" t="str">
        <x:f>IF(K593="","",IFERROR(FIND(CHAR(1),SUBSTITUTE(INDEX($B$3:$B$168,K593),CHAR(10),CHAR(1),L593)),LEN(INDEX($B$3:$B$168,K593))+1))</x:f>
      </x:c>
    </x:row>
    <x:row r="594">
      <x:c r="A594"/>
      <x:c r="B594"/>
      <x:c r="C594"/>
      <x:c r="D594" t="str">
        <x:f>IFERROR(IF(592&lt;=$O$1,INDEX($A$3:$A$168,MATCH(592,$I$3:$I$168,0)),IF(592&lt;=$O$1+$O$2,INDEX($F$3:$F$1994,MATCH(592-$O$1,$G$3:$G$1994,0)),"")),"")</x:f>
      </x:c>
      <x:c r="E594" t="str">
        <x:f>IF(K594="","",IF(N594&lt;=M594,"",TRIM(CLEAN(MID(INDEX($B$3:$B$168,K594),M594,N594-M594)))))</x:f>
      </x:c>
      <x:c r="F594" t="str">
        <x:f>IF(E594="","",IF(E594=TRIM(INDEX($A$3:$A$168,K594)),"",IF(RIGHT(TRIM(INDEX($A$3:$A$168,K594)),1)="]",LEFT(TRIM(INDEX($A$3:$A$168,K594)),LEN(TRIM(INDEX($A$3:$A$168,K594)))-1)&amp;", "&amp;SUBSTITUTE(SUBSTITUTE(SUBSTITUTE(E594," [",", "),"[",", "),"]","")&amp;"]",TRIM(INDEX($A$3:$A$168,K594))&amp;" ["&amp;SUBSTITUTE(SUBSTITUTE(SUBSTITUTE(E594," [",", "),"[",", "),"]","")&amp;"]")))</x:f>
      </x:c>
      <x:c r="G594" t="str">
        <x:f>IF(F594&lt;&gt;"",ROWS($F$3:F594)-COUNTBLANK($F$3:F594),"")</x:f>
      </x:c>
      <x:c r="H594"/>
      <x:c r="I594"/>
      <x:c r="J594"/>
      <x:c r="K594" t="str">
        <x:f>IF(ROW()-ROW($K$2)&lt;=SUM($J$3:$J$168),COUNTIF($H$3:$H$168,"&lt;"&amp;(ROW()-ROW($K$2))),"")</x:f>
      </x:c>
      <x:c r="L594" t="str">
        <x:f>IF(K594="","",ROW()-ROW($L$2)-INDEX($H$3:$H$168,K594))</x:f>
      </x:c>
      <x:c r="M594" t="str">
        <x:f>IF(K594="","",IF(L594=1,1,FIND(CHAR(1),SUBSTITUTE(INDEX($B$3:$B$168,K594),CHAR(10),CHAR(1),L594-1))+1))</x:f>
      </x:c>
      <x:c r="N594" t="str">
        <x:f>IF(K594="","",IFERROR(FIND(CHAR(1),SUBSTITUTE(INDEX($B$3:$B$168,K594),CHAR(10),CHAR(1),L594)),LEN(INDEX($B$3:$B$168,K594))+1))</x:f>
      </x:c>
    </x:row>
    <x:row r="595">
      <x:c r="A595"/>
      <x:c r="B595"/>
      <x:c r="C595"/>
      <x:c r="D595" t="str">
        <x:f>IFERROR(IF(593&lt;=$O$1,INDEX($A$3:$A$168,MATCH(593,$I$3:$I$168,0)),IF(593&lt;=$O$1+$O$2,INDEX($F$3:$F$1994,MATCH(593-$O$1,$G$3:$G$1994,0)),"")),"")</x:f>
      </x:c>
      <x:c r="E595" t="str">
        <x:f>IF(K595="","",IF(N595&lt;=M595,"",TRIM(CLEAN(MID(INDEX($B$3:$B$168,K595),M595,N595-M595)))))</x:f>
      </x:c>
      <x:c r="F595" t="str">
        <x:f>IF(E595="","",IF(E595=TRIM(INDEX($A$3:$A$168,K595)),"",IF(RIGHT(TRIM(INDEX($A$3:$A$168,K595)),1)="]",LEFT(TRIM(INDEX($A$3:$A$168,K595)),LEN(TRIM(INDEX($A$3:$A$168,K595)))-1)&amp;", "&amp;SUBSTITUTE(SUBSTITUTE(SUBSTITUTE(E595," [",", "),"[",", "),"]","")&amp;"]",TRIM(INDEX($A$3:$A$168,K595))&amp;" ["&amp;SUBSTITUTE(SUBSTITUTE(SUBSTITUTE(E595," [",", "),"[",", "),"]","")&amp;"]")))</x:f>
      </x:c>
      <x:c r="G595" t="str">
        <x:f>IF(F595&lt;&gt;"",ROWS($F$3:F595)-COUNTBLANK($F$3:F595),"")</x:f>
      </x:c>
      <x:c r="H595"/>
      <x:c r="I595"/>
      <x:c r="J595"/>
      <x:c r="K595" t="str">
        <x:f>IF(ROW()-ROW($K$2)&lt;=SUM($J$3:$J$168),COUNTIF($H$3:$H$168,"&lt;"&amp;(ROW()-ROW($K$2))),"")</x:f>
      </x:c>
      <x:c r="L595" t="str">
        <x:f>IF(K595="","",ROW()-ROW($L$2)-INDEX($H$3:$H$168,K595))</x:f>
      </x:c>
      <x:c r="M595" t="str">
        <x:f>IF(K595="","",IF(L595=1,1,FIND(CHAR(1),SUBSTITUTE(INDEX($B$3:$B$168,K595),CHAR(10),CHAR(1),L595-1))+1))</x:f>
      </x:c>
      <x:c r="N595" t="str">
        <x:f>IF(K595="","",IFERROR(FIND(CHAR(1),SUBSTITUTE(INDEX($B$3:$B$168,K595),CHAR(10),CHAR(1),L595)),LEN(INDEX($B$3:$B$168,K595))+1))</x:f>
      </x:c>
    </x:row>
    <x:row r="596">
      <x:c r="A596"/>
      <x:c r="B596"/>
      <x:c r="C596"/>
      <x:c r="D596" t="str">
        <x:f>IFERROR(IF(594&lt;=$O$1,INDEX($A$3:$A$168,MATCH(594,$I$3:$I$168,0)),IF(594&lt;=$O$1+$O$2,INDEX($F$3:$F$1994,MATCH(594-$O$1,$G$3:$G$1994,0)),"")),"")</x:f>
      </x:c>
      <x:c r="E596" t="str">
        <x:f>IF(K596="","",IF(N596&lt;=M596,"",TRIM(CLEAN(MID(INDEX($B$3:$B$168,K596),M596,N596-M596)))))</x:f>
      </x:c>
      <x:c r="F596" t="str">
        <x:f>IF(E596="","",IF(E596=TRIM(INDEX($A$3:$A$168,K596)),"",IF(RIGHT(TRIM(INDEX($A$3:$A$168,K596)),1)="]",LEFT(TRIM(INDEX($A$3:$A$168,K596)),LEN(TRIM(INDEX($A$3:$A$168,K596)))-1)&amp;", "&amp;SUBSTITUTE(SUBSTITUTE(SUBSTITUTE(E596," [",", "),"[",", "),"]","")&amp;"]",TRIM(INDEX($A$3:$A$168,K596))&amp;" ["&amp;SUBSTITUTE(SUBSTITUTE(SUBSTITUTE(E596," [",", "),"[",", "),"]","")&amp;"]")))</x:f>
      </x:c>
      <x:c r="G596" t="str">
        <x:f>IF(F596&lt;&gt;"",ROWS($F$3:F596)-COUNTBLANK($F$3:F596),"")</x:f>
      </x:c>
      <x:c r="H596"/>
      <x:c r="I596"/>
      <x:c r="J596"/>
      <x:c r="K596" t="str">
        <x:f>IF(ROW()-ROW($K$2)&lt;=SUM($J$3:$J$168),COUNTIF($H$3:$H$168,"&lt;"&amp;(ROW()-ROW($K$2))),"")</x:f>
      </x:c>
      <x:c r="L596" t="str">
        <x:f>IF(K596="","",ROW()-ROW($L$2)-INDEX($H$3:$H$168,K596))</x:f>
      </x:c>
      <x:c r="M596" t="str">
        <x:f>IF(K596="","",IF(L596=1,1,FIND(CHAR(1),SUBSTITUTE(INDEX($B$3:$B$168,K596),CHAR(10),CHAR(1),L596-1))+1))</x:f>
      </x:c>
      <x:c r="N596" t="str">
        <x:f>IF(K596="","",IFERROR(FIND(CHAR(1),SUBSTITUTE(INDEX($B$3:$B$168,K596),CHAR(10),CHAR(1),L596)),LEN(INDEX($B$3:$B$168,K596))+1))</x:f>
      </x:c>
    </x:row>
    <x:row r="597">
      <x:c r="A597"/>
      <x:c r="B597"/>
      <x:c r="C597"/>
      <x:c r="D597" t="str">
        <x:f>IFERROR(IF(595&lt;=$O$1,INDEX($A$3:$A$168,MATCH(595,$I$3:$I$168,0)),IF(595&lt;=$O$1+$O$2,INDEX($F$3:$F$1994,MATCH(595-$O$1,$G$3:$G$1994,0)),"")),"")</x:f>
      </x:c>
      <x:c r="E597" t="str">
        <x:f>IF(K597="","",IF(N597&lt;=M597,"",TRIM(CLEAN(MID(INDEX($B$3:$B$168,K597),M597,N597-M597)))))</x:f>
      </x:c>
      <x:c r="F597" t="str">
        <x:f>IF(E597="","",IF(E597=TRIM(INDEX($A$3:$A$168,K597)),"",IF(RIGHT(TRIM(INDEX($A$3:$A$168,K597)),1)="]",LEFT(TRIM(INDEX($A$3:$A$168,K597)),LEN(TRIM(INDEX($A$3:$A$168,K597)))-1)&amp;", "&amp;SUBSTITUTE(SUBSTITUTE(SUBSTITUTE(E597," [",", "),"[",", "),"]","")&amp;"]",TRIM(INDEX($A$3:$A$168,K597))&amp;" ["&amp;SUBSTITUTE(SUBSTITUTE(SUBSTITUTE(E597," [",", "),"[",", "),"]","")&amp;"]")))</x:f>
      </x:c>
      <x:c r="G597" t="str">
        <x:f>IF(F597&lt;&gt;"",ROWS($F$3:F597)-COUNTBLANK($F$3:F597),"")</x:f>
      </x:c>
      <x:c r="H597"/>
      <x:c r="I597"/>
      <x:c r="J597"/>
      <x:c r="K597" t="str">
        <x:f>IF(ROW()-ROW($K$2)&lt;=SUM($J$3:$J$168),COUNTIF($H$3:$H$168,"&lt;"&amp;(ROW()-ROW($K$2))),"")</x:f>
      </x:c>
      <x:c r="L597" t="str">
        <x:f>IF(K597="","",ROW()-ROW($L$2)-INDEX($H$3:$H$168,K597))</x:f>
      </x:c>
      <x:c r="M597" t="str">
        <x:f>IF(K597="","",IF(L597=1,1,FIND(CHAR(1),SUBSTITUTE(INDEX($B$3:$B$168,K597),CHAR(10),CHAR(1),L597-1))+1))</x:f>
      </x:c>
      <x:c r="N597" t="str">
        <x:f>IF(K597="","",IFERROR(FIND(CHAR(1),SUBSTITUTE(INDEX($B$3:$B$168,K597),CHAR(10),CHAR(1),L597)),LEN(INDEX($B$3:$B$168,K597))+1))</x:f>
      </x:c>
    </x:row>
    <x:row r="598">
      <x:c r="A598"/>
      <x:c r="B598"/>
      <x:c r="C598"/>
      <x:c r="D598" t="str">
        <x:f>IFERROR(IF(596&lt;=$O$1,INDEX($A$3:$A$168,MATCH(596,$I$3:$I$168,0)),IF(596&lt;=$O$1+$O$2,INDEX($F$3:$F$1994,MATCH(596-$O$1,$G$3:$G$1994,0)),"")),"")</x:f>
      </x:c>
      <x:c r="E598" t="str">
        <x:f>IF(K598="","",IF(N598&lt;=M598,"",TRIM(CLEAN(MID(INDEX($B$3:$B$168,K598),M598,N598-M598)))))</x:f>
      </x:c>
      <x:c r="F598" t="str">
        <x:f>IF(E598="","",IF(E598=TRIM(INDEX($A$3:$A$168,K598)),"",IF(RIGHT(TRIM(INDEX($A$3:$A$168,K598)),1)="]",LEFT(TRIM(INDEX($A$3:$A$168,K598)),LEN(TRIM(INDEX($A$3:$A$168,K598)))-1)&amp;", "&amp;SUBSTITUTE(SUBSTITUTE(SUBSTITUTE(E598," [",", "),"[",", "),"]","")&amp;"]",TRIM(INDEX($A$3:$A$168,K598))&amp;" ["&amp;SUBSTITUTE(SUBSTITUTE(SUBSTITUTE(E598," [",", "),"[",", "),"]","")&amp;"]")))</x:f>
      </x:c>
      <x:c r="G598" t="str">
        <x:f>IF(F598&lt;&gt;"",ROWS($F$3:F598)-COUNTBLANK($F$3:F598),"")</x:f>
      </x:c>
      <x:c r="H598"/>
      <x:c r="I598"/>
      <x:c r="J598"/>
      <x:c r="K598" t="str">
        <x:f>IF(ROW()-ROW($K$2)&lt;=SUM($J$3:$J$168),COUNTIF($H$3:$H$168,"&lt;"&amp;(ROW()-ROW($K$2))),"")</x:f>
      </x:c>
      <x:c r="L598" t="str">
        <x:f>IF(K598="","",ROW()-ROW($L$2)-INDEX($H$3:$H$168,K598))</x:f>
      </x:c>
      <x:c r="M598" t="str">
        <x:f>IF(K598="","",IF(L598=1,1,FIND(CHAR(1),SUBSTITUTE(INDEX($B$3:$B$168,K598),CHAR(10),CHAR(1),L598-1))+1))</x:f>
      </x:c>
      <x:c r="N598" t="str">
        <x:f>IF(K598="","",IFERROR(FIND(CHAR(1),SUBSTITUTE(INDEX($B$3:$B$168,K598),CHAR(10),CHAR(1),L598)),LEN(INDEX($B$3:$B$168,K598))+1))</x:f>
      </x:c>
    </x:row>
    <x:row r="599">
      <x:c r="A599"/>
      <x:c r="B599"/>
      <x:c r="C599"/>
      <x:c r="D599" t="str">
        <x:f>IFERROR(IF(597&lt;=$O$1,INDEX($A$3:$A$168,MATCH(597,$I$3:$I$168,0)),IF(597&lt;=$O$1+$O$2,INDEX($F$3:$F$1994,MATCH(597-$O$1,$G$3:$G$1994,0)),"")),"")</x:f>
      </x:c>
      <x:c r="E599" t="str">
        <x:f>IF(K599="","",IF(N599&lt;=M599,"",TRIM(CLEAN(MID(INDEX($B$3:$B$168,K599),M599,N599-M599)))))</x:f>
      </x:c>
      <x:c r="F599" t="str">
        <x:f>IF(E599="","",IF(E599=TRIM(INDEX($A$3:$A$168,K599)),"",IF(RIGHT(TRIM(INDEX($A$3:$A$168,K599)),1)="]",LEFT(TRIM(INDEX($A$3:$A$168,K599)),LEN(TRIM(INDEX($A$3:$A$168,K599)))-1)&amp;", "&amp;SUBSTITUTE(SUBSTITUTE(SUBSTITUTE(E599," [",", "),"[",", "),"]","")&amp;"]",TRIM(INDEX($A$3:$A$168,K599))&amp;" ["&amp;SUBSTITUTE(SUBSTITUTE(SUBSTITUTE(E599," [",", "),"[",", "),"]","")&amp;"]")))</x:f>
      </x:c>
      <x:c r="G599" t="str">
        <x:f>IF(F599&lt;&gt;"",ROWS($F$3:F599)-COUNTBLANK($F$3:F599),"")</x:f>
      </x:c>
      <x:c r="H599"/>
      <x:c r="I599"/>
      <x:c r="J599"/>
      <x:c r="K599" t="str">
        <x:f>IF(ROW()-ROW($K$2)&lt;=SUM($J$3:$J$168),COUNTIF($H$3:$H$168,"&lt;"&amp;(ROW()-ROW($K$2))),"")</x:f>
      </x:c>
      <x:c r="L599" t="str">
        <x:f>IF(K599="","",ROW()-ROW($L$2)-INDEX($H$3:$H$168,K599))</x:f>
      </x:c>
      <x:c r="M599" t="str">
        <x:f>IF(K599="","",IF(L599=1,1,FIND(CHAR(1),SUBSTITUTE(INDEX($B$3:$B$168,K599),CHAR(10),CHAR(1),L599-1))+1))</x:f>
      </x:c>
      <x:c r="N599" t="str">
        <x:f>IF(K599="","",IFERROR(FIND(CHAR(1),SUBSTITUTE(INDEX($B$3:$B$168,K599),CHAR(10),CHAR(1),L599)),LEN(INDEX($B$3:$B$168,K599))+1))</x:f>
      </x:c>
    </x:row>
    <x:row r="600">
      <x:c r="A600"/>
      <x:c r="B600"/>
      <x:c r="C600"/>
      <x:c r="D600" t="str">
        <x:f>IFERROR(IF(598&lt;=$O$1,INDEX($A$3:$A$168,MATCH(598,$I$3:$I$168,0)),IF(598&lt;=$O$1+$O$2,INDEX($F$3:$F$1994,MATCH(598-$O$1,$G$3:$G$1994,0)),"")),"")</x:f>
      </x:c>
      <x:c r="E600" t="str">
        <x:f>IF(K600="","",IF(N600&lt;=M600,"",TRIM(CLEAN(MID(INDEX($B$3:$B$168,K600),M600,N600-M600)))))</x:f>
      </x:c>
      <x:c r="F600" t="str">
        <x:f>IF(E600="","",IF(E600=TRIM(INDEX($A$3:$A$168,K600)),"",IF(RIGHT(TRIM(INDEX($A$3:$A$168,K600)),1)="]",LEFT(TRIM(INDEX($A$3:$A$168,K600)),LEN(TRIM(INDEX($A$3:$A$168,K600)))-1)&amp;", "&amp;SUBSTITUTE(SUBSTITUTE(SUBSTITUTE(E600," [",", "),"[",", "),"]","")&amp;"]",TRIM(INDEX($A$3:$A$168,K600))&amp;" ["&amp;SUBSTITUTE(SUBSTITUTE(SUBSTITUTE(E600," [",", "),"[",", "),"]","")&amp;"]")))</x:f>
      </x:c>
      <x:c r="G600" t="str">
        <x:f>IF(F600&lt;&gt;"",ROWS($F$3:F600)-COUNTBLANK($F$3:F600),"")</x:f>
      </x:c>
      <x:c r="H600"/>
      <x:c r="I600"/>
      <x:c r="J600"/>
      <x:c r="K600" t="str">
        <x:f>IF(ROW()-ROW($K$2)&lt;=SUM($J$3:$J$168),COUNTIF($H$3:$H$168,"&lt;"&amp;(ROW()-ROW($K$2))),"")</x:f>
      </x:c>
      <x:c r="L600" t="str">
        <x:f>IF(K600="","",ROW()-ROW($L$2)-INDEX($H$3:$H$168,K600))</x:f>
      </x:c>
      <x:c r="M600" t="str">
        <x:f>IF(K600="","",IF(L600=1,1,FIND(CHAR(1),SUBSTITUTE(INDEX($B$3:$B$168,K600),CHAR(10),CHAR(1),L600-1))+1))</x:f>
      </x:c>
      <x:c r="N600" t="str">
        <x:f>IF(K600="","",IFERROR(FIND(CHAR(1),SUBSTITUTE(INDEX($B$3:$B$168,K600),CHAR(10),CHAR(1),L600)),LEN(INDEX($B$3:$B$168,K600))+1))</x:f>
      </x:c>
    </x:row>
    <x:row r="601">
      <x:c r="A601"/>
      <x:c r="B601"/>
      <x:c r="C601"/>
      <x:c r="D601" t="str">
        <x:f>IFERROR(IF(599&lt;=$O$1,INDEX($A$3:$A$168,MATCH(599,$I$3:$I$168,0)),IF(599&lt;=$O$1+$O$2,INDEX($F$3:$F$1994,MATCH(599-$O$1,$G$3:$G$1994,0)),"")),"")</x:f>
      </x:c>
      <x:c r="E601" t="str">
        <x:f>IF(K601="","",IF(N601&lt;=M601,"",TRIM(CLEAN(MID(INDEX($B$3:$B$168,K601),M601,N601-M601)))))</x:f>
      </x:c>
      <x:c r="F601" t="str">
        <x:f>IF(E601="","",IF(E601=TRIM(INDEX($A$3:$A$168,K601)),"",IF(RIGHT(TRIM(INDEX($A$3:$A$168,K601)),1)="]",LEFT(TRIM(INDEX($A$3:$A$168,K601)),LEN(TRIM(INDEX($A$3:$A$168,K601)))-1)&amp;", "&amp;SUBSTITUTE(SUBSTITUTE(SUBSTITUTE(E601," [",", "),"[",", "),"]","")&amp;"]",TRIM(INDEX($A$3:$A$168,K601))&amp;" ["&amp;SUBSTITUTE(SUBSTITUTE(SUBSTITUTE(E601," [",", "),"[",", "),"]","")&amp;"]")))</x:f>
      </x:c>
      <x:c r="G601" t="str">
        <x:f>IF(F601&lt;&gt;"",ROWS($F$3:F601)-COUNTBLANK($F$3:F601),"")</x:f>
      </x:c>
      <x:c r="H601"/>
      <x:c r="I601"/>
      <x:c r="J601"/>
      <x:c r="K601" t="str">
        <x:f>IF(ROW()-ROW($K$2)&lt;=SUM($J$3:$J$168),COUNTIF($H$3:$H$168,"&lt;"&amp;(ROW()-ROW($K$2))),"")</x:f>
      </x:c>
      <x:c r="L601" t="str">
        <x:f>IF(K601="","",ROW()-ROW($L$2)-INDEX($H$3:$H$168,K601))</x:f>
      </x:c>
      <x:c r="M601" t="str">
        <x:f>IF(K601="","",IF(L601=1,1,FIND(CHAR(1),SUBSTITUTE(INDEX($B$3:$B$168,K601),CHAR(10),CHAR(1),L601-1))+1))</x:f>
      </x:c>
      <x:c r="N601" t="str">
        <x:f>IF(K601="","",IFERROR(FIND(CHAR(1),SUBSTITUTE(INDEX($B$3:$B$168,K601),CHAR(10),CHAR(1),L601)),LEN(INDEX($B$3:$B$168,K601))+1))</x:f>
      </x:c>
    </x:row>
    <x:row r="602">
      <x:c r="A602"/>
      <x:c r="B602"/>
      <x:c r="C602"/>
      <x:c r="D602" t="str">
        <x:f>IFERROR(IF(600&lt;=$O$1,INDEX($A$3:$A$168,MATCH(600,$I$3:$I$168,0)),IF(600&lt;=$O$1+$O$2,INDEX($F$3:$F$1994,MATCH(600-$O$1,$G$3:$G$1994,0)),"")),"")</x:f>
      </x:c>
      <x:c r="E602" t="str">
        <x:f>IF(K602="","",IF(N602&lt;=M602,"",TRIM(CLEAN(MID(INDEX($B$3:$B$168,K602),M602,N602-M602)))))</x:f>
      </x:c>
      <x:c r="F602" t="str">
        <x:f>IF(E602="","",IF(E602=TRIM(INDEX($A$3:$A$168,K602)),"",IF(RIGHT(TRIM(INDEX($A$3:$A$168,K602)),1)="]",LEFT(TRIM(INDEX($A$3:$A$168,K602)),LEN(TRIM(INDEX($A$3:$A$168,K602)))-1)&amp;", "&amp;SUBSTITUTE(SUBSTITUTE(SUBSTITUTE(E602," [",", "),"[",", "),"]","")&amp;"]",TRIM(INDEX($A$3:$A$168,K602))&amp;" ["&amp;SUBSTITUTE(SUBSTITUTE(SUBSTITUTE(E602," [",", "),"[",", "),"]","")&amp;"]")))</x:f>
      </x:c>
      <x:c r="G602" t="str">
        <x:f>IF(F602&lt;&gt;"",ROWS($F$3:F602)-COUNTBLANK($F$3:F602),"")</x:f>
      </x:c>
      <x:c r="H602"/>
      <x:c r="I602"/>
      <x:c r="J602"/>
      <x:c r="K602" t="str">
        <x:f>IF(ROW()-ROW($K$2)&lt;=SUM($J$3:$J$168),COUNTIF($H$3:$H$168,"&lt;"&amp;(ROW()-ROW($K$2))),"")</x:f>
      </x:c>
      <x:c r="L602" t="str">
        <x:f>IF(K602="","",ROW()-ROW($L$2)-INDEX($H$3:$H$168,K602))</x:f>
      </x:c>
      <x:c r="M602" t="str">
        <x:f>IF(K602="","",IF(L602=1,1,FIND(CHAR(1),SUBSTITUTE(INDEX($B$3:$B$168,K602),CHAR(10),CHAR(1),L602-1))+1))</x:f>
      </x:c>
      <x:c r="N602" t="str">
        <x:f>IF(K602="","",IFERROR(FIND(CHAR(1),SUBSTITUTE(INDEX($B$3:$B$168,K602),CHAR(10),CHAR(1),L602)),LEN(INDEX($B$3:$B$168,K602))+1))</x:f>
      </x:c>
    </x:row>
    <x:row r="603">
      <x:c r="A603"/>
      <x:c r="B603"/>
      <x:c r="C603"/>
      <x:c r="D603" t="str">
        <x:f>IFERROR(IF(601&lt;=$O$1,INDEX($A$3:$A$168,MATCH(601,$I$3:$I$168,0)),IF(601&lt;=$O$1+$O$2,INDEX($F$3:$F$1994,MATCH(601-$O$1,$G$3:$G$1994,0)),"")),"")</x:f>
      </x:c>
      <x:c r="E603" t="str">
        <x:f>IF(K603="","",IF(N603&lt;=M603,"",TRIM(CLEAN(MID(INDEX($B$3:$B$168,K603),M603,N603-M603)))))</x:f>
      </x:c>
      <x:c r="F603" t="str">
        <x:f>IF(E603="","",IF(E603=TRIM(INDEX($A$3:$A$168,K603)),"",IF(RIGHT(TRIM(INDEX($A$3:$A$168,K603)),1)="]",LEFT(TRIM(INDEX($A$3:$A$168,K603)),LEN(TRIM(INDEX($A$3:$A$168,K603)))-1)&amp;", "&amp;SUBSTITUTE(SUBSTITUTE(SUBSTITUTE(E603," [",", "),"[",", "),"]","")&amp;"]",TRIM(INDEX($A$3:$A$168,K603))&amp;" ["&amp;SUBSTITUTE(SUBSTITUTE(SUBSTITUTE(E603," [",", "),"[",", "),"]","")&amp;"]")))</x:f>
      </x:c>
      <x:c r="G603" t="str">
        <x:f>IF(F603&lt;&gt;"",ROWS($F$3:F603)-COUNTBLANK($F$3:F603),"")</x:f>
      </x:c>
      <x:c r="H603"/>
      <x:c r="I603"/>
      <x:c r="J603"/>
      <x:c r="K603" t="str">
        <x:f>IF(ROW()-ROW($K$2)&lt;=SUM($J$3:$J$168),COUNTIF($H$3:$H$168,"&lt;"&amp;(ROW()-ROW($K$2))),"")</x:f>
      </x:c>
      <x:c r="L603" t="str">
        <x:f>IF(K603="","",ROW()-ROW($L$2)-INDEX($H$3:$H$168,K603))</x:f>
      </x:c>
      <x:c r="M603" t="str">
        <x:f>IF(K603="","",IF(L603=1,1,FIND(CHAR(1),SUBSTITUTE(INDEX($B$3:$B$168,K603),CHAR(10),CHAR(1),L603-1))+1))</x:f>
      </x:c>
      <x:c r="N603" t="str">
        <x:f>IF(K603="","",IFERROR(FIND(CHAR(1),SUBSTITUTE(INDEX($B$3:$B$168,K603),CHAR(10),CHAR(1),L603)),LEN(INDEX($B$3:$B$168,K603))+1))</x:f>
      </x:c>
    </x:row>
    <x:row r="604">
      <x:c r="A604"/>
      <x:c r="B604"/>
      <x:c r="C604"/>
      <x:c r="D604" t="str">
        <x:f>IFERROR(IF(602&lt;=$O$1,INDEX($A$3:$A$168,MATCH(602,$I$3:$I$168,0)),IF(602&lt;=$O$1+$O$2,INDEX($F$3:$F$1994,MATCH(602-$O$1,$G$3:$G$1994,0)),"")),"")</x:f>
      </x:c>
      <x:c r="E604" t="str">
        <x:f>IF(K604="","",IF(N604&lt;=M604,"",TRIM(CLEAN(MID(INDEX($B$3:$B$168,K604),M604,N604-M604)))))</x:f>
      </x:c>
      <x:c r="F604" t="str">
        <x:f>IF(E604="","",IF(E604=TRIM(INDEX($A$3:$A$168,K604)),"",IF(RIGHT(TRIM(INDEX($A$3:$A$168,K604)),1)="]",LEFT(TRIM(INDEX($A$3:$A$168,K604)),LEN(TRIM(INDEX($A$3:$A$168,K604)))-1)&amp;", "&amp;SUBSTITUTE(SUBSTITUTE(SUBSTITUTE(E604," [",", "),"[",", "),"]","")&amp;"]",TRIM(INDEX($A$3:$A$168,K604))&amp;" ["&amp;SUBSTITUTE(SUBSTITUTE(SUBSTITUTE(E604," [",", "),"[",", "),"]","")&amp;"]")))</x:f>
      </x:c>
      <x:c r="G604" t="str">
        <x:f>IF(F604&lt;&gt;"",ROWS($F$3:F604)-COUNTBLANK($F$3:F604),"")</x:f>
      </x:c>
      <x:c r="H604"/>
      <x:c r="I604"/>
      <x:c r="J604"/>
      <x:c r="K604" t="str">
        <x:f>IF(ROW()-ROW($K$2)&lt;=SUM($J$3:$J$168),COUNTIF($H$3:$H$168,"&lt;"&amp;(ROW()-ROW($K$2))),"")</x:f>
      </x:c>
      <x:c r="L604" t="str">
        <x:f>IF(K604="","",ROW()-ROW($L$2)-INDEX($H$3:$H$168,K604))</x:f>
      </x:c>
      <x:c r="M604" t="str">
        <x:f>IF(K604="","",IF(L604=1,1,FIND(CHAR(1),SUBSTITUTE(INDEX($B$3:$B$168,K604),CHAR(10),CHAR(1),L604-1))+1))</x:f>
      </x:c>
      <x:c r="N604" t="str">
        <x:f>IF(K604="","",IFERROR(FIND(CHAR(1),SUBSTITUTE(INDEX($B$3:$B$168,K604),CHAR(10),CHAR(1),L604)),LEN(INDEX($B$3:$B$168,K604))+1))</x:f>
      </x:c>
    </x:row>
    <x:row r="605">
      <x:c r="A605"/>
      <x:c r="B605"/>
      <x:c r="C605"/>
      <x:c r="D605" t="str">
        <x:f>IFERROR(IF(603&lt;=$O$1,INDEX($A$3:$A$168,MATCH(603,$I$3:$I$168,0)),IF(603&lt;=$O$1+$O$2,INDEX($F$3:$F$1994,MATCH(603-$O$1,$G$3:$G$1994,0)),"")),"")</x:f>
      </x:c>
      <x:c r="E605" t="str">
        <x:f>IF(K605="","",IF(N605&lt;=M605,"",TRIM(CLEAN(MID(INDEX($B$3:$B$168,K605),M605,N605-M605)))))</x:f>
      </x:c>
      <x:c r="F605" t="str">
        <x:f>IF(E605="","",IF(E605=TRIM(INDEX($A$3:$A$168,K605)),"",IF(RIGHT(TRIM(INDEX($A$3:$A$168,K605)),1)="]",LEFT(TRIM(INDEX($A$3:$A$168,K605)),LEN(TRIM(INDEX($A$3:$A$168,K605)))-1)&amp;", "&amp;SUBSTITUTE(SUBSTITUTE(SUBSTITUTE(E605," [",", "),"[",", "),"]","")&amp;"]",TRIM(INDEX($A$3:$A$168,K605))&amp;" ["&amp;SUBSTITUTE(SUBSTITUTE(SUBSTITUTE(E605," [",", "),"[",", "),"]","")&amp;"]")))</x:f>
      </x:c>
      <x:c r="G605" t="str">
        <x:f>IF(F605&lt;&gt;"",ROWS($F$3:F605)-COUNTBLANK($F$3:F605),"")</x:f>
      </x:c>
      <x:c r="H605"/>
      <x:c r="I605"/>
      <x:c r="J605"/>
      <x:c r="K605" t="str">
        <x:f>IF(ROW()-ROW($K$2)&lt;=SUM($J$3:$J$168),COUNTIF($H$3:$H$168,"&lt;"&amp;(ROW()-ROW($K$2))),"")</x:f>
      </x:c>
      <x:c r="L605" t="str">
        <x:f>IF(K605="","",ROW()-ROW($L$2)-INDEX($H$3:$H$168,K605))</x:f>
      </x:c>
      <x:c r="M605" t="str">
        <x:f>IF(K605="","",IF(L605=1,1,FIND(CHAR(1),SUBSTITUTE(INDEX($B$3:$B$168,K605),CHAR(10),CHAR(1),L605-1))+1))</x:f>
      </x:c>
      <x:c r="N605" t="str">
        <x:f>IF(K605="","",IFERROR(FIND(CHAR(1),SUBSTITUTE(INDEX($B$3:$B$168,K605),CHAR(10),CHAR(1),L605)),LEN(INDEX($B$3:$B$168,K605))+1))</x:f>
      </x:c>
    </x:row>
    <x:row r="606">
      <x:c r="A606"/>
      <x:c r="B606"/>
      <x:c r="C606"/>
      <x:c r="D606" t="str">
        <x:f>IFERROR(IF(604&lt;=$O$1,INDEX($A$3:$A$168,MATCH(604,$I$3:$I$168,0)),IF(604&lt;=$O$1+$O$2,INDEX($F$3:$F$1994,MATCH(604-$O$1,$G$3:$G$1994,0)),"")),"")</x:f>
      </x:c>
      <x:c r="E606" t="str">
        <x:f>IF(K606="","",IF(N606&lt;=M606,"",TRIM(CLEAN(MID(INDEX($B$3:$B$168,K606),M606,N606-M606)))))</x:f>
      </x:c>
      <x:c r="F606" t="str">
        <x:f>IF(E606="","",IF(E606=TRIM(INDEX($A$3:$A$168,K606)),"",IF(RIGHT(TRIM(INDEX($A$3:$A$168,K606)),1)="]",LEFT(TRIM(INDEX($A$3:$A$168,K606)),LEN(TRIM(INDEX($A$3:$A$168,K606)))-1)&amp;", "&amp;SUBSTITUTE(SUBSTITUTE(SUBSTITUTE(E606," [",", "),"[",", "),"]","")&amp;"]",TRIM(INDEX($A$3:$A$168,K606))&amp;" ["&amp;SUBSTITUTE(SUBSTITUTE(SUBSTITUTE(E606," [",", "),"[",", "),"]","")&amp;"]")))</x:f>
      </x:c>
      <x:c r="G606" t="str">
        <x:f>IF(F606&lt;&gt;"",ROWS($F$3:F606)-COUNTBLANK($F$3:F606),"")</x:f>
      </x:c>
      <x:c r="H606"/>
      <x:c r="I606"/>
      <x:c r="J606"/>
      <x:c r="K606" t="str">
        <x:f>IF(ROW()-ROW($K$2)&lt;=SUM($J$3:$J$168),COUNTIF($H$3:$H$168,"&lt;"&amp;(ROW()-ROW($K$2))),"")</x:f>
      </x:c>
      <x:c r="L606" t="str">
        <x:f>IF(K606="","",ROW()-ROW($L$2)-INDEX($H$3:$H$168,K606))</x:f>
      </x:c>
      <x:c r="M606" t="str">
        <x:f>IF(K606="","",IF(L606=1,1,FIND(CHAR(1),SUBSTITUTE(INDEX($B$3:$B$168,K606),CHAR(10),CHAR(1),L606-1))+1))</x:f>
      </x:c>
      <x:c r="N606" t="str">
        <x:f>IF(K606="","",IFERROR(FIND(CHAR(1),SUBSTITUTE(INDEX($B$3:$B$168,K606),CHAR(10),CHAR(1),L606)),LEN(INDEX($B$3:$B$168,K606))+1))</x:f>
      </x:c>
    </x:row>
    <x:row r="607">
      <x:c r="A607"/>
      <x:c r="B607"/>
      <x:c r="C607"/>
      <x:c r="D607" t="str">
        <x:f>IFERROR(IF(605&lt;=$O$1,INDEX($A$3:$A$168,MATCH(605,$I$3:$I$168,0)),IF(605&lt;=$O$1+$O$2,INDEX($F$3:$F$1994,MATCH(605-$O$1,$G$3:$G$1994,0)),"")),"")</x:f>
      </x:c>
      <x:c r="E607" t="str">
        <x:f>IF(K607="","",IF(N607&lt;=M607,"",TRIM(CLEAN(MID(INDEX($B$3:$B$168,K607),M607,N607-M607)))))</x:f>
      </x:c>
      <x:c r="F607" t="str">
        <x:f>IF(E607="","",IF(E607=TRIM(INDEX($A$3:$A$168,K607)),"",IF(RIGHT(TRIM(INDEX($A$3:$A$168,K607)),1)="]",LEFT(TRIM(INDEX($A$3:$A$168,K607)),LEN(TRIM(INDEX($A$3:$A$168,K607)))-1)&amp;", "&amp;SUBSTITUTE(SUBSTITUTE(SUBSTITUTE(E607," [",", "),"[",", "),"]","")&amp;"]",TRIM(INDEX($A$3:$A$168,K607))&amp;" ["&amp;SUBSTITUTE(SUBSTITUTE(SUBSTITUTE(E607," [",", "),"[",", "),"]","")&amp;"]")))</x:f>
      </x:c>
      <x:c r="G607" t="str">
        <x:f>IF(F607&lt;&gt;"",ROWS($F$3:F607)-COUNTBLANK($F$3:F607),"")</x:f>
      </x:c>
      <x:c r="H607"/>
      <x:c r="I607"/>
      <x:c r="J607"/>
      <x:c r="K607" t="str">
        <x:f>IF(ROW()-ROW($K$2)&lt;=SUM($J$3:$J$168),COUNTIF($H$3:$H$168,"&lt;"&amp;(ROW()-ROW($K$2))),"")</x:f>
      </x:c>
      <x:c r="L607" t="str">
        <x:f>IF(K607="","",ROW()-ROW($L$2)-INDEX($H$3:$H$168,K607))</x:f>
      </x:c>
      <x:c r="M607" t="str">
        <x:f>IF(K607="","",IF(L607=1,1,FIND(CHAR(1),SUBSTITUTE(INDEX($B$3:$B$168,K607),CHAR(10),CHAR(1),L607-1))+1))</x:f>
      </x:c>
      <x:c r="N607" t="str">
        <x:f>IF(K607="","",IFERROR(FIND(CHAR(1),SUBSTITUTE(INDEX($B$3:$B$168,K607),CHAR(10),CHAR(1),L607)),LEN(INDEX($B$3:$B$168,K607))+1))</x:f>
      </x:c>
    </x:row>
    <x:row r="608">
      <x:c r="A608"/>
      <x:c r="B608"/>
      <x:c r="C608"/>
      <x:c r="D608" t="str">
        <x:f>IFERROR(IF(606&lt;=$O$1,INDEX($A$3:$A$168,MATCH(606,$I$3:$I$168,0)),IF(606&lt;=$O$1+$O$2,INDEX($F$3:$F$1994,MATCH(606-$O$1,$G$3:$G$1994,0)),"")),"")</x:f>
      </x:c>
      <x:c r="E608" t="str">
        <x:f>IF(K608="","",IF(N608&lt;=M608,"",TRIM(CLEAN(MID(INDEX($B$3:$B$168,K608),M608,N608-M608)))))</x:f>
      </x:c>
      <x:c r="F608" t="str">
        <x:f>IF(E608="","",IF(E608=TRIM(INDEX($A$3:$A$168,K608)),"",IF(RIGHT(TRIM(INDEX($A$3:$A$168,K608)),1)="]",LEFT(TRIM(INDEX($A$3:$A$168,K608)),LEN(TRIM(INDEX($A$3:$A$168,K608)))-1)&amp;", "&amp;SUBSTITUTE(SUBSTITUTE(SUBSTITUTE(E608," [",", "),"[",", "),"]","")&amp;"]",TRIM(INDEX($A$3:$A$168,K608))&amp;" ["&amp;SUBSTITUTE(SUBSTITUTE(SUBSTITUTE(E608," [",", "),"[",", "),"]","")&amp;"]")))</x:f>
      </x:c>
      <x:c r="G608" t="str">
        <x:f>IF(F608&lt;&gt;"",ROWS($F$3:F608)-COUNTBLANK($F$3:F608),"")</x:f>
      </x:c>
      <x:c r="H608"/>
      <x:c r="I608"/>
      <x:c r="J608"/>
      <x:c r="K608" t="str">
        <x:f>IF(ROW()-ROW($K$2)&lt;=SUM($J$3:$J$168),COUNTIF($H$3:$H$168,"&lt;"&amp;(ROW()-ROW($K$2))),"")</x:f>
      </x:c>
      <x:c r="L608" t="str">
        <x:f>IF(K608="","",ROW()-ROW($L$2)-INDEX($H$3:$H$168,K608))</x:f>
      </x:c>
      <x:c r="M608" t="str">
        <x:f>IF(K608="","",IF(L608=1,1,FIND(CHAR(1),SUBSTITUTE(INDEX($B$3:$B$168,K608),CHAR(10),CHAR(1),L608-1))+1))</x:f>
      </x:c>
      <x:c r="N608" t="str">
        <x:f>IF(K608="","",IFERROR(FIND(CHAR(1),SUBSTITUTE(INDEX($B$3:$B$168,K608),CHAR(10),CHAR(1),L608)),LEN(INDEX($B$3:$B$168,K608))+1))</x:f>
      </x:c>
    </x:row>
    <x:row r="609">
      <x:c r="A609"/>
      <x:c r="B609"/>
      <x:c r="C609"/>
      <x:c r="D609" t="str">
        <x:f>IFERROR(IF(607&lt;=$O$1,INDEX($A$3:$A$168,MATCH(607,$I$3:$I$168,0)),IF(607&lt;=$O$1+$O$2,INDEX($F$3:$F$1994,MATCH(607-$O$1,$G$3:$G$1994,0)),"")),"")</x:f>
      </x:c>
      <x:c r="E609" t="str">
        <x:f>IF(K609="","",IF(N609&lt;=M609,"",TRIM(CLEAN(MID(INDEX($B$3:$B$168,K609),M609,N609-M609)))))</x:f>
      </x:c>
      <x:c r="F609" t="str">
        <x:f>IF(E609="","",IF(E609=TRIM(INDEX($A$3:$A$168,K609)),"",IF(RIGHT(TRIM(INDEX($A$3:$A$168,K609)),1)="]",LEFT(TRIM(INDEX($A$3:$A$168,K609)),LEN(TRIM(INDEX($A$3:$A$168,K609)))-1)&amp;", "&amp;SUBSTITUTE(SUBSTITUTE(SUBSTITUTE(E609," [",", "),"[",", "),"]","")&amp;"]",TRIM(INDEX($A$3:$A$168,K609))&amp;" ["&amp;SUBSTITUTE(SUBSTITUTE(SUBSTITUTE(E609," [",", "),"[",", "),"]","")&amp;"]")))</x:f>
      </x:c>
      <x:c r="G609" t="str">
        <x:f>IF(F609&lt;&gt;"",ROWS($F$3:F609)-COUNTBLANK($F$3:F609),"")</x:f>
      </x:c>
      <x:c r="H609"/>
      <x:c r="I609"/>
      <x:c r="J609"/>
      <x:c r="K609" t="str">
        <x:f>IF(ROW()-ROW($K$2)&lt;=SUM($J$3:$J$168),COUNTIF($H$3:$H$168,"&lt;"&amp;(ROW()-ROW($K$2))),"")</x:f>
      </x:c>
      <x:c r="L609" t="str">
        <x:f>IF(K609="","",ROW()-ROW($L$2)-INDEX($H$3:$H$168,K609))</x:f>
      </x:c>
      <x:c r="M609" t="str">
        <x:f>IF(K609="","",IF(L609=1,1,FIND(CHAR(1),SUBSTITUTE(INDEX($B$3:$B$168,K609),CHAR(10),CHAR(1),L609-1))+1))</x:f>
      </x:c>
      <x:c r="N609" t="str">
        <x:f>IF(K609="","",IFERROR(FIND(CHAR(1),SUBSTITUTE(INDEX($B$3:$B$168,K609),CHAR(10),CHAR(1),L609)),LEN(INDEX($B$3:$B$168,K609))+1))</x:f>
      </x:c>
    </x:row>
    <x:row r="610">
      <x:c r="A610"/>
      <x:c r="B610"/>
      <x:c r="C610"/>
      <x:c r="D610" t="str">
        <x:f>IFERROR(IF(608&lt;=$O$1,INDEX($A$3:$A$168,MATCH(608,$I$3:$I$168,0)),IF(608&lt;=$O$1+$O$2,INDEX($F$3:$F$1994,MATCH(608-$O$1,$G$3:$G$1994,0)),"")),"")</x:f>
      </x:c>
      <x:c r="E610" t="str">
        <x:f>IF(K610="","",IF(N610&lt;=M610,"",TRIM(CLEAN(MID(INDEX($B$3:$B$168,K610),M610,N610-M610)))))</x:f>
      </x:c>
      <x:c r="F610" t="str">
        <x:f>IF(E610="","",IF(E610=TRIM(INDEX($A$3:$A$168,K610)),"",IF(RIGHT(TRIM(INDEX($A$3:$A$168,K610)),1)="]",LEFT(TRIM(INDEX($A$3:$A$168,K610)),LEN(TRIM(INDEX($A$3:$A$168,K610)))-1)&amp;", "&amp;SUBSTITUTE(SUBSTITUTE(SUBSTITUTE(E610," [",", "),"[",", "),"]","")&amp;"]",TRIM(INDEX($A$3:$A$168,K610))&amp;" ["&amp;SUBSTITUTE(SUBSTITUTE(SUBSTITUTE(E610," [",", "),"[",", "),"]","")&amp;"]")))</x:f>
      </x:c>
      <x:c r="G610" t="str">
        <x:f>IF(F610&lt;&gt;"",ROWS($F$3:F610)-COUNTBLANK($F$3:F610),"")</x:f>
      </x:c>
      <x:c r="H610"/>
      <x:c r="I610"/>
      <x:c r="J610"/>
      <x:c r="K610" t="str">
        <x:f>IF(ROW()-ROW($K$2)&lt;=SUM($J$3:$J$168),COUNTIF($H$3:$H$168,"&lt;"&amp;(ROW()-ROW($K$2))),"")</x:f>
      </x:c>
      <x:c r="L610" t="str">
        <x:f>IF(K610="","",ROW()-ROW($L$2)-INDEX($H$3:$H$168,K610))</x:f>
      </x:c>
      <x:c r="M610" t="str">
        <x:f>IF(K610="","",IF(L610=1,1,FIND(CHAR(1),SUBSTITUTE(INDEX($B$3:$B$168,K610),CHAR(10),CHAR(1),L610-1))+1))</x:f>
      </x:c>
      <x:c r="N610" t="str">
        <x:f>IF(K610="","",IFERROR(FIND(CHAR(1),SUBSTITUTE(INDEX($B$3:$B$168,K610),CHAR(10),CHAR(1),L610)),LEN(INDEX($B$3:$B$168,K610))+1))</x:f>
      </x:c>
    </x:row>
    <x:row r="611">
      <x:c r="A611"/>
      <x:c r="B611"/>
      <x:c r="C611"/>
      <x:c r="D611" t="str">
        <x:f>IFERROR(IF(609&lt;=$O$1,INDEX($A$3:$A$168,MATCH(609,$I$3:$I$168,0)),IF(609&lt;=$O$1+$O$2,INDEX($F$3:$F$1994,MATCH(609-$O$1,$G$3:$G$1994,0)),"")),"")</x:f>
      </x:c>
      <x:c r="E611" t="str">
        <x:f>IF(K611="","",IF(N611&lt;=M611,"",TRIM(CLEAN(MID(INDEX($B$3:$B$168,K611),M611,N611-M611)))))</x:f>
      </x:c>
      <x:c r="F611" t="str">
        <x:f>IF(E611="","",IF(E611=TRIM(INDEX($A$3:$A$168,K611)),"",IF(RIGHT(TRIM(INDEX($A$3:$A$168,K611)),1)="]",LEFT(TRIM(INDEX($A$3:$A$168,K611)),LEN(TRIM(INDEX($A$3:$A$168,K611)))-1)&amp;", "&amp;SUBSTITUTE(SUBSTITUTE(SUBSTITUTE(E611," [",", "),"[",", "),"]","")&amp;"]",TRIM(INDEX($A$3:$A$168,K611))&amp;" ["&amp;SUBSTITUTE(SUBSTITUTE(SUBSTITUTE(E611," [",", "),"[",", "),"]","")&amp;"]")))</x:f>
      </x:c>
      <x:c r="G611" t="str">
        <x:f>IF(F611&lt;&gt;"",ROWS($F$3:F611)-COUNTBLANK($F$3:F611),"")</x:f>
      </x:c>
      <x:c r="H611"/>
      <x:c r="I611"/>
      <x:c r="J611"/>
      <x:c r="K611" t="str">
        <x:f>IF(ROW()-ROW($K$2)&lt;=SUM($J$3:$J$168),COUNTIF($H$3:$H$168,"&lt;"&amp;(ROW()-ROW($K$2))),"")</x:f>
      </x:c>
      <x:c r="L611" t="str">
        <x:f>IF(K611="","",ROW()-ROW($L$2)-INDEX($H$3:$H$168,K611))</x:f>
      </x:c>
      <x:c r="M611" t="str">
        <x:f>IF(K611="","",IF(L611=1,1,FIND(CHAR(1),SUBSTITUTE(INDEX($B$3:$B$168,K611),CHAR(10),CHAR(1),L611-1))+1))</x:f>
      </x:c>
      <x:c r="N611" t="str">
        <x:f>IF(K611="","",IFERROR(FIND(CHAR(1),SUBSTITUTE(INDEX($B$3:$B$168,K611),CHAR(10),CHAR(1),L611)),LEN(INDEX($B$3:$B$168,K611))+1))</x:f>
      </x:c>
    </x:row>
    <x:row r="612">
      <x:c r="A612"/>
      <x:c r="B612"/>
      <x:c r="C612"/>
      <x:c r="D612" t="str">
        <x:f>IFERROR(IF(610&lt;=$O$1,INDEX($A$3:$A$168,MATCH(610,$I$3:$I$168,0)),IF(610&lt;=$O$1+$O$2,INDEX($F$3:$F$1994,MATCH(610-$O$1,$G$3:$G$1994,0)),"")),"")</x:f>
      </x:c>
      <x:c r="E612" t="str">
        <x:f>IF(K612="","",IF(N612&lt;=M612,"",TRIM(CLEAN(MID(INDEX($B$3:$B$168,K612),M612,N612-M612)))))</x:f>
      </x:c>
      <x:c r="F612" t="str">
        <x:f>IF(E612="","",IF(E612=TRIM(INDEX($A$3:$A$168,K612)),"",IF(RIGHT(TRIM(INDEX($A$3:$A$168,K612)),1)="]",LEFT(TRIM(INDEX($A$3:$A$168,K612)),LEN(TRIM(INDEX($A$3:$A$168,K612)))-1)&amp;", "&amp;SUBSTITUTE(SUBSTITUTE(SUBSTITUTE(E612," [",", "),"[",", "),"]","")&amp;"]",TRIM(INDEX($A$3:$A$168,K612))&amp;" ["&amp;SUBSTITUTE(SUBSTITUTE(SUBSTITUTE(E612," [",", "),"[",", "),"]","")&amp;"]")))</x:f>
      </x:c>
      <x:c r="G612" t="str">
        <x:f>IF(F612&lt;&gt;"",ROWS($F$3:F612)-COUNTBLANK($F$3:F612),"")</x:f>
      </x:c>
      <x:c r="H612"/>
      <x:c r="I612"/>
      <x:c r="J612"/>
      <x:c r="K612" t="str">
        <x:f>IF(ROW()-ROW($K$2)&lt;=SUM($J$3:$J$168),COUNTIF($H$3:$H$168,"&lt;"&amp;(ROW()-ROW($K$2))),"")</x:f>
      </x:c>
      <x:c r="L612" t="str">
        <x:f>IF(K612="","",ROW()-ROW($L$2)-INDEX($H$3:$H$168,K612))</x:f>
      </x:c>
      <x:c r="M612" t="str">
        <x:f>IF(K612="","",IF(L612=1,1,FIND(CHAR(1),SUBSTITUTE(INDEX($B$3:$B$168,K612),CHAR(10),CHAR(1),L612-1))+1))</x:f>
      </x:c>
      <x:c r="N612" t="str">
        <x:f>IF(K612="","",IFERROR(FIND(CHAR(1),SUBSTITUTE(INDEX($B$3:$B$168,K612),CHAR(10),CHAR(1),L612)),LEN(INDEX($B$3:$B$168,K612))+1))</x:f>
      </x:c>
    </x:row>
    <x:row r="613">
      <x:c r="A613"/>
      <x:c r="B613"/>
      <x:c r="C613"/>
      <x:c r="D613" t="str">
        <x:f>IFERROR(IF(611&lt;=$O$1,INDEX($A$3:$A$168,MATCH(611,$I$3:$I$168,0)),IF(611&lt;=$O$1+$O$2,INDEX($F$3:$F$1994,MATCH(611-$O$1,$G$3:$G$1994,0)),"")),"")</x:f>
      </x:c>
      <x:c r="E613" t="str">
        <x:f>IF(K613="","",IF(N613&lt;=M613,"",TRIM(CLEAN(MID(INDEX($B$3:$B$168,K613),M613,N613-M613)))))</x:f>
      </x:c>
      <x:c r="F613" t="str">
        <x:f>IF(E613="","",IF(E613=TRIM(INDEX($A$3:$A$168,K613)),"",IF(RIGHT(TRIM(INDEX($A$3:$A$168,K613)),1)="]",LEFT(TRIM(INDEX($A$3:$A$168,K613)),LEN(TRIM(INDEX($A$3:$A$168,K613)))-1)&amp;", "&amp;SUBSTITUTE(SUBSTITUTE(SUBSTITUTE(E613," [",", "),"[",", "),"]","")&amp;"]",TRIM(INDEX($A$3:$A$168,K613))&amp;" ["&amp;SUBSTITUTE(SUBSTITUTE(SUBSTITUTE(E613," [",", "),"[",", "),"]","")&amp;"]")))</x:f>
      </x:c>
      <x:c r="G613" t="str">
        <x:f>IF(F613&lt;&gt;"",ROWS($F$3:F613)-COUNTBLANK($F$3:F613),"")</x:f>
      </x:c>
      <x:c r="H613"/>
      <x:c r="I613"/>
      <x:c r="J613"/>
      <x:c r="K613" t="str">
        <x:f>IF(ROW()-ROW($K$2)&lt;=SUM($J$3:$J$168),COUNTIF($H$3:$H$168,"&lt;"&amp;(ROW()-ROW($K$2))),"")</x:f>
      </x:c>
      <x:c r="L613" t="str">
        <x:f>IF(K613="","",ROW()-ROW($L$2)-INDEX($H$3:$H$168,K613))</x:f>
      </x:c>
      <x:c r="M613" t="str">
        <x:f>IF(K613="","",IF(L613=1,1,FIND(CHAR(1),SUBSTITUTE(INDEX($B$3:$B$168,K613),CHAR(10),CHAR(1),L613-1))+1))</x:f>
      </x:c>
      <x:c r="N613" t="str">
        <x:f>IF(K613="","",IFERROR(FIND(CHAR(1),SUBSTITUTE(INDEX($B$3:$B$168,K613),CHAR(10),CHAR(1),L613)),LEN(INDEX($B$3:$B$168,K613))+1))</x:f>
      </x:c>
    </x:row>
    <x:row r="614">
      <x:c r="A614"/>
      <x:c r="B614"/>
      <x:c r="C614"/>
      <x:c r="D614" t="str">
        <x:f>IFERROR(IF(612&lt;=$O$1,INDEX($A$3:$A$168,MATCH(612,$I$3:$I$168,0)),IF(612&lt;=$O$1+$O$2,INDEX($F$3:$F$1994,MATCH(612-$O$1,$G$3:$G$1994,0)),"")),"")</x:f>
      </x:c>
      <x:c r="E614" t="str">
        <x:f>IF(K614="","",IF(N614&lt;=M614,"",TRIM(CLEAN(MID(INDEX($B$3:$B$168,K614),M614,N614-M614)))))</x:f>
      </x:c>
      <x:c r="F614" t="str">
        <x:f>IF(E614="","",IF(E614=TRIM(INDEX($A$3:$A$168,K614)),"",IF(RIGHT(TRIM(INDEX($A$3:$A$168,K614)),1)="]",LEFT(TRIM(INDEX($A$3:$A$168,K614)),LEN(TRIM(INDEX($A$3:$A$168,K614)))-1)&amp;", "&amp;SUBSTITUTE(SUBSTITUTE(SUBSTITUTE(E614," [",", "),"[",", "),"]","")&amp;"]",TRIM(INDEX($A$3:$A$168,K614))&amp;" ["&amp;SUBSTITUTE(SUBSTITUTE(SUBSTITUTE(E614," [",", "),"[",", "),"]","")&amp;"]")))</x:f>
      </x:c>
      <x:c r="G614" t="str">
        <x:f>IF(F614&lt;&gt;"",ROWS($F$3:F614)-COUNTBLANK($F$3:F614),"")</x:f>
      </x:c>
      <x:c r="H614"/>
      <x:c r="I614"/>
      <x:c r="J614"/>
      <x:c r="K614" t="str">
        <x:f>IF(ROW()-ROW($K$2)&lt;=SUM($J$3:$J$168),COUNTIF($H$3:$H$168,"&lt;"&amp;(ROW()-ROW($K$2))),"")</x:f>
      </x:c>
      <x:c r="L614" t="str">
        <x:f>IF(K614="","",ROW()-ROW($L$2)-INDEX($H$3:$H$168,K614))</x:f>
      </x:c>
      <x:c r="M614" t="str">
        <x:f>IF(K614="","",IF(L614=1,1,FIND(CHAR(1),SUBSTITUTE(INDEX($B$3:$B$168,K614),CHAR(10),CHAR(1),L614-1))+1))</x:f>
      </x:c>
      <x:c r="N614" t="str">
        <x:f>IF(K614="","",IFERROR(FIND(CHAR(1),SUBSTITUTE(INDEX($B$3:$B$168,K614),CHAR(10),CHAR(1),L614)),LEN(INDEX($B$3:$B$168,K614))+1))</x:f>
      </x:c>
    </x:row>
    <x:row r="615">
      <x:c r="A615"/>
      <x:c r="B615"/>
      <x:c r="C615"/>
      <x:c r="D615" t="str">
        <x:f>IFERROR(IF(613&lt;=$O$1,INDEX($A$3:$A$168,MATCH(613,$I$3:$I$168,0)),IF(613&lt;=$O$1+$O$2,INDEX($F$3:$F$1994,MATCH(613-$O$1,$G$3:$G$1994,0)),"")),"")</x:f>
      </x:c>
      <x:c r="E615" t="str">
        <x:f>IF(K615="","",IF(N615&lt;=M615,"",TRIM(CLEAN(MID(INDEX($B$3:$B$168,K615),M615,N615-M615)))))</x:f>
      </x:c>
      <x:c r="F615" t="str">
        <x:f>IF(E615="","",IF(E615=TRIM(INDEX($A$3:$A$168,K615)),"",IF(RIGHT(TRIM(INDEX($A$3:$A$168,K615)),1)="]",LEFT(TRIM(INDEX($A$3:$A$168,K615)),LEN(TRIM(INDEX($A$3:$A$168,K615)))-1)&amp;", "&amp;SUBSTITUTE(SUBSTITUTE(SUBSTITUTE(E615," [",", "),"[",", "),"]","")&amp;"]",TRIM(INDEX($A$3:$A$168,K615))&amp;" ["&amp;SUBSTITUTE(SUBSTITUTE(SUBSTITUTE(E615," [",", "),"[",", "),"]","")&amp;"]")))</x:f>
      </x:c>
      <x:c r="G615" t="str">
        <x:f>IF(F615&lt;&gt;"",ROWS($F$3:F615)-COUNTBLANK($F$3:F615),"")</x:f>
      </x:c>
      <x:c r="H615"/>
      <x:c r="I615"/>
      <x:c r="J615"/>
      <x:c r="K615" t="str">
        <x:f>IF(ROW()-ROW($K$2)&lt;=SUM($J$3:$J$168),COUNTIF($H$3:$H$168,"&lt;"&amp;(ROW()-ROW($K$2))),"")</x:f>
      </x:c>
      <x:c r="L615" t="str">
        <x:f>IF(K615="","",ROW()-ROW($L$2)-INDEX($H$3:$H$168,K615))</x:f>
      </x:c>
      <x:c r="M615" t="str">
        <x:f>IF(K615="","",IF(L615=1,1,FIND(CHAR(1),SUBSTITUTE(INDEX($B$3:$B$168,K615),CHAR(10),CHAR(1),L615-1))+1))</x:f>
      </x:c>
      <x:c r="N615" t="str">
        <x:f>IF(K615="","",IFERROR(FIND(CHAR(1),SUBSTITUTE(INDEX($B$3:$B$168,K615),CHAR(10),CHAR(1),L615)),LEN(INDEX($B$3:$B$168,K615))+1))</x:f>
      </x:c>
    </x:row>
    <x:row r="616">
      <x:c r="A616"/>
      <x:c r="B616"/>
      <x:c r="C616"/>
      <x:c r="D616" t="str">
        <x:f>IFERROR(IF(614&lt;=$O$1,INDEX($A$3:$A$168,MATCH(614,$I$3:$I$168,0)),IF(614&lt;=$O$1+$O$2,INDEX($F$3:$F$1994,MATCH(614-$O$1,$G$3:$G$1994,0)),"")),"")</x:f>
      </x:c>
      <x:c r="E616" t="str">
        <x:f>IF(K616="","",IF(N616&lt;=M616,"",TRIM(CLEAN(MID(INDEX($B$3:$B$168,K616),M616,N616-M616)))))</x:f>
      </x:c>
      <x:c r="F616" t="str">
        <x:f>IF(E616="","",IF(E616=TRIM(INDEX($A$3:$A$168,K616)),"",IF(RIGHT(TRIM(INDEX($A$3:$A$168,K616)),1)="]",LEFT(TRIM(INDEX($A$3:$A$168,K616)),LEN(TRIM(INDEX($A$3:$A$168,K616)))-1)&amp;", "&amp;SUBSTITUTE(SUBSTITUTE(SUBSTITUTE(E616," [",", "),"[",", "),"]","")&amp;"]",TRIM(INDEX($A$3:$A$168,K616))&amp;" ["&amp;SUBSTITUTE(SUBSTITUTE(SUBSTITUTE(E616," [",", "),"[",", "),"]","")&amp;"]")))</x:f>
      </x:c>
      <x:c r="G616" t="str">
        <x:f>IF(F616&lt;&gt;"",ROWS($F$3:F616)-COUNTBLANK($F$3:F616),"")</x:f>
      </x:c>
      <x:c r="H616"/>
      <x:c r="I616"/>
      <x:c r="J616"/>
      <x:c r="K616" t="str">
        <x:f>IF(ROW()-ROW($K$2)&lt;=SUM($J$3:$J$168),COUNTIF($H$3:$H$168,"&lt;"&amp;(ROW()-ROW($K$2))),"")</x:f>
      </x:c>
      <x:c r="L616" t="str">
        <x:f>IF(K616="","",ROW()-ROW($L$2)-INDEX($H$3:$H$168,K616))</x:f>
      </x:c>
      <x:c r="M616" t="str">
        <x:f>IF(K616="","",IF(L616=1,1,FIND(CHAR(1),SUBSTITUTE(INDEX($B$3:$B$168,K616),CHAR(10),CHAR(1),L616-1))+1))</x:f>
      </x:c>
      <x:c r="N616" t="str">
        <x:f>IF(K616="","",IFERROR(FIND(CHAR(1),SUBSTITUTE(INDEX($B$3:$B$168,K616),CHAR(10),CHAR(1),L616)),LEN(INDEX($B$3:$B$168,K616))+1))</x:f>
      </x:c>
    </x:row>
    <x:row r="617">
      <x:c r="A617"/>
      <x:c r="B617"/>
      <x:c r="C617"/>
      <x:c r="D617" t="str">
        <x:f>IFERROR(IF(615&lt;=$O$1,INDEX($A$3:$A$168,MATCH(615,$I$3:$I$168,0)),IF(615&lt;=$O$1+$O$2,INDEX($F$3:$F$1994,MATCH(615-$O$1,$G$3:$G$1994,0)),"")),"")</x:f>
      </x:c>
      <x:c r="E617" t="str">
        <x:f>IF(K617="","",IF(N617&lt;=M617,"",TRIM(CLEAN(MID(INDEX($B$3:$B$168,K617),M617,N617-M617)))))</x:f>
      </x:c>
      <x:c r="F617" t="str">
        <x:f>IF(E617="","",IF(E617=TRIM(INDEX($A$3:$A$168,K617)),"",IF(RIGHT(TRIM(INDEX($A$3:$A$168,K617)),1)="]",LEFT(TRIM(INDEX($A$3:$A$168,K617)),LEN(TRIM(INDEX($A$3:$A$168,K617)))-1)&amp;", "&amp;SUBSTITUTE(SUBSTITUTE(SUBSTITUTE(E617," [",", "),"[",", "),"]","")&amp;"]",TRIM(INDEX($A$3:$A$168,K617))&amp;" ["&amp;SUBSTITUTE(SUBSTITUTE(SUBSTITUTE(E617," [",", "),"[",", "),"]","")&amp;"]")))</x:f>
      </x:c>
      <x:c r="G617" t="str">
        <x:f>IF(F617&lt;&gt;"",ROWS($F$3:F617)-COUNTBLANK($F$3:F617),"")</x:f>
      </x:c>
      <x:c r="H617"/>
      <x:c r="I617"/>
      <x:c r="J617"/>
      <x:c r="K617" t="str">
        <x:f>IF(ROW()-ROW($K$2)&lt;=SUM($J$3:$J$168),COUNTIF($H$3:$H$168,"&lt;"&amp;(ROW()-ROW($K$2))),"")</x:f>
      </x:c>
      <x:c r="L617" t="str">
        <x:f>IF(K617="","",ROW()-ROW($L$2)-INDEX($H$3:$H$168,K617))</x:f>
      </x:c>
      <x:c r="M617" t="str">
        <x:f>IF(K617="","",IF(L617=1,1,FIND(CHAR(1),SUBSTITUTE(INDEX($B$3:$B$168,K617),CHAR(10),CHAR(1),L617-1))+1))</x:f>
      </x:c>
      <x:c r="N617" t="str">
        <x:f>IF(K617="","",IFERROR(FIND(CHAR(1),SUBSTITUTE(INDEX($B$3:$B$168,K617),CHAR(10),CHAR(1),L617)),LEN(INDEX($B$3:$B$168,K617))+1))</x:f>
      </x:c>
    </x:row>
    <x:row r="618">
      <x:c r="A618"/>
      <x:c r="B618"/>
      <x:c r="C618"/>
      <x:c r="D618" t="str">
        <x:f>IFERROR(IF(616&lt;=$O$1,INDEX($A$3:$A$168,MATCH(616,$I$3:$I$168,0)),IF(616&lt;=$O$1+$O$2,INDEX($F$3:$F$1994,MATCH(616-$O$1,$G$3:$G$1994,0)),"")),"")</x:f>
      </x:c>
      <x:c r="E618" t="str">
        <x:f>IF(K618="","",IF(N618&lt;=M618,"",TRIM(CLEAN(MID(INDEX($B$3:$B$168,K618),M618,N618-M618)))))</x:f>
      </x:c>
      <x:c r="F618" t="str">
        <x:f>IF(E618="","",IF(E618=TRIM(INDEX($A$3:$A$168,K618)),"",IF(RIGHT(TRIM(INDEX($A$3:$A$168,K618)),1)="]",LEFT(TRIM(INDEX($A$3:$A$168,K618)),LEN(TRIM(INDEX($A$3:$A$168,K618)))-1)&amp;", "&amp;SUBSTITUTE(SUBSTITUTE(SUBSTITUTE(E618," [",", "),"[",", "),"]","")&amp;"]",TRIM(INDEX($A$3:$A$168,K618))&amp;" ["&amp;SUBSTITUTE(SUBSTITUTE(SUBSTITUTE(E618," [",", "),"[",", "),"]","")&amp;"]")))</x:f>
      </x:c>
      <x:c r="G618" t="str">
        <x:f>IF(F618&lt;&gt;"",ROWS($F$3:F618)-COUNTBLANK($F$3:F618),"")</x:f>
      </x:c>
      <x:c r="H618"/>
      <x:c r="I618"/>
      <x:c r="J618"/>
      <x:c r="K618" t="str">
        <x:f>IF(ROW()-ROW($K$2)&lt;=SUM($J$3:$J$168),COUNTIF($H$3:$H$168,"&lt;"&amp;(ROW()-ROW($K$2))),"")</x:f>
      </x:c>
      <x:c r="L618" t="str">
        <x:f>IF(K618="","",ROW()-ROW($L$2)-INDEX($H$3:$H$168,K618))</x:f>
      </x:c>
      <x:c r="M618" t="str">
        <x:f>IF(K618="","",IF(L618=1,1,FIND(CHAR(1),SUBSTITUTE(INDEX($B$3:$B$168,K618),CHAR(10),CHAR(1),L618-1))+1))</x:f>
      </x:c>
      <x:c r="N618" t="str">
        <x:f>IF(K618="","",IFERROR(FIND(CHAR(1),SUBSTITUTE(INDEX($B$3:$B$168,K618),CHAR(10),CHAR(1),L618)),LEN(INDEX($B$3:$B$168,K618))+1))</x:f>
      </x:c>
    </x:row>
    <x:row r="619">
      <x:c r="A619"/>
      <x:c r="B619"/>
      <x:c r="C619"/>
      <x:c r="D619" t="str">
        <x:f>IFERROR(IF(617&lt;=$O$1,INDEX($A$3:$A$168,MATCH(617,$I$3:$I$168,0)),IF(617&lt;=$O$1+$O$2,INDEX($F$3:$F$1994,MATCH(617-$O$1,$G$3:$G$1994,0)),"")),"")</x:f>
      </x:c>
      <x:c r="E619" t="str">
        <x:f>IF(K619="","",IF(N619&lt;=M619,"",TRIM(CLEAN(MID(INDEX($B$3:$B$168,K619),M619,N619-M619)))))</x:f>
      </x:c>
      <x:c r="F619" t="str">
        <x:f>IF(E619="","",IF(E619=TRIM(INDEX($A$3:$A$168,K619)),"",IF(RIGHT(TRIM(INDEX($A$3:$A$168,K619)),1)="]",LEFT(TRIM(INDEX($A$3:$A$168,K619)),LEN(TRIM(INDEX($A$3:$A$168,K619)))-1)&amp;", "&amp;SUBSTITUTE(SUBSTITUTE(SUBSTITUTE(E619," [",", "),"[",", "),"]","")&amp;"]",TRIM(INDEX($A$3:$A$168,K619))&amp;" ["&amp;SUBSTITUTE(SUBSTITUTE(SUBSTITUTE(E619," [",", "),"[",", "),"]","")&amp;"]")))</x:f>
      </x:c>
      <x:c r="G619" t="str">
        <x:f>IF(F619&lt;&gt;"",ROWS($F$3:F619)-COUNTBLANK($F$3:F619),"")</x:f>
      </x:c>
      <x:c r="H619"/>
      <x:c r="I619"/>
      <x:c r="J619"/>
      <x:c r="K619" t="str">
        <x:f>IF(ROW()-ROW($K$2)&lt;=SUM($J$3:$J$168),COUNTIF($H$3:$H$168,"&lt;"&amp;(ROW()-ROW($K$2))),"")</x:f>
      </x:c>
      <x:c r="L619" t="str">
        <x:f>IF(K619="","",ROW()-ROW($L$2)-INDEX($H$3:$H$168,K619))</x:f>
      </x:c>
      <x:c r="M619" t="str">
        <x:f>IF(K619="","",IF(L619=1,1,FIND(CHAR(1),SUBSTITUTE(INDEX($B$3:$B$168,K619),CHAR(10),CHAR(1),L619-1))+1))</x:f>
      </x:c>
      <x:c r="N619" t="str">
        <x:f>IF(K619="","",IFERROR(FIND(CHAR(1),SUBSTITUTE(INDEX($B$3:$B$168,K619),CHAR(10),CHAR(1),L619)),LEN(INDEX($B$3:$B$168,K619))+1))</x:f>
      </x:c>
    </x:row>
    <x:row r="620">
      <x:c r="A620"/>
      <x:c r="B620"/>
      <x:c r="C620"/>
      <x:c r="D620" t="str">
        <x:f>IFERROR(IF(618&lt;=$O$1,INDEX($A$3:$A$168,MATCH(618,$I$3:$I$168,0)),IF(618&lt;=$O$1+$O$2,INDEX($F$3:$F$1994,MATCH(618-$O$1,$G$3:$G$1994,0)),"")),"")</x:f>
      </x:c>
      <x:c r="E620" t="str">
        <x:f>IF(K620="","",IF(N620&lt;=M620,"",TRIM(CLEAN(MID(INDEX($B$3:$B$168,K620),M620,N620-M620)))))</x:f>
      </x:c>
      <x:c r="F620" t="str">
        <x:f>IF(E620="","",IF(E620=TRIM(INDEX($A$3:$A$168,K620)),"",IF(RIGHT(TRIM(INDEX($A$3:$A$168,K620)),1)="]",LEFT(TRIM(INDEX($A$3:$A$168,K620)),LEN(TRIM(INDEX($A$3:$A$168,K620)))-1)&amp;", "&amp;SUBSTITUTE(SUBSTITUTE(SUBSTITUTE(E620," [",", "),"[",", "),"]","")&amp;"]",TRIM(INDEX($A$3:$A$168,K620))&amp;" ["&amp;SUBSTITUTE(SUBSTITUTE(SUBSTITUTE(E620," [",", "),"[",", "),"]","")&amp;"]")))</x:f>
      </x:c>
      <x:c r="G620" t="str">
        <x:f>IF(F620&lt;&gt;"",ROWS($F$3:F620)-COUNTBLANK($F$3:F620),"")</x:f>
      </x:c>
      <x:c r="H620"/>
      <x:c r="I620"/>
      <x:c r="J620"/>
      <x:c r="K620" t="str">
        <x:f>IF(ROW()-ROW($K$2)&lt;=SUM($J$3:$J$168),COUNTIF($H$3:$H$168,"&lt;"&amp;(ROW()-ROW($K$2))),"")</x:f>
      </x:c>
      <x:c r="L620" t="str">
        <x:f>IF(K620="","",ROW()-ROW($L$2)-INDEX($H$3:$H$168,K620))</x:f>
      </x:c>
      <x:c r="M620" t="str">
        <x:f>IF(K620="","",IF(L620=1,1,FIND(CHAR(1),SUBSTITUTE(INDEX($B$3:$B$168,K620),CHAR(10),CHAR(1),L620-1))+1))</x:f>
      </x:c>
      <x:c r="N620" t="str">
        <x:f>IF(K620="","",IFERROR(FIND(CHAR(1),SUBSTITUTE(INDEX($B$3:$B$168,K620),CHAR(10),CHAR(1),L620)),LEN(INDEX($B$3:$B$168,K620))+1))</x:f>
      </x:c>
    </x:row>
    <x:row r="621">
      <x:c r="A621"/>
      <x:c r="B621"/>
      <x:c r="C621"/>
      <x:c r="D621" t="str">
        <x:f>IFERROR(IF(619&lt;=$O$1,INDEX($A$3:$A$168,MATCH(619,$I$3:$I$168,0)),IF(619&lt;=$O$1+$O$2,INDEX($F$3:$F$1994,MATCH(619-$O$1,$G$3:$G$1994,0)),"")),"")</x:f>
      </x:c>
      <x:c r="E621" t="str">
        <x:f>IF(K621="","",IF(N621&lt;=M621,"",TRIM(CLEAN(MID(INDEX($B$3:$B$168,K621),M621,N621-M621)))))</x:f>
      </x:c>
      <x:c r="F621" t="str">
        <x:f>IF(E621="","",IF(E621=TRIM(INDEX($A$3:$A$168,K621)),"",IF(RIGHT(TRIM(INDEX($A$3:$A$168,K621)),1)="]",LEFT(TRIM(INDEX($A$3:$A$168,K621)),LEN(TRIM(INDEX($A$3:$A$168,K621)))-1)&amp;", "&amp;SUBSTITUTE(SUBSTITUTE(SUBSTITUTE(E621," [",", "),"[",", "),"]","")&amp;"]",TRIM(INDEX($A$3:$A$168,K621))&amp;" ["&amp;SUBSTITUTE(SUBSTITUTE(SUBSTITUTE(E621," [",", "),"[",", "),"]","")&amp;"]")))</x:f>
      </x:c>
      <x:c r="G621" t="str">
        <x:f>IF(F621&lt;&gt;"",ROWS($F$3:F621)-COUNTBLANK($F$3:F621),"")</x:f>
      </x:c>
      <x:c r="H621"/>
      <x:c r="I621"/>
      <x:c r="J621"/>
      <x:c r="K621" t="str">
        <x:f>IF(ROW()-ROW($K$2)&lt;=SUM($J$3:$J$168),COUNTIF($H$3:$H$168,"&lt;"&amp;(ROW()-ROW($K$2))),"")</x:f>
      </x:c>
      <x:c r="L621" t="str">
        <x:f>IF(K621="","",ROW()-ROW($L$2)-INDEX($H$3:$H$168,K621))</x:f>
      </x:c>
      <x:c r="M621" t="str">
        <x:f>IF(K621="","",IF(L621=1,1,FIND(CHAR(1),SUBSTITUTE(INDEX($B$3:$B$168,K621),CHAR(10),CHAR(1),L621-1))+1))</x:f>
      </x:c>
      <x:c r="N621" t="str">
        <x:f>IF(K621="","",IFERROR(FIND(CHAR(1),SUBSTITUTE(INDEX($B$3:$B$168,K621),CHAR(10),CHAR(1),L621)),LEN(INDEX($B$3:$B$168,K621))+1))</x:f>
      </x:c>
    </x:row>
    <x:row r="622">
      <x:c r="A622"/>
      <x:c r="B622"/>
      <x:c r="C622"/>
      <x:c r="D622" t="str">
        <x:f>IFERROR(IF(620&lt;=$O$1,INDEX($A$3:$A$168,MATCH(620,$I$3:$I$168,0)),IF(620&lt;=$O$1+$O$2,INDEX($F$3:$F$1994,MATCH(620-$O$1,$G$3:$G$1994,0)),"")),"")</x:f>
      </x:c>
      <x:c r="E622" t="str">
        <x:f>IF(K622="","",IF(N622&lt;=M622,"",TRIM(CLEAN(MID(INDEX($B$3:$B$168,K622),M622,N622-M622)))))</x:f>
      </x:c>
      <x:c r="F622" t="str">
        <x:f>IF(E622="","",IF(E622=TRIM(INDEX($A$3:$A$168,K622)),"",IF(RIGHT(TRIM(INDEX($A$3:$A$168,K622)),1)="]",LEFT(TRIM(INDEX($A$3:$A$168,K622)),LEN(TRIM(INDEX($A$3:$A$168,K622)))-1)&amp;", "&amp;SUBSTITUTE(SUBSTITUTE(SUBSTITUTE(E622," [",", "),"[",", "),"]","")&amp;"]",TRIM(INDEX($A$3:$A$168,K622))&amp;" ["&amp;SUBSTITUTE(SUBSTITUTE(SUBSTITUTE(E622," [",", "),"[",", "),"]","")&amp;"]")))</x:f>
      </x:c>
      <x:c r="G622" t="str">
        <x:f>IF(F622&lt;&gt;"",ROWS($F$3:F622)-COUNTBLANK($F$3:F622),"")</x:f>
      </x:c>
      <x:c r="H622"/>
      <x:c r="I622"/>
      <x:c r="J622"/>
      <x:c r="K622" t="str">
        <x:f>IF(ROW()-ROW($K$2)&lt;=SUM($J$3:$J$168),COUNTIF($H$3:$H$168,"&lt;"&amp;(ROW()-ROW($K$2))),"")</x:f>
      </x:c>
      <x:c r="L622" t="str">
        <x:f>IF(K622="","",ROW()-ROW($L$2)-INDEX($H$3:$H$168,K622))</x:f>
      </x:c>
      <x:c r="M622" t="str">
        <x:f>IF(K622="","",IF(L622=1,1,FIND(CHAR(1),SUBSTITUTE(INDEX($B$3:$B$168,K622),CHAR(10),CHAR(1),L622-1))+1))</x:f>
      </x:c>
      <x:c r="N622" t="str">
        <x:f>IF(K622="","",IFERROR(FIND(CHAR(1),SUBSTITUTE(INDEX($B$3:$B$168,K622),CHAR(10),CHAR(1),L622)),LEN(INDEX($B$3:$B$168,K622))+1))</x:f>
      </x:c>
    </x:row>
    <x:row r="623">
      <x:c r="A623"/>
      <x:c r="B623"/>
      <x:c r="C623"/>
      <x:c r="D623" t="str">
        <x:f>IFERROR(IF(621&lt;=$O$1,INDEX($A$3:$A$168,MATCH(621,$I$3:$I$168,0)),IF(621&lt;=$O$1+$O$2,INDEX($F$3:$F$1994,MATCH(621-$O$1,$G$3:$G$1994,0)),"")),"")</x:f>
      </x:c>
      <x:c r="E623" t="str">
        <x:f>IF(K623="","",IF(N623&lt;=M623,"",TRIM(CLEAN(MID(INDEX($B$3:$B$168,K623),M623,N623-M623)))))</x:f>
      </x:c>
      <x:c r="F623" t="str">
        <x:f>IF(E623="","",IF(E623=TRIM(INDEX($A$3:$A$168,K623)),"",IF(RIGHT(TRIM(INDEX($A$3:$A$168,K623)),1)="]",LEFT(TRIM(INDEX($A$3:$A$168,K623)),LEN(TRIM(INDEX($A$3:$A$168,K623)))-1)&amp;", "&amp;SUBSTITUTE(SUBSTITUTE(SUBSTITUTE(E623," [",", "),"[",", "),"]","")&amp;"]",TRIM(INDEX($A$3:$A$168,K623))&amp;" ["&amp;SUBSTITUTE(SUBSTITUTE(SUBSTITUTE(E623," [",", "),"[",", "),"]","")&amp;"]")))</x:f>
      </x:c>
      <x:c r="G623" t="str">
        <x:f>IF(F623&lt;&gt;"",ROWS($F$3:F623)-COUNTBLANK($F$3:F623),"")</x:f>
      </x:c>
      <x:c r="H623"/>
      <x:c r="I623"/>
      <x:c r="J623"/>
      <x:c r="K623" t="str">
        <x:f>IF(ROW()-ROW($K$2)&lt;=SUM($J$3:$J$168),COUNTIF($H$3:$H$168,"&lt;"&amp;(ROW()-ROW($K$2))),"")</x:f>
      </x:c>
      <x:c r="L623" t="str">
        <x:f>IF(K623="","",ROW()-ROW($L$2)-INDEX($H$3:$H$168,K623))</x:f>
      </x:c>
      <x:c r="M623" t="str">
        <x:f>IF(K623="","",IF(L623=1,1,FIND(CHAR(1),SUBSTITUTE(INDEX($B$3:$B$168,K623),CHAR(10),CHAR(1),L623-1))+1))</x:f>
      </x:c>
      <x:c r="N623" t="str">
        <x:f>IF(K623="","",IFERROR(FIND(CHAR(1),SUBSTITUTE(INDEX($B$3:$B$168,K623),CHAR(10),CHAR(1),L623)),LEN(INDEX($B$3:$B$168,K623))+1))</x:f>
      </x:c>
    </x:row>
    <x:row r="624">
      <x:c r="A624"/>
      <x:c r="B624"/>
      <x:c r="C624"/>
      <x:c r="D624" t="str">
        <x:f>IFERROR(IF(622&lt;=$O$1,INDEX($A$3:$A$168,MATCH(622,$I$3:$I$168,0)),IF(622&lt;=$O$1+$O$2,INDEX($F$3:$F$1994,MATCH(622-$O$1,$G$3:$G$1994,0)),"")),"")</x:f>
      </x:c>
      <x:c r="E624" t="str">
        <x:f>IF(K624="","",IF(N624&lt;=M624,"",TRIM(CLEAN(MID(INDEX($B$3:$B$168,K624),M624,N624-M624)))))</x:f>
      </x:c>
      <x:c r="F624" t="str">
        <x:f>IF(E624="","",IF(E624=TRIM(INDEX($A$3:$A$168,K624)),"",IF(RIGHT(TRIM(INDEX($A$3:$A$168,K624)),1)="]",LEFT(TRIM(INDEX($A$3:$A$168,K624)),LEN(TRIM(INDEX($A$3:$A$168,K624)))-1)&amp;", "&amp;SUBSTITUTE(SUBSTITUTE(SUBSTITUTE(E624," [",", "),"[",", "),"]","")&amp;"]",TRIM(INDEX($A$3:$A$168,K624))&amp;" ["&amp;SUBSTITUTE(SUBSTITUTE(SUBSTITUTE(E624," [",", "),"[",", "),"]","")&amp;"]")))</x:f>
      </x:c>
      <x:c r="G624" t="str">
        <x:f>IF(F624&lt;&gt;"",ROWS($F$3:F624)-COUNTBLANK($F$3:F624),"")</x:f>
      </x:c>
      <x:c r="H624"/>
      <x:c r="I624"/>
      <x:c r="J624"/>
      <x:c r="K624" t="str">
        <x:f>IF(ROW()-ROW($K$2)&lt;=SUM($J$3:$J$168),COUNTIF($H$3:$H$168,"&lt;"&amp;(ROW()-ROW($K$2))),"")</x:f>
      </x:c>
      <x:c r="L624" t="str">
        <x:f>IF(K624="","",ROW()-ROW($L$2)-INDEX($H$3:$H$168,K624))</x:f>
      </x:c>
      <x:c r="M624" t="str">
        <x:f>IF(K624="","",IF(L624=1,1,FIND(CHAR(1),SUBSTITUTE(INDEX($B$3:$B$168,K624),CHAR(10),CHAR(1),L624-1))+1))</x:f>
      </x:c>
      <x:c r="N624" t="str">
        <x:f>IF(K624="","",IFERROR(FIND(CHAR(1),SUBSTITUTE(INDEX($B$3:$B$168,K624),CHAR(10),CHAR(1),L624)),LEN(INDEX($B$3:$B$168,K624))+1))</x:f>
      </x:c>
    </x:row>
    <x:row r="625">
      <x:c r="A625"/>
      <x:c r="B625"/>
      <x:c r="C625"/>
      <x:c r="D625" t="str">
        <x:f>IFERROR(IF(623&lt;=$O$1,INDEX($A$3:$A$168,MATCH(623,$I$3:$I$168,0)),IF(623&lt;=$O$1+$O$2,INDEX($F$3:$F$1994,MATCH(623-$O$1,$G$3:$G$1994,0)),"")),"")</x:f>
      </x:c>
      <x:c r="E625" t="str">
        <x:f>IF(K625="","",IF(N625&lt;=M625,"",TRIM(CLEAN(MID(INDEX($B$3:$B$168,K625),M625,N625-M625)))))</x:f>
      </x:c>
      <x:c r="F625" t="str">
        <x:f>IF(E625="","",IF(E625=TRIM(INDEX($A$3:$A$168,K625)),"",IF(RIGHT(TRIM(INDEX($A$3:$A$168,K625)),1)="]",LEFT(TRIM(INDEX($A$3:$A$168,K625)),LEN(TRIM(INDEX($A$3:$A$168,K625)))-1)&amp;", "&amp;SUBSTITUTE(SUBSTITUTE(SUBSTITUTE(E625," [",", "),"[",", "),"]","")&amp;"]",TRIM(INDEX($A$3:$A$168,K625))&amp;" ["&amp;SUBSTITUTE(SUBSTITUTE(SUBSTITUTE(E625," [",", "),"[",", "),"]","")&amp;"]")))</x:f>
      </x:c>
      <x:c r="G625" t="str">
        <x:f>IF(F625&lt;&gt;"",ROWS($F$3:F625)-COUNTBLANK($F$3:F625),"")</x:f>
      </x:c>
      <x:c r="H625"/>
      <x:c r="I625"/>
      <x:c r="J625"/>
      <x:c r="K625" t="str">
        <x:f>IF(ROW()-ROW($K$2)&lt;=SUM($J$3:$J$168),COUNTIF($H$3:$H$168,"&lt;"&amp;(ROW()-ROW($K$2))),"")</x:f>
      </x:c>
      <x:c r="L625" t="str">
        <x:f>IF(K625="","",ROW()-ROW($L$2)-INDEX($H$3:$H$168,K625))</x:f>
      </x:c>
      <x:c r="M625" t="str">
        <x:f>IF(K625="","",IF(L625=1,1,FIND(CHAR(1),SUBSTITUTE(INDEX($B$3:$B$168,K625),CHAR(10),CHAR(1),L625-1))+1))</x:f>
      </x:c>
      <x:c r="N625" t="str">
        <x:f>IF(K625="","",IFERROR(FIND(CHAR(1),SUBSTITUTE(INDEX($B$3:$B$168,K625),CHAR(10),CHAR(1),L625)),LEN(INDEX($B$3:$B$168,K625))+1))</x:f>
      </x:c>
    </x:row>
    <x:row r="626">
      <x:c r="A626"/>
      <x:c r="B626"/>
      <x:c r="C626"/>
      <x:c r="D626" t="str">
        <x:f>IFERROR(IF(624&lt;=$O$1,INDEX($A$3:$A$168,MATCH(624,$I$3:$I$168,0)),IF(624&lt;=$O$1+$O$2,INDEX($F$3:$F$1994,MATCH(624-$O$1,$G$3:$G$1994,0)),"")),"")</x:f>
      </x:c>
      <x:c r="E626" t="str">
        <x:f>IF(K626="","",IF(N626&lt;=M626,"",TRIM(CLEAN(MID(INDEX($B$3:$B$168,K626),M626,N626-M626)))))</x:f>
      </x:c>
      <x:c r="F626" t="str">
        <x:f>IF(E626="","",IF(E626=TRIM(INDEX($A$3:$A$168,K626)),"",IF(RIGHT(TRIM(INDEX($A$3:$A$168,K626)),1)="]",LEFT(TRIM(INDEX($A$3:$A$168,K626)),LEN(TRIM(INDEX($A$3:$A$168,K626)))-1)&amp;", "&amp;SUBSTITUTE(SUBSTITUTE(SUBSTITUTE(E626," [",", "),"[",", "),"]","")&amp;"]",TRIM(INDEX($A$3:$A$168,K626))&amp;" ["&amp;SUBSTITUTE(SUBSTITUTE(SUBSTITUTE(E626," [",", "),"[",", "),"]","")&amp;"]")))</x:f>
      </x:c>
      <x:c r="G626" t="str">
        <x:f>IF(F626&lt;&gt;"",ROWS($F$3:F626)-COUNTBLANK($F$3:F626),"")</x:f>
      </x:c>
      <x:c r="H626"/>
      <x:c r="I626"/>
      <x:c r="J626"/>
      <x:c r="K626" t="str">
        <x:f>IF(ROW()-ROW($K$2)&lt;=SUM($J$3:$J$168),COUNTIF($H$3:$H$168,"&lt;"&amp;(ROW()-ROW($K$2))),"")</x:f>
      </x:c>
      <x:c r="L626" t="str">
        <x:f>IF(K626="","",ROW()-ROW($L$2)-INDEX($H$3:$H$168,K626))</x:f>
      </x:c>
      <x:c r="M626" t="str">
        <x:f>IF(K626="","",IF(L626=1,1,FIND(CHAR(1),SUBSTITUTE(INDEX($B$3:$B$168,K626),CHAR(10),CHAR(1),L626-1))+1))</x:f>
      </x:c>
      <x:c r="N626" t="str">
        <x:f>IF(K626="","",IFERROR(FIND(CHAR(1),SUBSTITUTE(INDEX($B$3:$B$168,K626),CHAR(10),CHAR(1),L626)),LEN(INDEX($B$3:$B$168,K626))+1))</x:f>
      </x:c>
    </x:row>
    <x:row r="627">
      <x:c r="A627"/>
      <x:c r="B627"/>
      <x:c r="C627"/>
      <x:c r="D627" t="str">
        <x:f>IFERROR(IF(625&lt;=$O$1,INDEX($A$3:$A$168,MATCH(625,$I$3:$I$168,0)),IF(625&lt;=$O$1+$O$2,INDEX($F$3:$F$1994,MATCH(625-$O$1,$G$3:$G$1994,0)),"")),"")</x:f>
      </x:c>
      <x:c r="E627" t="str">
        <x:f>IF(K627="","",IF(N627&lt;=M627,"",TRIM(CLEAN(MID(INDEX($B$3:$B$168,K627),M627,N627-M627)))))</x:f>
      </x:c>
      <x:c r="F627" t="str">
        <x:f>IF(E627="","",IF(E627=TRIM(INDEX($A$3:$A$168,K627)),"",IF(RIGHT(TRIM(INDEX($A$3:$A$168,K627)),1)="]",LEFT(TRIM(INDEX($A$3:$A$168,K627)),LEN(TRIM(INDEX($A$3:$A$168,K627)))-1)&amp;", "&amp;SUBSTITUTE(SUBSTITUTE(SUBSTITUTE(E627," [",", "),"[",", "),"]","")&amp;"]",TRIM(INDEX($A$3:$A$168,K627))&amp;" ["&amp;SUBSTITUTE(SUBSTITUTE(SUBSTITUTE(E627," [",", "),"[",", "),"]","")&amp;"]")))</x:f>
      </x:c>
      <x:c r="G627" t="str">
        <x:f>IF(F627&lt;&gt;"",ROWS($F$3:F627)-COUNTBLANK($F$3:F627),"")</x:f>
      </x:c>
      <x:c r="H627"/>
      <x:c r="I627"/>
      <x:c r="J627"/>
      <x:c r="K627" t="str">
        <x:f>IF(ROW()-ROW($K$2)&lt;=SUM($J$3:$J$168),COUNTIF($H$3:$H$168,"&lt;"&amp;(ROW()-ROW($K$2))),"")</x:f>
      </x:c>
      <x:c r="L627" t="str">
        <x:f>IF(K627="","",ROW()-ROW($L$2)-INDEX($H$3:$H$168,K627))</x:f>
      </x:c>
      <x:c r="M627" t="str">
        <x:f>IF(K627="","",IF(L627=1,1,FIND(CHAR(1),SUBSTITUTE(INDEX($B$3:$B$168,K627),CHAR(10),CHAR(1),L627-1))+1))</x:f>
      </x:c>
      <x:c r="N627" t="str">
        <x:f>IF(K627="","",IFERROR(FIND(CHAR(1),SUBSTITUTE(INDEX($B$3:$B$168,K627),CHAR(10),CHAR(1),L627)),LEN(INDEX($B$3:$B$168,K627))+1))</x:f>
      </x:c>
    </x:row>
    <x:row r="628">
      <x:c r="A628"/>
      <x:c r="B628"/>
      <x:c r="C628"/>
      <x:c r="D628" t="str">
        <x:f>IFERROR(IF(626&lt;=$O$1,INDEX($A$3:$A$168,MATCH(626,$I$3:$I$168,0)),IF(626&lt;=$O$1+$O$2,INDEX($F$3:$F$1994,MATCH(626-$O$1,$G$3:$G$1994,0)),"")),"")</x:f>
      </x:c>
      <x:c r="E628" t="str">
        <x:f>IF(K628="","",IF(N628&lt;=M628,"",TRIM(CLEAN(MID(INDEX($B$3:$B$168,K628),M628,N628-M628)))))</x:f>
      </x:c>
      <x:c r="F628" t="str">
        <x:f>IF(E628="","",IF(E628=TRIM(INDEX($A$3:$A$168,K628)),"",IF(RIGHT(TRIM(INDEX($A$3:$A$168,K628)),1)="]",LEFT(TRIM(INDEX($A$3:$A$168,K628)),LEN(TRIM(INDEX($A$3:$A$168,K628)))-1)&amp;", "&amp;SUBSTITUTE(SUBSTITUTE(SUBSTITUTE(E628," [",", "),"[",", "),"]","")&amp;"]",TRIM(INDEX($A$3:$A$168,K628))&amp;" ["&amp;SUBSTITUTE(SUBSTITUTE(SUBSTITUTE(E628," [",", "),"[",", "),"]","")&amp;"]")))</x:f>
      </x:c>
      <x:c r="G628" t="str">
        <x:f>IF(F628&lt;&gt;"",ROWS($F$3:F628)-COUNTBLANK($F$3:F628),"")</x:f>
      </x:c>
      <x:c r="H628"/>
      <x:c r="I628"/>
      <x:c r="J628"/>
      <x:c r="K628" t="str">
        <x:f>IF(ROW()-ROW($K$2)&lt;=SUM($J$3:$J$168),COUNTIF($H$3:$H$168,"&lt;"&amp;(ROW()-ROW($K$2))),"")</x:f>
      </x:c>
      <x:c r="L628" t="str">
        <x:f>IF(K628="","",ROW()-ROW($L$2)-INDEX($H$3:$H$168,K628))</x:f>
      </x:c>
      <x:c r="M628" t="str">
        <x:f>IF(K628="","",IF(L628=1,1,FIND(CHAR(1),SUBSTITUTE(INDEX($B$3:$B$168,K628),CHAR(10),CHAR(1),L628-1))+1))</x:f>
      </x:c>
      <x:c r="N628" t="str">
        <x:f>IF(K628="","",IFERROR(FIND(CHAR(1),SUBSTITUTE(INDEX($B$3:$B$168,K628),CHAR(10),CHAR(1),L628)),LEN(INDEX($B$3:$B$168,K628))+1))</x:f>
      </x:c>
    </x:row>
    <x:row r="629">
      <x:c r="A629"/>
      <x:c r="B629"/>
      <x:c r="C629"/>
      <x:c r="D629" t="str">
        <x:f>IFERROR(IF(627&lt;=$O$1,INDEX($A$3:$A$168,MATCH(627,$I$3:$I$168,0)),IF(627&lt;=$O$1+$O$2,INDEX($F$3:$F$1994,MATCH(627-$O$1,$G$3:$G$1994,0)),"")),"")</x:f>
      </x:c>
      <x:c r="E629" t="str">
        <x:f>IF(K629="","",IF(N629&lt;=M629,"",TRIM(CLEAN(MID(INDEX($B$3:$B$168,K629),M629,N629-M629)))))</x:f>
      </x:c>
      <x:c r="F629" t="str">
        <x:f>IF(E629="","",IF(E629=TRIM(INDEX($A$3:$A$168,K629)),"",IF(RIGHT(TRIM(INDEX($A$3:$A$168,K629)),1)="]",LEFT(TRIM(INDEX($A$3:$A$168,K629)),LEN(TRIM(INDEX($A$3:$A$168,K629)))-1)&amp;", "&amp;SUBSTITUTE(SUBSTITUTE(SUBSTITUTE(E629," [",", "),"[",", "),"]","")&amp;"]",TRIM(INDEX($A$3:$A$168,K629))&amp;" ["&amp;SUBSTITUTE(SUBSTITUTE(SUBSTITUTE(E629," [",", "),"[",", "),"]","")&amp;"]")))</x:f>
      </x:c>
      <x:c r="G629" t="str">
        <x:f>IF(F629&lt;&gt;"",ROWS($F$3:F629)-COUNTBLANK($F$3:F629),"")</x:f>
      </x:c>
      <x:c r="H629"/>
      <x:c r="I629"/>
      <x:c r="J629"/>
      <x:c r="K629" t="str">
        <x:f>IF(ROW()-ROW($K$2)&lt;=SUM($J$3:$J$168),COUNTIF($H$3:$H$168,"&lt;"&amp;(ROW()-ROW($K$2))),"")</x:f>
      </x:c>
      <x:c r="L629" t="str">
        <x:f>IF(K629="","",ROW()-ROW($L$2)-INDEX($H$3:$H$168,K629))</x:f>
      </x:c>
      <x:c r="M629" t="str">
        <x:f>IF(K629="","",IF(L629=1,1,FIND(CHAR(1),SUBSTITUTE(INDEX($B$3:$B$168,K629),CHAR(10),CHAR(1),L629-1))+1))</x:f>
      </x:c>
      <x:c r="N629" t="str">
        <x:f>IF(K629="","",IFERROR(FIND(CHAR(1),SUBSTITUTE(INDEX($B$3:$B$168,K629),CHAR(10),CHAR(1),L629)),LEN(INDEX($B$3:$B$168,K629))+1))</x:f>
      </x:c>
    </x:row>
    <x:row r="630">
      <x:c r="A630"/>
      <x:c r="B630"/>
      <x:c r="C630"/>
      <x:c r="D630" t="str">
        <x:f>IFERROR(IF(628&lt;=$O$1,INDEX($A$3:$A$168,MATCH(628,$I$3:$I$168,0)),IF(628&lt;=$O$1+$O$2,INDEX($F$3:$F$1994,MATCH(628-$O$1,$G$3:$G$1994,0)),"")),"")</x:f>
      </x:c>
      <x:c r="E630" t="str">
        <x:f>IF(K630="","",IF(N630&lt;=M630,"",TRIM(CLEAN(MID(INDEX($B$3:$B$168,K630),M630,N630-M630)))))</x:f>
      </x:c>
      <x:c r="F630" t="str">
        <x:f>IF(E630="","",IF(E630=TRIM(INDEX($A$3:$A$168,K630)),"",IF(RIGHT(TRIM(INDEX($A$3:$A$168,K630)),1)="]",LEFT(TRIM(INDEX($A$3:$A$168,K630)),LEN(TRIM(INDEX($A$3:$A$168,K630)))-1)&amp;", "&amp;SUBSTITUTE(SUBSTITUTE(SUBSTITUTE(E630," [",", "),"[",", "),"]","")&amp;"]",TRIM(INDEX($A$3:$A$168,K630))&amp;" ["&amp;SUBSTITUTE(SUBSTITUTE(SUBSTITUTE(E630," [",", "),"[",", "),"]","")&amp;"]")))</x:f>
      </x:c>
      <x:c r="G630" t="str">
        <x:f>IF(F630&lt;&gt;"",ROWS($F$3:F630)-COUNTBLANK($F$3:F630),"")</x:f>
      </x:c>
      <x:c r="H630"/>
      <x:c r="I630"/>
      <x:c r="J630"/>
      <x:c r="K630" t="str">
        <x:f>IF(ROW()-ROW($K$2)&lt;=SUM($J$3:$J$168),COUNTIF($H$3:$H$168,"&lt;"&amp;(ROW()-ROW($K$2))),"")</x:f>
      </x:c>
      <x:c r="L630" t="str">
        <x:f>IF(K630="","",ROW()-ROW($L$2)-INDEX($H$3:$H$168,K630))</x:f>
      </x:c>
      <x:c r="M630" t="str">
        <x:f>IF(K630="","",IF(L630=1,1,FIND(CHAR(1),SUBSTITUTE(INDEX($B$3:$B$168,K630),CHAR(10),CHAR(1),L630-1))+1))</x:f>
      </x:c>
      <x:c r="N630" t="str">
        <x:f>IF(K630="","",IFERROR(FIND(CHAR(1),SUBSTITUTE(INDEX($B$3:$B$168,K630),CHAR(10),CHAR(1),L630)),LEN(INDEX($B$3:$B$168,K630))+1))</x:f>
      </x:c>
    </x:row>
    <x:row r="631">
      <x:c r="A631"/>
      <x:c r="B631"/>
      <x:c r="C631"/>
      <x:c r="D631" t="str">
        <x:f>IFERROR(IF(629&lt;=$O$1,INDEX($A$3:$A$168,MATCH(629,$I$3:$I$168,0)),IF(629&lt;=$O$1+$O$2,INDEX($F$3:$F$1994,MATCH(629-$O$1,$G$3:$G$1994,0)),"")),"")</x:f>
      </x:c>
      <x:c r="E631" t="str">
        <x:f>IF(K631="","",IF(N631&lt;=M631,"",TRIM(CLEAN(MID(INDEX($B$3:$B$168,K631),M631,N631-M631)))))</x:f>
      </x:c>
      <x:c r="F631" t="str">
        <x:f>IF(E631="","",IF(E631=TRIM(INDEX($A$3:$A$168,K631)),"",IF(RIGHT(TRIM(INDEX($A$3:$A$168,K631)),1)="]",LEFT(TRIM(INDEX($A$3:$A$168,K631)),LEN(TRIM(INDEX($A$3:$A$168,K631)))-1)&amp;", "&amp;SUBSTITUTE(SUBSTITUTE(SUBSTITUTE(E631," [",", "),"[",", "),"]","")&amp;"]",TRIM(INDEX($A$3:$A$168,K631))&amp;" ["&amp;SUBSTITUTE(SUBSTITUTE(SUBSTITUTE(E631," [",", "),"[",", "),"]","")&amp;"]")))</x:f>
      </x:c>
      <x:c r="G631" t="str">
        <x:f>IF(F631&lt;&gt;"",ROWS($F$3:F631)-COUNTBLANK($F$3:F631),"")</x:f>
      </x:c>
      <x:c r="H631"/>
      <x:c r="I631"/>
      <x:c r="J631"/>
      <x:c r="K631" t="str">
        <x:f>IF(ROW()-ROW($K$2)&lt;=SUM($J$3:$J$168),COUNTIF($H$3:$H$168,"&lt;"&amp;(ROW()-ROW($K$2))),"")</x:f>
      </x:c>
      <x:c r="L631" t="str">
        <x:f>IF(K631="","",ROW()-ROW($L$2)-INDEX($H$3:$H$168,K631))</x:f>
      </x:c>
      <x:c r="M631" t="str">
        <x:f>IF(K631="","",IF(L631=1,1,FIND(CHAR(1),SUBSTITUTE(INDEX($B$3:$B$168,K631),CHAR(10),CHAR(1),L631-1))+1))</x:f>
      </x:c>
      <x:c r="N631" t="str">
        <x:f>IF(K631="","",IFERROR(FIND(CHAR(1),SUBSTITUTE(INDEX($B$3:$B$168,K631),CHAR(10),CHAR(1),L631)),LEN(INDEX($B$3:$B$168,K631))+1))</x:f>
      </x:c>
    </x:row>
    <x:row r="632">
      <x:c r="A632"/>
      <x:c r="B632"/>
      <x:c r="C632"/>
      <x:c r="D632" t="str">
        <x:f>IFERROR(IF(630&lt;=$O$1,INDEX($A$3:$A$168,MATCH(630,$I$3:$I$168,0)),IF(630&lt;=$O$1+$O$2,INDEX($F$3:$F$1994,MATCH(630-$O$1,$G$3:$G$1994,0)),"")),"")</x:f>
      </x:c>
      <x:c r="E632" t="str">
        <x:f>IF(K632="","",IF(N632&lt;=M632,"",TRIM(CLEAN(MID(INDEX($B$3:$B$168,K632),M632,N632-M632)))))</x:f>
      </x:c>
      <x:c r="F632" t="str">
        <x:f>IF(E632="","",IF(E632=TRIM(INDEX($A$3:$A$168,K632)),"",IF(RIGHT(TRIM(INDEX($A$3:$A$168,K632)),1)="]",LEFT(TRIM(INDEX($A$3:$A$168,K632)),LEN(TRIM(INDEX($A$3:$A$168,K632)))-1)&amp;", "&amp;SUBSTITUTE(SUBSTITUTE(SUBSTITUTE(E632," [",", "),"[",", "),"]","")&amp;"]",TRIM(INDEX($A$3:$A$168,K632))&amp;" ["&amp;SUBSTITUTE(SUBSTITUTE(SUBSTITUTE(E632," [",", "),"[",", "),"]","")&amp;"]")))</x:f>
      </x:c>
      <x:c r="G632" t="str">
        <x:f>IF(F632&lt;&gt;"",ROWS($F$3:F632)-COUNTBLANK($F$3:F632),"")</x:f>
      </x:c>
      <x:c r="H632"/>
      <x:c r="I632"/>
      <x:c r="J632"/>
      <x:c r="K632" t="str">
        <x:f>IF(ROW()-ROW($K$2)&lt;=SUM($J$3:$J$168),COUNTIF($H$3:$H$168,"&lt;"&amp;(ROW()-ROW($K$2))),"")</x:f>
      </x:c>
      <x:c r="L632" t="str">
        <x:f>IF(K632="","",ROW()-ROW($L$2)-INDEX($H$3:$H$168,K632))</x:f>
      </x:c>
      <x:c r="M632" t="str">
        <x:f>IF(K632="","",IF(L632=1,1,FIND(CHAR(1),SUBSTITUTE(INDEX($B$3:$B$168,K632),CHAR(10),CHAR(1),L632-1))+1))</x:f>
      </x:c>
      <x:c r="N632" t="str">
        <x:f>IF(K632="","",IFERROR(FIND(CHAR(1),SUBSTITUTE(INDEX($B$3:$B$168,K632),CHAR(10),CHAR(1),L632)),LEN(INDEX($B$3:$B$168,K632))+1))</x:f>
      </x:c>
    </x:row>
    <x:row r="633">
      <x:c r="A633"/>
      <x:c r="B633"/>
      <x:c r="C633"/>
      <x:c r="D633" t="str">
        <x:f>IFERROR(IF(631&lt;=$O$1,INDEX($A$3:$A$168,MATCH(631,$I$3:$I$168,0)),IF(631&lt;=$O$1+$O$2,INDEX($F$3:$F$1994,MATCH(631-$O$1,$G$3:$G$1994,0)),"")),"")</x:f>
      </x:c>
      <x:c r="E633" t="str">
        <x:f>IF(K633="","",IF(N633&lt;=M633,"",TRIM(CLEAN(MID(INDEX($B$3:$B$168,K633),M633,N633-M633)))))</x:f>
      </x:c>
      <x:c r="F633" t="str">
        <x:f>IF(E633="","",IF(E633=TRIM(INDEX($A$3:$A$168,K633)),"",IF(RIGHT(TRIM(INDEX($A$3:$A$168,K633)),1)="]",LEFT(TRIM(INDEX($A$3:$A$168,K633)),LEN(TRIM(INDEX($A$3:$A$168,K633)))-1)&amp;", "&amp;SUBSTITUTE(SUBSTITUTE(SUBSTITUTE(E633," [",", "),"[",", "),"]","")&amp;"]",TRIM(INDEX($A$3:$A$168,K633))&amp;" ["&amp;SUBSTITUTE(SUBSTITUTE(SUBSTITUTE(E633," [",", "),"[",", "),"]","")&amp;"]")))</x:f>
      </x:c>
      <x:c r="G633" t="str">
        <x:f>IF(F633&lt;&gt;"",ROWS($F$3:F633)-COUNTBLANK($F$3:F633),"")</x:f>
      </x:c>
      <x:c r="H633"/>
      <x:c r="I633"/>
      <x:c r="J633"/>
      <x:c r="K633" t="str">
        <x:f>IF(ROW()-ROW($K$2)&lt;=SUM($J$3:$J$168),COUNTIF($H$3:$H$168,"&lt;"&amp;(ROW()-ROW($K$2))),"")</x:f>
      </x:c>
      <x:c r="L633" t="str">
        <x:f>IF(K633="","",ROW()-ROW($L$2)-INDEX($H$3:$H$168,K633))</x:f>
      </x:c>
      <x:c r="M633" t="str">
        <x:f>IF(K633="","",IF(L633=1,1,FIND(CHAR(1),SUBSTITUTE(INDEX($B$3:$B$168,K633),CHAR(10),CHAR(1),L633-1))+1))</x:f>
      </x:c>
      <x:c r="N633" t="str">
        <x:f>IF(K633="","",IFERROR(FIND(CHAR(1),SUBSTITUTE(INDEX($B$3:$B$168,K633),CHAR(10),CHAR(1),L633)),LEN(INDEX($B$3:$B$168,K633))+1))</x:f>
      </x:c>
    </x:row>
    <x:row r="634">
      <x:c r="A634"/>
      <x:c r="B634"/>
      <x:c r="C634"/>
      <x:c r="D634" t="str">
        <x:f>IFERROR(IF(632&lt;=$O$1,INDEX($A$3:$A$168,MATCH(632,$I$3:$I$168,0)),IF(632&lt;=$O$1+$O$2,INDEX($F$3:$F$1994,MATCH(632-$O$1,$G$3:$G$1994,0)),"")),"")</x:f>
      </x:c>
      <x:c r="E634" t="str">
        <x:f>IF(K634="","",IF(N634&lt;=M634,"",TRIM(CLEAN(MID(INDEX($B$3:$B$168,K634),M634,N634-M634)))))</x:f>
      </x:c>
      <x:c r="F634" t="str">
        <x:f>IF(E634="","",IF(E634=TRIM(INDEX($A$3:$A$168,K634)),"",IF(RIGHT(TRIM(INDEX($A$3:$A$168,K634)),1)="]",LEFT(TRIM(INDEX($A$3:$A$168,K634)),LEN(TRIM(INDEX($A$3:$A$168,K634)))-1)&amp;", "&amp;SUBSTITUTE(SUBSTITUTE(SUBSTITUTE(E634," [",", "),"[",", "),"]","")&amp;"]",TRIM(INDEX($A$3:$A$168,K634))&amp;" ["&amp;SUBSTITUTE(SUBSTITUTE(SUBSTITUTE(E634," [",", "),"[",", "),"]","")&amp;"]")))</x:f>
      </x:c>
      <x:c r="G634" t="str">
        <x:f>IF(F634&lt;&gt;"",ROWS($F$3:F634)-COUNTBLANK($F$3:F634),"")</x:f>
      </x:c>
      <x:c r="H634"/>
      <x:c r="I634"/>
      <x:c r="J634"/>
      <x:c r="K634" t="str">
        <x:f>IF(ROW()-ROW($K$2)&lt;=SUM($J$3:$J$168),COUNTIF($H$3:$H$168,"&lt;"&amp;(ROW()-ROW($K$2))),"")</x:f>
      </x:c>
      <x:c r="L634" t="str">
        <x:f>IF(K634="","",ROW()-ROW($L$2)-INDEX($H$3:$H$168,K634))</x:f>
      </x:c>
      <x:c r="M634" t="str">
        <x:f>IF(K634="","",IF(L634=1,1,FIND(CHAR(1),SUBSTITUTE(INDEX($B$3:$B$168,K634),CHAR(10),CHAR(1),L634-1))+1))</x:f>
      </x:c>
      <x:c r="N634" t="str">
        <x:f>IF(K634="","",IFERROR(FIND(CHAR(1),SUBSTITUTE(INDEX($B$3:$B$168,K634),CHAR(10),CHAR(1),L634)),LEN(INDEX($B$3:$B$168,K634))+1))</x:f>
      </x:c>
    </x:row>
    <x:row r="635">
      <x:c r="A635"/>
      <x:c r="B635"/>
      <x:c r="C635"/>
      <x:c r="D635" t="str">
        <x:f>IFERROR(IF(633&lt;=$O$1,INDEX($A$3:$A$168,MATCH(633,$I$3:$I$168,0)),IF(633&lt;=$O$1+$O$2,INDEX($F$3:$F$1994,MATCH(633-$O$1,$G$3:$G$1994,0)),"")),"")</x:f>
      </x:c>
      <x:c r="E635" t="str">
        <x:f>IF(K635="","",IF(N635&lt;=M635,"",TRIM(CLEAN(MID(INDEX($B$3:$B$168,K635),M635,N635-M635)))))</x:f>
      </x:c>
      <x:c r="F635" t="str">
        <x:f>IF(E635="","",IF(E635=TRIM(INDEX($A$3:$A$168,K635)),"",IF(RIGHT(TRIM(INDEX($A$3:$A$168,K635)),1)="]",LEFT(TRIM(INDEX($A$3:$A$168,K635)),LEN(TRIM(INDEX($A$3:$A$168,K635)))-1)&amp;", "&amp;SUBSTITUTE(SUBSTITUTE(SUBSTITUTE(E635," [",", "),"[",", "),"]","")&amp;"]",TRIM(INDEX($A$3:$A$168,K635))&amp;" ["&amp;SUBSTITUTE(SUBSTITUTE(SUBSTITUTE(E635," [",", "),"[",", "),"]","")&amp;"]")))</x:f>
      </x:c>
      <x:c r="G635" t="str">
        <x:f>IF(F635&lt;&gt;"",ROWS($F$3:F635)-COUNTBLANK($F$3:F635),"")</x:f>
      </x:c>
      <x:c r="H635"/>
      <x:c r="I635"/>
      <x:c r="J635"/>
      <x:c r="K635" t="str">
        <x:f>IF(ROW()-ROW($K$2)&lt;=SUM($J$3:$J$168),COUNTIF($H$3:$H$168,"&lt;"&amp;(ROW()-ROW($K$2))),"")</x:f>
      </x:c>
      <x:c r="L635" t="str">
        <x:f>IF(K635="","",ROW()-ROW($L$2)-INDEX($H$3:$H$168,K635))</x:f>
      </x:c>
      <x:c r="M635" t="str">
        <x:f>IF(K635="","",IF(L635=1,1,FIND(CHAR(1),SUBSTITUTE(INDEX($B$3:$B$168,K635),CHAR(10),CHAR(1),L635-1))+1))</x:f>
      </x:c>
      <x:c r="N635" t="str">
        <x:f>IF(K635="","",IFERROR(FIND(CHAR(1),SUBSTITUTE(INDEX($B$3:$B$168,K635),CHAR(10),CHAR(1),L635)),LEN(INDEX($B$3:$B$168,K635))+1))</x:f>
      </x:c>
    </x:row>
    <x:row r="636">
      <x:c r="A636"/>
      <x:c r="B636"/>
      <x:c r="C636"/>
      <x:c r="D636" t="str">
        <x:f>IFERROR(IF(634&lt;=$O$1,INDEX($A$3:$A$168,MATCH(634,$I$3:$I$168,0)),IF(634&lt;=$O$1+$O$2,INDEX($F$3:$F$1994,MATCH(634-$O$1,$G$3:$G$1994,0)),"")),"")</x:f>
      </x:c>
      <x:c r="E636" t="str">
        <x:f>IF(K636="","",IF(N636&lt;=M636,"",TRIM(CLEAN(MID(INDEX($B$3:$B$168,K636),M636,N636-M636)))))</x:f>
      </x:c>
      <x:c r="F636" t="str">
        <x:f>IF(E636="","",IF(E636=TRIM(INDEX($A$3:$A$168,K636)),"",IF(RIGHT(TRIM(INDEX($A$3:$A$168,K636)),1)="]",LEFT(TRIM(INDEX($A$3:$A$168,K636)),LEN(TRIM(INDEX($A$3:$A$168,K636)))-1)&amp;", "&amp;SUBSTITUTE(SUBSTITUTE(SUBSTITUTE(E636," [",", "),"[",", "),"]","")&amp;"]",TRIM(INDEX($A$3:$A$168,K636))&amp;" ["&amp;SUBSTITUTE(SUBSTITUTE(SUBSTITUTE(E636," [",", "),"[",", "),"]","")&amp;"]")))</x:f>
      </x:c>
      <x:c r="G636" t="str">
        <x:f>IF(F636&lt;&gt;"",ROWS($F$3:F636)-COUNTBLANK($F$3:F636),"")</x:f>
      </x:c>
      <x:c r="H636"/>
      <x:c r="I636"/>
      <x:c r="J636"/>
      <x:c r="K636" t="str">
        <x:f>IF(ROW()-ROW($K$2)&lt;=SUM($J$3:$J$168),COUNTIF($H$3:$H$168,"&lt;"&amp;(ROW()-ROW($K$2))),"")</x:f>
      </x:c>
      <x:c r="L636" t="str">
        <x:f>IF(K636="","",ROW()-ROW($L$2)-INDEX($H$3:$H$168,K636))</x:f>
      </x:c>
      <x:c r="M636" t="str">
        <x:f>IF(K636="","",IF(L636=1,1,FIND(CHAR(1),SUBSTITUTE(INDEX($B$3:$B$168,K636),CHAR(10),CHAR(1),L636-1))+1))</x:f>
      </x:c>
      <x:c r="N636" t="str">
        <x:f>IF(K636="","",IFERROR(FIND(CHAR(1),SUBSTITUTE(INDEX($B$3:$B$168,K636),CHAR(10),CHAR(1),L636)),LEN(INDEX($B$3:$B$168,K636))+1))</x:f>
      </x:c>
    </x:row>
    <x:row r="637">
      <x:c r="A637"/>
      <x:c r="B637"/>
      <x:c r="C637"/>
      <x:c r="D637" t="str">
        <x:f>IFERROR(IF(635&lt;=$O$1,INDEX($A$3:$A$168,MATCH(635,$I$3:$I$168,0)),IF(635&lt;=$O$1+$O$2,INDEX($F$3:$F$1994,MATCH(635-$O$1,$G$3:$G$1994,0)),"")),"")</x:f>
      </x:c>
      <x:c r="E637" t="str">
        <x:f>IF(K637="","",IF(N637&lt;=M637,"",TRIM(CLEAN(MID(INDEX($B$3:$B$168,K637),M637,N637-M637)))))</x:f>
      </x:c>
      <x:c r="F637" t="str">
        <x:f>IF(E637="","",IF(E637=TRIM(INDEX($A$3:$A$168,K637)),"",IF(RIGHT(TRIM(INDEX($A$3:$A$168,K637)),1)="]",LEFT(TRIM(INDEX($A$3:$A$168,K637)),LEN(TRIM(INDEX($A$3:$A$168,K637)))-1)&amp;", "&amp;SUBSTITUTE(SUBSTITUTE(SUBSTITUTE(E637," [",", "),"[",", "),"]","")&amp;"]",TRIM(INDEX($A$3:$A$168,K637))&amp;" ["&amp;SUBSTITUTE(SUBSTITUTE(SUBSTITUTE(E637," [",", "),"[",", "),"]","")&amp;"]")))</x:f>
      </x:c>
      <x:c r="G637" t="str">
        <x:f>IF(F637&lt;&gt;"",ROWS($F$3:F637)-COUNTBLANK($F$3:F637),"")</x:f>
      </x:c>
      <x:c r="H637"/>
      <x:c r="I637"/>
      <x:c r="J637"/>
      <x:c r="K637" t="str">
        <x:f>IF(ROW()-ROW($K$2)&lt;=SUM($J$3:$J$168),COUNTIF($H$3:$H$168,"&lt;"&amp;(ROW()-ROW($K$2))),"")</x:f>
      </x:c>
      <x:c r="L637" t="str">
        <x:f>IF(K637="","",ROW()-ROW($L$2)-INDEX($H$3:$H$168,K637))</x:f>
      </x:c>
      <x:c r="M637" t="str">
        <x:f>IF(K637="","",IF(L637=1,1,FIND(CHAR(1),SUBSTITUTE(INDEX($B$3:$B$168,K637),CHAR(10),CHAR(1),L637-1))+1))</x:f>
      </x:c>
      <x:c r="N637" t="str">
        <x:f>IF(K637="","",IFERROR(FIND(CHAR(1),SUBSTITUTE(INDEX($B$3:$B$168,K637),CHAR(10),CHAR(1),L637)),LEN(INDEX($B$3:$B$168,K637))+1))</x:f>
      </x:c>
    </x:row>
    <x:row r="638">
      <x:c r="A638"/>
      <x:c r="B638"/>
      <x:c r="C638"/>
      <x:c r="D638" t="str">
        <x:f>IFERROR(IF(636&lt;=$O$1,INDEX($A$3:$A$168,MATCH(636,$I$3:$I$168,0)),IF(636&lt;=$O$1+$O$2,INDEX($F$3:$F$1994,MATCH(636-$O$1,$G$3:$G$1994,0)),"")),"")</x:f>
      </x:c>
      <x:c r="E638" t="str">
        <x:f>IF(K638="","",IF(N638&lt;=M638,"",TRIM(CLEAN(MID(INDEX($B$3:$B$168,K638),M638,N638-M638)))))</x:f>
      </x:c>
      <x:c r="F638" t="str">
        <x:f>IF(E638="","",IF(E638=TRIM(INDEX($A$3:$A$168,K638)),"",IF(RIGHT(TRIM(INDEX($A$3:$A$168,K638)),1)="]",LEFT(TRIM(INDEX($A$3:$A$168,K638)),LEN(TRIM(INDEX($A$3:$A$168,K638)))-1)&amp;", "&amp;SUBSTITUTE(SUBSTITUTE(SUBSTITUTE(E638," [",", "),"[",", "),"]","")&amp;"]",TRIM(INDEX($A$3:$A$168,K638))&amp;" ["&amp;SUBSTITUTE(SUBSTITUTE(SUBSTITUTE(E638," [",", "),"[",", "),"]","")&amp;"]")))</x:f>
      </x:c>
      <x:c r="G638" t="str">
        <x:f>IF(F638&lt;&gt;"",ROWS($F$3:F638)-COUNTBLANK($F$3:F638),"")</x:f>
      </x:c>
      <x:c r="H638"/>
      <x:c r="I638"/>
      <x:c r="J638"/>
      <x:c r="K638" t="str">
        <x:f>IF(ROW()-ROW($K$2)&lt;=SUM($J$3:$J$168),COUNTIF($H$3:$H$168,"&lt;"&amp;(ROW()-ROW($K$2))),"")</x:f>
      </x:c>
      <x:c r="L638" t="str">
        <x:f>IF(K638="","",ROW()-ROW($L$2)-INDEX($H$3:$H$168,K638))</x:f>
      </x:c>
      <x:c r="M638" t="str">
        <x:f>IF(K638="","",IF(L638=1,1,FIND(CHAR(1),SUBSTITUTE(INDEX($B$3:$B$168,K638),CHAR(10),CHAR(1),L638-1))+1))</x:f>
      </x:c>
      <x:c r="N638" t="str">
        <x:f>IF(K638="","",IFERROR(FIND(CHAR(1),SUBSTITUTE(INDEX($B$3:$B$168,K638),CHAR(10),CHAR(1),L638)),LEN(INDEX($B$3:$B$168,K638))+1))</x:f>
      </x:c>
    </x:row>
    <x:row r="639">
      <x:c r="A639"/>
      <x:c r="B639"/>
      <x:c r="C639"/>
      <x:c r="D639" t="str">
        <x:f>IFERROR(IF(637&lt;=$O$1,INDEX($A$3:$A$168,MATCH(637,$I$3:$I$168,0)),IF(637&lt;=$O$1+$O$2,INDEX($F$3:$F$1994,MATCH(637-$O$1,$G$3:$G$1994,0)),"")),"")</x:f>
      </x:c>
      <x:c r="E639" t="str">
        <x:f>IF(K639="","",IF(N639&lt;=M639,"",TRIM(CLEAN(MID(INDEX($B$3:$B$168,K639),M639,N639-M639)))))</x:f>
      </x:c>
      <x:c r="F639" t="str">
        <x:f>IF(E639="","",IF(E639=TRIM(INDEX($A$3:$A$168,K639)),"",IF(RIGHT(TRIM(INDEX($A$3:$A$168,K639)),1)="]",LEFT(TRIM(INDEX($A$3:$A$168,K639)),LEN(TRIM(INDEX($A$3:$A$168,K639)))-1)&amp;", "&amp;SUBSTITUTE(SUBSTITUTE(SUBSTITUTE(E639," [",", "),"[",", "),"]","")&amp;"]",TRIM(INDEX($A$3:$A$168,K639))&amp;" ["&amp;SUBSTITUTE(SUBSTITUTE(SUBSTITUTE(E639," [",", "),"[",", "),"]","")&amp;"]")))</x:f>
      </x:c>
      <x:c r="G639" t="str">
        <x:f>IF(F639&lt;&gt;"",ROWS($F$3:F639)-COUNTBLANK($F$3:F639),"")</x:f>
      </x:c>
      <x:c r="H639"/>
      <x:c r="I639"/>
      <x:c r="J639"/>
      <x:c r="K639" t="str">
        <x:f>IF(ROW()-ROW($K$2)&lt;=SUM($J$3:$J$168),COUNTIF($H$3:$H$168,"&lt;"&amp;(ROW()-ROW($K$2))),"")</x:f>
      </x:c>
      <x:c r="L639" t="str">
        <x:f>IF(K639="","",ROW()-ROW($L$2)-INDEX($H$3:$H$168,K639))</x:f>
      </x:c>
      <x:c r="M639" t="str">
        <x:f>IF(K639="","",IF(L639=1,1,FIND(CHAR(1),SUBSTITUTE(INDEX($B$3:$B$168,K639),CHAR(10),CHAR(1),L639-1))+1))</x:f>
      </x:c>
      <x:c r="N639" t="str">
        <x:f>IF(K639="","",IFERROR(FIND(CHAR(1),SUBSTITUTE(INDEX($B$3:$B$168,K639),CHAR(10),CHAR(1),L639)),LEN(INDEX($B$3:$B$168,K639))+1))</x:f>
      </x:c>
    </x:row>
    <x:row r="640">
      <x:c r="A640"/>
      <x:c r="B640"/>
      <x:c r="C640"/>
      <x:c r="D640" t="str">
        <x:f>IFERROR(IF(638&lt;=$O$1,INDEX($A$3:$A$168,MATCH(638,$I$3:$I$168,0)),IF(638&lt;=$O$1+$O$2,INDEX($F$3:$F$1994,MATCH(638-$O$1,$G$3:$G$1994,0)),"")),"")</x:f>
      </x:c>
      <x:c r="E640" t="str">
        <x:f>IF(K640="","",IF(N640&lt;=M640,"",TRIM(CLEAN(MID(INDEX($B$3:$B$168,K640),M640,N640-M640)))))</x:f>
      </x:c>
      <x:c r="F640" t="str">
        <x:f>IF(E640="","",IF(E640=TRIM(INDEX($A$3:$A$168,K640)),"",IF(RIGHT(TRIM(INDEX($A$3:$A$168,K640)),1)="]",LEFT(TRIM(INDEX($A$3:$A$168,K640)),LEN(TRIM(INDEX($A$3:$A$168,K640)))-1)&amp;", "&amp;SUBSTITUTE(SUBSTITUTE(SUBSTITUTE(E640," [",", "),"[",", "),"]","")&amp;"]",TRIM(INDEX($A$3:$A$168,K640))&amp;" ["&amp;SUBSTITUTE(SUBSTITUTE(SUBSTITUTE(E640," [",", "),"[",", "),"]","")&amp;"]")))</x:f>
      </x:c>
      <x:c r="G640" t="str">
        <x:f>IF(F640&lt;&gt;"",ROWS($F$3:F640)-COUNTBLANK($F$3:F640),"")</x:f>
      </x:c>
      <x:c r="H640"/>
      <x:c r="I640"/>
      <x:c r="J640"/>
      <x:c r="K640" t="str">
        <x:f>IF(ROW()-ROW($K$2)&lt;=SUM($J$3:$J$168),COUNTIF($H$3:$H$168,"&lt;"&amp;(ROW()-ROW($K$2))),"")</x:f>
      </x:c>
      <x:c r="L640" t="str">
        <x:f>IF(K640="","",ROW()-ROW($L$2)-INDEX($H$3:$H$168,K640))</x:f>
      </x:c>
      <x:c r="M640" t="str">
        <x:f>IF(K640="","",IF(L640=1,1,FIND(CHAR(1),SUBSTITUTE(INDEX($B$3:$B$168,K640),CHAR(10),CHAR(1),L640-1))+1))</x:f>
      </x:c>
      <x:c r="N640" t="str">
        <x:f>IF(K640="","",IFERROR(FIND(CHAR(1),SUBSTITUTE(INDEX($B$3:$B$168,K640),CHAR(10),CHAR(1),L640)),LEN(INDEX($B$3:$B$168,K640))+1))</x:f>
      </x:c>
    </x:row>
    <x:row r="641">
      <x:c r="A641"/>
      <x:c r="B641"/>
      <x:c r="C641"/>
      <x:c r="D641" t="str">
        <x:f>IFERROR(IF(639&lt;=$O$1,INDEX($A$3:$A$168,MATCH(639,$I$3:$I$168,0)),IF(639&lt;=$O$1+$O$2,INDEX($F$3:$F$1994,MATCH(639-$O$1,$G$3:$G$1994,0)),"")),"")</x:f>
      </x:c>
      <x:c r="E641" t="str">
        <x:f>IF(K641="","",IF(N641&lt;=M641,"",TRIM(CLEAN(MID(INDEX($B$3:$B$168,K641),M641,N641-M641)))))</x:f>
      </x:c>
      <x:c r="F641" t="str">
        <x:f>IF(E641="","",IF(E641=TRIM(INDEX($A$3:$A$168,K641)),"",IF(RIGHT(TRIM(INDEX($A$3:$A$168,K641)),1)="]",LEFT(TRIM(INDEX($A$3:$A$168,K641)),LEN(TRIM(INDEX($A$3:$A$168,K641)))-1)&amp;", "&amp;SUBSTITUTE(SUBSTITUTE(SUBSTITUTE(E641," [",", "),"[",", "),"]","")&amp;"]",TRIM(INDEX($A$3:$A$168,K641))&amp;" ["&amp;SUBSTITUTE(SUBSTITUTE(SUBSTITUTE(E641," [",", "),"[",", "),"]","")&amp;"]")))</x:f>
      </x:c>
      <x:c r="G641" t="str">
        <x:f>IF(F641&lt;&gt;"",ROWS($F$3:F641)-COUNTBLANK($F$3:F641),"")</x:f>
      </x:c>
      <x:c r="H641"/>
      <x:c r="I641"/>
      <x:c r="J641"/>
      <x:c r="K641" t="str">
        <x:f>IF(ROW()-ROW($K$2)&lt;=SUM($J$3:$J$168),COUNTIF($H$3:$H$168,"&lt;"&amp;(ROW()-ROW($K$2))),"")</x:f>
      </x:c>
      <x:c r="L641" t="str">
        <x:f>IF(K641="","",ROW()-ROW($L$2)-INDEX($H$3:$H$168,K641))</x:f>
      </x:c>
      <x:c r="M641" t="str">
        <x:f>IF(K641="","",IF(L641=1,1,FIND(CHAR(1),SUBSTITUTE(INDEX($B$3:$B$168,K641),CHAR(10),CHAR(1),L641-1))+1))</x:f>
      </x:c>
      <x:c r="N641" t="str">
        <x:f>IF(K641="","",IFERROR(FIND(CHAR(1),SUBSTITUTE(INDEX($B$3:$B$168,K641),CHAR(10),CHAR(1),L641)),LEN(INDEX($B$3:$B$168,K641))+1))</x:f>
      </x:c>
    </x:row>
    <x:row r="642">
      <x:c r="A642"/>
      <x:c r="B642"/>
      <x:c r="C642"/>
      <x:c r="D642" t="str">
        <x:f>IFERROR(IF(640&lt;=$O$1,INDEX($A$3:$A$168,MATCH(640,$I$3:$I$168,0)),IF(640&lt;=$O$1+$O$2,INDEX($F$3:$F$1994,MATCH(640-$O$1,$G$3:$G$1994,0)),"")),"")</x:f>
      </x:c>
      <x:c r="E642" t="str">
        <x:f>IF(K642="","",IF(N642&lt;=M642,"",TRIM(CLEAN(MID(INDEX($B$3:$B$168,K642),M642,N642-M642)))))</x:f>
      </x:c>
      <x:c r="F642" t="str">
        <x:f>IF(E642="","",IF(E642=TRIM(INDEX($A$3:$A$168,K642)),"",IF(RIGHT(TRIM(INDEX($A$3:$A$168,K642)),1)="]",LEFT(TRIM(INDEX($A$3:$A$168,K642)),LEN(TRIM(INDEX($A$3:$A$168,K642)))-1)&amp;", "&amp;SUBSTITUTE(SUBSTITUTE(SUBSTITUTE(E642," [",", "),"[",", "),"]","")&amp;"]",TRIM(INDEX($A$3:$A$168,K642))&amp;" ["&amp;SUBSTITUTE(SUBSTITUTE(SUBSTITUTE(E642," [",", "),"[",", "),"]","")&amp;"]")))</x:f>
      </x:c>
      <x:c r="G642" t="str">
        <x:f>IF(F642&lt;&gt;"",ROWS($F$3:F642)-COUNTBLANK($F$3:F642),"")</x:f>
      </x:c>
      <x:c r="H642"/>
      <x:c r="I642"/>
      <x:c r="J642"/>
      <x:c r="K642" t="str">
        <x:f>IF(ROW()-ROW($K$2)&lt;=SUM($J$3:$J$168),COUNTIF($H$3:$H$168,"&lt;"&amp;(ROW()-ROW($K$2))),"")</x:f>
      </x:c>
      <x:c r="L642" t="str">
        <x:f>IF(K642="","",ROW()-ROW($L$2)-INDEX($H$3:$H$168,K642))</x:f>
      </x:c>
      <x:c r="M642" t="str">
        <x:f>IF(K642="","",IF(L642=1,1,FIND(CHAR(1),SUBSTITUTE(INDEX($B$3:$B$168,K642),CHAR(10),CHAR(1),L642-1))+1))</x:f>
      </x:c>
      <x:c r="N642" t="str">
        <x:f>IF(K642="","",IFERROR(FIND(CHAR(1),SUBSTITUTE(INDEX($B$3:$B$168,K642),CHAR(10),CHAR(1),L642)),LEN(INDEX($B$3:$B$168,K642))+1))</x:f>
      </x:c>
    </x:row>
    <x:row r="643">
      <x:c r="A643"/>
      <x:c r="B643"/>
      <x:c r="C643"/>
      <x:c r="D643" t="str">
        <x:f>IFERROR(IF(641&lt;=$O$1,INDEX($A$3:$A$168,MATCH(641,$I$3:$I$168,0)),IF(641&lt;=$O$1+$O$2,INDEX($F$3:$F$1994,MATCH(641-$O$1,$G$3:$G$1994,0)),"")),"")</x:f>
      </x:c>
      <x:c r="E643" t="str">
        <x:f>IF(K643="","",IF(N643&lt;=M643,"",TRIM(CLEAN(MID(INDEX($B$3:$B$168,K643),M643,N643-M643)))))</x:f>
      </x:c>
      <x:c r="F643" t="str">
        <x:f>IF(E643="","",IF(E643=TRIM(INDEX($A$3:$A$168,K643)),"",IF(RIGHT(TRIM(INDEX($A$3:$A$168,K643)),1)="]",LEFT(TRIM(INDEX($A$3:$A$168,K643)),LEN(TRIM(INDEX($A$3:$A$168,K643)))-1)&amp;", "&amp;SUBSTITUTE(SUBSTITUTE(SUBSTITUTE(E643," [",", "),"[",", "),"]","")&amp;"]",TRIM(INDEX($A$3:$A$168,K643))&amp;" ["&amp;SUBSTITUTE(SUBSTITUTE(SUBSTITUTE(E643," [",", "),"[",", "),"]","")&amp;"]")))</x:f>
      </x:c>
      <x:c r="G643" t="str">
        <x:f>IF(F643&lt;&gt;"",ROWS($F$3:F643)-COUNTBLANK($F$3:F643),"")</x:f>
      </x:c>
      <x:c r="H643"/>
      <x:c r="I643"/>
      <x:c r="J643"/>
      <x:c r="K643" t="str">
        <x:f>IF(ROW()-ROW($K$2)&lt;=SUM($J$3:$J$168),COUNTIF($H$3:$H$168,"&lt;"&amp;(ROW()-ROW($K$2))),"")</x:f>
      </x:c>
      <x:c r="L643" t="str">
        <x:f>IF(K643="","",ROW()-ROW($L$2)-INDEX($H$3:$H$168,K643))</x:f>
      </x:c>
      <x:c r="M643" t="str">
        <x:f>IF(K643="","",IF(L643=1,1,FIND(CHAR(1),SUBSTITUTE(INDEX($B$3:$B$168,K643),CHAR(10),CHAR(1),L643-1))+1))</x:f>
      </x:c>
      <x:c r="N643" t="str">
        <x:f>IF(K643="","",IFERROR(FIND(CHAR(1),SUBSTITUTE(INDEX($B$3:$B$168,K643),CHAR(10),CHAR(1),L643)),LEN(INDEX($B$3:$B$168,K643))+1))</x:f>
      </x:c>
    </x:row>
    <x:row r="644">
      <x:c r="A644"/>
      <x:c r="B644"/>
      <x:c r="C644"/>
      <x:c r="D644" t="str">
        <x:f>IFERROR(IF(642&lt;=$O$1,INDEX($A$3:$A$168,MATCH(642,$I$3:$I$168,0)),IF(642&lt;=$O$1+$O$2,INDEX($F$3:$F$1994,MATCH(642-$O$1,$G$3:$G$1994,0)),"")),"")</x:f>
      </x:c>
      <x:c r="E644" t="str">
        <x:f>IF(K644="","",IF(N644&lt;=M644,"",TRIM(CLEAN(MID(INDEX($B$3:$B$168,K644),M644,N644-M644)))))</x:f>
      </x:c>
      <x:c r="F644" t="str">
        <x:f>IF(E644="","",IF(E644=TRIM(INDEX($A$3:$A$168,K644)),"",IF(RIGHT(TRIM(INDEX($A$3:$A$168,K644)),1)="]",LEFT(TRIM(INDEX($A$3:$A$168,K644)),LEN(TRIM(INDEX($A$3:$A$168,K644)))-1)&amp;", "&amp;SUBSTITUTE(SUBSTITUTE(SUBSTITUTE(E644," [",", "),"[",", "),"]","")&amp;"]",TRIM(INDEX($A$3:$A$168,K644))&amp;" ["&amp;SUBSTITUTE(SUBSTITUTE(SUBSTITUTE(E644," [",", "),"[",", "),"]","")&amp;"]")))</x:f>
      </x:c>
      <x:c r="G644" t="str">
        <x:f>IF(F644&lt;&gt;"",ROWS($F$3:F644)-COUNTBLANK($F$3:F644),"")</x:f>
      </x:c>
      <x:c r="H644"/>
      <x:c r="I644"/>
      <x:c r="J644"/>
      <x:c r="K644" t="str">
        <x:f>IF(ROW()-ROW($K$2)&lt;=SUM($J$3:$J$168),COUNTIF($H$3:$H$168,"&lt;"&amp;(ROW()-ROW($K$2))),"")</x:f>
      </x:c>
      <x:c r="L644" t="str">
        <x:f>IF(K644="","",ROW()-ROW($L$2)-INDEX($H$3:$H$168,K644))</x:f>
      </x:c>
      <x:c r="M644" t="str">
        <x:f>IF(K644="","",IF(L644=1,1,FIND(CHAR(1),SUBSTITUTE(INDEX($B$3:$B$168,K644),CHAR(10),CHAR(1),L644-1))+1))</x:f>
      </x:c>
      <x:c r="N644" t="str">
        <x:f>IF(K644="","",IFERROR(FIND(CHAR(1),SUBSTITUTE(INDEX($B$3:$B$168,K644),CHAR(10),CHAR(1),L644)),LEN(INDEX($B$3:$B$168,K644))+1))</x:f>
      </x:c>
    </x:row>
    <x:row r="645">
      <x:c r="A645"/>
      <x:c r="B645"/>
      <x:c r="C645"/>
      <x:c r="D645" t="str">
        <x:f>IFERROR(IF(643&lt;=$O$1,INDEX($A$3:$A$168,MATCH(643,$I$3:$I$168,0)),IF(643&lt;=$O$1+$O$2,INDEX($F$3:$F$1994,MATCH(643-$O$1,$G$3:$G$1994,0)),"")),"")</x:f>
      </x:c>
      <x:c r="E645" t="str">
        <x:f>IF(K645="","",IF(N645&lt;=M645,"",TRIM(CLEAN(MID(INDEX($B$3:$B$168,K645),M645,N645-M645)))))</x:f>
      </x:c>
      <x:c r="F645" t="str">
        <x:f>IF(E645="","",IF(E645=TRIM(INDEX($A$3:$A$168,K645)),"",IF(RIGHT(TRIM(INDEX($A$3:$A$168,K645)),1)="]",LEFT(TRIM(INDEX($A$3:$A$168,K645)),LEN(TRIM(INDEX($A$3:$A$168,K645)))-1)&amp;", "&amp;SUBSTITUTE(SUBSTITUTE(SUBSTITUTE(E645," [",", "),"[",", "),"]","")&amp;"]",TRIM(INDEX($A$3:$A$168,K645))&amp;" ["&amp;SUBSTITUTE(SUBSTITUTE(SUBSTITUTE(E645," [",", "),"[",", "),"]","")&amp;"]")))</x:f>
      </x:c>
      <x:c r="G645" t="str">
        <x:f>IF(F645&lt;&gt;"",ROWS($F$3:F645)-COUNTBLANK($F$3:F645),"")</x:f>
      </x:c>
      <x:c r="H645"/>
      <x:c r="I645"/>
      <x:c r="J645"/>
      <x:c r="K645" t="str">
        <x:f>IF(ROW()-ROW($K$2)&lt;=SUM($J$3:$J$168),COUNTIF($H$3:$H$168,"&lt;"&amp;(ROW()-ROW($K$2))),"")</x:f>
      </x:c>
      <x:c r="L645" t="str">
        <x:f>IF(K645="","",ROW()-ROW($L$2)-INDEX($H$3:$H$168,K645))</x:f>
      </x:c>
      <x:c r="M645" t="str">
        <x:f>IF(K645="","",IF(L645=1,1,FIND(CHAR(1),SUBSTITUTE(INDEX($B$3:$B$168,K645),CHAR(10),CHAR(1),L645-1))+1))</x:f>
      </x:c>
      <x:c r="N645" t="str">
        <x:f>IF(K645="","",IFERROR(FIND(CHAR(1),SUBSTITUTE(INDEX($B$3:$B$168,K645),CHAR(10),CHAR(1),L645)),LEN(INDEX($B$3:$B$168,K645))+1))</x:f>
      </x:c>
    </x:row>
    <x:row r="646">
      <x:c r="A646"/>
      <x:c r="B646"/>
      <x:c r="C646"/>
      <x:c r="D646" t="str">
        <x:f>IFERROR(IF(644&lt;=$O$1,INDEX($A$3:$A$168,MATCH(644,$I$3:$I$168,0)),IF(644&lt;=$O$1+$O$2,INDEX($F$3:$F$1994,MATCH(644-$O$1,$G$3:$G$1994,0)),"")),"")</x:f>
      </x:c>
      <x:c r="E646" t="str">
        <x:f>IF(K646="","",IF(N646&lt;=M646,"",TRIM(CLEAN(MID(INDEX($B$3:$B$168,K646),M646,N646-M646)))))</x:f>
      </x:c>
      <x:c r="F646" t="str">
        <x:f>IF(E646="","",IF(E646=TRIM(INDEX($A$3:$A$168,K646)),"",IF(RIGHT(TRIM(INDEX($A$3:$A$168,K646)),1)="]",LEFT(TRIM(INDEX($A$3:$A$168,K646)),LEN(TRIM(INDEX($A$3:$A$168,K646)))-1)&amp;", "&amp;SUBSTITUTE(SUBSTITUTE(SUBSTITUTE(E646," [",", "),"[",", "),"]","")&amp;"]",TRIM(INDEX($A$3:$A$168,K646))&amp;" ["&amp;SUBSTITUTE(SUBSTITUTE(SUBSTITUTE(E646," [",", "),"[",", "),"]","")&amp;"]")))</x:f>
      </x:c>
      <x:c r="G646" t="str">
        <x:f>IF(F646&lt;&gt;"",ROWS($F$3:F646)-COUNTBLANK($F$3:F646),"")</x:f>
      </x:c>
      <x:c r="H646"/>
      <x:c r="I646"/>
      <x:c r="J646"/>
      <x:c r="K646" t="str">
        <x:f>IF(ROW()-ROW($K$2)&lt;=SUM($J$3:$J$168),COUNTIF($H$3:$H$168,"&lt;"&amp;(ROW()-ROW($K$2))),"")</x:f>
      </x:c>
      <x:c r="L646" t="str">
        <x:f>IF(K646="","",ROW()-ROW($L$2)-INDEX($H$3:$H$168,K646))</x:f>
      </x:c>
      <x:c r="M646" t="str">
        <x:f>IF(K646="","",IF(L646=1,1,FIND(CHAR(1),SUBSTITUTE(INDEX($B$3:$B$168,K646),CHAR(10),CHAR(1),L646-1))+1))</x:f>
      </x:c>
      <x:c r="N646" t="str">
        <x:f>IF(K646="","",IFERROR(FIND(CHAR(1),SUBSTITUTE(INDEX($B$3:$B$168,K646),CHAR(10),CHAR(1),L646)),LEN(INDEX($B$3:$B$168,K646))+1))</x:f>
      </x:c>
    </x:row>
    <x:row r="647">
      <x:c r="A647"/>
      <x:c r="B647"/>
      <x:c r="C647"/>
      <x:c r="D647" t="str">
        <x:f>IFERROR(IF(645&lt;=$O$1,INDEX($A$3:$A$168,MATCH(645,$I$3:$I$168,0)),IF(645&lt;=$O$1+$O$2,INDEX($F$3:$F$1994,MATCH(645-$O$1,$G$3:$G$1994,0)),"")),"")</x:f>
      </x:c>
      <x:c r="E647" t="str">
        <x:f>IF(K647="","",IF(N647&lt;=M647,"",TRIM(CLEAN(MID(INDEX($B$3:$B$168,K647),M647,N647-M647)))))</x:f>
      </x:c>
      <x:c r="F647" t="str">
        <x:f>IF(E647="","",IF(E647=TRIM(INDEX($A$3:$A$168,K647)),"",IF(RIGHT(TRIM(INDEX($A$3:$A$168,K647)),1)="]",LEFT(TRIM(INDEX($A$3:$A$168,K647)),LEN(TRIM(INDEX($A$3:$A$168,K647)))-1)&amp;", "&amp;SUBSTITUTE(SUBSTITUTE(SUBSTITUTE(E647," [",", "),"[",", "),"]","")&amp;"]",TRIM(INDEX($A$3:$A$168,K647))&amp;" ["&amp;SUBSTITUTE(SUBSTITUTE(SUBSTITUTE(E647," [",", "),"[",", "),"]","")&amp;"]")))</x:f>
      </x:c>
      <x:c r="G647" t="str">
        <x:f>IF(F647&lt;&gt;"",ROWS($F$3:F647)-COUNTBLANK($F$3:F647),"")</x:f>
      </x:c>
      <x:c r="H647"/>
      <x:c r="I647"/>
      <x:c r="J647"/>
      <x:c r="K647" t="str">
        <x:f>IF(ROW()-ROW($K$2)&lt;=SUM($J$3:$J$168),COUNTIF($H$3:$H$168,"&lt;"&amp;(ROW()-ROW($K$2))),"")</x:f>
      </x:c>
      <x:c r="L647" t="str">
        <x:f>IF(K647="","",ROW()-ROW($L$2)-INDEX($H$3:$H$168,K647))</x:f>
      </x:c>
      <x:c r="M647" t="str">
        <x:f>IF(K647="","",IF(L647=1,1,FIND(CHAR(1),SUBSTITUTE(INDEX($B$3:$B$168,K647),CHAR(10),CHAR(1),L647-1))+1))</x:f>
      </x:c>
      <x:c r="N647" t="str">
        <x:f>IF(K647="","",IFERROR(FIND(CHAR(1),SUBSTITUTE(INDEX($B$3:$B$168,K647),CHAR(10),CHAR(1),L647)),LEN(INDEX($B$3:$B$168,K647))+1))</x:f>
      </x:c>
    </x:row>
    <x:row r="648">
      <x:c r="A648"/>
      <x:c r="B648"/>
      <x:c r="C648"/>
      <x:c r="D648" t="str">
        <x:f>IFERROR(IF(646&lt;=$O$1,INDEX($A$3:$A$168,MATCH(646,$I$3:$I$168,0)),IF(646&lt;=$O$1+$O$2,INDEX($F$3:$F$1994,MATCH(646-$O$1,$G$3:$G$1994,0)),"")),"")</x:f>
      </x:c>
      <x:c r="E648" t="str">
        <x:f>IF(K648="","",IF(N648&lt;=M648,"",TRIM(CLEAN(MID(INDEX($B$3:$B$168,K648),M648,N648-M648)))))</x:f>
      </x:c>
      <x:c r="F648" t="str">
        <x:f>IF(E648="","",IF(E648=TRIM(INDEX($A$3:$A$168,K648)),"",IF(RIGHT(TRIM(INDEX($A$3:$A$168,K648)),1)="]",LEFT(TRIM(INDEX($A$3:$A$168,K648)),LEN(TRIM(INDEX($A$3:$A$168,K648)))-1)&amp;", "&amp;SUBSTITUTE(SUBSTITUTE(SUBSTITUTE(E648," [",", "),"[",", "),"]","")&amp;"]",TRIM(INDEX($A$3:$A$168,K648))&amp;" ["&amp;SUBSTITUTE(SUBSTITUTE(SUBSTITUTE(E648," [",", "),"[",", "),"]","")&amp;"]")))</x:f>
      </x:c>
      <x:c r="G648" t="str">
        <x:f>IF(F648&lt;&gt;"",ROWS($F$3:F648)-COUNTBLANK($F$3:F648),"")</x:f>
      </x:c>
      <x:c r="H648"/>
      <x:c r="I648"/>
      <x:c r="J648"/>
      <x:c r="K648" t="str">
        <x:f>IF(ROW()-ROW($K$2)&lt;=SUM($J$3:$J$168),COUNTIF($H$3:$H$168,"&lt;"&amp;(ROW()-ROW($K$2))),"")</x:f>
      </x:c>
      <x:c r="L648" t="str">
        <x:f>IF(K648="","",ROW()-ROW($L$2)-INDEX($H$3:$H$168,K648))</x:f>
      </x:c>
      <x:c r="M648" t="str">
        <x:f>IF(K648="","",IF(L648=1,1,FIND(CHAR(1),SUBSTITUTE(INDEX($B$3:$B$168,K648),CHAR(10),CHAR(1),L648-1))+1))</x:f>
      </x:c>
      <x:c r="N648" t="str">
        <x:f>IF(K648="","",IFERROR(FIND(CHAR(1),SUBSTITUTE(INDEX($B$3:$B$168,K648),CHAR(10),CHAR(1),L648)),LEN(INDEX($B$3:$B$168,K648))+1))</x:f>
      </x:c>
    </x:row>
    <x:row r="649">
      <x:c r="A649"/>
      <x:c r="B649"/>
      <x:c r="C649"/>
      <x:c r="D649" t="str">
        <x:f>IFERROR(IF(647&lt;=$O$1,INDEX($A$3:$A$168,MATCH(647,$I$3:$I$168,0)),IF(647&lt;=$O$1+$O$2,INDEX($F$3:$F$1994,MATCH(647-$O$1,$G$3:$G$1994,0)),"")),"")</x:f>
      </x:c>
      <x:c r="E649" t="str">
        <x:f>IF(K649="","",IF(N649&lt;=M649,"",TRIM(CLEAN(MID(INDEX($B$3:$B$168,K649),M649,N649-M649)))))</x:f>
      </x:c>
      <x:c r="F649" t="str">
        <x:f>IF(E649="","",IF(E649=TRIM(INDEX($A$3:$A$168,K649)),"",IF(RIGHT(TRIM(INDEX($A$3:$A$168,K649)),1)="]",LEFT(TRIM(INDEX($A$3:$A$168,K649)),LEN(TRIM(INDEX($A$3:$A$168,K649)))-1)&amp;", "&amp;SUBSTITUTE(SUBSTITUTE(SUBSTITUTE(E649," [",", "),"[",", "),"]","")&amp;"]",TRIM(INDEX($A$3:$A$168,K649))&amp;" ["&amp;SUBSTITUTE(SUBSTITUTE(SUBSTITUTE(E649," [",", "),"[",", "),"]","")&amp;"]")))</x:f>
      </x:c>
      <x:c r="G649" t="str">
        <x:f>IF(F649&lt;&gt;"",ROWS($F$3:F649)-COUNTBLANK($F$3:F649),"")</x:f>
      </x:c>
      <x:c r="H649"/>
      <x:c r="I649"/>
      <x:c r="J649"/>
      <x:c r="K649" t="str">
        <x:f>IF(ROW()-ROW($K$2)&lt;=SUM($J$3:$J$168),COUNTIF($H$3:$H$168,"&lt;"&amp;(ROW()-ROW($K$2))),"")</x:f>
      </x:c>
      <x:c r="L649" t="str">
        <x:f>IF(K649="","",ROW()-ROW($L$2)-INDEX($H$3:$H$168,K649))</x:f>
      </x:c>
      <x:c r="M649" t="str">
        <x:f>IF(K649="","",IF(L649=1,1,FIND(CHAR(1),SUBSTITUTE(INDEX($B$3:$B$168,K649),CHAR(10),CHAR(1),L649-1))+1))</x:f>
      </x:c>
      <x:c r="N649" t="str">
        <x:f>IF(K649="","",IFERROR(FIND(CHAR(1),SUBSTITUTE(INDEX($B$3:$B$168,K649),CHAR(10),CHAR(1),L649)),LEN(INDEX($B$3:$B$168,K649))+1))</x:f>
      </x:c>
    </x:row>
    <x:row r="650">
      <x:c r="A650"/>
      <x:c r="B650"/>
      <x:c r="C650"/>
      <x:c r="D650" t="str">
        <x:f>IFERROR(IF(648&lt;=$O$1,INDEX($A$3:$A$168,MATCH(648,$I$3:$I$168,0)),IF(648&lt;=$O$1+$O$2,INDEX($F$3:$F$1994,MATCH(648-$O$1,$G$3:$G$1994,0)),"")),"")</x:f>
      </x:c>
      <x:c r="E650" t="str">
        <x:f>IF(K650="","",IF(N650&lt;=M650,"",TRIM(CLEAN(MID(INDEX($B$3:$B$168,K650),M650,N650-M650)))))</x:f>
      </x:c>
      <x:c r="F650" t="str">
        <x:f>IF(E650="","",IF(E650=TRIM(INDEX($A$3:$A$168,K650)),"",IF(RIGHT(TRIM(INDEX($A$3:$A$168,K650)),1)="]",LEFT(TRIM(INDEX($A$3:$A$168,K650)),LEN(TRIM(INDEX($A$3:$A$168,K650)))-1)&amp;", "&amp;SUBSTITUTE(SUBSTITUTE(SUBSTITUTE(E650," [",", "),"[",", "),"]","")&amp;"]",TRIM(INDEX($A$3:$A$168,K650))&amp;" ["&amp;SUBSTITUTE(SUBSTITUTE(SUBSTITUTE(E650," [",", "),"[",", "),"]","")&amp;"]")))</x:f>
      </x:c>
      <x:c r="G650" t="str">
        <x:f>IF(F650&lt;&gt;"",ROWS($F$3:F650)-COUNTBLANK($F$3:F650),"")</x:f>
      </x:c>
      <x:c r="H650"/>
      <x:c r="I650"/>
      <x:c r="J650"/>
      <x:c r="K650" t="str">
        <x:f>IF(ROW()-ROW($K$2)&lt;=SUM($J$3:$J$168),COUNTIF($H$3:$H$168,"&lt;"&amp;(ROW()-ROW($K$2))),"")</x:f>
      </x:c>
      <x:c r="L650" t="str">
        <x:f>IF(K650="","",ROW()-ROW($L$2)-INDEX($H$3:$H$168,K650))</x:f>
      </x:c>
      <x:c r="M650" t="str">
        <x:f>IF(K650="","",IF(L650=1,1,FIND(CHAR(1),SUBSTITUTE(INDEX($B$3:$B$168,K650),CHAR(10),CHAR(1),L650-1))+1))</x:f>
      </x:c>
      <x:c r="N650" t="str">
        <x:f>IF(K650="","",IFERROR(FIND(CHAR(1),SUBSTITUTE(INDEX($B$3:$B$168,K650),CHAR(10),CHAR(1),L650)),LEN(INDEX($B$3:$B$168,K650))+1))</x:f>
      </x:c>
    </x:row>
    <x:row r="651">
      <x:c r="A651"/>
      <x:c r="B651"/>
      <x:c r="C651"/>
      <x:c r="D651" t="str">
        <x:f>IFERROR(IF(649&lt;=$O$1,INDEX($A$3:$A$168,MATCH(649,$I$3:$I$168,0)),IF(649&lt;=$O$1+$O$2,INDEX($F$3:$F$1994,MATCH(649-$O$1,$G$3:$G$1994,0)),"")),"")</x:f>
      </x:c>
      <x:c r="E651" t="str">
        <x:f>IF(K651="","",IF(N651&lt;=M651,"",TRIM(CLEAN(MID(INDEX($B$3:$B$168,K651),M651,N651-M651)))))</x:f>
      </x:c>
      <x:c r="F651" t="str">
        <x:f>IF(E651="","",IF(E651=TRIM(INDEX($A$3:$A$168,K651)),"",IF(RIGHT(TRIM(INDEX($A$3:$A$168,K651)),1)="]",LEFT(TRIM(INDEX($A$3:$A$168,K651)),LEN(TRIM(INDEX($A$3:$A$168,K651)))-1)&amp;", "&amp;SUBSTITUTE(SUBSTITUTE(SUBSTITUTE(E651," [",", "),"[",", "),"]","")&amp;"]",TRIM(INDEX($A$3:$A$168,K651))&amp;" ["&amp;SUBSTITUTE(SUBSTITUTE(SUBSTITUTE(E651," [",", "),"[",", "),"]","")&amp;"]")))</x:f>
      </x:c>
      <x:c r="G651" t="str">
        <x:f>IF(F651&lt;&gt;"",ROWS($F$3:F651)-COUNTBLANK($F$3:F651),"")</x:f>
      </x:c>
      <x:c r="H651"/>
      <x:c r="I651"/>
      <x:c r="J651"/>
      <x:c r="K651" t="str">
        <x:f>IF(ROW()-ROW($K$2)&lt;=SUM($J$3:$J$168),COUNTIF($H$3:$H$168,"&lt;"&amp;(ROW()-ROW($K$2))),"")</x:f>
      </x:c>
      <x:c r="L651" t="str">
        <x:f>IF(K651="","",ROW()-ROW($L$2)-INDEX($H$3:$H$168,K651))</x:f>
      </x:c>
      <x:c r="M651" t="str">
        <x:f>IF(K651="","",IF(L651=1,1,FIND(CHAR(1),SUBSTITUTE(INDEX($B$3:$B$168,K651),CHAR(10),CHAR(1),L651-1))+1))</x:f>
      </x:c>
      <x:c r="N651" t="str">
        <x:f>IF(K651="","",IFERROR(FIND(CHAR(1),SUBSTITUTE(INDEX($B$3:$B$168,K651),CHAR(10),CHAR(1),L651)),LEN(INDEX($B$3:$B$168,K651))+1))</x:f>
      </x:c>
    </x:row>
    <x:row r="652">
      <x:c r="A652"/>
      <x:c r="B652"/>
      <x:c r="C652"/>
      <x:c r="D652" t="str">
        <x:f>IFERROR(IF(650&lt;=$O$1,INDEX($A$3:$A$168,MATCH(650,$I$3:$I$168,0)),IF(650&lt;=$O$1+$O$2,INDEX($F$3:$F$1994,MATCH(650-$O$1,$G$3:$G$1994,0)),"")),"")</x:f>
      </x:c>
      <x:c r="E652" t="str">
        <x:f>IF(K652="","",IF(N652&lt;=M652,"",TRIM(CLEAN(MID(INDEX($B$3:$B$168,K652),M652,N652-M652)))))</x:f>
      </x:c>
      <x:c r="F652" t="str">
        <x:f>IF(E652="","",IF(E652=TRIM(INDEX($A$3:$A$168,K652)),"",IF(RIGHT(TRIM(INDEX($A$3:$A$168,K652)),1)="]",LEFT(TRIM(INDEX($A$3:$A$168,K652)),LEN(TRIM(INDEX($A$3:$A$168,K652)))-1)&amp;", "&amp;SUBSTITUTE(SUBSTITUTE(SUBSTITUTE(E652," [",", "),"[",", "),"]","")&amp;"]",TRIM(INDEX($A$3:$A$168,K652))&amp;" ["&amp;SUBSTITUTE(SUBSTITUTE(SUBSTITUTE(E652," [",", "),"[",", "),"]","")&amp;"]")))</x:f>
      </x:c>
      <x:c r="G652" t="str">
        <x:f>IF(F652&lt;&gt;"",ROWS($F$3:F652)-COUNTBLANK($F$3:F652),"")</x:f>
      </x:c>
      <x:c r="H652"/>
      <x:c r="I652"/>
      <x:c r="J652"/>
      <x:c r="K652" t="str">
        <x:f>IF(ROW()-ROW($K$2)&lt;=SUM($J$3:$J$168),COUNTIF($H$3:$H$168,"&lt;"&amp;(ROW()-ROW($K$2))),"")</x:f>
      </x:c>
      <x:c r="L652" t="str">
        <x:f>IF(K652="","",ROW()-ROW($L$2)-INDEX($H$3:$H$168,K652))</x:f>
      </x:c>
      <x:c r="M652" t="str">
        <x:f>IF(K652="","",IF(L652=1,1,FIND(CHAR(1),SUBSTITUTE(INDEX($B$3:$B$168,K652),CHAR(10),CHAR(1),L652-1))+1))</x:f>
      </x:c>
      <x:c r="N652" t="str">
        <x:f>IF(K652="","",IFERROR(FIND(CHAR(1),SUBSTITUTE(INDEX($B$3:$B$168,K652),CHAR(10),CHAR(1),L652)),LEN(INDEX($B$3:$B$168,K652))+1))</x:f>
      </x:c>
    </x:row>
    <x:row r="653">
      <x:c r="A653"/>
      <x:c r="B653"/>
      <x:c r="C653"/>
      <x:c r="D653" t="str">
        <x:f>IFERROR(IF(651&lt;=$O$1,INDEX($A$3:$A$168,MATCH(651,$I$3:$I$168,0)),IF(651&lt;=$O$1+$O$2,INDEX($F$3:$F$1994,MATCH(651-$O$1,$G$3:$G$1994,0)),"")),"")</x:f>
      </x:c>
      <x:c r="E653" t="str">
        <x:f>IF(K653="","",IF(N653&lt;=M653,"",TRIM(CLEAN(MID(INDEX($B$3:$B$168,K653),M653,N653-M653)))))</x:f>
      </x:c>
      <x:c r="F653" t="str">
        <x:f>IF(E653="","",IF(E653=TRIM(INDEX($A$3:$A$168,K653)),"",IF(RIGHT(TRIM(INDEX($A$3:$A$168,K653)),1)="]",LEFT(TRIM(INDEX($A$3:$A$168,K653)),LEN(TRIM(INDEX($A$3:$A$168,K653)))-1)&amp;", "&amp;SUBSTITUTE(SUBSTITUTE(SUBSTITUTE(E653," [",", "),"[",", "),"]","")&amp;"]",TRIM(INDEX($A$3:$A$168,K653))&amp;" ["&amp;SUBSTITUTE(SUBSTITUTE(SUBSTITUTE(E653," [",", "),"[",", "),"]","")&amp;"]")))</x:f>
      </x:c>
      <x:c r="G653" t="str">
        <x:f>IF(F653&lt;&gt;"",ROWS($F$3:F653)-COUNTBLANK($F$3:F653),"")</x:f>
      </x:c>
      <x:c r="H653"/>
      <x:c r="I653"/>
      <x:c r="J653"/>
      <x:c r="K653" t="str">
        <x:f>IF(ROW()-ROW($K$2)&lt;=SUM($J$3:$J$168),COUNTIF($H$3:$H$168,"&lt;"&amp;(ROW()-ROW($K$2))),"")</x:f>
      </x:c>
      <x:c r="L653" t="str">
        <x:f>IF(K653="","",ROW()-ROW($L$2)-INDEX($H$3:$H$168,K653))</x:f>
      </x:c>
      <x:c r="M653" t="str">
        <x:f>IF(K653="","",IF(L653=1,1,FIND(CHAR(1),SUBSTITUTE(INDEX($B$3:$B$168,K653),CHAR(10),CHAR(1),L653-1))+1))</x:f>
      </x:c>
      <x:c r="N653" t="str">
        <x:f>IF(K653="","",IFERROR(FIND(CHAR(1),SUBSTITUTE(INDEX($B$3:$B$168,K653),CHAR(10),CHAR(1),L653)),LEN(INDEX($B$3:$B$168,K653))+1))</x:f>
      </x:c>
    </x:row>
    <x:row r="654">
      <x:c r="A654"/>
      <x:c r="B654"/>
      <x:c r="C654"/>
      <x:c r="D654" t="str">
        <x:f>IFERROR(IF(652&lt;=$O$1,INDEX($A$3:$A$168,MATCH(652,$I$3:$I$168,0)),IF(652&lt;=$O$1+$O$2,INDEX($F$3:$F$1994,MATCH(652-$O$1,$G$3:$G$1994,0)),"")),"")</x:f>
      </x:c>
      <x:c r="E654" t="str">
        <x:f>IF(K654="","",IF(N654&lt;=M654,"",TRIM(CLEAN(MID(INDEX($B$3:$B$168,K654),M654,N654-M654)))))</x:f>
      </x:c>
      <x:c r="F654" t="str">
        <x:f>IF(E654="","",IF(E654=TRIM(INDEX($A$3:$A$168,K654)),"",IF(RIGHT(TRIM(INDEX($A$3:$A$168,K654)),1)="]",LEFT(TRIM(INDEX($A$3:$A$168,K654)),LEN(TRIM(INDEX($A$3:$A$168,K654)))-1)&amp;", "&amp;SUBSTITUTE(SUBSTITUTE(SUBSTITUTE(E654," [",", "),"[",", "),"]","")&amp;"]",TRIM(INDEX($A$3:$A$168,K654))&amp;" ["&amp;SUBSTITUTE(SUBSTITUTE(SUBSTITUTE(E654," [",", "),"[",", "),"]","")&amp;"]")))</x:f>
      </x:c>
      <x:c r="G654" t="str">
        <x:f>IF(F654&lt;&gt;"",ROWS($F$3:F654)-COUNTBLANK($F$3:F654),"")</x:f>
      </x:c>
      <x:c r="H654"/>
      <x:c r="I654"/>
      <x:c r="J654"/>
      <x:c r="K654" t="str">
        <x:f>IF(ROW()-ROW($K$2)&lt;=SUM($J$3:$J$168),COUNTIF($H$3:$H$168,"&lt;"&amp;(ROW()-ROW($K$2))),"")</x:f>
      </x:c>
      <x:c r="L654" t="str">
        <x:f>IF(K654="","",ROW()-ROW($L$2)-INDEX($H$3:$H$168,K654))</x:f>
      </x:c>
      <x:c r="M654" t="str">
        <x:f>IF(K654="","",IF(L654=1,1,FIND(CHAR(1),SUBSTITUTE(INDEX($B$3:$B$168,K654),CHAR(10),CHAR(1),L654-1))+1))</x:f>
      </x:c>
      <x:c r="N654" t="str">
        <x:f>IF(K654="","",IFERROR(FIND(CHAR(1),SUBSTITUTE(INDEX($B$3:$B$168,K654),CHAR(10),CHAR(1),L654)),LEN(INDEX($B$3:$B$168,K654))+1))</x:f>
      </x:c>
    </x:row>
    <x:row r="655">
      <x:c r="A655"/>
      <x:c r="B655"/>
      <x:c r="C655"/>
      <x:c r="D655" t="str">
        <x:f>IFERROR(IF(653&lt;=$O$1,INDEX($A$3:$A$168,MATCH(653,$I$3:$I$168,0)),IF(653&lt;=$O$1+$O$2,INDEX($F$3:$F$1994,MATCH(653-$O$1,$G$3:$G$1994,0)),"")),"")</x:f>
      </x:c>
      <x:c r="E655" t="str">
        <x:f>IF(K655="","",IF(N655&lt;=M655,"",TRIM(CLEAN(MID(INDEX($B$3:$B$168,K655),M655,N655-M655)))))</x:f>
      </x:c>
      <x:c r="F655" t="str">
        <x:f>IF(E655="","",IF(E655=TRIM(INDEX($A$3:$A$168,K655)),"",IF(RIGHT(TRIM(INDEX($A$3:$A$168,K655)),1)="]",LEFT(TRIM(INDEX($A$3:$A$168,K655)),LEN(TRIM(INDEX($A$3:$A$168,K655)))-1)&amp;", "&amp;SUBSTITUTE(SUBSTITUTE(SUBSTITUTE(E655," [",", "),"[",", "),"]","")&amp;"]",TRIM(INDEX($A$3:$A$168,K655))&amp;" ["&amp;SUBSTITUTE(SUBSTITUTE(SUBSTITUTE(E655," [",", "),"[",", "),"]","")&amp;"]")))</x:f>
      </x:c>
      <x:c r="G655" t="str">
        <x:f>IF(F655&lt;&gt;"",ROWS($F$3:F655)-COUNTBLANK($F$3:F655),"")</x:f>
      </x:c>
      <x:c r="H655"/>
      <x:c r="I655"/>
      <x:c r="J655"/>
      <x:c r="K655" t="str">
        <x:f>IF(ROW()-ROW($K$2)&lt;=SUM($J$3:$J$168),COUNTIF($H$3:$H$168,"&lt;"&amp;(ROW()-ROW($K$2))),"")</x:f>
      </x:c>
      <x:c r="L655" t="str">
        <x:f>IF(K655="","",ROW()-ROW($L$2)-INDEX($H$3:$H$168,K655))</x:f>
      </x:c>
      <x:c r="M655" t="str">
        <x:f>IF(K655="","",IF(L655=1,1,FIND(CHAR(1),SUBSTITUTE(INDEX($B$3:$B$168,K655),CHAR(10),CHAR(1),L655-1))+1))</x:f>
      </x:c>
      <x:c r="N655" t="str">
        <x:f>IF(K655="","",IFERROR(FIND(CHAR(1),SUBSTITUTE(INDEX($B$3:$B$168,K655),CHAR(10),CHAR(1),L655)),LEN(INDEX($B$3:$B$168,K655))+1))</x:f>
      </x:c>
    </x:row>
    <x:row r="656">
      <x:c r="A656"/>
      <x:c r="B656"/>
      <x:c r="C656"/>
      <x:c r="D656" t="str">
        <x:f>IFERROR(IF(654&lt;=$O$1,INDEX($A$3:$A$168,MATCH(654,$I$3:$I$168,0)),IF(654&lt;=$O$1+$O$2,INDEX($F$3:$F$1994,MATCH(654-$O$1,$G$3:$G$1994,0)),"")),"")</x:f>
      </x:c>
      <x:c r="E656" t="str">
        <x:f>IF(K656="","",IF(N656&lt;=M656,"",TRIM(CLEAN(MID(INDEX($B$3:$B$168,K656),M656,N656-M656)))))</x:f>
      </x:c>
      <x:c r="F656" t="str">
        <x:f>IF(E656="","",IF(E656=TRIM(INDEX($A$3:$A$168,K656)),"",IF(RIGHT(TRIM(INDEX($A$3:$A$168,K656)),1)="]",LEFT(TRIM(INDEX($A$3:$A$168,K656)),LEN(TRIM(INDEX($A$3:$A$168,K656)))-1)&amp;", "&amp;SUBSTITUTE(SUBSTITUTE(SUBSTITUTE(E656," [",", "),"[",", "),"]","")&amp;"]",TRIM(INDEX($A$3:$A$168,K656))&amp;" ["&amp;SUBSTITUTE(SUBSTITUTE(SUBSTITUTE(E656," [",", "),"[",", "),"]","")&amp;"]")))</x:f>
      </x:c>
      <x:c r="G656" t="str">
        <x:f>IF(F656&lt;&gt;"",ROWS($F$3:F656)-COUNTBLANK($F$3:F656),"")</x:f>
      </x:c>
      <x:c r="H656"/>
      <x:c r="I656"/>
      <x:c r="J656"/>
      <x:c r="K656" t="str">
        <x:f>IF(ROW()-ROW($K$2)&lt;=SUM($J$3:$J$168),COUNTIF($H$3:$H$168,"&lt;"&amp;(ROW()-ROW($K$2))),"")</x:f>
      </x:c>
      <x:c r="L656" t="str">
        <x:f>IF(K656="","",ROW()-ROW($L$2)-INDEX($H$3:$H$168,K656))</x:f>
      </x:c>
      <x:c r="M656" t="str">
        <x:f>IF(K656="","",IF(L656=1,1,FIND(CHAR(1),SUBSTITUTE(INDEX($B$3:$B$168,K656),CHAR(10),CHAR(1),L656-1))+1))</x:f>
      </x:c>
      <x:c r="N656" t="str">
        <x:f>IF(K656="","",IFERROR(FIND(CHAR(1),SUBSTITUTE(INDEX($B$3:$B$168,K656),CHAR(10),CHAR(1),L656)),LEN(INDEX($B$3:$B$168,K656))+1))</x:f>
      </x:c>
    </x:row>
    <x:row r="657">
      <x:c r="A657"/>
      <x:c r="B657"/>
      <x:c r="C657"/>
      <x:c r="D657" t="str">
        <x:f>IFERROR(IF(655&lt;=$O$1,INDEX($A$3:$A$168,MATCH(655,$I$3:$I$168,0)),IF(655&lt;=$O$1+$O$2,INDEX($F$3:$F$1994,MATCH(655-$O$1,$G$3:$G$1994,0)),"")),"")</x:f>
      </x:c>
      <x:c r="E657" t="str">
        <x:f>IF(K657="","",IF(N657&lt;=M657,"",TRIM(CLEAN(MID(INDEX($B$3:$B$168,K657),M657,N657-M657)))))</x:f>
      </x:c>
      <x:c r="F657" t="str">
        <x:f>IF(E657="","",IF(E657=TRIM(INDEX($A$3:$A$168,K657)),"",IF(RIGHT(TRIM(INDEX($A$3:$A$168,K657)),1)="]",LEFT(TRIM(INDEX($A$3:$A$168,K657)),LEN(TRIM(INDEX($A$3:$A$168,K657)))-1)&amp;", "&amp;SUBSTITUTE(SUBSTITUTE(SUBSTITUTE(E657," [",", "),"[",", "),"]","")&amp;"]",TRIM(INDEX($A$3:$A$168,K657))&amp;" ["&amp;SUBSTITUTE(SUBSTITUTE(SUBSTITUTE(E657," [",", "),"[",", "),"]","")&amp;"]")))</x:f>
      </x:c>
      <x:c r="G657" t="str">
        <x:f>IF(F657&lt;&gt;"",ROWS($F$3:F657)-COUNTBLANK($F$3:F657),"")</x:f>
      </x:c>
      <x:c r="H657"/>
      <x:c r="I657"/>
      <x:c r="J657"/>
      <x:c r="K657" t="str">
        <x:f>IF(ROW()-ROW($K$2)&lt;=SUM($J$3:$J$168),COUNTIF($H$3:$H$168,"&lt;"&amp;(ROW()-ROW($K$2))),"")</x:f>
      </x:c>
      <x:c r="L657" t="str">
        <x:f>IF(K657="","",ROW()-ROW($L$2)-INDEX($H$3:$H$168,K657))</x:f>
      </x:c>
      <x:c r="M657" t="str">
        <x:f>IF(K657="","",IF(L657=1,1,FIND(CHAR(1),SUBSTITUTE(INDEX($B$3:$B$168,K657),CHAR(10),CHAR(1),L657-1))+1))</x:f>
      </x:c>
      <x:c r="N657" t="str">
        <x:f>IF(K657="","",IFERROR(FIND(CHAR(1),SUBSTITUTE(INDEX($B$3:$B$168,K657),CHAR(10),CHAR(1),L657)),LEN(INDEX($B$3:$B$168,K657))+1))</x:f>
      </x:c>
    </x:row>
    <x:row r="658">
      <x:c r="A658"/>
      <x:c r="B658"/>
      <x:c r="C658"/>
      <x:c r="D658" t="str">
        <x:f>IFERROR(IF(656&lt;=$O$1,INDEX($A$3:$A$168,MATCH(656,$I$3:$I$168,0)),IF(656&lt;=$O$1+$O$2,INDEX($F$3:$F$1994,MATCH(656-$O$1,$G$3:$G$1994,0)),"")),"")</x:f>
      </x:c>
      <x:c r="E658" t="str">
        <x:f>IF(K658="","",IF(N658&lt;=M658,"",TRIM(CLEAN(MID(INDEX($B$3:$B$168,K658),M658,N658-M658)))))</x:f>
      </x:c>
      <x:c r="F658" t="str">
        <x:f>IF(E658="","",IF(E658=TRIM(INDEX($A$3:$A$168,K658)),"",IF(RIGHT(TRIM(INDEX($A$3:$A$168,K658)),1)="]",LEFT(TRIM(INDEX($A$3:$A$168,K658)),LEN(TRIM(INDEX($A$3:$A$168,K658)))-1)&amp;", "&amp;SUBSTITUTE(SUBSTITUTE(SUBSTITUTE(E658," [",", "),"[",", "),"]","")&amp;"]",TRIM(INDEX($A$3:$A$168,K658))&amp;" ["&amp;SUBSTITUTE(SUBSTITUTE(SUBSTITUTE(E658," [",", "),"[",", "),"]","")&amp;"]")))</x:f>
      </x:c>
      <x:c r="G658" t="str">
        <x:f>IF(F658&lt;&gt;"",ROWS($F$3:F658)-COUNTBLANK($F$3:F658),"")</x:f>
      </x:c>
      <x:c r="H658"/>
      <x:c r="I658"/>
      <x:c r="J658"/>
      <x:c r="K658" t="str">
        <x:f>IF(ROW()-ROW($K$2)&lt;=SUM($J$3:$J$168),COUNTIF($H$3:$H$168,"&lt;"&amp;(ROW()-ROW($K$2))),"")</x:f>
      </x:c>
      <x:c r="L658" t="str">
        <x:f>IF(K658="","",ROW()-ROW($L$2)-INDEX($H$3:$H$168,K658))</x:f>
      </x:c>
      <x:c r="M658" t="str">
        <x:f>IF(K658="","",IF(L658=1,1,FIND(CHAR(1),SUBSTITUTE(INDEX($B$3:$B$168,K658),CHAR(10),CHAR(1),L658-1))+1))</x:f>
      </x:c>
      <x:c r="N658" t="str">
        <x:f>IF(K658="","",IFERROR(FIND(CHAR(1),SUBSTITUTE(INDEX($B$3:$B$168,K658),CHAR(10),CHAR(1),L658)),LEN(INDEX($B$3:$B$168,K658))+1))</x:f>
      </x:c>
    </x:row>
    <x:row r="659">
      <x:c r="A659"/>
      <x:c r="B659"/>
      <x:c r="C659"/>
      <x:c r="D659" t="str">
        <x:f>IFERROR(IF(657&lt;=$O$1,INDEX($A$3:$A$168,MATCH(657,$I$3:$I$168,0)),IF(657&lt;=$O$1+$O$2,INDEX($F$3:$F$1994,MATCH(657-$O$1,$G$3:$G$1994,0)),"")),"")</x:f>
      </x:c>
      <x:c r="E659" t="str">
        <x:f>IF(K659="","",IF(N659&lt;=M659,"",TRIM(CLEAN(MID(INDEX($B$3:$B$168,K659),M659,N659-M659)))))</x:f>
      </x:c>
      <x:c r="F659" t="str">
        <x:f>IF(E659="","",IF(E659=TRIM(INDEX($A$3:$A$168,K659)),"",IF(RIGHT(TRIM(INDEX($A$3:$A$168,K659)),1)="]",LEFT(TRIM(INDEX($A$3:$A$168,K659)),LEN(TRIM(INDEX($A$3:$A$168,K659)))-1)&amp;", "&amp;SUBSTITUTE(SUBSTITUTE(SUBSTITUTE(E659," [",", "),"[",", "),"]","")&amp;"]",TRIM(INDEX($A$3:$A$168,K659))&amp;" ["&amp;SUBSTITUTE(SUBSTITUTE(SUBSTITUTE(E659," [",", "),"[",", "),"]","")&amp;"]")))</x:f>
      </x:c>
      <x:c r="G659" t="str">
        <x:f>IF(F659&lt;&gt;"",ROWS($F$3:F659)-COUNTBLANK($F$3:F659),"")</x:f>
      </x:c>
      <x:c r="H659"/>
      <x:c r="I659"/>
      <x:c r="J659"/>
      <x:c r="K659" t="str">
        <x:f>IF(ROW()-ROW($K$2)&lt;=SUM($J$3:$J$168),COUNTIF($H$3:$H$168,"&lt;"&amp;(ROW()-ROW($K$2))),"")</x:f>
      </x:c>
      <x:c r="L659" t="str">
        <x:f>IF(K659="","",ROW()-ROW($L$2)-INDEX($H$3:$H$168,K659))</x:f>
      </x:c>
      <x:c r="M659" t="str">
        <x:f>IF(K659="","",IF(L659=1,1,FIND(CHAR(1),SUBSTITUTE(INDEX($B$3:$B$168,K659),CHAR(10),CHAR(1),L659-1))+1))</x:f>
      </x:c>
      <x:c r="N659" t="str">
        <x:f>IF(K659="","",IFERROR(FIND(CHAR(1),SUBSTITUTE(INDEX($B$3:$B$168,K659),CHAR(10),CHAR(1),L659)),LEN(INDEX($B$3:$B$168,K659))+1))</x:f>
      </x:c>
    </x:row>
    <x:row r="660">
      <x:c r="A660"/>
      <x:c r="B660"/>
      <x:c r="C660"/>
      <x:c r="D660" t="str">
        <x:f>IFERROR(IF(658&lt;=$O$1,INDEX($A$3:$A$168,MATCH(658,$I$3:$I$168,0)),IF(658&lt;=$O$1+$O$2,INDEX($F$3:$F$1994,MATCH(658-$O$1,$G$3:$G$1994,0)),"")),"")</x:f>
      </x:c>
      <x:c r="E660" t="str">
        <x:f>IF(K660="","",IF(N660&lt;=M660,"",TRIM(CLEAN(MID(INDEX($B$3:$B$168,K660),M660,N660-M660)))))</x:f>
      </x:c>
      <x:c r="F660" t="str">
        <x:f>IF(E660="","",IF(E660=TRIM(INDEX($A$3:$A$168,K660)),"",IF(RIGHT(TRIM(INDEX($A$3:$A$168,K660)),1)="]",LEFT(TRIM(INDEX($A$3:$A$168,K660)),LEN(TRIM(INDEX($A$3:$A$168,K660)))-1)&amp;", "&amp;SUBSTITUTE(SUBSTITUTE(SUBSTITUTE(E660," [",", "),"[",", "),"]","")&amp;"]",TRIM(INDEX($A$3:$A$168,K660))&amp;" ["&amp;SUBSTITUTE(SUBSTITUTE(SUBSTITUTE(E660," [",", "),"[",", "),"]","")&amp;"]")))</x:f>
      </x:c>
      <x:c r="G660" t="str">
        <x:f>IF(F660&lt;&gt;"",ROWS($F$3:F660)-COUNTBLANK($F$3:F660),"")</x:f>
      </x:c>
      <x:c r="H660"/>
      <x:c r="I660"/>
      <x:c r="J660"/>
      <x:c r="K660" t="str">
        <x:f>IF(ROW()-ROW($K$2)&lt;=SUM($J$3:$J$168),COUNTIF($H$3:$H$168,"&lt;"&amp;(ROW()-ROW($K$2))),"")</x:f>
      </x:c>
      <x:c r="L660" t="str">
        <x:f>IF(K660="","",ROW()-ROW($L$2)-INDEX($H$3:$H$168,K660))</x:f>
      </x:c>
      <x:c r="M660" t="str">
        <x:f>IF(K660="","",IF(L660=1,1,FIND(CHAR(1),SUBSTITUTE(INDEX($B$3:$B$168,K660),CHAR(10),CHAR(1),L660-1))+1))</x:f>
      </x:c>
      <x:c r="N660" t="str">
        <x:f>IF(K660="","",IFERROR(FIND(CHAR(1),SUBSTITUTE(INDEX($B$3:$B$168,K660),CHAR(10),CHAR(1),L660)),LEN(INDEX($B$3:$B$168,K660))+1))</x:f>
      </x:c>
    </x:row>
    <x:row r="661">
      <x:c r="A661"/>
      <x:c r="B661"/>
      <x:c r="C661"/>
      <x:c r="D661" t="str">
        <x:f>IFERROR(IF(659&lt;=$O$1,INDEX($A$3:$A$168,MATCH(659,$I$3:$I$168,0)),IF(659&lt;=$O$1+$O$2,INDEX($F$3:$F$1994,MATCH(659-$O$1,$G$3:$G$1994,0)),"")),"")</x:f>
      </x:c>
      <x:c r="E661" t="str">
        <x:f>IF(K661="","",IF(N661&lt;=M661,"",TRIM(CLEAN(MID(INDEX($B$3:$B$168,K661),M661,N661-M661)))))</x:f>
      </x:c>
      <x:c r="F661" t="str">
        <x:f>IF(E661="","",IF(E661=TRIM(INDEX($A$3:$A$168,K661)),"",IF(RIGHT(TRIM(INDEX($A$3:$A$168,K661)),1)="]",LEFT(TRIM(INDEX($A$3:$A$168,K661)),LEN(TRIM(INDEX($A$3:$A$168,K661)))-1)&amp;", "&amp;SUBSTITUTE(SUBSTITUTE(SUBSTITUTE(E661," [",", "),"[",", "),"]","")&amp;"]",TRIM(INDEX($A$3:$A$168,K661))&amp;" ["&amp;SUBSTITUTE(SUBSTITUTE(SUBSTITUTE(E661," [",", "),"[",", "),"]","")&amp;"]")))</x:f>
      </x:c>
      <x:c r="G661" t="str">
        <x:f>IF(F661&lt;&gt;"",ROWS($F$3:F661)-COUNTBLANK($F$3:F661),"")</x:f>
      </x:c>
      <x:c r="H661"/>
      <x:c r="I661"/>
      <x:c r="J661"/>
      <x:c r="K661" t="str">
        <x:f>IF(ROW()-ROW($K$2)&lt;=SUM($J$3:$J$168),COUNTIF($H$3:$H$168,"&lt;"&amp;(ROW()-ROW($K$2))),"")</x:f>
      </x:c>
      <x:c r="L661" t="str">
        <x:f>IF(K661="","",ROW()-ROW($L$2)-INDEX($H$3:$H$168,K661))</x:f>
      </x:c>
      <x:c r="M661" t="str">
        <x:f>IF(K661="","",IF(L661=1,1,FIND(CHAR(1),SUBSTITUTE(INDEX($B$3:$B$168,K661),CHAR(10),CHAR(1),L661-1))+1))</x:f>
      </x:c>
      <x:c r="N661" t="str">
        <x:f>IF(K661="","",IFERROR(FIND(CHAR(1),SUBSTITUTE(INDEX($B$3:$B$168,K661),CHAR(10),CHAR(1),L661)),LEN(INDEX($B$3:$B$168,K661))+1))</x:f>
      </x:c>
    </x:row>
    <x:row r="662">
      <x:c r="A662"/>
      <x:c r="B662"/>
      <x:c r="C662"/>
      <x:c r="D662" t="str">
        <x:f>IFERROR(IF(660&lt;=$O$1,INDEX($A$3:$A$168,MATCH(660,$I$3:$I$168,0)),IF(660&lt;=$O$1+$O$2,INDEX($F$3:$F$1994,MATCH(660-$O$1,$G$3:$G$1994,0)),"")),"")</x:f>
      </x:c>
      <x:c r="E662" t="str">
        <x:f>IF(K662="","",IF(N662&lt;=M662,"",TRIM(CLEAN(MID(INDEX($B$3:$B$168,K662),M662,N662-M662)))))</x:f>
      </x:c>
      <x:c r="F662" t="str">
        <x:f>IF(E662="","",IF(E662=TRIM(INDEX($A$3:$A$168,K662)),"",IF(RIGHT(TRIM(INDEX($A$3:$A$168,K662)),1)="]",LEFT(TRIM(INDEX($A$3:$A$168,K662)),LEN(TRIM(INDEX($A$3:$A$168,K662)))-1)&amp;", "&amp;SUBSTITUTE(SUBSTITUTE(SUBSTITUTE(E662," [",", "),"[",", "),"]","")&amp;"]",TRIM(INDEX($A$3:$A$168,K662))&amp;" ["&amp;SUBSTITUTE(SUBSTITUTE(SUBSTITUTE(E662," [",", "),"[",", "),"]","")&amp;"]")))</x:f>
      </x:c>
      <x:c r="G662" t="str">
        <x:f>IF(F662&lt;&gt;"",ROWS($F$3:F662)-COUNTBLANK($F$3:F662),"")</x:f>
      </x:c>
      <x:c r="H662"/>
      <x:c r="I662"/>
      <x:c r="J662"/>
      <x:c r="K662" t="str">
        <x:f>IF(ROW()-ROW($K$2)&lt;=SUM($J$3:$J$168),COUNTIF($H$3:$H$168,"&lt;"&amp;(ROW()-ROW($K$2))),"")</x:f>
      </x:c>
      <x:c r="L662" t="str">
        <x:f>IF(K662="","",ROW()-ROW($L$2)-INDEX($H$3:$H$168,K662))</x:f>
      </x:c>
      <x:c r="M662" t="str">
        <x:f>IF(K662="","",IF(L662=1,1,FIND(CHAR(1),SUBSTITUTE(INDEX($B$3:$B$168,K662),CHAR(10),CHAR(1),L662-1))+1))</x:f>
      </x:c>
      <x:c r="N662" t="str">
        <x:f>IF(K662="","",IFERROR(FIND(CHAR(1),SUBSTITUTE(INDEX($B$3:$B$168,K662),CHAR(10),CHAR(1),L662)),LEN(INDEX($B$3:$B$168,K662))+1))</x:f>
      </x:c>
    </x:row>
    <x:row r="663">
      <x:c r="A663"/>
      <x:c r="B663"/>
      <x:c r="C663"/>
      <x:c r="D663" t="str">
        <x:f>IFERROR(IF(661&lt;=$O$1,INDEX($A$3:$A$168,MATCH(661,$I$3:$I$168,0)),IF(661&lt;=$O$1+$O$2,INDEX($F$3:$F$1994,MATCH(661-$O$1,$G$3:$G$1994,0)),"")),"")</x:f>
      </x:c>
      <x:c r="E663" t="str">
        <x:f>IF(K663="","",IF(N663&lt;=M663,"",TRIM(CLEAN(MID(INDEX($B$3:$B$168,K663),M663,N663-M663)))))</x:f>
      </x:c>
      <x:c r="F663" t="str">
        <x:f>IF(E663="","",IF(E663=TRIM(INDEX($A$3:$A$168,K663)),"",IF(RIGHT(TRIM(INDEX($A$3:$A$168,K663)),1)="]",LEFT(TRIM(INDEX($A$3:$A$168,K663)),LEN(TRIM(INDEX($A$3:$A$168,K663)))-1)&amp;", "&amp;SUBSTITUTE(SUBSTITUTE(SUBSTITUTE(E663," [",", "),"[",", "),"]","")&amp;"]",TRIM(INDEX($A$3:$A$168,K663))&amp;" ["&amp;SUBSTITUTE(SUBSTITUTE(SUBSTITUTE(E663," [",", "),"[",", "),"]","")&amp;"]")))</x:f>
      </x:c>
      <x:c r="G663" t="str">
        <x:f>IF(F663&lt;&gt;"",ROWS($F$3:F663)-COUNTBLANK($F$3:F663),"")</x:f>
      </x:c>
      <x:c r="H663"/>
      <x:c r="I663"/>
      <x:c r="J663"/>
      <x:c r="K663" t="str">
        <x:f>IF(ROW()-ROW($K$2)&lt;=SUM($J$3:$J$168),COUNTIF($H$3:$H$168,"&lt;"&amp;(ROW()-ROW($K$2))),"")</x:f>
      </x:c>
      <x:c r="L663" t="str">
        <x:f>IF(K663="","",ROW()-ROW($L$2)-INDEX($H$3:$H$168,K663))</x:f>
      </x:c>
      <x:c r="M663" t="str">
        <x:f>IF(K663="","",IF(L663=1,1,FIND(CHAR(1),SUBSTITUTE(INDEX($B$3:$B$168,K663),CHAR(10),CHAR(1),L663-1))+1))</x:f>
      </x:c>
      <x:c r="N663" t="str">
        <x:f>IF(K663="","",IFERROR(FIND(CHAR(1),SUBSTITUTE(INDEX($B$3:$B$168,K663),CHAR(10),CHAR(1),L663)),LEN(INDEX($B$3:$B$168,K663))+1))</x:f>
      </x:c>
    </x:row>
    <x:row r="664">
      <x:c r="A664"/>
      <x:c r="B664"/>
      <x:c r="C664"/>
      <x:c r="D664" t="str">
        <x:f>IFERROR(IF(662&lt;=$O$1,INDEX($A$3:$A$168,MATCH(662,$I$3:$I$168,0)),IF(662&lt;=$O$1+$O$2,INDEX($F$3:$F$1994,MATCH(662-$O$1,$G$3:$G$1994,0)),"")),"")</x:f>
      </x:c>
      <x:c r="E664" t="str">
        <x:f>IF(K664="","",IF(N664&lt;=M664,"",TRIM(CLEAN(MID(INDEX($B$3:$B$168,K664),M664,N664-M664)))))</x:f>
      </x:c>
      <x:c r="F664" t="str">
        <x:f>IF(E664="","",IF(E664=TRIM(INDEX($A$3:$A$168,K664)),"",IF(RIGHT(TRIM(INDEX($A$3:$A$168,K664)),1)="]",LEFT(TRIM(INDEX($A$3:$A$168,K664)),LEN(TRIM(INDEX($A$3:$A$168,K664)))-1)&amp;", "&amp;SUBSTITUTE(SUBSTITUTE(SUBSTITUTE(E664," [",", "),"[",", "),"]","")&amp;"]",TRIM(INDEX($A$3:$A$168,K664))&amp;" ["&amp;SUBSTITUTE(SUBSTITUTE(SUBSTITUTE(E664," [",", "),"[",", "),"]","")&amp;"]")))</x:f>
      </x:c>
      <x:c r="G664" t="str">
        <x:f>IF(F664&lt;&gt;"",ROWS($F$3:F664)-COUNTBLANK($F$3:F664),"")</x:f>
      </x:c>
      <x:c r="H664"/>
      <x:c r="I664"/>
      <x:c r="J664"/>
      <x:c r="K664" t="str">
        <x:f>IF(ROW()-ROW($K$2)&lt;=SUM($J$3:$J$168),COUNTIF($H$3:$H$168,"&lt;"&amp;(ROW()-ROW($K$2))),"")</x:f>
      </x:c>
      <x:c r="L664" t="str">
        <x:f>IF(K664="","",ROW()-ROW($L$2)-INDEX($H$3:$H$168,K664))</x:f>
      </x:c>
      <x:c r="M664" t="str">
        <x:f>IF(K664="","",IF(L664=1,1,FIND(CHAR(1),SUBSTITUTE(INDEX($B$3:$B$168,K664),CHAR(10),CHAR(1),L664-1))+1))</x:f>
      </x:c>
      <x:c r="N664" t="str">
        <x:f>IF(K664="","",IFERROR(FIND(CHAR(1),SUBSTITUTE(INDEX($B$3:$B$168,K664),CHAR(10),CHAR(1),L664)),LEN(INDEX($B$3:$B$168,K664))+1))</x:f>
      </x:c>
    </x:row>
    <x:row r="665">
      <x:c r="A665"/>
      <x:c r="B665"/>
      <x:c r="C665"/>
      <x:c r="D665" t="str">
        <x:f>IFERROR(IF(663&lt;=$O$1,INDEX($A$3:$A$168,MATCH(663,$I$3:$I$168,0)),IF(663&lt;=$O$1+$O$2,INDEX($F$3:$F$1994,MATCH(663-$O$1,$G$3:$G$1994,0)),"")),"")</x:f>
      </x:c>
      <x:c r="E665" t="str">
        <x:f>IF(K665="","",IF(N665&lt;=M665,"",TRIM(CLEAN(MID(INDEX($B$3:$B$168,K665),M665,N665-M665)))))</x:f>
      </x:c>
      <x:c r="F665" t="str">
        <x:f>IF(E665="","",IF(E665=TRIM(INDEX($A$3:$A$168,K665)),"",IF(RIGHT(TRIM(INDEX($A$3:$A$168,K665)),1)="]",LEFT(TRIM(INDEX($A$3:$A$168,K665)),LEN(TRIM(INDEX($A$3:$A$168,K665)))-1)&amp;", "&amp;SUBSTITUTE(SUBSTITUTE(SUBSTITUTE(E665," [",", "),"[",", "),"]","")&amp;"]",TRIM(INDEX($A$3:$A$168,K665))&amp;" ["&amp;SUBSTITUTE(SUBSTITUTE(SUBSTITUTE(E665," [",", "),"[",", "),"]","")&amp;"]")))</x:f>
      </x:c>
      <x:c r="G665" t="str">
        <x:f>IF(F665&lt;&gt;"",ROWS($F$3:F665)-COUNTBLANK($F$3:F665),"")</x:f>
      </x:c>
      <x:c r="H665"/>
      <x:c r="I665"/>
      <x:c r="J665"/>
      <x:c r="K665" t="str">
        <x:f>IF(ROW()-ROW($K$2)&lt;=SUM($J$3:$J$168),COUNTIF($H$3:$H$168,"&lt;"&amp;(ROW()-ROW($K$2))),"")</x:f>
      </x:c>
      <x:c r="L665" t="str">
        <x:f>IF(K665="","",ROW()-ROW($L$2)-INDEX($H$3:$H$168,K665))</x:f>
      </x:c>
      <x:c r="M665" t="str">
        <x:f>IF(K665="","",IF(L665=1,1,FIND(CHAR(1),SUBSTITUTE(INDEX($B$3:$B$168,K665),CHAR(10),CHAR(1),L665-1))+1))</x:f>
      </x:c>
      <x:c r="N665" t="str">
        <x:f>IF(K665="","",IFERROR(FIND(CHAR(1),SUBSTITUTE(INDEX($B$3:$B$168,K665),CHAR(10),CHAR(1),L665)),LEN(INDEX($B$3:$B$168,K665))+1))</x:f>
      </x:c>
    </x:row>
    <x:row r="666">
      <x:c r="A666"/>
      <x:c r="B666"/>
      <x:c r="C666"/>
      <x:c r="D666" t="str">
        <x:f>IFERROR(IF(664&lt;=$O$1,INDEX($A$3:$A$168,MATCH(664,$I$3:$I$168,0)),IF(664&lt;=$O$1+$O$2,INDEX($F$3:$F$1994,MATCH(664-$O$1,$G$3:$G$1994,0)),"")),"")</x:f>
      </x:c>
      <x:c r="E666" t="str">
        <x:f>IF(K666="","",IF(N666&lt;=M666,"",TRIM(CLEAN(MID(INDEX($B$3:$B$168,K666),M666,N666-M666)))))</x:f>
      </x:c>
      <x:c r="F666" t="str">
        <x:f>IF(E666="","",IF(E666=TRIM(INDEX($A$3:$A$168,K666)),"",IF(RIGHT(TRIM(INDEX($A$3:$A$168,K666)),1)="]",LEFT(TRIM(INDEX($A$3:$A$168,K666)),LEN(TRIM(INDEX($A$3:$A$168,K666)))-1)&amp;", "&amp;SUBSTITUTE(SUBSTITUTE(SUBSTITUTE(E666," [",", "),"[",", "),"]","")&amp;"]",TRIM(INDEX($A$3:$A$168,K666))&amp;" ["&amp;SUBSTITUTE(SUBSTITUTE(SUBSTITUTE(E666," [",", "),"[",", "),"]","")&amp;"]")))</x:f>
      </x:c>
      <x:c r="G666" t="str">
        <x:f>IF(F666&lt;&gt;"",ROWS($F$3:F666)-COUNTBLANK($F$3:F666),"")</x:f>
      </x:c>
      <x:c r="H666"/>
      <x:c r="I666"/>
      <x:c r="J666"/>
      <x:c r="K666" t="str">
        <x:f>IF(ROW()-ROW($K$2)&lt;=SUM($J$3:$J$168),COUNTIF($H$3:$H$168,"&lt;"&amp;(ROW()-ROW($K$2))),"")</x:f>
      </x:c>
      <x:c r="L666" t="str">
        <x:f>IF(K666="","",ROW()-ROW($L$2)-INDEX($H$3:$H$168,K666))</x:f>
      </x:c>
      <x:c r="M666" t="str">
        <x:f>IF(K666="","",IF(L666=1,1,FIND(CHAR(1),SUBSTITUTE(INDEX($B$3:$B$168,K666),CHAR(10),CHAR(1),L666-1))+1))</x:f>
      </x:c>
      <x:c r="N666" t="str">
        <x:f>IF(K666="","",IFERROR(FIND(CHAR(1),SUBSTITUTE(INDEX($B$3:$B$168,K666),CHAR(10),CHAR(1),L666)),LEN(INDEX($B$3:$B$168,K666))+1))</x:f>
      </x:c>
    </x:row>
    <x:row r="667">
      <x:c r="A667"/>
      <x:c r="B667"/>
      <x:c r="C667"/>
      <x:c r="D667" t="str">
        <x:f>IFERROR(IF(665&lt;=$O$1,INDEX($A$3:$A$168,MATCH(665,$I$3:$I$168,0)),IF(665&lt;=$O$1+$O$2,INDEX($F$3:$F$1994,MATCH(665-$O$1,$G$3:$G$1994,0)),"")),"")</x:f>
      </x:c>
      <x:c r="E667" t="str">
        <x:f>IF(K667="","",IF(N667&lt;=M667,"",TRIM(CLEAN(MID(INDEX($B$3:$B$168,K667),M667,N667-M667)))))</x:f>
      </x:c>
      <x:c r="F667" t="str">
        <x:f>IF(E667="","",IF(E667=TRIM(INDEX($A$3:$A$168,K667)),"",IF(RIGHT(TRIM(INDEX($A$3:$A$168,K667)),1)="]",LEFT(TRIM(INDEX($A$3:$A$168,K667)),LEN(TRIM(INDEX($A$3:$A$168,K667)))-1)&amp;", "&amp;SUBSTITUTE(SUBSTITUTE(SUBSTITUTE(E667," [",", "),"[",", "),"]","")&amp;"]",TRIM(INDEX($A$3:$A$168,K667))&amp;" ["&amp;SUBSTITUTE(SUBSTITUTE(SUBSTITUTE(E667," [",", "),"[",", "),"]","")&amp;"]")))</x:f>
      </x:c>
      <x:c r="G667" t="str">
        <x:f>IF(F667&lt;&gt;"",ROWS($F$3:F667)-COUNTBLANK($F$3:F667),"")</x:f>
      </x:c>
      <x:c r="H667"/>
      <x:c r="I667"/>
      <x:c r="J667"/>
      <x:c r="K667" t="str">
        <x:f>IF(ROW()-ROW($K$2)&lt;=SUM($J$3:$J$168),COUNTIF($H$3:$H$168,"&lt;"&amp;(ROW()-ROW($K$2))),"")</x:f>
      </x:c>
      <x:c r="L667" t="str">
        <x:f>IF(K667="","",ROW()-ROW($L$2)-INDEX($H$3:$H$168,K667))</x:f>
      </x:c>
      <x:c r="M667" t="str">
        <x:f>IF(K667="","",IF(L667=1,1,FIND(CHAR(1),SUBSTITUTE(INDEX($B$3:$B$168,K667),CHAR(10),CHAR(1),L667-1))+1))</x:f>
      </x:c>
      <x:c r="N667" t="str">
        <x:f>IF(K667="","",IFERROR(FIND(CHAR(1),SUBSTITUTE(INDEX($B$3:$B$168,K667),CHAR(10),CHAR(1),L667)),LEN(INDEX($B$3:$B$168,K667))+1))</x:f>
      </x:c>
    </x:row>
    <x:row r="668">
      <x:c r="A668"/>
      <x:c r="B668"/>
      <x:c r="C668"/>
      <x:c r="D668" t="str">
        <x:f>IFERROR(IF(666&lt;=$O$1,INDEX($A$3:$A$168,MATCH(666,$I$3:$I$168,0)),IF(666&lt;=$O$1+$O$2,INDEX($F$3:$F$1994,MATCH(666-$O$1,$G$3:$G$1994,0)),"")),"")</x:f>
      </x:c>
      <x:c r="E668" t="str">
        <x:f>IF(K668="","",IF(N668&lt;=M668,"",TRIM(CLEAN(MID(INDEX($B$3:$B$168,K668),M668,N668-M668)))))</x:f>
      </x:c>
      <x:c r="F668" t="str">
        <x:f>IF(E668="","",IF(E668=TRIM(INDEX($A$3:$A$168,K668)),"",IF(RIGHT(TRIM(INDEX($A$3:$A$168,K668)),1)="]",LEFT(TRIM(INDEX($A$3:$A$168,K668)),LEN(TRIM(INDEX($A$3:$A$168,K668)))-1)&amp;", "&amp;SUBSTITUTE(SUBSTITUTE(SUBSTITUTE(E668," [",", "),"[",", "),"]","")&amp;"]",TRIM(INDEX($A$3:$A$168,K668))&amp;" ["&amp;SUBSTITUTE(SUBSTITUTE(SUBSTITUTE(E668," [",", "),"[",", "),"]","")&amp;"]")))</x:f>
      </x:c>
      <x:c r="G668" t="str">
        <x:f>IF(F668&lt;&gt;"",ROWS($F$3:F668)-COUNTBLANK($F$3:F668),"")</x:f>
      </x:c>
      <x:c r="H668"/>
      <x:c r="I668"/>
      <x:c r="J668"/>
      <x:c r="K668" t="str">
        <x:f>IF(ROW()-ROW($K$2)&lt;=SUM($J$3:$J$168),COUNTIF($H$3:$H$168,"&lt;"&amp;(ROW()-ROW($K$2))),"")</x:f>
      </x:c>
      <x:c r="L668" t="str">
        <x:f>IF(K668="","",ROW()-ROW($L$2)-INDEX($H$3:$H$168,K668))</x:f>
      </x:c>
      <x:c r="M668" t="str">
        <x:f>IF(K668="","",IF(L668=1,1,FIND(CHAR(1),SUBSTITUTE(INDEX($B$3:$B$168,K668),CHAR(10),CHAR(1),L668-1))+1))</x:f>
      </x:c>
      <x:c r="N668" t="str">
        <x:f>IF(K668="","",IFERROR(FIND(CHAR(1),SUBSTITUTE(INDEX($B$3:$B$168,K668),CHAR(10),CHAR(1),L668)),LEN(INDEX($B$3:$B$168,K668))+1))</x:f>
      </x:c>
    </x:row>
    <x:row r="669">
      <x:c r="A669"/>
      <x:c r="B669"/>
      <x:c r="C669"/>
      <x:c r="D669" t="str">
        <x:f>IFERROR(IF(667&lt;=$O$1,INDEX($A$3:$A$168,MATCH(667,$I$3:$I$168,0)),IF(667&lt;=$O$1+$O$2,INDEX($F$3:$F$1994,MATCH(667-$O$1,$G$3:$G$1994,0)),"")),"")</x:f>
      </x:c>
      <x:c r="E669" t="str">
        <x:f>IF(K669="","",IF(N669&lt;=M669,"",TRIM(CLEAN(MID(INDEX($B$3:$B$168,K669),M669,N669-M669)))))</x:f>
      </x:c>
      <x:c r="F669" t="str">
        <x:f>IF(E669="","",IF(E669=TRIM(INDEX($A$3:$A$168,K669)),"",IF(RIGHT(TRIM(INDEX($A$3:$A$168,K669)),1)="]",LEFT(TRIM(INDEX($A$3:$A$168,K669)),LEN(TRIM(INDEX($A$3:$A$168,K669)))-1)&amp;", "&amp;SUBSTITUTE(SUBSTITUTE(SUBSTITUTE(E669," [",", "),"[",", "),"]","")&amp;"]",TRIM(INDEX($A$3:$A$168,K669))&amp;" ["&amp;SUBSTITUTE(SUBSTITUTE(SUBSTITUTE(E669," [",", "),"[",", "),"]","")&amp;"]")))</x:f>
      </x:c>
      <x:c r="G669" t="str">
        <x:f>IF(F669&lt;&gt;"",ROWS($F$3:F669)-COUNTBLANK($F$3:F669),"")</x:f>
      </x:c>
      <x:c r="H669"/>
      <x:c r="I669"/>
      <x:c r="J669"/>
      <x:c r="K669" t="str">
        <x:f>IF(ROW()-ROW($K$2)&lt;=SUM($J$3:$J$168),COUNTIF($H$3:$H$168,"&lt;"&amp;(ROW()-ROW($K$2))),"")</x:f>
      </x:c>
      <x:c r="L669" t="str">
        <x:f>IF(K669="","",ROW()-ROW($L$2)-INDEX($H$3:$H$168,K669))</x:f>
      </x:c>
      <x:c r="M669" t="str">
        <x:f>IF(K669="","",IF(L669=1,1,FIND(CHAR(1),SUBSTITUTE(INDEX($B$3:$B$168,K669),CHAR(10),CHAR(1),L669-1))+1))</x:f>
      </x:c>
      <x:c r="N669" t="str">
        <x:f>IF(K669="","",IFERROR(FIND(CHAR(1),SUBSTITUTE(INDEX($B$3:$B$168,K669),CHAR(10),CHAR(1),L669)),LEN(INDEX($B$3:$B$168,K669))+1))</x:f>
      </x:c>
    </x:row>
    <x:row r="670">
      <x:c r="A670"/>
      <x:c r="B670"/>
      <x:c r="C670"/>
      <x:c r="D670" t="str">
        <x:f>IFERROR(IF(668&lt;=$O$1,INDEX($A$3:$A$168,MATCH(668,$I$3:$I$168,0)),IF(668&lt;=$O$1+$O$2,INDEX($F$3:$F$1994,MATCH(668-$O$1,$G$3:$G$1994,0)),"")),"")</x:f>
      </x:c>
      <x:c r="E670" t="str">
        <x:f>IF(K670="","",IF(N670&lt;=M670,"",TRIM(CLEAN(MID(INDEX($B$3:$B$168,K670),M670,N670-M670)))))</x:f>
      </x:c>
      <x:c r="F670" t="str">
        <x:f>IF(E670="","",IF(E670=TRIM(INDEX($A$3:$A$168,K670)),"",IF(RIGHT(TRIM(INDEX($A$3:$A$168,K670)),1)="]",LEFT(TRIM(INDEX($A$3:$A$168,K670)),LEN(TRIM(INDEX($A$3:$A$168,K670)))-1)&amp;", "&amp;SUBSTITUTE(SUBSTITUTE(SUBSTITUTE(E670," [",", "),"[",", "),"]","")&amp;"]",TRIM(INDEX($A$3:$A$168,K670))&amp;" ["&amp;SUBSTITUTE(SUBSTITUTE(SUBSTITUTE(E670," [",", "),"[",", "),"]","")&amp;"]")))</x:f>
      </x:c>
      <x:c r="G670" t="str">
        <x:f>IF(F670&lt;&gt;"",ROWS($F$3:F670)-COUNTBLANK($F$3:F670),"")</x:f>
      </x:c>
      <x:c r="H670"/>
      <x:c r="I670"/>
      <x:c r="J670"/>
      <x:c r="K670" t="str">
        <x:f>IF(ROW()-ROW($K$2)&lt;=SUM($J$3:$J$168),COUNTIF($H$3:$H$168,"&lt;"&amp;(ROW()-ROW($K$2))),"")</x:f>
      </x:c>
      <x:c r="L670" t="str">
        <x:f>IF(K670="","",ROW()-ROW($L$2)-INDEX($H$3:$H$168,K670))</x:f>
      </x:c>
      <x:c r="M670" t="str">
        <x:f>IF(K670="","",IF(L670=1,1,FIND(CHAR(1),SUBSTITUTE(INDEX($B$3:$B$168,K670),CHAR(10),CHAR(1),L670-1))+1))</x:f>
      </x:c>
      <x:c r="N670" t="str">
        <x:f>IF(K670="","",IFERROR(FIND(CHAR(1),SUBSTITUTE(INDEX($B$3:$B$168,K670),CHAR(10),CHAR(1),L670)),LEN(INDEX($B$3:$B$168,K670))+1))</x:f>
      </x:c>
    </x:row>
    <x:row r="671">
      <x:c r="A671"/>
      <x:c r="B671"/>
      <x:c r="C671"/>
      <x:c r="D671" t="str">
        <x:f>IFERROR(IF(669&lt;=$O$1,INDEX($A$3:$A$168,MATCH(669,$I$3:$I$168,0)),IF(669&lt;=$O$1+$O$2,INDEX($F$3:$F$1994,MATCH(669-$O$1,$G$3:$G$1994,0)),"")),"")</x:f>
      </x:c>
      <x:c r="E671" t="str">
        <x:f>IF(K671="","",IF(N671&lt;=M671,"",TRIM(CLEAN(MID(INDEX($B$3:$B$168,K671),M671,N671-M671)))))</x:f>
      </x:c>
      <x:c r="F671" t="str">
        <x:f>IF(E671="","",IF(E671=TRIM(INDEX($A$3:$A$168,K671)),"",IF(RIGHT(TRIM(INDEX($A$3:$A$168,K671)),1)="]",LEFT(TRIM(INDEX($A$3:$A$168,K671)),LEN(TRIM(INDEX($A$3:$A$168,K671)))-1)&amp;", "&amp;SUBSTITUTE(SUBSTITUTE(SUBSTITUTE(E671," [",", "),"[",", "),"]","")&amp;"]",TRIM(INDEX($A$3:$A$168,K671))&amp;" ["&amp;SUBSTITUTE(SUBSTITUTE(SUBSTITUTE(E671," [",", "),"[",", "),"]","")&amp;"]")))</x:f>
      </x:c>
      <x:c r="G671" t="str">
        <x:f>IF(F671&lt;&gt;"",ROWS($F$3:F671)-COUNTBLANK($F$3:F671),"")</x:f>
      </x:c>
      <x:c r="H671"/>
      <x:c r="I671"/>
      <x:c r="J671"/>
      <x:c r="K671" t="str">
        <x:f>IF(ROW()-ROW($K$2)&lt;=SUM($J$3:$J$168),COUNTIF($H$3:$H$168,"&lt;"&amp;(ROW()-ROW($K$2))),"")</x:f>
      </x:c>
      <x:c r="L671" t="str">
        <x:f>IF(K671="","",ROW()-ROW($L$2)-INDEX($H$3:$H$168,K671))</x:f>
      </x:c>
      <x:c r="M671" t="str">
        <x:f>IF(K671="","",IF(L671=1,1,FIND(CHAR(1),SUBSTITUTE(INDEX($B$3:$B$168,K671),CHAR(10),CHAR(1),L671-1))+1))</x:f>
      </x:c>
      <x:c r="N671" t="str">
        <x:f>IF(K671="","",IFERROR(FIND(CHAR(1),SUBSTITUTE(INDEX($B$3:$B$168,K671),CHAR(10),CHAR(1),L671)),LEN(INDEX($B$3:$B$168,K671))+1))</x:f>
      </x:c>
    </x:row>
    <x:row r="672">
      <x:c r="A672"/>
      <x:c r="B672"/>
      <x:c r="C672"/>
      <x:c r="D672" t="str">
        <x:f>IFERROR(IF(670&lt;=$O$1,INDEX($A$3:$A$168,MATCH(670,$I$3:$I$168,0)),IF(670&lt;=$O$1+$O$2,INDEX($F$3:$F$1994,MATCH(670-$O$1,$G$3:$G$1994,0)),"")),"")</x:f>
      </x:c>
      <x:c r="E672" t="str">
        <x:f>IF(K672="","",IF(N672&lt;=M672,"",TRIM(CLEAN(MID(INDEX($B$3:$B$168,K672),M672,N672-M672)))))</x:f>
      </x:c>
      <x:c r="F672" t="str">
        <x:f>IF(E672="","",IF(E672=TRIM(INDEX($A$3:$A$168,K672)),"",IF(RIGHT(TRIM(INDEX($A$3:$A$168,K672)),1)="]",LEFT(TRIM(INDEX($A$3:$A$168,K672)),LEN(TRIM(INDEX($A$3:$A$168,K672)))-1)&amp;", "&amp;SUBSTITUTE(SUBSTITUTE(SUBSTITUTE(E672," [",", "),"[",", "),"]","")&amp;"]",TRIM(INDEX($A$3:$A$168,K672))&amp;" ["&amp;SUBSTITUTE(SUBSTITUTE(SUBSTITUTE(E672," [",", "),"[",", "),"]","")&amp;"]")))</x:f>
      </x:c>
      <x:c r="G672" t="str">
        <x:f>IF(F672&lt;&gt;"",ROWS($F$3:F672)-COUNTBLANK($F$3:F672),"")</x:f>
      </x:c>
      <x:c r="H672"/>
      <x:c r="I672"/>
      <x:c r="J672"/>
      <x:c r="K672" t="str">
        <x:f>IF(ROW()-ROW($K$2)&lt;=SUM($J$3:$J$168),COUNTIF($H$3:$H$168,"&lt;"&amp;(ROW()-ROW($K$2))),"")</x:f>
      </x:c>
      <x:c r="L672" t="str">
        <x:f>IF(K672="","",ROW()-ROW($L$2)-INDEX($H$3:$H$168,K672))</x:f>
      </x:c>
      <x:c r="M672" t="str">
        <x:f>IF(K672="","",IF(L672=1,1,FIND(CHAR(1),SUBSTITUTE(INDEX($B$3:$B$168,K672),CHAR(10),CHAR(1),L672-1))+1))</x:f>
      </x:c>
      <x:c r="N672" t="str">
        <x:f>IF(K672="","",IFERROR(FIND(CHAR(1),SUBSTITUTE(INDEX($B$3:$B$168,K672),CHAR(10),CHAR(1),L672)),LEN(INDEX($B$3:$B$168,K672))+1))</x:f>
      </x:c>
    </x:row>
    <x:row r="673">
      <x:c r="A673"/>
      <x:c r="B673"/>
      <x:c r="C673"/>
      <x:c r="D673" t="str">
        <x:f>IFERROR(IF(671&lt;=$O$1,INDEX($A$3:$A$168,MATCH(671,$I$3:$I$168,0)),IF(671&lt;=$O$1+$O$2,INDEX($F$3:$F$1994,MATCH(671-$O$1,$G$3:$G$1994,0)),"")),"")</x:f>
      </x:c>
      <x:c r="E673" t="str">
        <x:f>IF(K673="","",IF(N673&lt;=M673,"",TRIM(CLEAN(MID(INDEX($B$3:$B$168,K673),M673,N673-M673)))))</x:f>
      </x:c>
      <x:c r="F673" t="str">
        <x:f>IF(E673="","",IF(E673=TRIM(INDEX($A$3:$A$168,K673)),"",IF(RIGHT(TRIM(INDEX($A$3:$A$168,K673)),1)="]",LEFT(TRIM(INDEX($A$3:$A$168,K673)),LEN(TRIM(INDEX($A$3:$A$168,K673)))-1)&amp;", "&amp;SUBSTITUTE(SUBSTITUTE(SUBSTITUTE(E673," [",", "),"[",", "),"]","")&amp;"]",TRIM(INDEX($A$3:$A$168,K673))&amp;" ["&amp;SUBSTITUTE(SUBSTITUTE(SUBSTITUTE(E673," [",", "),"[",", "),"]","")&amp;"]")))</x:f>
      </x:c>
      <x:c r="G673" t="str">
        <x:f>IF(F673&lt;&gt;"",ROWS($F$3:F673)-COUNTBLANK($F$3:F673),"")</x:f>
      </x:c>
      <x:c r="H673"/>
      <x:c r="I673"/>
      <x:c r="J673"/>
      <x:c r="K673" t="str">
        <x:f>IF(ROW()-ROW($K$2)&lt;=SUM($J$3:$J$168),COUNTIF($H$3:$H$168,"&lt;"&amp;(ROW()-ROW($K$2))),"")</x:f>
      </x:c>
      <x:c r="L673" t="str">
        <x:f>IF(K673="","",ROW()-ROW($L$2)-INDEX($H$3:$H$168,K673))</x:f>
      </x:c>
      <x:c r="M673" t="str">
        <x:f>IF(K673="","",IF(L673=1,1,FIND(CHAR(1),SUBSTITUTE(INDEX($B$3:$B$168,K673),CHAR(10),CHAR(1),L673-1))+1))</x:f>
      </x:c>
      <x:c r="N673" t="str">
        <x:f>IF(K673="","",IFERROR(FIND(CHAR(1),SUBSTITUTE(INDEX($B$3:$B$168,K673),CHAR(10),CHAR(1),L673)),LEN(INDEX($B$3:$B$168,K673))+1))</x:f>
      </x:c>
    </x:row>
    <x:row r="674">
      <x:c r="A674"/>
      <x:c r="B674"/>
      <x:c r="C674"/>
      <x:c r="D674" t="str">
        <x:f>IFERROR(IF(672&lt;=$O$1,INDEX($A$3:$A$168,MATCH(672,$I$3:$I$168,0)),IF(672&lt;=$O$1+$O$2,INDEX($F$3:$F$1994,MATCH(672-$O$1,$G$3:$G$1994,0)),"")),"")</x:f>
      </x:c>
      <x:c r="E674" t="str">
        <x:f>IF(K674="","",IF(N674&lt;=M674,"",TRIM(CLEAN(MID(INDEX($B$3:$B$168,K674),M674,N674-M674)))))</x:f>
      </x:c>
      <x:c r="F674" t="str">
        <x:f>IF(E674="","",IF(E674=TRIM(INDEX($A$3:$A$168,K674)),"",IF(RIGHT(TRIM(INDEX($A$3:$A$168,K674)),1)="]",LEFT(TRIM(INDEX($A$3:$A$168,K674)),LEN(TRIM(INDEX($A$3:$A$168,K674)))-1)&amp;", "&amp;SUBSTITUTE(SUBSTITUTE(SUBSTITUTE(E674," [",", "),"[",", "),"]","")&amp;"]",TRIM(INDEX($A$3:$A$168,K674))&amp;" ["&amp;SUBSTITUTE(SUBSTITUTE(SUBSTITUTE(E674," [",", "),"[",", "),"]","")&amp;"]")))</x:f>
      </x:c>
      <x:c r="G674" t="str">
        <x:f>IF(F674&lt;&gt;"",ROWS($F$3:F674)-COUNTBLANK($F$3:F674),"")</x:f>
      </x:c>
      <x:c r="H674"/>
      <x:c r="I674"/>
      <x:c r="J674"/>
      <x:c r="K674" t="str">
        <x:f>IF(ROW()-ROW($K$2)&lt;=SUM($J$3:$J$168),COUNTIF($H$3:$H$168,"&lt;"&amp;(ROW()-ROW($K$2))),"")</x:f>
      </x:c>
      <x:c r="L674" t="str">
        <x:f>IF(K674="","",ROW()-ROW($L$2)-INDEX($H$3:$H$168,K674))</x:f>
      </x:c>
      <x:c r="M674" t="str">
        <x:f>IF(K674="","",IF(L674=1,1,FIND(CHAR(1),SUBSTITUTE(INDEX($B$3:$B$168,K674),CHAR(10),CHAR(1),L674-1))+1))</x:f>
      </x:c>
      <x:c r="N674" t="str">
        <x:f>IF(K674="","",IFERROR(FIND(CHAR(1),SUBSTITUTE(INDEX($B$3:$B$168,K674),CHAR(10),CHAR(1),L674)),LEN(INDEX($B$3:$B$168,K674))+1))</x:f>
      </x:c>
    </x:row>
    <x:row r="675">
      <x:c r="A675"/>
      <x:c r="B675"/>
      <x:c r="C675"/>
      <x:c r="D675" t="str">
        <x:f>IFERROR(IF(673&lt;=$O$1,INDEX($A$3:$A$168,MATCH(673,$I$3:$I$168,0)),IF(673&lt;=$O$1+$O$2,INDEX($F$3:$F$1994,MATCH(673-$O$1,$G$3:$G$1994,0)),"")),"")</x:f>
      </x:c>
      <x:c r="E675" t="str">
        <x:f>IF(K675="","",IF(N675&lt;=M675,"",TRIM(CLEAN(MID(INDEX($B$3:$B$168,K675),M675,N675-M675)))))</x:f>
      </x:c>
      <x:c r="F675" t="str">
        <x:f>IF(E675="","",IF(E675=TRIM(INDEX($A$3:$A$168,K675)),"",IF(RIGHT(TRIM(INDEX($A$3:$A$168,K675)),1)="]",LEFT(TRIM(INDEX($A$3:$A$168,K675)),LEN(TRIM(INDEX($A$3:$A$168,K675)))-1)&amp;", "&amp;SUBSTITUTE(SUBSTITUTE(SUBSTITUTE(E675," [",", "),"[",", "),"]","")&amp;"]",TRIM(INDEX($A$3:$A$168,K675))&amp;" ["&amp;SUBSTITUTE(SUBSTITUTE(SUBSTITUTE(E675," [",", "),"[",", "),"]","")&amp;"]")))</x:f>
      </x:c>
      <x:c r="G675" t="str">
        <x:f>IF(F675&lt;&gt;"",ROWS($F$3:F675)-COUNTBLANK($F$3:F675),"")</x:f>
      </x:c>
      <x:c r="H675"/>
      <x:c r="I675"/>
      <x:c r="J675"/>
      <x:c r="K675" t="str">
        <x:f>IF(ROW()-ROW($K$2)&lt;=SUM($J$3:$J$168),COUNTIF($H$3:$H$168,"&lt;"&amp;(ROW()-ROW($K$2))),"")</x:f>
      </x:c>
      <x:c r="L675" t="str">
        <x:f>IF(K675="","",ROW()-ROW($L$2)-INDEX($H$3:$H$168,K675))</x:f>
      </x:c>
      <x:c r="M675" t="str">
        <x:f>IF(K675="","",IF(L675=1,1,FIND(CHAR(1),SUBSTITUTE(INDEX($B$3:$B$168,K675),CHAR(10),CHAR(1),L675-1))+1))</x:f>
      </x:c>
      <x:c r="N675" t="str">
        <x:f>IF(K675="","",IFERROR(FIND(CHAR(1),SUBSTITUTE(INDEX($B$3:$B$168,K675),CHAR(10),CHAR(1),L675)),LEN(INDEX($B$3:$B$168,K675))+1))</x:f>
      </x:c>
    </x:row>
    <x:row r="676">
      <x:c r="A676"/>
      <x:c r="B676"/>
      <x:c r="C676"/>
      <x:c r="D676" t="str">
        <x:f>IFERROR(IF(674&lt;=$O$1,INDEX($A$3:$A$168,MATCH(674,$I$3:$I$168,0)),IF(674&lt;=$O$1+$O$2,INDEX($F$3:$F$1994,MATCH(674-$O$1,$G$3:$G$1994,0)),"")),"")</x:f>
      </x:c>
      <x:c r="E676" t="str">
        <x:f>IF(K676="","",IF(N676&lt;=M676,"",TRIM(CLEAN(MID(INDEX($B$3:$B$168,K676),M676,N676-M676)))))</x:f>
      </x:c>
      <x:c r="F676" t="str">
        <x:f>IF(E676="","",IF(E676=TRIM(INDEX($A$3:$A$168,K676)),"",IF(RIGHT(TRIM(INDEX($A$3:$A$168,K676)),1)="]",LEFT(TRIM(INDEX($A$3:$A$168,K676)),LEN(TRIM(INDEX($A$3:$A$168,K676)))-1)&amp;", "&amp;SUBSTITUTE(SUBSTITUTE(SUBSTITUTE(E676," [",", "),"[",", "),"]","")&amp;"]",TRIM(INDEX($A$3:$A$168,K676))&amp;" ["&amp;SUBSTITUTE(SUBSTITUTE(SUBSTITUTE(E676," [",", "),"[",", "),"]","")&amp;"]")))</x:f>
      </x:c>
      <x:c r="G676" t="str">
        <x:f>IF(F676&lt;&gt;"",ROWS($F$3:F676)-COUNTBLANK($F$3:F676),"")</x:f>
      </x:c>
      <x:c r="H676"/>
      <x:c r="I676"/>
      <x:c r="J676"/>
      <x:c r="K676" t="str">
        <x:f>IF(ROW()-ROW($K$2)&lt;=SUM($J$3:$J$168),COUNTIF($H$3:$H$168,"&lt;"&amp;(ROW()-ROW($K$2))),"")</x:f>
      </x:c>
      <x:c r="L676" t="str">
        <x:f>IF(K676="","",ROW()-ROW($L$2)-INDEX($H$3:$H$168,K676))</x:f>
      </x:c>
      <x:c r="M676" t="str">
        <x:f>IF(K676="","",IF(L676=1,1,FIND(CHAR(1),SUBSTITUTE(INDEX($B$3:$B$168,K676),CHAR(10),CHAR(1),L676-1))+1))</x:f>
      </x:c>
      <x:c r="N676" t="str">
        <x:f>IF(K676="","",IFERROR(FIND(CHAR(1),SUBSTITUTE(INDEX($B$3:$B$168,K676),CHAR(10),CHAR(1),L676)),LEN(INDEX($B$3:$B$168,K676))+1))</x:f>
      </x:c>
    </x:row>
    <x:row r="677">
      <x:c r="A677"/>
      <x:c r="B677"/>
      <x:c r="C677"/>
      <x:c r="D677" t="str">
        <x:f>IFERROR(IF(675&lt;=$O$1,INDEX($A$3:$A$168,MATCH(675,$I$3:$I$168,0)),IF(675&lt;=$O$1+$O$2,INDEX($F$3:$F$1994,MATCH(675-$O$1,$G$3:$G$1994,0)),"")),"")</x:f>
      </x:c>
      <x:c r="E677" t="str">
        <x:f>IF(K677="","",IF(N677&lt;=M677,"",TRIM(CLEAN(MID(INDEX($B$3:$B$168,K677),M677,N677-M677)))))</x:f>
      </x:c>
      <x:c r="F677" t="str">
        <x:f>IF(E677="","",IF(E677=TRIM(INDEX($A$3:$A$168,K677)),"",IF(RIGHT(TRIM(INDEX($A$3:$A$168,K677)),1)="]",LEFT(TRIM(INDEX($A$3:$A$168,K677)),LEN(TRIM(INDEX($A$3:$A$168,K677)))-1)&amp;", "&amp;SUBSTITUTE(SUBSTITUTE(SUBSTITUTE(E677," [",", "),"[",", "),"]","")&amp;"]",TRIM(INDEX($A$3:$A$168,K677))&amp;" ["&amp;SUBSTITUTE(SUBSTITUTE(SUBSTITUTE(E677," [",", "),"[",", "),"]","")&amp;"]")))</x:f>
      </x:c>
      <x:c r="G677" t="str">
        <x:f>IF(F677&lt;&gt;"",ROWS($F$3:F677)-COUNTBLANK($F$3:F677),"")</x:f>
      </x:c>
      <x:c r="H677"/>
      <x:c r="I677"/>
      <x:c r="J677"/>
      <x:c r="K677" t="str">
        <x:f>IF(ROW()-ROW($K$2)&lt;=SUM($J$3:$J$168),COUNTIF($H$3:$H$168,"&lt;"&amp;(ROW()-ROW($K$2))),"")</x:f>
      </x:c>
      <x:c r="L677" t="str">
        <x:f>IF(K677="","",ROW()-ROW($L$2)-INDEX($H$3:$H$168,K677))</x:f>
      </x:c>
      <x:c r="M677" t="str">
        <x:f>IF(K677="","",IF(L677=1,1,FIND(CHAR(1),SUBSTITUTE(INDEX($B$3:$B$168,K677),CHAR(10),CHAR(1),L677-1))+1))</x:f>
      </x:c>
      <x:c r="N677" t="str">
        <x:f>IF(K677="","",IFERROR(FIND(CHAR(1),SUBSTITUTE(INDEX($B$3:$B$168,K677),CHAR(10),CHAR(1),L677)),LEN(INDEX($B$3:$B$168,K677))+1))</x:f>
      </x:c>
    </x:row>
    <x:row r="678">
      <x:c r="A678"/>
      <x:c r="B678"/>
      <x:c r="C678"/>
      <x:c r="D678" t="str">
        <x:f>IFERROR(IF(676&lt;=$O$1,INDEX($A$3:$A$168,MATCH(676,$I$3:$I$168,0)),IF(676&lt;=$O$1+$O$2,INDEX($F$3:$F$1994,MATCH(676-$O$1,$G$3:$G$1994,0)),"")),"")</x:f>
      </x:c>
      <x:c r="E678" t="str">
        <x:f>IF(K678="","",IF(N678&lt;=M678,"",TRIM(CLEAN(MID(INDEX($B$3:$B$168,K678),M678,N678-M678)))))</x:f>
      </x:c>
      <x:c r="F678" t="str">
        <x:f>IF(E678="","",IF(E678=TRIM(INDEX($A$3:$A$168,K678)),"",IF(RIGHT(TRIM(INDEX($A$3:$A$168,K678)),1)="]",LEFT(TRIM(INDEX($A$3:$A$168,K678)),LEN(TRIM(INDEX($A$3:$A$168,K678)))-1)&amp;", "&amp;SUBSTITUTE(SUBSTITUTE(SUBSTITUTE(E678," [",", "),"[",", "),"]","")&amp;"]",TRIM(INDEX($A$3:$A$168,K678))&amp;" ["&amp;SUBSTITUTE(SUBSTITUTE(SUBSTITUTE(E678," [",", "),"[",", "),"]","")&amp;"]")))</x:f>
      </x:c>
      <x:c r="G678" t="str">
        <x:f>IF(F678&lt;&gt;"",ROWS($F$3:F678)-COUNTBLANK($F$3:F678),"")</x:f>
      </x:c>
      <x:c r="H678"/>
      <x:c r="I678"/>
      <x:c r="J678"/>
      <x:c r="K678" t="str">
        <x:f>IF(ROW()-ROW($K$2)&lt;=SUM($J$3:$J$168),COUNTIF($H$3:$H$168,"&lt;"&amp;(ROW()-ROW($K$2))),"")</x:f>
      </x:c>
      <x:c r="L678" t="str">
        <x:f>IF(K678="","",ROW()-ROW($L$2)-INDEX($H$3:$H$168,K678))</x:f>
      </x:c>
      <x:c r="M678" t="str">
        <x:f>IF(K678="","",IF(L678=1,1,FIND(CHAR(1),SUBSTITUTE(INDEX($B$3:$B$168,K678),CHAR(10),CHAR(1),L678-1))+1))</x:f>
      </x:c>
      <x:c r="N678" t="str">
        <x:f>IF(K678="","",IFERROR(FIND(CHAR(1),SUBSTITUTE(INDEX($B$3:$B$168,K678),CHAR(10),CHAR(1),L678)),LEN(INDEX($B$3:$B$168,K678))+1))</x:f>
      </x:c>
    </x:row>
    <x:row r="679">
      <x:c r="A679"/>
      <x:c r="B679"/>
      <x:c r="C679"/>
      <x:c r="D679" t="str">
        <x:f>IFERROR(IF(677&lt;=$O$1,INDEX($A$3:$A$168,MATCH(677,$I$3:$I$168,0)),IF(677&lt;=$O$1+$O$2,INDEX($F$3:$F$1994,MATCH(677-$O$1,$G$3:$G$1994,0)),"")),"")</x:f>
      </x:c>
      <x:c r="E679" t="str">
        <x:f>IF(K679="","",IF(N679&lt;=M679,"",TRIM(CLEAN(MID(INDEX($B$3:$B$168,K679),M679,N679-M679)))))</x:f>
      </x:c>
      <x:c r="F679" t="str">
        <x:f>IF(E679="","",IF(E679=TRIM(INDEX($A$3:$A$168,K679)),"",IF(RIGHT(TRIM(INDEX($A$3:$A$168,K679)),1)="]",LEFT(TRIM(INDEX($A$3:$A$168,K679)),LEN(TRIM(INDEX($A$3:$A$168,K679)))-1)&amp;", "&amp;SUBSTITUTE(SUBSTITUTE(SUBSTITUTE(E679," [",", "),"[",", "),"]","")&amp;"]",TRIM(INDEX($A$3:$A$168,K679))&amp;" ["&amp;SUBSTITUTE(SUBSTITUTE(SUBSTITUTE(E679," [",", "),"[",", "),"]","")&amp;"]")))</x:f>
      </x:c>
      <x:c r="G679" t="str">
        <x:f>IF(F679&lt;&gt;"",ROWS($F$3:F679)-COUNTBLANK($F$3:F679),"")</x:f>
      </x:c>
      <x:c r="H679"/>
      <x:c r="I679"/>
      <x:c r="J679"/>
      <x:c r="K679" t="str">
        <x:f>IF(ROW()-ROW($K$2)&lt;=SUM($J$3:$J$168),COUNTIF($H$3:$H$168,"&lt;"&amp;(ROW()-ROW($K$2))),"")</x:f>
      </x:c>
      <x:c r="L679" t="str">
        <x:f>IF(K679="","",ROW()-ROW($L$2)-INDEX($H$3:$H$168,K679))</x:f>
      </x:c>
      <x:c r="M679" t="str">
        <x:f>IF(K679="","",IF(L679=1,1,FIND(CHAR(1),SUBSTITUTE(INDEX($B$3:$B$168,K679),CHAR(10),CHAR(1),L679-1))+1))</x:f>
      </x:c>
      <x:c r="N679" t="str">
        <x:f>IF(K679="","",IFERROR(FIND(CHAR(1),SUBSTITUTE(INDEX($B$3:$B$168,K679),CHAR(10),CHAR(1),L679)),LEN(INDEX($B$3:$B$168,K679))+1))</x:f>
      </x:c>
    </x:row>
    <x:row r="680">
      <x:c r="A680"/>
      <x:c r="B680"/>
      <x:c r="C680"/>
      <x:c r="D680" t="str">
        <x:f>IFERROR(IF(678&lt;=$O$1,INDEX($A$3:$A$168,MATCH(678,$I$3:$I$168,0)),IF(678&lt;=$O$1+$O$2,INDEX($F$3:$F$1994,MATCH(678-$O$1,$G$3:$G$1994,0)),"")),"")</x:f>
      </x:c>
      <x:c r="E680" t="str">
        <x:f>IF(K680="","",IF(N680&lt;=M680,"",TRIM(CLEAN(MID(INDEX($B$3:$B$168,K680),M680,N680-M680)))))</x:f>
      </x:c>
      <x:c r="F680" t="str">
        <x:f>IF(E680="","",IF(E680=TRIM(INDEX($A$3:$A$168,K680)),"",IF(RIGHT(TRIM(INDEX($A$3:$A$168,K680)),1)="]",LEFT(TRIM(INDEX($A$3:$A$168,K680)),LEN(TRIM(INDEX($A$3:$A$168,K680)))-1)&amp;", "&amp;SUBSTITUTE(SUBSTITUTE(SUBSTITUTE(E680," [",", "),"[",", "),"]","")&amp;"]",TRIM(INDEX($A$3:$A$168,K680))&amp;" ["&amp;SUBSTITUTE(SUBSTITUTE(SUBSTITUTE(E680," [",", "),"[",", "),"]","")&amp;"]")))</x:f>
      </x:c>
      <x:c r="G680" t="str">
        <x:f>IF(F680&lt;&gt;"",ROWS($F$3:F680)-COUNTBLANK($F$3:F680),"")</x:f>
      </x:c>
      <x:c r="H680"/>
      <x:c r="I680"/>
      <x:c r="J680"/>
      <x:c r="K680" t="str">
        <x:f>IF(ROW()-ROW($K$2)&lt;=SUM($J$3:$J$168),COUNTIF($H$3:$H$168,"&lt;"&amp;(ROW()-ROW($K$2))),"")</x:f>
      </x:c>
      <x:c r="L680" t="str">
        <x:f>IF(K680="","",ROW()-ROW($L$2)-INDEX($H$3:$H$168,K680))</x:f>
      </x:c>
      <x:c r="M680" t="str">
        <x:f>IF(K680="","",IF(L680=1,1,FIND(CHAR(1),SUBSTITUTE(INDEX($B$3:$B$168,K680),CHAR(10),CHAR(1),L680-1))+1))</x:f>
      </x:c>
      <x:c r="N680" t="str">
        <x:f>IF(K680="","",IFERROR(FIND(CHAR(1),SUBSTITUTE(INDEX($B$3:$B$168,K680),CHAR(10),CHAR(1),L680)),LEN(INDEX($B$3:$B$168,K680))+1))</x:f>
      </x:c>
    </x:row>
    <x:row r="681">
      <x:c r="A681"/>
      <x:c r="B681"/>
      <x:c r="C681"/>
      <x:c r="D681" t="str">
        <x:f>IFERROR(IF(679&lt;=$O$1,INDEX($A$3:$A$168,MATCH(679,$I$3:$I$168,0)),IF(679&lt;=$O$1+$O$2,INDEX($F$3:$F$1994,MATCH(679-$O$1,$G$3:$G$1994,0)),"")),"")</x:f>
      </x:c>
      <x:c r="E681" t="str">
        <x:f>IF(K681="","",IF(N681&lt;=M681,"",TRIM(CLEAN(MID(INDEX($B$3:$B$168,K681),M681,N681-M681)))))</x:f>
      </x:c>
      <x:c r="F681" t="str">
        <x:f>IF(E681="","",IF(E681=TRIM(INDEX($A$3:$A$168,K681)),"",IF(RIGHT(TRIM(INDEX($A$3:$A$168,K681)),1)="]",LEFT(TRIM(INDEX($A$3:$A$168,K681)),LEN(TRIM(INDEX($A$3:$A$168,K681)))-1)&amp;", "&amp;SUBSTITUTE(SUBSTITUTE(SUBSTITUTE(E681," [",", "),"[",", "),"]","")&amp;"]",TRIM(INDEX($A$3:$A$168,K681))&amp;" ["&amp;SUBSTITUTE(SUBSTITUTE(SUBSTITUTE(E681," [",", "),"[",", "),"]","")&amp;"]")))</x:f>
      </x:c>
      <x:c r="G681" t="str">
        <x:f>IF(F681&lt;&gt;"",ROWS($F$3:F681)-COUNTBLANK($F$3:F681),"")</x:f>
      </x:c>
      <x:c r="H681"/>
      <x:c r="I681"/>
      <x:c r="J681"/>
      <x:c r="K681" t="str">
        <x:f>IF(ROW()-ROW($K$2)&lt;=SUM($J$3:$J$168),COUNTIF($H$3:$H$168,"&lt;"&amp;(ROW()-ROW($K$2))),"")</x:f>
      </x:c>
      <x:c r="L681" t="str">
        <x:f>IF(K681="","",ROW()-ROW($L$2)-INDEX($H$3:$H$168,K681))</x:f>
      </x:c>
      <x:c r="M681" t="str">
        <x:f>IF(K681="","",IF(L681=1,1,FIND(CHAR(1),SUBSTITUTE(INDEX($B$3:$B$168,K681),CHAR(10),CHAR(1),L681-1))+1))</x:f>
      </x:c>
      <x:c r="N681" t="str">
        <x:f>IF(K681="","",IFERROR(FIND(CHAR(1),SUBSTITUTE(INDEX($B$3:$B$168,K681),CHAR(10),CHAR(1),L681)),LEN(INDEX($B$3:$B$168,K681))+1))</x:f>
      </x:c>
    </x:row>
    <x:row r="682">
      <x:c r="A682"/>
      <x:c r="B682"/>
      <x:c r="C682"/>
      <x:c r="D682" t="str">
        <x:f>IFERROR(IF(680&lt;=$O$1,INDEX($A$3:$A$168,MATCH(680,$I$3:$I$168,0)),IF(680&lt;=$O$1+$O$2,INDEX($F$3:$F$1994,MATCH(680-$O$1,$G$3:$G$1994,0)),"")),"")</x:f>
      </x:c>
      <x:c r="E682" t="str">
        <x:f>IF(K682="","",IF(N682&lt;=M682,"",TRIM(CLEAN(MID(INDEX($B$3:$B$168,K682),M682,N682-M682)))))</x:f>
      </x:c>
      <x:c r="F682" t="str">
        <x:f>IF(E682="","",IF(E682=TRIM(INDEX($A$3:$A$168,K682)),"",IF(RIGHT(TRIM(INDEX($A$3:$A$168,K682)),1)="]",LEFT(TRIM(INDEX($A$3:$A$168,K682)),LEN(TRIM(INDEX($A$3:$A$168,K682)))-1)&amp;", "&amp;SUBSTITUTE(SUBSTITUTE(SUBSTITUTE(E682," [",", "),"[",", "),"]","")&amp;"]",TRIM(INDEX($A$3:$A$168,K682))&amp;" ["&amp;SUBSTITUTE(SUBSTITUTE(SUBSTITUTE(E682," [",", "),"[",", "),"]","")&amp;"]")))</x:f>
      </x:c>
      <x:c r="G682" t="str">
        <x:f>IF(F682&lt;&gt;"",ROWS($F$3:F682)-COUNTBLANK($F$3:F682),"")</x:f>
      </x:c>
      <x:c r="H682"/>
      <x:c r="I682"/>
      <x:c r="J682"/>
      <x:c r="K682" t="str">
        <x:f>IF(ROW()-ROW($K$2)&lt;=SUM($J$3:$J$168),COUNTIF($H$3:$H$168,"&lt;"&amp;(ROW()-ROW($K$2))),"")</x:f>
      </x:c>
      <x:c r="L682" t="str">
        <x:f>IF(K682="","",ROW()-ROW($L$2)-INDEX($H$3:$H$168,K682))</x:f>
      </x:c>
      <x:c r="M682" t="str">
        <x:f>IF(K682="","",IF(L682=1,1,FIND(CHAR(1),SUBSTITUTE(INDEX($B$3:$B$168,K682),CHAR(10),CHAR(1),L682-1))+1))</x:f>
      </x:c>
      <x:c r="N682" t="str">
        <x:f>IF(K682="","",IFERROR(FIND(CHAR(1),SUBSTITUTE(INDEX($B$3:$B$168,K682),CHAR(10),CHAR(1),L682)),LEN(INDEX($B$3:$B$168,K682))+1))</x:f>
      </x:c>
    </x:row>
    <x:row r="683">
      <x:c r="A683"/>
      <x:c r="B683"/>
      <x:c r="C683"/>
      <x:c r="D683" t="str">
        <x:f>IFERROR(IF(681&lt;=$O$1,INDEX($A$3:$A$168,MATCH(681,$I$3:$I$168,0)),IF(681&lt;=$O$1+$O$2,INDEX($F$3:$F$1994,MATCH(681-$O$1,$G$3:$G$1994,0)),"")),"")</x:f>
      </x:c>
      <x:c r="E683" t="str">
        <x:f>IF(K683="","",IF(N683&lt;=M683,"",TRIM(CLEAN(MID(INDEX($B$3:$B$168,K683),M683,N683-M683)))))</x:f>
      </x:c>
      <x:c r="F683" t="str">
        <x:f>IF(E683="","",IF(E683=TRIM(INDEX($A$3:$A$168,K683)),"",IF(RIGHT(TRIM(INDEX($A$3:$A$168,K683)),1)="]",LEFT(TRIM(INDEX($A$3:$A$168,K683)),LEN(TRIM(INDEX($A$3:$A$168,K683)))-1)&amp;", "&amp;SUBSTITUTE(SUBSTITUTE(SUBSTITUTE(E683," [",", "),"[",", "),"]","")&amp;"]",TRIM(INDEX($A$3:$A$168,K683))&amp;" ["&amp;SUBSTITUTE(SUBSTITUTE(SUBSTITUTE(E683," [",", "),"[",", "),"]","")&amp;"]")))</x:f>
      </x:c>
      <x:c r="G683" t="str">
        <x:f>IF(F683&lt;&gt;"",ROWS($F$3:F683)-COUNTBLANK($F$3:F683),"")</x:f>
      </x:c>
      <x:c r="H683"/>
      <x:c r="I683"/>
      <x:c r="J683"/>
      <x:c r="K683" t="str">
        <x:f>IF(ROW()-ROW($K$2)&lt;=SUM($J$3:$J$168),COUNTIF($H$3:$H$168,"&lt;"&amp;(ROW()-ROW($K$2))),"")</x:f>
      </x:c>
      <x:c r="L683" t="str">
        <x:f>IF(K683="","",ROW()-ROW($L$2)-INDEX($H$3:$H$168,K683))</x:f>
      </x:c>
      <x:c r="M683" t="str">
        <x:f>IF(K683="","",IF(L683=1,1,FIND(CHAR(1),SUBSTITUTE(INDEX($B$3:$B$168,K683),CHAR(10),CHAR(1),L683-1))+1))</x:f>
      </x:c>
      <x:c r="N683" t="str">
        <x:f>IF(K683="","",IFERROR(FIND(CHAR(1),SUBSTITUTE(INDEX($B$3:$B$168,K683),CHAR(10),CHAR(1),L683)),LEN(INDEX($B$3:$B$168,K683))+1))</x:f>
      </x:c>
    </x:row>
    <x:row r="684">
      <x:c r="A684"/>
      <x:c r="B684"/>
      <x:c r="C684"/>
      <x:c r="D684" t="str">
        <x:f>IFERROR(IF(682&lt;=$O$1,INDEX($A$3:$A$168,MATCH(682,$I$3:$I$168,0)),IF(682&lt;=$O$1+$O$2,INDEX($F$3:$F$1994,MATCH(682-$O$1,$G$3:$G$1994,0)),"")),"")</x:f>
      </x:c>
      <x:c r="E684" t="str">
        <x:f>IF(K684="","",IF(N684&lt;=M684,"",TRIM(CLEAN(MID(INDEX($B$3:$B$168,K684),M684,N684-M684)))))</x:f>
      </x:c>
      <x:c r="F684" t="str">
        <x:f>IF(E684="","",IF(E684=TRIM(INDEX($A$3:$A$168,K684)),"",IF(RIGHT(TRIM(INDEX($A$3:$A$168,K684)),1)="]",LEFT(TRIM(INDEX($A$3:$A$168,K684)),LEN(TRIM(INDEX($A$3:$A$168,K684)))-1)&amp;", "&amp;SUBSTITUTE(SUBSTITUTE(SUBSTITUTE(E684," [",", "),"[",", "),"]","")&amp;"]",TRIM(INDEX($A$3:$A$168,K684))&amp;" ["&amp;SUBSTITUTE(SUBSTITUTE(SUBSTITUTE(E684," [",", "),"[",", "),"]","")&amp;"]")))</x:f>
      </x:c>
      <x:c r="G684" t="str">
        <x:f>IF(F684&lt;&gt;"",ROWS($F$3:F684)-COUNTBLANK($F$3:F684),"")</x:f>
      </x:c>
      <x:c r="H684"/>
      <x:c r="I684"/>
      <x:c r="J684"/>
      <x:c r="K684" t="str">
        <x:f>IF(ROW()-ROW($K$2)&lt;=SUM($J$3:$J$168),COUNTIF($H$3:$H$168,"&lt;"&amp;(ROW()-ROW($K$2))),"")</x:f>
      </x:c>
      <x:c r="L684" t="str">
        <x:f>IF(K684="","",ROW()-ROW($L$2)-INDEX($H$3:$H$168,K684))</x:f>
      </x:c>
      <x:c r="M684" t="str">
        <x:f>IF(K684="","",IF(L684=1,1,FIND(CHAR(1),SUBSTITUTE(INDEX($B$3:$B$168,K684),CHAR(10),CHAR(1),L684-1))+1))</x:f>
      </x:c>
      <x:c r="N684" t="str">
        <x:f>IF(K684="","",IFERROR(FIND(CHAR(1),SUBSTITUTE(INDEX($B$3:$B$168,K684),CHAR(10),CHAR(1),L684)),LEN(INDEX($B$3:$B$168,K684))+1))</x:f>
      </x:c>
    </x:row>
    <x:row r="685">
      <x:c r="A685"/>
      <x:c r="B685"/>
      <x:c r="C685"/>
      <x:c r="D685" t="str">
        <x:f>IFERROR(IF(683&lt;=$O$1,INDEX($A$3:$A$168,MATCH(683,$I$3:$I$168,0)),IF(683&lt;=$O$1+$O$2,INDEX($F$3:$F$1994,MATCH(683-$O$1,$G$3:$G$1994,0)),"")),"")</x:f>
      </x:c>
      <x:c r="E685" t="str">
        <x:f>IF(K685="","",IF(N685&lt;=M685,"",TRIM(CLEAN(MID(INDEX($B$3:$B$168,K685),M685,N685-M685)))))</x:f>
      </x:c>
      <x:c r="F685" t="str">
        <x:f>IF(E685="","",IF(E685=TRIM(INDEX($A$3:$A$168,K685)),"",IF(RIGHT(TRIM(INDEX($A$3:$A$168,K685)),1)="]",LEFT(TRIM(INDEX($A$3:$A$168,K685)),LEN(TRIM(INDEX($A$3:$A$168,K685)))-1)&amp;", "&amp;SUBSTITUTE(SUBSTITUTE(SUBSTITUTE(E685," [",", "),"[",", "),"]","")&amp;"]",TRIM(INDEX($A$3:$A$168,K685))&amp;" ["&amp;SUBSTITUTE(SUBSTITUTE(SUBSTITUTE(E685," [",", "),"[",", "),"]","")&amp;"]")))</x:f>
      </x:c>
      <x:c r="G685" t="str">
        <x:f>IF(F685&lt;&gt;"",ROWS($F$3:F685)-COUNTBLANK($F$3:F685),"")</x:f>
      </x:c>
      <x:c r="H685"/>
      <x:c r="I685"/>
      <x:c r="J685"/>
      <x:c r="K685" t="str">
        <x:f>IF(ROW()-ROW($K$2)&lt;=SUM($J$3:$J$168),COUNTIF($H$3:$H$168,"&lt;"&amp;(ROW()-ROW($K$2))),"")</x:f>
      </x:c>
      <x:c r="L685" t="str">
        <x:f>IF(K685="","",ROW()-ROW($L$2)-INDEX($H$3:$H$168,K685))</x:f>
      </x:c>
      <x:c r="M685" t="str">
        <x:f>IF(K685="","",IF(L685=1,1,FIND(CHAR(1),SUBSTITUTE(INDEX($B$3:$B$168,K685),CHAR(10),CHAR(1),L685-1))+1))</x:f>
      </x:c>
      <x:c r="N685" t="str">
        <x:f>IF(K685="","",IFERROR(FIND(CHAR(1),SUBSTITUTE(INDEX($B$3:$B$168,K685),CHAR(10),CHAR(1),L685)),LEN(INDEX($B$3:$B$168,K685))+1))</x:f>
      </x:c>
    </x:row>
    <x:row r="686">
      <x:c r="A686"/>
      <x:c r="B686"/>
      <x:c r="C686"/>
      <x:c r="D686" t="str">
        <x:f>IFERROR(IF(684&lt;=$O$1,INDEX($A$3:$A$168,MATCH(684,$I$3:$I$168,0)),IF(684&lt;=$O$1+$O$2,INDEX($F$3:$F$1994,MATCH(684-$O$1,$G$3:$G$1994,0)),"")),"")</x:f>
      </x:c>
      <x:c r="E686" t="str">
        <x:f>IF(K686="","",IF(N686&lt;=M686,"",TRIM(CLEAN(MID(INDEX($B$3:$B$168,K686),M686,N686-M686)))))</x:f>
      </x:c>
      <x:c r="F686" t="str">
        <x:f>IF(E686="","",IF(E686=TRIM(INDEX($A$3:$A$168,K686)),"",IF(RIGHT(TRIM(INDEX($A$3:$A$168,K686)),1)="]",LEFT(TRIM(INDEX($A$3:$A$168,K686)),LEN(TRIM(INDEX($A$3:$A$168,K686)))-1)&amp;", "&amp;SUBSTITUTE(SUBSTITUTE(SUBSTITUTE(E686," [",", "),"[",", "),"]","")&amp;"]",TRIM(INDEX($A$3:$A$168,K686))&amp;" ["&amp;SUBSTITUTE(SUBSTITUTE(SUBSTITUTE(E686," [",", "),"[",", "),"]","")&amp;"]")))</x:f>
      </x:c>
      <x:c r="G686" t="str">
        <x:f>IF(F686&lt;&gt;"",ROWS($F$3:F686)-COUNTBLANK($F$3:F686),"")</x:f>
      </x:c>
      <x:c r="H686"/>
      <x:c r="I686"/>
      <x:c r="J686"/>
      <x:c r="K686" t="str">
        <x:f>IF(ROW()-ROW($K$2)&lt;=SUM($J$3:$J$168),COUNTIF($H$3:$H$168,"&lt;"&amp;(ROW()-ROW($K$2))),"")</x:f>
      </x:c>
      <x:c r="L686" t="str">
        <x:f>IF(K686="","",ROW()-ROW($L$2)-INDEX($H$3:$H$168,K686))</x:f>
      </x:c>
      <x:c r="M686" t="str">
        <x:f>IF(K686="","",IF(L686=1,1,FIND(CHAR(1),SUBSTITUTE(INDEX($B$3:$B$168,K686),CHAR(10),CHAR(1),L686-1))+1))</x:f>
      </x:c>
      <x:c r="N686" t="str">
        <x:f>IF(K686="","",IFERROR(FIND(CHAR(1),SUBSTITUTE(INDEX($B$3:$B$168,K686),CHAR(10),CHAR(1),L686)),LEN(INDEX($B$3:$B$168,K686))+1))</x:f>
      </x:c>
    </x:row>
    <x:row r="687">
      <x:c r="A687"/>
      <x:c r="B687"/>
      <x:c r="C687"/>
      <x:c r="D687" t="str">
        <x:f>IFERROR(IF(685&lt;=$O$1,INDEX($A$3:$A$168,MATCH(685,$I$3:$I$168,0)),IF(685&lt;=$O$1+$O$2,INDEX($F$3:$F$1994,MATCH(685-$O$1,$G$3:$G$1994,0)),"")),"")</x:f>
      </x:c>
      <x:c r="E687" t="str">
        <x:f>IF(K687="","",IF(N687&lt;=M687,"",TRIM(CLEAN(MID(INDEX($B$3:$B$168,K687),M687,N687-M687)))))</x:f>
      </x:c>
      <x:c r="F687" t="str">
        <x:f>IF(E687="","",IF(E687=TRIM(INDEX($A$3:$A$168,K687)),"",IF(RIGHT(TRIM(INDEX($A$3:$A$168,K687)),1)="]",LEFT(TRIM(INDEX($A$3:$A$168,K687)),LEN(TRIM(INDEX($A$3:$A$168,K687)))-1)&amp;", "&amp;SUBSTITUTE(SUBSTITUTE(SUBSTITUTE(E687," [",", "),"[",", "),"]","")&amp;"]",TRIM(INDEX($A$3:$A$168,K687))&amp;" ["&amp;SUBSTITUTE(SUBSTITUTE(SUBSTITUTE(E687," [",", "),"[",", "),"]","")&amp;"]")))</x:f>
      </x:c>
      <x:c r="G687" t="str">
        <x:f>IF(F687&lt;&gt;"",ROWS($F$3:F687)-COUNTBLANK($F$3:F687),"")</x:f>
      </x:c>
      <x:c r="H687"/>
      <x:c r="I687"/>
      <x:c r="J687"/>
      <x:c r="K687" t="str">
        <x:f>IF(ROW()-ROW($K$2)&lt;=SUM($J$3:$J$168),COUNTIF($H$3:$H$168,"&lt;"&amp;(ROW()-ROW($K$2))),"")</x:f>
      </x:c>
      <x:c r="L687" t="str">
        <x:f>IF(K687="","",ROW()-ROW($L$2)-INDEX($H$3:$H$168,K687))</x:f>
      </x:c>
      <x:c r="M687" t="str">
        <x:f>IF(K687="","",IF(L687=1,1,FIND(CHAR(1),SUBSTITUTE(INDEX($B$3:$B$168,K687),CHAR(10),CHAR(1),L687-1))+1))</x:f>
      </x:c>
      <x:c r="N687" t="str">
        <x:f>IF(K687="","",IFERROR(FIND(CHAR(1),SUBSTITUTE(INDEX($B$3:$B$168,K687),CHAR(10),CHAR(1),L687)),LEN(INDEX($B$3:$B$168,K687))+1))</x:f>
      </x:c>
    </x:row>
    <x:row r="688">
      <x:c r="A688"/>
      <x:c r="B688"/>
      <x:c r="C688"/>
      <x:c r="D688" t="str">
        <x:f>IFERROR(IF(686&lt;=$O$1,INDEX($A$3:$A$168,MATCH(686,$I$3:$I$168,0)),IF(686&lt;=$O$1+$O$2,INDEX($F$3:$F$1994,MATCH(686-$O$1,$G$3:$G$1994,0)),"")),"")</x:f>
      </x:c>
      <x:c r="E688" t="str">
        <x:f>IF(K688="","",IF(N688&lt;=M688,"",TRIM(CLEAN(MID(INDEX($B$3:$B$168,K688),M688,N688-M688)))))</x:f>
      </x:c>
      <x:c r="F688" t="str">
        <x:f>IF(E688="","",IF(E688=TRIM(INDEX($A$3:$A$168,K688)),"",IF(RIGHT(TRIM(INDEX($A$3:$A$168,K688)),1)="]",LEFT(TRIM(INDEX($A$3:$A$168,K688)),LEN(TRIM(INDEX($A$3:$A$168,K688)))-1)&amp;", "&amp;SUBSTITUTE(SUBSTITUTE(SUBSTITUTE(E688," [",", "),"[",", "),"]","")&amp;"]",TRIM(INDEX($A$3:$A$168,K688))&amp;" ["&amp;SUBSTITUTE(SUBSTITUTE(SUBSTITUTE(E688," [",", "),"[",", "),"]","")&amp;"]")))</x:f>
      </x:c>
      <x:c r="G688" t="str">
        <x:f>IF(F688&lt;&gt;"",ROWS($F$3:F688)-COUNTBLANK($F$3:F688),"")</x:f>
      </x:c>
      <x:c r="H688"/>
      <x:c r="I688"/>
      <x:c r="J688"/>
      <x:c r="K688" t="str">
        <x:f>IF(ROW()-ROW($K$2)&lt;=SUM($J$3:$J$168),COUNTIF($H$3:$H$168,"&lt;"&amp;(ROW()-ROW($K$2))),"")</x:f>
      </x:c>
      <x:c r="L688" t="str">
        <x:f>IF(K688="","",ROW()-ROW($L$2)-INDEX($H$3:$H$168,K688))</x:f>
      </x:c>
      <x:c r="M688" t="str">
        <x:f>IF(K688="","",IF(L688=1,1,FIND(CHAR(1),SUBSTITUTE(INDEX($B$3:$B$168,K688),CHAR(10),CHAR(1),L688-1))+1))</x:f>
      </x:c>
      <x:c r="N688" t="str">
        <x:f>IF(K688="","",IFERROR(FIND(CHAR(1),SUBSTITUTE(INDEX($B$3:$B$168,K688),CHAR(10),CHAR(1),L688)),LEN(INDEX($B$3:$B$168,K688))+1))</x:f>
      </x:c>
    </x:row>
    <x:row r="689">
      <x:c r="A689"/>
      <x:c r="B689"/>
      <x:c r="C689"/>
      <x:c r="D689" t="str">
        <x:f>IFERROR(IF(687&lt;=$O$1,INDEX($A$3:$A$168,MATCH(687,$I$3:$I$168,0)),IF(687&lt;=$O$1+$O$2,INDEX($F$3:$F$1994,MATCH(687-$O$1,$G$3:$G$1994,0)),"")),"")</x:f>
      </x:c>
      <x:c r="E689" t="str">
        <x:f>IF(K689="","",IF(N689&lt;=M689,"",TRIM(CLEAN(MID(INDEX($B$3:$B$168,K689),M689,N689-M689)))))</x:f>
      </x:c>
      <x:c r="F689" t="str">
        <x:f>IF(E689="","",IF(E689=TRIM(INDEX($A$3:$A$168,K689)),"",IF(RIGHT(TRIM(INDEX($A$3:$A$168,K689)),1)="]",LEFT(TRIM(INDEX($A$3:$A$168,K689)),LEN(TRIM(INDEX($A$3:$A$168,K689)))-1)&amp;", "&amp;SUBSTITUTE(SUBSTITUTE(SUBSTITUTE(E689," [",", "),"[",", "),"]","")&amp;"]",TRIM(INDEX($A$3:$A$168,K689))&amp;" ["&amp;SUBSTITUTE(SUBSTITUTE(SUBSTITUTE(E689," [",", "),"[",", "),"]","")&amp;"]")))</x:f>
      </x:c>
      <x:c r="G689" t="str">
        <x:f>IF(F689&lt;&gt;"",ROWS($F$3:F689)-COUNTBLANK($F$3:F689),"")</x:f>
      </x:c>
      <x:c r="H689"/>
      <x:c r="I689"/>
      <x:c r="J689"/>
      <x:c r="K689" t="str">
        <x:f>IF(ROW()-ROW($K$2)&lt;=SUM($J$3:$J$168),COUNTIF($H$3:$H$168,"&lt;"&amp;(ROW()-ROW($K$2))),"")</x:f>
      </x:c>
      <x:c r="L689" t="str">
        <x:f>IF(K689="","",ROW()-ROW($L$2)-INDEX($H$3:$H$168,K689))</x:f>
      </x:c>
      <x:c r="M689" t="str">
        <x:f>IF(K689="","",IF(L689=1,1,FIND(CHAR(1),SUBSTITUTE(INDEX($B$3:$B$168,K689),CHAR(10),CHAR(1),L689-1))+1))</x:f>
      </x:c>
      <x:c r="N689" t="str">
        <x:f>IF(K689="","",IFERROR(FIND(CHAR(1),SUBSTITUTE(INDEX($B$3:$B$168,K689),CHAR(10),CHAR(1),L689)),LEN(INDEX($B$3:$B$168,K689))+1))</x:f>
      </x:c>
    </x:row>
    <x:row r="690">
      <x:c r="A690"/>
      <x:c r="B690"/>
      <x:c r="C690"/>
      <x:c r="D690" t="str">
        <x:f>IFERROR(IF(688&lt;=$O$1,INDEX($A$3:$A$168,MATCH(688,$I$3:$I$168,0)),IF(688&lt;=$O$1+$O$2,INDEX($F$3:$F$1994,MATCH(688-$O$1,$G$3:$G$1994,0)),"")),"")</x:f>
      </x:c>
      <x:c r="E690" t="str">
        <x:f>IF(K690="","",IF(N690&lt;=M690,"",TRIM(CLEAN(MID(INDEX($B$3:$B$168,K690),M690,N690-M690)))))</x:f>
      </x:c>
      <x:c r="F690" t="str">
        <x:f>IF(E690="","",IF(E690=TRIM(INDEX($A$3:$A$168,K690)),"",IF(RIGHT(TRIM(INDEX($A$3:$A$168,K690)),1)="]",LEFT(TRIM(INDEX($A$3:$A$168,K690)),LEN(TRIM(INDEX($A$3:$A$168,K690)))-1)&amp;", "&amp;SUBSTITUTE(SUBSTITUTE(SUBSTITUTE(E690," [",", "),"[",", "),"]","")&amp;"]",TRIM(INDEX($A$3:$A$168,K690))&amp;" ["&amp;SUBSTITUTE(SUBSTITUTE(SUBSTITUTE(E690," [",", "),"[",", "),"]","")&amp;"]")))</x:f>
      </x:c>
      <x:c r="G690" t="str">
        <x:f>IF(F690&lt;&gt;"",ROWS($F$3:F690)-COUNTBLANK($F$3:F690),"")</x:f>
      </x:c>
      <x:c r="H690"/>
      <x:c r="I690"/>
      <x:c r="J690"/>
      <x:c r="K690" t="str">
        <x:f>IF(ROW()-ROW($K$2)&lt;=SUM($J$3:$J$168),COUNTIF($H$3:$H$168,"&lt;"&amp;(ROW()-ROW($K$2))),"")</x:f>
      </x:c>
      <x:c r="L690" t="str">
        <x:f>IF(K690="","",ROW()-ROW($L$2)-INDEX($H$3:$H$168,K690))</x:f>
      </x:c>
      <x:c r="M690" t="str">
        <x:f>IF(K690="","",IF(L690=1,1,FIND(CHAR(1),SUBSTITUTE(INDEX($B$3:$B$168,K690),CHAR(10),CHAR(1),L690-1))+1))</x:f>
      </x:c>
      <x:c r="N690" t="str">
        <x:f>IF(K690="","",IFERROR(FIND(CHAR(1),SUBSTITUTE(INDEX($B$3:$B$168,K690),CHAR(10),CHAR(1),L690)),LEN(INDEX($B$3:$B$168,K690))+1))</x:f>
      </x:c>
    </x:row>
    <x:row r="691">
      <x:c r="A691"/>
      <x:c r="B691"/>
      <x:c r="C691"/>
      <x:c r="D691" t="str">
        <x:f>IFERROR(IF(689&lt;=$O$1,INDEX($A$3:$A$168,MATCH(689,$I$3:$I$168,0)),IF(689&lt;=$O$1+$O$2,INDEX($F$3:$F$1994,MATCH(689-$O$1,$G$3:$G$1994,0)),"")),"")</x:f>
      </x:c>
      <x:c r="E691" t="str">
        <x:f>IF(K691="","",IF(N691&lt;=M691,"",TRIM(CLEAN(MID(INDEX($B$3:$B$168,K691),M691,N691-M691)))))</x:f>
      </x:c>
      <x:c r="F691" t="str">
        <x:f>IF(E691="","",IF(E691=TRIM(INDEX($A$3:$A$168,K691)),"",IF(RIGHT(TRIM(INDEX($A$3:$A$168,K691)),1)="]",LEFT(TRIM(INDEX($A$3:$A$168,K691)),LEN(TRIM(INDEX($A$3:$A$168,K691)))-1)&amp;", "&amp;SUBSTITUTE(SUBSTITUTE(SUBSTITUTE(E691," [",", "),"[",", "),"]","")&amp;"]",TRIM(INDEX($A$3:$A$168,K691))&amp;" ["&amp;SUBSTITUTE(SUBSTITUTE(SUBSTITUTE(E691," [",", "),"[",", "),"]","")&amp;"]")))</x:f>
      </x:c>
      <x:c r="G691" t="str">
        <x:f>IF(F691&lt;&gt;"",ROWS($F$3:F691)-COUNTBLANK($F$3:F691),"")</x:f>
      </x:c>
      <x:c r="H691"/>
      <x:c r="I691"/>
      <x:c r="J691"/>
      <x:c r="K691" t="str">
        <x:f>IF(ROW()-ROW($K$2)&lt;=SUM($J$3:$J$168),COUNTIF($H$3:$H$168,"&lt;"&amp;(ROW()-ROW($K$2))),"")</x:f>
      </x:c>
      <x:c r="L691" t="str">
        <x:f>IF(K691="","",ROW()-ROW($L$2)-INDEX($H$3:$H$168,K691))</x:f>
      </x:c>
      <x:c r="M691" t="str">
        <x:f>IF(K691="","",IF(L691=1,1,FIND(CHAR(1),SUBSTITUTE(INDEX($B$3:$B$168,K691),CHAR(10),CHAR(1),L691-1))+1))</x:f>
      </x:c>
      <x:c r="N691" t="str">
        <x:f>IF(K691="","",IFERROR(FIND(CHAR(1),SUBSTITUTE(INDEX($B$3:$B$168,K691),CHAR(10),CHAR(1),L691)),LEN(INDEX($B$3:$B$168,K691))+1))</x:f>
      </x:c>
    </x:row>
    <x:row r="692">
      <x:c r="A692"/>
      <x:c r="B692"/>
      <x:c r="C692"/>
      <x:c r="D692" t="str">
        <x:f>IFERROR(IF(690&lt;=$O$1,INDEX($A$3:$A$168,MATCH(690,$I$3:$I$168,0)),IF(690&lt;=$O$1+$O$2,INDEX($F$3:$F$1994,MATCH(690-$O$1,$G$3:$G$1994,0)),"")),"")</x:f>
      </x:c>
      <x:c r="E692" t="str">
        <x:f>IF(K692="","",IF(N692&lt;=M692,"",TRIM(CLEAN(MID(INDEX($B$3:$B$168,K692),M692,N692-M692)))))</x:f>
      </x:c>
      <x:c r="F692" t="str">
        <x:f>IF(E692="","",IF(E692=TRIM(INDEX($A$3:$A$168,K692)),"",IF(RIGHT(TRIM(INDEX($A$3:$A$168,K692)),1)="]",LEFT(TRIM(INDEX($A$3:$A$168,K692)),LEN(TRIM(INDEX($A$3:$A$168,K692)))-1)&amp;", "&amp;SUBSTITUTE(SUBSTITUTE(SUBSTITUTE(E692," [",", "),"[",", "),"]","")&amp;"]",TRIM(INDEX($A$3:$A$168,K692))&amp;" ["&amp;SUBSTITUTE(SUBSTITUTE(SUBSTITUTE(E692," [",", "),"[",", "),"]","")&amp;"]")))</x:f>
      </x:c>
      <x:c r="G692" t="str">
        <x:f>IF(F692&lt;&gt;"",ROWS($F$3:F692)-COUNTBLANK($F$3:F692),"")</x:f>
      </x:c>
      <x:c r="H692"/>
      <x:c r="I692"/>
      <x:c r="J692"/>
      <x:c r="K692" t="str">
        <x:f>IF(ROW()-ROW($K$2)&lt;=SUM($J$3:$J$168),COUNTIF($H$3:$H$168,"&lt;"&amp;(ROW()-ROW($K$2))),"")</x:f>
      </x:c>
      <x:c r="L692" t="str">
        <x:f>IF(K692="","",ROW()-ROW($L$2)-INDEX($H$3:$H$168,K692))</x:f>
      </x:c>
      <x:c r="M692" t="str">
        <x:f>IF(K692="","",IF(L692=1,1,FIND(CHAR(1),SUBSTITUTE(INDEX($B$3:$B$168,K692),CHAR(10),CHAR(1),L692-1))+1))</x:f>
      </x:c>
      <x:c r="N692" t="str">
        <x:f>IF(K692="","",IFERROR(FIND(CHAR(1),SUBSTITUTE(INDEX($B$3:$B$168,K692),CHAR(10),CHAR(1),L692)),LEN(INDEX($B$3:$B$168,K692))+1))</x:f>
      </x:c>
    </x:row>
    <x:row r="693">
      <x:c r="A693"/>
      <x:c r="B693"/>
      <x:c r="C693"/>
      <x:c r="D693" t="str">
        <x:f>IFERROR(IF(691&lt;=$O$1,INDEX($A$3:$A$168,MATCH(691,$I$3:$I$168,0)),IF(691&lt;=$O$1+$O$2,INDEX($F$3:$F$1994,MATCH(691-$O$1,$G$3:$G$1994,0)),"")),"")</x:f>
      </x:c>
      <x:c r="E693" t="str">
        <x:f>IF(K693="","",IF(N693&lt;=M693,"",TRIM(CLEAN(MID(INDEX($B$3:$B$168,K693),M693,N693-M693)))))</x:f>
      </x:c>
      <x:c r="F693" t="str">
        <x:f>IF(E693="","",IF(E693=TRIM(INDEX($A$3:$A$168,K693)),"",IF(RIGHT(TRIM(INDEX($A$3:$A$168,K693)),1)="]",LEFT(TRIM(INDEX($A$3:$A$168,K693)),LEN(TRIM(INDEX($A$3:$A$168,K693)))-1)&amp;", "&amp;SUBSTITUTE(SUBSTITUTE(SUBSTITUTE(E693," [",", "),"[",", "),"]","")&amp;"]",TRIM(INDEX($A$3:$A$168,K693))&amp;" ["&amp;SUBSTITUTE(SUBSTITUTE(SUBSTITUTE(E693," [",", "),"[",", "),"]","")&amp;"]")))</x:f>
      </x:c>
      <x:c r="G693" t="str">
        <x:f>IF(F693&lt;&gt;"",ROWS($F$3:F693)-COUNTBLANK($F$3:F693),"")</x:f>
      </x:c>
      <x:c r="H693"/>
      <x:c r="I693"/>
      <x:c r="J693"/>
      <x:c r="K693" t="str">
        <x:f>IF(ROW()-ROW($K$2)&lt;=SUM($J$3:$J$168),COUNTIF($H$3:$H$168,"&lt;"&amp;(ROW()-ROW($K$2))),"")</x:f>
      </x:c>
      <x:c r="L693" t="str">
        <x:f>IF(K693="","",ROW()-ROW($L$2)-INDEX($H$3:$H$168,K693))</x:f>
      </x:c>
      <x:c r="M693" t="str">
        <x:f>IF(K693="","",IF(L693=1,1,FIND(CHAR(1),SUBSTITUTE(INDEX($B$3:$B$168,K693),CHAR(10),CHAR(1),L693-1))+1))</x:f>
      </x:c>
      <x:c r="N693" t="str">
        <x:f>IF(K693="","",IFERROR(FIND(CHAR(1),SUBSTITUTE(INDEX($B$3:$B$168,K693),CHAR(10),CHAR(1),L693)),LEN(INDEX($B$3:$B$168,K693))+1))</x:f>
      </x:c>
    </x:row>
    <x:row r="694">
      <x:c r="A694"/>
      <x:c r="B694"/>
      <x:c r="C694"/>
      <x:c r="D694" t="str">
        <x:f>IFERROR(IF(692&lt;=$O$1,INDEX($A$3:$A$168,MATCH(692,$I$3:$I$168,0)),IF(692&lt;=$O$1+$O$2,INDEX($F$3:$F$1994,MATCH(692-$O$1,$G$3:$G$1994,0)),"")),"")</x:f>
      </x:c>
      <x:c r="E694" t="str">
        <x:f>IF(K694="","",IF(N694&lt;=M694,"",TRIM(CLEAN(MID(INDEX($B$3:$B$168,K694),M694,N694-M694)))))</x:f>
      </x:c>
      <x:c r="F694" t="str">
        <x:f>IF(E694="","",IF(E694=TRIM(INDEX($A$3:$A$168,K694)),"",IF(RIGHT(TRIM(INDEX($A$3:$A$168,K694)),1)="]",LEFT(TRIM(INDEX($A$3:$A$168,K694)),LEN(TRIM(INDEX($A$3:$A$168,K694)))-1)&amp;", "&amp;SUBSTITUTE(SUBSTITUTE(SUBSTITUTE(E694," [",", "),"[",", "),"]","")&amp;"]",TRIM(INDEX($A$3:$A$168,K694))&amp;" ["&amp;SUBSTITUTE(SUBSTITUTE(SUBSTITUTE(E694," [",", "),"[",", "),"]","")&amp;"]")))</x:f>
      </x:c>
      <x:c r="G694" t="str">
        <x:f>IF(F694&lt;&gt;"",ROWS($F$3:F694)-COUNTBLANK($F$3:F694),"")</x:f>
      </x:c>
      <x:c r="H694"/>
      <x:c r="I694"/>
      <x:c r="J694"/>
      <x:c r="K694" t="str">
        <x:f>IF(ROW()-ROW($K$2)&lt;=SUM($J$3:$J$168),COUNTIF($H$3:$H$168,"&lt;"&amp;(ROW()-ROW($K$2))),"")</x:f>
      </x:c>
      <x:c r="L694" t="str">
        <x:f>IF(K694="","",ROW()-ROW($L$2)-INDEX($H$3:$H$168,K694))</x:f>
      </x:c>
      <x:c r="M694" t="str">
        <x:f>IF(K694="","",IF(L694=1,1,FIND(CHAR(1),SUBSTITUTE(INDEX($B$3:$B$168,K694),CHAR(10),CHAR(1),L694-1))+1))</x:f>
      </x:c>
      <x:c r="N694" t="str">
        <x:f>IF(K694="","",IFERROR(FIND(CHAR(1),SUBSTITUTE(INDEX($B$3:$B$168,K694),CHAR(10),CHAR(1),L694)),LEN(INDEX($B$3:$B$168,K694))+1))</x:f>
      </x:c>
    </x:row>
    <x:row r="695">
      <x:c r="A695"/>
      <x:c r="B695"/>
      <x:c r="C695"/>
      <x:c r="D695" t="str">
        <x:f>IFERROR(IF(693&lt;=$O$1,INDEX($A$3:$A$168,MATCH(693,$I$3:$I$168,0)),IF(693&lt;=$O$1+$O$2,INDEX($F$3:$F$1994,MATCH(693-$O$1,$G$3:$G$1994,0)),"")),"")</x:f>
      </x:c>
      <x:c r="E695" t="str">
        <x:f>IF(K695="","",IF(N695&lt;=M695,"",TRIM(CLEAN(MID(INDEX($B$3:$B$168,K695),M695,N695-M695)))))</x:f>
      </x:c>
      <x:c r="F695" t="str">
        <x:f>IF(E695="","",IF(E695=TRIM(INDEX($A$3:$A$168,K695)),"",IF(RIGHT(TRIM(INDEX($A$3:$A$168,K695)),1)="]",LEFT(TRIM(INDEX($A$3:$A$168,K695)),LEN(TRIM(INDEX($A$3:$A$168,K695)))-1)&amp;", "&amp;SUBSTITUTE(SUBSTITUTE(SUBSTITUTE(E695," [",", "),"[",", "),"]","")&amp;"]",TRIM(INDEX($A$3:$A$168,K695))&amp;" ["&amp;SUBSTITUTE(SUBSTITUTE(SUBSTITUTE(E695," [",", "),"[",", "),"]","")&amp;"]")))</x:f>
      </x:c>
      <x:c r="G695" t="str">
        <x:f>IF(F695&lt;&gt;"",ROWS($F$3:F695)-COUNTBLANK($F$3:F695),"")</x:f>
      </x:c>
      <x:c r="H695"/>
      <x:c r="I695"/>
      <x:c r="J695"/>
      <x:c r="K695" t="str">
        <x:f>IF(ROW()-ROW($K$2)&lt;=SUM($J$3:$J$168),COUNTIF($H$3:$H$168,"&lt;"&amp;(ROW()-ROW($K$2))),"")</x:f>
      </x:c>
      <x:c r="L695" t="str">
        <x:f>IF(K695="","",ROW()-ROW($L$2)-INDEX($H$3:$H$168,K695))</x:f>
      </x:c>
      <x:c r="M695" t="str">
        <x:f>IF(K695="","",IF(L695=1,1,FIND(CHAR(1),SUBSTITUTE(INDEX($B$3:$B$168,K695),CHAR(10),CHAR(1),L695-1))+1))</x:f>
      </x:c>
      <x:c r="N695" t="str">
        <x:f>IF(K695="","",IFERROR(FIND(CHAR(1),SUBSTITUTE(INDEX($B$3:$B$168,K695),CHAR(10),CHAR(1),L695)),LEN(INDEX($B$3:$B$168,K695))+1))</x:f>
      </x:c>
    </x:row>
    <x:row r="696">
      <x:c r="A696"/>
      <x:c r="B696"/>
      <x:c r="C696"/>
      <x:c r="D696" t="str">
        <x:f>IFERROR(IF(694&lt;=$O$1,INDEX($A$3:$A$168,MATCH(694,$I$3:$I$168,0)),IF(694&lt;=$O$1+$O$2,INDEX($F$3:$F$1994,MATCH(694-$O$1,$G$3:$G$1994,0)),"")),"")</x:f>
      </x:c>
      <x:c r="E696" t="str">
        <x:f>IF(K696="","",IF(N696&lt;=M696,"",TRIM(CLEAN(MID(INDEX($B$3:$B$168,K696),M696,N696-M696)))))</x:f>
      </x:c>
      <x:c r="F696" t="str">
        <x:f>IF(E696="","",IF(E696=TRIM(INDEX($A$3:$A$168,K696)),"",IF(RIGHT(TRIM(INDEX($A$3:$A$168,K696)),1)="]",LEFT(TRIM(INDEX($A$3:$A$168,K696)),LEN(TRIM(INDEX($A$3:$A$168,K696)))-1)&amp;", "&amp;SUBSTITUTE(SUBSTITUTE(SUBSTITUTE(E696," [",", "),"[",", "),"]","")&amp;"]",TRIM(INDEX($A$3:$A$168,K696))&amp;" ["&amp;SUBSTITUTE(SUBSTITUTE(SUBSTITUTE(E696," [",", "),"[",", "),"]","")&amp;"]")))</x:f>
      </x:c>
      <x:c r="G696" t="str">
        <x:f>IF(F696&lt;&gt;"",ROWS($F$3:F696)-COUNTBLANK($F$3:F696),"")</x:f>
      </x:c>
      <x:c r="H696"/>
      <x:c r="I696"/>
      <x:c r="J696"/>
      <x:c r="K696" t="str">
        <x:f>IF(ROW()-ROW($K$2)&lt;=SUM($J$3:$J$168),COUNTIF($H$3:$H$168,"&lt;"&amp;(ROW()-ROW($K$2))),"")</x:f>
      </x:c>
      <x:c r="L696" t="str">
        <x:f>IF(K696="","",ROW()-ROW($L$2)-INDEX($H$3:$H$168,K696))</x:f>
      </x:c>
      <x:c r="M696" t="str">
        <x:f>IF(K696="","",IF(L696=1,1,FIND(CHAR(1),SUBSTITUTE(INDEX($B$3:$B$168,K696),CHAR(10),CHAR(1),L696-1))+1))</x:f>
      </x:c>
      <x:c r="N696" t="str">
        <x:f>IF(K696="","",IFERROR(FIND(CHAR(1),SUBSTITUTE(INDEX($B$3:$B$168,K696),CHAR(10),CHAR(1),L696)),LEN(INDEX($B$3:$B$168,K696))+1))</x:f>
      </x:c>
    </x:row>
    <x:row r="697">
      <x:c r="A697"/>
      <x:c r="B697"/>
      <x:c r="C697"/>
      <x:c r="D697" t="str">
        <x:f>IFERROR(IF(695&lt;=$O$1,INDEX($A$3:$A$168,MATCH(695,$I$3:$I$168,0)),IF(695&lt;=$O$1+$O$2,INDEX($F$3:$F$1994,MATCH(695-$O$1,$G$3:$G$1994,0)),"")),"")</x:f>
      </x:c>
      <x:c r="E697" t="str">
        <x:f>IF(K697="","",IF(N697&lt;=M697,"",TRIM(CLEAN(MID(INDEX($B$3:$B$168,K697),M697,N697-M697)))))</x:f>
      </x:c>
      <x:c r="F697" t="str">
        <x:f>IF(E697="","",IF(E697=TRIM(INDEX($A$3:$A$168,K697)),"",IF(RIGHT(TRIM(INDEX($A$3:$A$168,K697)),1)="]",LEFT(TRIM(INDEX($A$3:$A$168,K697)),LEN(TRIM(INDEX($A$3:$A$168,K697)))-1)&amp;", "&amp;SUBSTITUTE(SUBSTITUTE(SUBSTITUTE(E697," [",", "),"[",", "),"]","")&amp;"]",TRIM(INDEX($A$3:$A$168,K697))&amp;" ["&amp;SUBSTITUTE(SUBSTITUTE(SUBSTITUTE(E697," [",", "),"[",", "),"]","")&amp;"]")))</x:f>
      </x:c>
      <x:c r="G697" t="str">
        <x:f>IF(F697&lt;&gt;"",ROWS($F$3:F697)-COUNTBLANK($F$3:F697),"")</x:f>
      </x:c>
      <x:c r="H697"/>
      <x:c r="I697"/>
      <x:c r="J697"/>
      <x:c r="K697" t="str">
        <x:f>IF(ROW()-ROW($K$2)&lt;=SUM($J$3:$J$168),COUNTIF($H$3:$H$168,"&lt;"&amp;(ROW()-ROW($K$2))),"")</x:f>
      </x:c>
      <x:c r="L697" t="str">
        <x:f>IF(K697="","",ROW()-ROW($L$2)-INDEX($H$3:$H$168,K697))</x:f>
      </x:c>
      <x:c r="M697" t="str">
        <x:f>IF(K697="","",IF(L697=1,1,FIND(CHAR(1),SUBSTITUTE(INDEX($B$3:$B$168,K697),CHAR(10),CHAR(1),L697-1))+1))</x:f>
      </x:c>
      <x:c r="N697" t="str">
        <x:f>IF(K697="","",IFERROR(FIND(CHAR(1),SUBSTITUTE(INDEX($B$3:$B$168,K697),CHAR(10),CHAR(1),L697)),LEN(INDEX($B$3:$B$168,K697))+1))</x:f>
      </x:c>
    </x:row>
    <x:row r="698">
      <x:c r="A698"/>
      <x:c r="B698"/>
      <x:c r="C698"/>
      <x:c r="D698" t="str">
        <x:f>IFERROR(IF(696&lt;=$O$1,INDEX($A$3:$A$168,MATCH(696,$I$3:$I$168,0)),IF(696&lt;=$O$1+$O$2,INDEX($F$3:$F$1994,MATCH(696-$O$1,$G$3:$G$1994,0)),"")),"")</x:f>
      </x:c>
      <x:c r="E698" t="str">
        <x:f>IF(K698="","",IF(N698&lt;=M698,"",TRIM(CLEAN(MID(INDEX($B$3:$B$168,K698),M698,N698-M698)))))</x:f>
      </x:c>
      <x:c r="F698" t="str">
        <x:f>IF(E698="","",IF(E698=TRIM(INDEX($A$3:$A$168,K698)),"",IF(RIGHT(TRIM(INDEX($A$3:$A$168,K698)),1)="]",LEFT(TRIM(INDEX($A$3:$A$168,K698)),LEN(TRIM(INDEX($A$3:$A$168,K698)))-1)&amp;", "&amp;SUBSTITUTE(SUBSTITUTE(SUBSTITUTE(E698," [",", "),"[",", "),"]","")&amp;"]",TRIM(INDEX($A$3:$A$168,K698))&amp;" ["&amp;SUBSTITUTE(SUBSTITUTE(SUBSTITUTE(E698," [",", "),"[",", "),"]","")&amp;"]")))</x:f>
      </x:c>
      <x:c r="G698" t="str">
        <x:f>IF(F698&lt;&gt;"",ROWS($F$3:F698)-COUNTBLANK($F$3:F698),"")</x:f>
      </x:c>
      <x:c r="H698"/>
      <x:c r="I698"/>
      <x:c r="J698"/>
      <x:c r="K698" t="str">
        <x:f>IF(ROW()-ROW($K$2)&lt;=SUM($J$3:$J$168),COUNTIF($H$3:$H$168,"&lt;"&amp;(ROW()-ROW($K$2))),"")</x:f>
      </x:c>
      <x:c r="L698" t="str">
        <x:f>IF(K698="","",ROW()-ROW($L$2)-INDEX($H$3:$H$168,K698))</x:f>
      </x:c>
      <x:c r="M698" t="str">
        <x:f>IF(K698="","",IF(L698=1,1,FIND(CHAR(1),SUBSTITUTE(INDEX($B$3:$B$168,K698),CHAR(10),CHAR(1),L698-1))+1))</x:f>
      </x:c>
      <x:c r="N698" t="str">
        <x:f>IF(K698="","",IFERROR(FIND(CHAR(1),SUBSTITUTE(INDEX($B$3:$B$168,K698),CHAR(10),CHAR(1),L698)),LEN(INDEX($B$3:$B$168,K698))+1))</x:f>
      </x:c>
    </x:row>
    <x:row r="699">
      <x:c r="A699"/>
      <x:c r="B699"/>
      <x:c r="C699"/>
      <x:c r="D699" t="str">
        <x:f>IFERROR(IF(697&lt;=$O$1,INDEX($A$3:$A$168,MATCH(697,$I$3:$I$168,0)),IF(697&lt;=$O$1+$O$2,INDEX($F$3:$F$1994,MATCH(697-$O$1,$G$3:$G$1994,0)),"")),"")</x:f>
      </x:c>
      <x:c r="E699" t="str">
        <x:f>IF(K699="","",IF(N699&lt;=M699,"",TRIM(CLEAN(MID(INDEX($B$3:$B$168,K699),M699,N699-M699)))))</x:f>
      </x:c>
      <x:c r="F699" t="str">
        <x:f>IF(E699="","",IF(E699=TRIM(INDEX($A$3:$A$168,K699)),"",IF(RIGHT(TRIM(INDEX($A$3:$A$168,K699)),1)="]",LEFT(TRIM(INDEX($A$3:$A$168,K699)),LEN(TRIM(INDEX($A$3:$A$168,K699)))-1)&amp;", "&amp;SUBSTITUTE(SUBSTITUTE(SUBSTITUTE(E699," [",", "),"[",", "),"]","")&amp;"]",TRIM(INDEX($A$3:$A$168,K699))&amp;" ["&amp;SUBSTITUTE(SUBSTITUTE(SUBSTITUTE(E699," [",", "),"[",", "),"]","")&amp;"]")))</x:f>
      </x:c>
      <x:c r="G699" t="str">
        <x:f>IF(F699&lt;&gt;"",ROWS($F$3:F699)-COUNTBLANK($F$3:F699),"")</x:f>
      </x:c>
      <x:c r="H699"/>
      <x:c r="I699"/>
      <x:c r="J699"/>
      <x:c r="K699" t="str">
        <x:f>IF(ROW()-ROW($K$2)&lt;=SUM($J$3:$J$168),COUNTIF($H$3:$H$168,"&lt;"&amp;(ROW()-ROW($K$2))),"")</x:f>
      </x:c>
      <x:c r="L699" t="str">
        <x:f>IF(K699="","",ROW()-ROW($L$2)-INDEX($H$3:$H$168,K699))</x:f>
      </x:c>
      <x:c r="M699" t="str">
        <x:f>IF(K699="","",IF(L699=1,1,FIND(CHAR(1),SUBSTITUTE(INDEX($B$3:$B$168,K699),CHAR(10),CHAR(1),L699-1))+1))</x:f>
      </x:c>
      <x:c r="N699" t="str">
        <x:f>IF(K699="","",IFERROR(FIND(CHAR(1),SUBSTITUTE(INDEX($B$3:$B$168,K699),CHAR(10),CHAR(1),L699)),LEN(INDEX($B$3:$B$168,K699))+1))</x:f>
      </x:c>
    </x:row>
    <x:row r="700">
      <x:c r="A700"/>
      <x:c r="B700"/>
      <x:c r="C700"/>
      <x:c r="D700" t="str">
        <x:f>IFERROR(IF(698&lt;=$O$1,INDEX($A$3:$A$168,MATCH(698,$I$3:$I$168,0)),IF(698&lt;=$O$1+$O$2,INDEX($F$3:$F$1994,MATCH(698-$O$1,$G$3:$G$1994,0)),"")),"")</x:f>
      </x:c>
      <x:c r="E700" t="str">
        <x:f>IF(K700="","",IF(N700&lt;=M700,"",TRIM(CLEAN(MID(INDEX($B$3:$B$168,K700),M700,N700-M700)))))</x:f>
      </x:c>
      <x:c r="F700" t="str">
        <x:f>IF(E700="","",IF(E700=TRIM(INDEX($A$3:$A$168,K700)),"",IF(RIGHT(TRIM(INDEX($A$3:$A$168,K700)),1)="]",LEFT(TRIM(INDEX($A$3:$A$168,K700)),LEN(TRIM(INDEX($A$3:$A$168,K700)))-1)&amp;", "&amp;SUBSTITUTE(SUBSTITUTE(SUBSTITUTE(E700," [",", "),"[",", "),"]","")&amp;"]",TRIM(INDEX($A$3:$A$168,K700))&amp;" ["&amp;SUBSTITUTE(SUBSTITUTE(SUBSTITUTE(E700," [",", "),"[",", "),"]","")&amp;"]")))</x:f>
      </x:c>
      <x:c r="G700" t="str">
        <x:f>IF(F700&lt;&gt;"",ROWS($F$3:F700)-COUNTBLANK($F$3:F700),"")</x:f>
      </x:c>
      <x:c r="H700"/>
      <x:c r="I700"/>
      <x:c r="J700"/>
      <x:c r="K700" t="str">
        <x:f>IF(ROW()-ROW($K$2)&lt;=SUM($J$3:$J$168),COUNTIF($H$3:$H$168,"&lt;"&amp;(ROW()-ROW($K$2))),"")</x:f>
      </x:c>
      <x:c r="L700" t="str">
        <x:f>IF(K700="","",ROW()-ROW($L$2)-INDEX($H$3:$H$168,K700))</x:f>
      </x:c>
      <x:c r="M700" t="str">
        <x:f>IF(K700="","",IF(L700=1,1,FIND(CHAR(1),SUBSTITUTE(INDEX($B$3:$B$168,K700),CHAR(10),CHAR(1),L700-1))+1))</x:f>
      </x:c>
      <x:c r="N700" t="str">
        <x:f>IF(K700="","",IFERROR(FIND(CHAR(1),SUBSTITUTE(INDEX($B$3:$B$168,K700),CHAR(10),CHAR(1),L700)),LEN(INDEX($B$3:$B$168,K700))+1))</x:f>
      </x:c>
    </x:row>
    <x:row r="701">
      <x:c r="A701"/>
      <x:c r="B701"/>
      <x:c r="C701"/>
      <x:c r="D701" t="str">
        <x:f>IFERROR(IF(699&lt;=$O$1,INDEX($A$3:$A$168,MATCH(699,$I$3:$I$168,0)),IF(699&lt;=$O$1+$O$2,INDEX($F$3:$F$1994,MATCH(699-$O$1,$G$3:$G$1994,0)),"")),"")</x:f>
      </x:c>
      <x:c r="E701" t="str">
        <x:f>IF(K701="","",IF(N701&lt;=M701,"",TRIM(CLEAN(MID(INDEX($B$3:$B$168,K701),M701,N701-M701)))))</x:f>
      </x:c>
      <x:c r="F701" t="str">
        <x:f>IF(E701="","",IF(E701=TRIM(INDEX($A$3:$A$168,K701)),"",IF(RIGHT(TRIM(INDEX($A$3:$A$168,K701)),1)="]",LEFT(TRIM(INDEX($A$3:$A$168,K701)),LEN(TRIM(INDEX($A$3:$A$168,K701)))-1)&amp;", "&amp;SUBSTITUTE(SUBSTITUTE(SUBSTITUTE(E701," [",", "),"[",", "),"]","")&amp;"]",TRIM(INDEX($A$3:$A$168,K701))&amp;" ["&amp;SUBSTITUTE(SUBSTITUTE(SUBSTITUTE(E701," [",", "),"[",", "),"]","")&amp;"]")))</x:f>
      </x:c>
      <x:c r="G701" t="str">
        <x:f>IF(F701&lt;&gt;"",ROWS($F$3:F701)-COUNTBLANK($F$3:F701),"")</x:f>
      </x:c>
      <x:c r="H701"/>
      <x:c r="I701"/>
      <x:c r="J701"/>
      <x:c r="K701" t="str">
        <x:f>IF(ROW()-ROW($K$2)&lt;=SUM($J$3:$J$168),COUNTIF($H$3:$H$168,"&lt;"&amp;(ROW()-ROW($K$2))),"")</x:f>
      </x:c>
      <x:c r="L701" t="str">
        <x:f>IF(K701="","",ROW()-ROW($L$2)-INDEX($H$3:$H$168,K701))</x:f>
      </x:c>
      <x:c r="M701" t="str">
        <x:f>IF(K701="","",IF(L701=1,1,FIND(CHAR(1),SUBSTITUTE(INDEX($B$3:$B$168,K701),CHAR(10),CHAR(1),L701-1))+1))</x:f>
      </x:c>
      <x:c r="N701" t="str">
        <x:f>IF(K701="","",IFERROR(FIND(CHAR(1),SUBSTITUTE(INDEX($B$3:$B$168,K701),CHAR(10),CHAR(1),L701)),LEN(INDEX($B$3:$B$168,K701))+1))</x:f>
      </x:c>
    </x:row>
    <x:row r="702">
      <x:c r="A702"/>
      <x:c r="B702"/>
      <x:c r="C702"/>
      <x:c r="D702" t="str">
        <x:f>IFERROR(IF(700&lt;=$O$1,INDEX($A$3:$A$168,MATCH(700,$I$3:$I$168,0)),IF(700&lt;=$O$1+$O$2,INDEX($F$3:$F$1994,MATCH(700-$O$1,$G$3:$G$1994,0)),"")),"")</x:f>
      </x:c>
      <x:c r="E702" t="str">
        <x:f>IF(K702="","",IF(N702&lt;=M702,"",TRIM(CLEAN(MID(INDEX($B$3:$B$168,K702),M702,N702-M702)))))</x:f>
      </x:c>
      <x:c r="F702" t="str">
        <x:f>IF(E702="","",IF(E702=TRIM(INDEX($A$3:$A$168,K702)),"",IF(RIGHT(TRIM(INDEX($A$3:$A$168,K702)),1)="]",LEFT(TRIM(INDEX($A$3:$A$168,K702)),LEN(TRIM(INDEX($A$3:$A$168,K702)))-1)&amp;", "&amp;SUBSTITUTE(SUBSTITUTE(SUBSTITUTE(E702," [",", "),"[",", "),"]","")&amp;"]",TRIM(INDEX($A$3:$A$168,K702))&amp;" ["&amp;SUBSTITUTE(SUBSTITUTE(SUBSTITUTE(E702," [",", "),"[",", "),"]","")&amp;"]")))</x:f>
      </x:c>
      <x:c r="G702" t="str">
        <x:f>IF(F702&lt;&gt;"",ROWS($F$3:F702)-COUNTBLANK($F$3:F702),"")</x:f>
      </x:c>
      <x:c r="H702"/>
      <x:c r="I702"/>
      <x:c r="J702"/>
      <x:c r="K702" t="str">
        <x:f>IF(ROW()-ROW($K$2)&lt;=SUM($J$3:$J$168),COUNTIF($H$3:$H$168,"&lt;"&amp;(ROW()-ROW($K$2))),"")</x:f>
      </x:c>
      <x:c r="L702" t="str">
        <x:f>IF(K702="","",ROW()-ROW($L$2)-INDEX($H$3:$H$168,K702))</x:f>
      </x:c>
      <x:c r="M702" t="str">
        <x:f>IF(K702="","",IF(L702=1,1,FIND(CHAR(1),SUBSTITUTE(INDEX($B$3:$B$168,K702),CHAR(10),CHAR(1),L702-1))+1))</x:f>
      </x:c>
      <x:c r="N702" t="str">
        <x:f>IF(K702="","",IFERROR(FIND(CHAR(1),SUBSTITUTE(INDEX($B$3:$B$168,K702),CHAR(10),CHAR(1),L702)),LEN(INDEX($B$3:$B$168,K702))+1))</x:f>
      </x:c>
    </x:row>
    <x:row r="703">
      <x:c r="A703"/>
      <x:c r="B703"/>
      <x:c r="C703"/>
      <x:c r="D703" t="str">
        <x:f>IFERROR(IF(701&lt;=$O$1,INDEX($A$3:$A$168,MATCH(701,$I$3:$I$168,0)),IF(701&lt;=$O$1+$O$2,INDEX($F$3:$F$1994,MATCH(701-$O$1,$G$3:$G$1994,0)),"")),"")</x:f>
      </x:c>
      <x:c r="E703" t="str">
        <x:f>IF(K703="","",IF(N703&lt;=M703,"",TRIM(CLEAN(MID(INDEX($B$3:$B$168,K703),M703,N703-M703)))))</x:f>
      </x:c>
      <x:c r="F703" t="str">
        <x:f>IF(E703="","",IF(E703=TRIM(INDEX($A$3:$A$168,K703)),"",IF(RIGHT(TRIM(INDEX($A$3:$A$168,K703)),1)="]",LEFT(TRIM(INDEX($A$3:$A$168,K703)),LEN(TRIM(INDEX($A$3:$A$168,K703)))-1)&amp;", "&amp;SUBSTITUTE(SUBSTITUTE(SUBSTITUTE(E703," [",", "),"[",", "),"]","")&amp;"]",TRIM(INDEX($A$3:$A$168,K703))&amp;" ["&amp;SUBSTITUTE(SUBSTITUTE(SUBSTITUTE(E703," [",", "),"[",", "),"]","")&amp;"]")))</x:f>
      </x:c>
      <x:c r="G703" t="str">
        <x:f>IF(F703&lt;&gt;"",ROWS($F$3:F703)-COUNTBLANK($F$3:F703),"")</x:f>
      </x:c>
      <x:c r="H703"/>
      <x:c r="I703"/>
      <x:c r="J703"/>
      <x:c r="K703" t="str">
        <x:f>IF(ROW()-ROW($K$2)&lt;=SUM($J$3:$J$168),COUNTIF($H$3:$H$168,"&lt;"&amp;(ROW()-ROW($K$2))),"")</x:f>
      </x:c>
      <x:c r="L703" t="str">
        <x:f>IF(K703="","",ROW()-ROW($L$2)-INDEX($H$3:$H$168,K703))</x:f>
      </x:c>
      <x:c r="M703" t="str">
        <x:f>IF(K703="","",IF(L703=1,1,FIND(CHAR(1),SUBSTITUTE(INDEX($B$3:$B$168,K703),CHAR(10),CHAR(1),L703-1))+1))</x:f>
      </x:c>
      <x:c r="N703" t="str">
        <x:f>IF(K703="","",IFERROR(FIND(CHAR(1),SUBSTITUTE(INDEX($B$3:$B$168,K703),CHAR(10),CHAR(1),L703)),LEN(INDEX($B$3:$B$168,K703))+1))</x:f>
      </x:c>
    </x:row>
    <x:row r="704">
      <x:c r="A704"/>
      <x:c r="B704"/>
      <x:c r="C704"/>
      <x:c r="D704" t="str">
        <x:f>IFERROR(IF(702&lt;=$O$1,INDEX($A$3:$A$168,MATCH(702,$I$3:$I$168,0)),IF(702&lt;=$O$1+$O$2,INDEX($F$3:$F$1994,MATCH(702-$O$1,$G$3:$G$1994,0)),"")),"")</x:f>
      </x:c>
      <x:c r="E704" t="str">
        <x:f>IF(K704="","",IF(N704&lt;=M704,"",TRIM(CLEAN(MID(INDEX($B$3:$B$168,K704),M704,N704-M704)))))</x:f>
      </x:c>
      <x:c r="F704" t="str">
        <x:f>IF(E704="","",IF(E704=TRIM(INDEX($A$3:$A$168,K704)),"",IF(RIGHT(TRIM(INDEX($A$3:$A$168,K704)),1)="]",LEFT(TRIM(INDEX($A$3:$A$168,K704)),LEN(TRIM(INDEX($A$3:$A$168,K704)))-1)&amp;", "&amp;SUBSTITUTE(SUBSTITUTE(SUBSTITUTE(E704," [",", "),"[",", "),"]","")&amp;"]",TRIM(INDEX($A$3:$A$168,K704))&amp;" ["&amp;SUBSTITUTE(SUBSTITUTE(SUBSTITUTE(E704," [",", "),"[",", "),"]","")&amp;"]")))</x:f>
      </x:c>
      <x:c r="G704" t="str">
        <x:f>IF(F704&lt;&gt;"",ROWS($F$3:F704)-COUNTBLANK($F$3:F704),"")</x:f>
      </x:c>
      <x:c r="H704"/>
      <x:c r="I704"/>
      <x:c r="J704"/>
      <x:c r="K704" t="str">
        <x:f>IF(ROW()-ROW($K$2)&lt;=SUM($J$3:$J$168),COUNTIF($H$3:$H$168,"&lt;"&amp;(ROW()-ROW($K$2))),"")</x:f>
      </x:c>
      <x:c r="L704" t="str">
        <x:f>IF(K704="","",ROW()-ROW($L$2)-INDEX($H$3:$H$168,K704))</x:f>
      </x:c>
      <x:c r="M704" t="str">
        <x:f>IF(K704="","",IF(L704=1,1,FIND(CHAR(1),SUBSTITUTE(INDEX($B$3:$B$168,K704),CHAR(10),CHAR(1),L704-1))+1))</x:f>
      </x:c>
      <x:c r="N704" t="str">
        <x:f>IF(K704="","",IFERROR(FIND(CHAR(1),SUBSTITUTE(INDEX($B$3:$B$168,K704),CHAR(10),CHAR(1),L704)),LEN(INDEX($B$3:$B$168,K704))+1))</x:f>
      </x:c>
    </x:row>
    <x:row r="705">
      <x:c r="A705"/>
      <x:c r="B705"/>
      <x:c r="C705"/>
      <x:c r="D705" t="str">
        <x:f>IFERROR(IF(703&lt;=$O$1,INDEX($A$3:$A$168,MATCH(703,$I$3:$I$168,0)),IF(703&lt;=$O$1+$O$2,INDEX($F$3:$F$1994,MATCH(703-$O$1,$G$3:$G$1994,0)),"")),"")</x:f>
      </x:c>
      <x:c r="E705" t="str">
        <x:f>IF(K705="","",IF(N705&lt;=M705,"",TRIM(CLEAN(MID(INDEX($B$3:$B$168,K705),M705,N705-M705)))))</x:f>
      </x:c>
      <x:c r="F705" t="str">
        <x:f>IF(E705="","",IF(E705=TRIM(INDEX($A$3:$A$168,K705)),"",IF(RIGHT(TRIM(INDEX($A$3:$A$168,K705)),1)="]",LEFT(TRIM(INDEX($A$3:$A$168,K705)),LEN(TRIM(INDEX($A$3:$A$168,K705)))-1)&amp;", "&amp;SUBSTITUTE(SUBSTITUTE(SUBSTITUTE(E705," [",", "),"[",", "),"]","")&amp;"]",TRIM(INDEX($A$3:$A$168,K705))&amp;" ["&amp;SUBSTITUTE(SUBSTITUTE(SUBSTITUTE(E705," [",", "),"[",", "),"]","")&amp;"]")))</x:f>
      </x:c>
      <x:c r="G705" t="str">
        <x:f>IF(F705&lt;&gt;"",ROWS($F$3:F705)-COUNTBLANK($F$3:F705),"")</x:f>
      </x:c>
      <x:c r="H705"/>
      <x:c r="I705"/>
      <x:c r="J705"/>
      <x:c r="K705" t="str">
        <x:f>IF(ROW()-ROW($K$2)&lt;=SUM($J$3:$J$168),COUNTIF($H$3:$H$168,"&lt;"&amp;(ROW()-ROW($K$2))),"")</x:f>
      </x:c>
      <x:c r="L705" t="str">
        <x:f>IF(K705="","",ROW()-ROW($L$2)-INDEX($H$3:$H$168,K705))</x:f>
      </x:c>
      <x:c r="M705" t="str">
        <x:f>IF(K705="","",IF(L705=1,1,FIND(CHAR(1),SUBSTITUTE(INDEX($B$3:$B$168,K705),CHAR(10),CHAR(1),L705-1))+1))</x:f>
      </x:c>
      <x:c r="N705" t="str">
        <x:f>IF(K705="","",IFERROR(FIND(CHAR(1),SUBSTITUTE(INDEX($B$3:$B$168,K705),CHAR(10),CHAR(1),L705)),LEN(INDEX($B$3:$B$168,K705))+1))</x:f>
      </x:c>
    </x:row>
    <x:row r="706">
      <x:c r="A706"/>
      <x:c r="B706"/>
      <x:c r="C706"/>
      <x:c r="D706" t="str">
        <x:f>IFERROR(IF(704&lt;=$O$1,INDEX($A$3:$A$168,MATCH(704,$I$3:$I$168,0)),IF(704&lt;=$O$1+$O$2,INDEX($F$3:$F$1994,MATCH(704-$O$1,$G$3:$G$1994,0)),"")),"")</x:f>
      </x:c>
      <x:c r="E706" t="str">
        <x:f>IF(K706="","",IF(N706&lt;=M706,"",TRIM(CLEAN(MID(INDEX($B$3:$B$168,K706),M706,N706-M706)))))</x:f>
      </x:c>
      <x:c r="F706" t="str">
        <x:f>IF(E706="","",IF(E706=TRIM(INDEX($A$3:$A$168,K706)),"",IF(RIGHT(TRIM(INDEX($A$3:$A$168,K706)),1)="]",LEFT(TRIM(INDEX($A$3:$A$168,K706)),LEN(TRIM(INDEX($A$3:$A$168,K706)))-1)&amp;", "&amp;SUBSTITUTE(SUBSTITUTE(SUBSTITUTE(E706," [",", "),"[",", "),"]","")&amp;"]",TRIM(INDEX($A$3:$A$168,K706))&amp;" ["&amp;SUBSTITUTE(SUBSTITUTE(SUBSTITUTE(E706," [",", "),"[",", "),"]","")&amp;"]")))</x:f>
      </x:c>
      <x:c r="G706" t="str">
        <x:f>IF(F706&lt;&gt;"",ROWS($F$3:F706)-COUNTBLANK($F$3:F706),"")</x:f>
      </x:c>
      <x:c r="H706"/>
      <x:c r="I706"/>
      <x:c r="J706"/>
      <x:c r="K706" t="str">
        <x:f>IF(ROW()-ROW($K$2)&lt;=SUM($J$3:$J$168),COUNTIF($H$3:$H$168,"&lt;"&amp;(ROW()-ROW($K$2))),"")</x:f>
      </x:c>
      <x:c r="L706" t="str">
        <x:f>IF(K706="","",ROW()-ROW($L$2)-INDEX($H$3:$H$168,K706))</x:f>
      </x:c>
      <x:c r="M706" t="str">
        <x:f>IF(K706="","",IF(L706=1,1,FIND(CHAR(1),SUBSTITUTE(INDEX($B$3:$B$168,K706),CHAR(10),CHAR(1),L706-1))+1))</x:f>
      </x:c>
      <x:c r="N706" t="str">
        <x:f>IF(K706="","",IFERROR(FIND(CHAR(1),SUBSTITUTE(INDEX($B$3:$B$168,K706),CHAR(10),CHAR(1),L706)),LEN(INDEX($B$3:$B$168,K706))+1))</x:f>
      </x:c>
    </x:row>
    <x:row r="707">
      <x:c r="A707"/>
      <x:c r="B707"/>
      <x:c r="C707"/>
      <x:c r="D707" t="str">
        <x:f>IFERROR(IF(705&lt;=$O$1,INDEX($A$3:$A$168,MATCH(705,$I$3:$I$168,0)),IF(705&lt;=$O$1+$O$2,INDEX($F$3:$F$1994,MATCH(705-$O$1,$G$3:$G$1994,0)),"")),"")</x:f>
      </x:c>
      <x:c r="E707" t="str">
        <x:f>IF(K707="","",IF(N707&lt;=M707,"",TRIM(CLEAN(MID(INDEX($B$3:$B$168,K707),M707,N707-M707)))))</x:f>
      </x:c>
      <x:c r="F707" t="str">
        <x:f>IF(E707="","",IF(E707=TRIM(INDEX($A$3:$A$168,K707)),"",IF(RIGHT(TRIM(INDEX($A$3:$A$168,K707)),1)="]",LEFT(TRIM(INDEX($A$3:$A$168,K707)),LEN(TRIM(INDEX($A$3:$A$168,K707)))-1)&amp;", "&amp;SUBSTITUTE(SUBSTITUTE(SUBSTITUTE(E707," [",", "),"[",", "),"]","")&amp;"]",TRIM(INDEX($A$3:$A$168,K707))&amp;" ["&amp;SUBSTITUTE(SUBSTITUTE(SUBSTITUTE(E707," [",", "),"[",", "),"]","")&amp;"]")))</x:f>
      </x:c>
      <x:c r="G707" t="str">
        <x:f>IF(F707&lt;&gt;"",ROWS($F$3:F707)-COUNTBLANK($F$3:F707),"")</x:f>
      </x:c>
      <x:c r="H707"/>
      <x:c r="I707"/>
      <x:c r="J707"/>
      <x:c r="K707" t="str">
        <x:f>IF(ROW()-ROW($K$2)&lt;=SUM($J$3:$J$168),COUNTIF($H$3:$H$168,"&lt;"&amp;(ROW()-ROW($K$2))),"")</x:f>
      </x:c>
      <x:c r="L707" t="str">
        <x:f>IF(K707="","",ROW()-ROW($L$2)-INDEX($H$3:$H$168,K707))</x:f>
      </x:c>
      <x:c r="M707" t="str">
        <x:f>IF(K707="","",IF(L707=1,1,FIND(CHAR(1),SUBSTITUTE(INDEX($B$3:$B$168,K707),CHAR(10),CHAR(1),L707-1))+1))</x:f>
      </x:c>
      <x:c r="N707" t="str">
        <x:f>IF(K707="","",IFERROR(FIND(CHAR(1),SUBSTITUTE(INDEX($B$3:$B$168,K707),CHAR(10),CHAR(1),L707)),LEN(INDEX($B$3:$B$168,K707))+1))</x:f>
      </x:c>
    </x:row>
    <x:row r="708">
      <x:c r="A708"/>
      <x:c r="B708"/>
      <x:c r="C708"/>
      <x:c r="D708" t="str">
        <x:f>IFERROR(IF(706&lt;=$O$1,INDEX($A$3:$A$168,MATCH(706,$I$3:$I$168,0)),IF(706&lt;=$O$1+$O$2,INDEX($F$3:$F$1994,MATCH(706-$O$1,$G$3:$G$1994,0)),"")),"")</x:f>
      </x:c>
      <x:c r="E708" t="str">
        <x:f>IF(K708="","",IF(N708&lt;=M708,"",TRIM(CLEAN(MID(INDEX($B$3:$B$168,K708),M708,N708-M708)))))</x:f>
      </x:c>
      <x:c r="F708" t="str">
        <x:f>IF(E708="","",IF(E708=TRIM(INDEX($A$3:$A$168,K708)),"",IF(RIGHT(TRIM(INDEX($A$3:$A$168,K708)),1)="]",LEFT(TRIM(INDEX($A$3:$A$168,K708)),LEN(TRIM(INDEX($A$3:$A$168,K708)))-1)&amp;", "&amp;SUBSTITUTE(SUBSTITUTE(SUBSTITUTE(E708," [",", "),"[",", "),"]","")&amp;"]",TRIM(INDEX($A$3:$A$168,K708))&amp;" ["&amp;SUBSTITUTE(SUBSTITUTE(SUBSTITUTE(E708," [",", "),"[",", "),"]","")&amp;"]")))</x:f>
      </x:c>
      <x:c r="G708" t="str">
        <x:f>IF(F708&lt;&gt;"",ROWS($F$3:F708)-COUNTBLANK($F$3:F708),"")</x:f>
      </x:c>
      <x:c r="H708"/>
      <x:c r="I708"/>
      <x:c r="J708"/>
      <x:c r="K708" t="str">
        <x:f>IF(ROW()-ROW($K$2)&lt;=SUM($J$3:$J$168),COUNTIF($H$3:$H$168,"&lt;"&amp;(ROW()-ROW($K$2))),"")</x:f>
      </x:c>
      <x:c r="L708" t="str">
        <x:f>IF(K708="","",ROW()-ROW($L$2)-INDEX($H$3:$H$168,K708))</x:f>
      </x:c>
      <x:c r="M708" t="str">
        <x:f>IF(K708="","",IF(L708=1,1,FIND(CHAR(1),SUBSTITUTE(INDEX($B$3:$B$168,K708),CHAR(10),CHAR(1),L708-1))+1))</x:f>
      </x:c>
      <x:c r="N708" t="str">
        <x:f>IF(K708="","",IFERROR(FIND(CHAR(1),SUBSTITUTE(INDEX($B$3:$B$168,K708),CHAR(10),CHAR(1),L708)),LEN(INDEX($B$3:$B$168,K708))+1))</x:f>
      </x:c>
    </x:row>
    <x:row r="709">
      <x:c r="A709"/>
      <x:c r="B709"/>
      <x:c r="C709"/>
      <x:c r="D709" t="str">
        <x:f>IFERROR(IF(707&lt;=$O$1,INDEX($A$3:$A$168,MATCH(707,$I$3:$I$168,0)),IF(707&lt;=$O$1+$O$2,INDEX($F$3:$F$1994,MATCH(707-$O$1,$G$3:$G$1994,0)),"")),"")</x:f>
      </x:c>
      <x:c r="E709" t="str">
        <x:f>IF(K709="","",IF(N709&lt;=M709,"",TRIM(CLEAN(MID(INDEX($B$3:$B$168,K709),M709,N709-M709)))))</x:f>
      </x:c>
      <x:c r="F709" t="str">
        <x:f>IF(E709="","",IF(E709=TRIM(INDEX($A$3:$A$168,K709)),"",IF(RIGHT(TRIM(INDEX($A$3:$A$168,K709)),1)="]",LEFT(TRIM(INDEX($A$3:$A$168,K709)),LEN(TRIM(INDEX($A$3:$A$168,K709)))-1)&amp;", "&amp;SUBSTITUTE(SUBSTITUTE(SUBSTITUTE(E709," [",", "),"[",", "),"]","")&amp;"]",TRIM(INDEX($A$3:$A$168,K709))&amp;" ["&amp;SUBSTITUTE(SUBSTITUTE(SUBSTITUTE(E709," [",", "),"[",", "),"]","")&amp;"]")))</x:f>
      </x:c>
      <x:c r="G709" t="str">
        <x:f>IF(F709&lt;&gt;"",ROWS($F$3:F709)-COUNTBLANK($F$3:F709),"")</x:f>
      </x:c>
      <x:c r="H709"/>
      <x:c r="I709"/>
      <x:c r="J709"/>
      <x:c r="K709" t="str">
        <x:f>IF(ROW()-ROW($K$2)&lt;=SUM($J$3:$J$168),COUNTIF($H$3:$H$168,"&lt;"&amp;(ROW()-ROW($K$2))),"")</x:f>
      </x:c>
      <x:c r="L709" t="str">
        <x:f>IF(K709="","",ROW()-ROW($L$2)-INDEX($H$3:$H$168,K709))</x:f>
      </x:c>
      <x:c r="M709" t="str">
        <x:f>IF(K709="","",IF(L709=1,1,FIND(CHAR(1),SUBSTITUTE(INDEX($B$3:$B$168,K709),CHAR(10),CHAR(1),L709-1))+1))</x:f>
      </x:c>
      <x:c r="N709" t="str">
        <x:f>IF(K709="","",IFERROR(FIND(CHAR(1),SUBSTITUTE(INDEX($B$3:$B$168,K709),CHAR(10),CHAR(1),L709)),LEN(INDEX($B$3:$B$168,K709))+1))</x:f>
      </x:c>
    </x:row>
    <x:row r="710">
      <x:c r="A710"/>
      <x:c r="B710"/>
      <x:c r="C710"/>
      <x:c r="D710" t="str">
        <x:f>IFERROR(IF(708&lt;=$O$1,INDEX($A$3:$A$168,MATCH(708,$I$3:$I$168,0)),IF(708&lt;=$O$1+$O$2,INDEX($F$3:$F$1994,MATCH(708-$O$1,$G$3:$G$1994,0)),"")),"")</x:f>
      </x:c>
      <x:c r="E710" t="str">
        <x:f>IF(K710="","",IF(N710&lt;=M710,"",TRIM(CLEAN(MID(INDEX($B$3:$B$168,K710),M710,N710-M710)))))</x:f>
      </x:c>
      <x:c r="F710" t="str">
        <x:f>IF(E710="","",IF(E710=TRIM(INDEX($A$3:$A$168,K710)),"",IF(RIGHT(TRIM(INDEX($A$3:$A$168,K710)),1)="]",LEFT(TRIM(INDEX($A$3:$A$168,K710)),LEN(TRIM(INDEX($A$3:$A$168,K710)))-1)&amp;", "&amp;SUBSTITUTE(SUBSTITUTE(SUBSTITUTE(E710," [",", "),"[",", "),"]","")&amp;"]",TRIM(INDEX($A$3:$A$168,K710))&amp;" ["&amp;SUBSTITUTE(SUBSTITUTE(SUBSTITUTE(E710," [",", "),"[",", "),"]","")&amp;"]")))</x:f>
      </x:c>
      <x:c r="G710" t="str">
        <x:f>IF(F710&lt;&gt;"",ROWS($F$3:F710)-COUNTBLANK($F$3:F710),"")</x:f>
      </x:c>
      <x:c r="H710"/>
      <x:c r="I710"/>
      <x:c r="J710"/>
      <x:c r="K710" t="str">
        <x:f>IF(ROW()-ROW($K$2)&lt;=SUM($J$3:$J$168),COUNTIF($H$3:$H$168,"&lt;"&amp;(ROW()-ROW($K$2))),"")</x:f>
      </x:c>
      <x:c r="L710" t="str">
        <x:f>IF(K710="","",ROW()-ROW($L$2)-INDEX($H$3:$H$168,K710))</x:f>
      </x:c>
      <x:c r="M710" t="str">
        <x:f>IF(K710="","",IF(L710=1,1,FIND(CHAR(1),SUBSTITUTE(INDEX($B$3:$B$168,K710),CHAR(10),CHAR(1),L710-1))+1))</x:f>
      </x:c>
      <x:c r="N710" t="str">
        <x:f>IF(K710="","",IFERROR(FIND(CHAR(1),SUBSTITUTE(INDEX($B$3:$B$168,K710),CHAR(10),CHAR(1),L710)),LEN(INDEX($B$3:$B$168,K710))+1))</x:f>
      </x:c>
    </x:row>
    <x:row r="711">
      <x:c r="A711"/>
      <x:c r="B711"/>
      <x:c r="C711"/>
      <x:c r="D711" t="str">
        <x:f>IFERROR(IF(709&lt;=$O$1,INDEX($A$3:$A$168,MATCH(709,$I$3:$I$168,0)),IF(709&lt;=$O$1+$O$2,INDEX($F$3:$F$1994,MATCH(709-$O$1,$G$3:$G$1994,0)),"")),"")</x:f>
      </x:c>
      <x:c r="E711" t="str">
        <x:f>IF(K711="","",IF(N711&lt;=M711,"",TRIM(CLEAN(MID(INDEX($B$3:$B$168,K711),M711,N711-M711)))))</x:f>
      </x:c>
      <x:c r="F711" t="str">
        <x:f>IF(E711="","",IF(E711=TRIM(INDEX($A$3:$A$168,K711)),"",IF(RIGHT(TRIM(INDEX($A$3:$A$168,K711)),1)="]",LEFT(TRIM(INDEX($A$3:$A$168,K711)),LEN(TRIM(INDEX($A$3:$A$168,K711)))-1)&amp;", "&amp;SUBSTITUTE(SUBSTITUTE(SUBSTITUTE(E711," [",", "),"[",", "),"]","")&amp;"]",TRIM(INDEX($A$3:$A$168,K711))&amp;" ["&amp;SUBSTITUTE(SUBSTITUTE(SUBSTITUTE(E711," [",", "),"[",", "),"]","")&amp;"]")))</x:f>
      </x:c>
      <x:c r="G711" t="str">
        <x:f>IF(F711&lt;&gt;"",ROWS($F$3:F711)-COUNTBLANK($F$3:F711),"")</x:f>
      </x:c>
      <x:c r="H711"/>
      <x:c r="I711"/>
      <x:c r="J711"/>
      <x:c r="K711" t="str">
        <x:f>IF(ROW()-ROW($K$2)&lt;=SUM($J$3:$J$168),COUNTIF($H$3:$H$168,"&lt;"&amp;(ROW()-ROW($K$2))),"")</x:f>
      </x:c>
      <x:c r="L711" t="str">
        <x:f>IF(K711="","",ROW()-ROW($L$2)-INDEX($H$3:$H$168,K711))</x:f>
      </x:c>
      <x:c r="M711" t="str">
        <x:f>IF(K711="","",IF(L711=1,1,FIND(CHAR(1),SUBSTITUTE(INDEX($B$3:$B$168,K711),CHAR(10),CHAR(1),L711-1))+1))</x:f>
      </x:c>
      <x:c r="N711" t="str">
        <x:f>IF(K711="","",IFERROR(FIND(CHAR(1),SUBSTITUTE(INDEX($B$3:$B$168,K711),CHAR(10),CHAR(1),L711)),LEN(INDEX($B$3:$B$168,K711))+1))</x:f>
      </x:c>
    </x:row>
    <x:row r="712">
      <x:c r="A712"/>
      <x:c r="B712"/>
      <x:c r="C712"/>
      <x:c r="D712" t="str">
        <x:f>IFERROR(IF(710&lt;=$O$1,INDEX($A$3:$A$168,MATCH(710,$I$3:$I$168,0)),IF(710&lt;=$O$1+$O$2,INDEX($F$3:$F$1994,MATCH(710-$O$1,$G$3:$G$1994,0)),"")),"")</x:f>
      </x:c>
      <x:c r="E712" t="str">
        <x:f>IF(K712="","",IF(N712&lt;=M712,"",TRIM(CLEAN(MID(INDEX($B$3:$B$168,K712),M712,N712-M712)))))</x:f>
      </x:c>
      <x:c r="F712" t="str">
        <x:f>IF(E712="","",IF(E712=TRIM(INDEX($A$3:$A$168,K712)),"",IF(RIGHT(TRIM(INDEX($A$3:$A$168,K712)),1)="]",LEFT(TRIM(INDEX($A$3:$A$168,K712)),LEN(TRIM(INDEX($A$3:$A$168,K712)))-1)&amp;", "&amp;SUBSTITUTE(SUBSTITUTE(SUBSTITUTE(E712," [",", "),"[",", "),"]","")&amp;"]",TRIM(INDEX($A$3:$A$168,K712))&amp;" ["&amp;SUBSTITUTE(SUBSTITUTE(SUBSTITUTE(E712," [",", "),"[",", "),"]","")&amp;"]")))</x:f>
      </x:c>
      <x:c r="G712" t="str">
        <x:f>IF(F712&lt;&gt;"",ROWS($F$3:F712)-COUNTBLANK($F$3:F712),"")</x:f>
      </x:c>
      <x:c r="H712"/>
      <x:c r="I712"/>
      <x:c r="J712"/>
      <x:c r="K712" t="str">
        <x:f>IF(ROW()-ROW($K$2)&lt;=SUM($J$3:$J$168),COUNTIF($H$3:$H$168,"&lt;"&amp;(ROW()-ROW($K$2))),"")</x:f>
      </x:c>
      <x:c r="L712" t="str">
        <x:f>IF(K712="","",ROW()-ROW($L$2)-INDEX($H$3:$H$168,K712))</x:f>
      </x:c>
      <x:c r="M712" t="str">
        <x:f>IF(K712="","",IF(L712=1,1,FIND(CHAR(1),SUBSTITUTE(INDEX($B$3:$B$168,K712),CHAR(10),CHAR(1),L712-1))+1))</x:f>
      </x:c>
      <x:c r="N712" t="str">
        <x:f>IF(K712="","",IFERROR(FIND(CHAR(1),SUBSTITUTE(INDEX($B$3:$B$168,K712),CHAR(10),CHAR(1),L712)),LEN(INDEX($B$3:$B$168,K712))+1))</x:f>
      </x:c>
    </x:row>
    <x:row r="713">
      <x:c r="A713"/>
      <x:c r="B713"/>
      <x:c r="C713"/>
      <x:c r="D713" t="str">
        <x:f>IFERROR(IF(711&lt;=$O$1,INDEX($A$3:$A$168,MATCH(711,$I$3:$I$168,0)),IF(711&lt;=$O$1+$O$2,INDEX($F$3:$F$1994,MATCH(711-$O$1,$G$3:$G$1994,0)),"")),"")</x:f>
      </x:c>
      <x:c r="E713" t="str">
        <x:f>IF(K713="","",IF(N713&lt;=M713,"",TRIM(CLEAN(MID(INDEX($B$3:$B$168,K713),M713,N713-M713)))))</x:f>
      </x:c>
      <x:c r="F713" t="str">
        <x:f>IF(E713="","",IF(E713=TRIM(INDEX($A$3:$A$168,K713)),"",IF(RIGHT(TRIM(INDEX($A$3:$A$168,K713)),1)="]",LEFT(TRIM(INDEX($A$3:$A$168,K713)),LEN(TRIM(INDEX($A$3:$A$168,K713)))-1)&amp;", "&amp;SUBSTITUTE(SUBSTITUTE(SUBSTITUTE(E713," [",", "),"[",", "),"]","")&amp;"]",TRIM(INDEX($A$3:$A$168,K713))&amp;" ["&amp;SUBSTITUTE(SUBSTITUTE(SUBSTITUTE(E713," [",", "),"[",", "),"]","")&amp;"]")))</x:f>
      </x:c>
      <x:c r="G713" t="str">
        <x:f>IF(F713&lt;&gt;"",ROWS($F$3:F713)-COUNTBLANK($F$3:F713),"")</x:f>
      </x:c>
      <x:c r="H713"/>
      <x:c r="I713"/>
      <x:c r="J713"/>
      <x:c r="K713" t="str">
        <x:f>IF(ROW()-ROW($K$2)&lt;=SUM($J$3:$J$168),COUNTIF($H$3:$H$168,"&lt;"&amp;(ROW()-ROW($K$2))),"")</x:f>
      </x:c>
      <x:c r="L713" t="str">
        <x:f>IF(K713="","",ROW()-ROW($L$2)-INDEX($H$3:$H$168,K713))</x:f>
      </x:c>
      <x:c r="M713" t="str">
        <x:f>IF(K713="","",IF(L713=1,1,FIND(CHAR(1),SUBSTITUTE(INDEX($B$3:$B$168,K713),CHAR(10),CHAR(1),L713-1))+1))</x:f>
      </x:c>
      <x:c r="N713" t="str">
        <x:f>IF(K713="","",IFERROR(FIND(CHAR(1),SUBSTITUTE(INDEX($B$3:$B$168,K713),CHAR(10),CHAR(1),L713)),LEN(INDEX($B$3:$B$168,K713))+1))</x:f>
      </x:c>
    </x:row>
    <x:row r="714">
      <x:c r="A714"/>
      <x:c r="B714"/>
      <x:c r="C714"/>
      <x:c r="D714" t="str">
        <x:f>IFERROR(IF(712&lt;=$O$1,INDEX($A$3:$A$168,MATCH(712,$I$3:$I$168,0)),IF(712&lt;=$O$1+$O$2,INDEX($F$3:$F$1994,MATCH(712-$O$1,$G$3:$G$1994,0)),"")),"")</x:f>
      </x:c>
      <x:c r="E714" t="str">
        <x:f>IF(K714="","",IF(N714&lt;=M714,"",TRIM(CLEAN(MID(INDEX($B$3:$B$168,K714),M714,N714-M714)))))</x:f>
      </x:c>
      <x:c r="F714" t="str">
        <x:f>IF(E714="","",IF(E714=TRIM(INDEX($A$3:$A$168,K714)),"",IF(RIGHT(TRIM(INDEX($A$3:$A$168,K714)),1)="]",LEFT(TRIM(INDEX($A$3:$A$168,K714)),LEN(TRIM(INDEX($A$3:$A$168,K714)))-1)&amp;", "&amp;SUBSTITUTE(SUBSTITUTE(SUBSTITUTE(E714," [",", "),"[",", "),"]","")&amp;"]",TRIM(INDEX($A$3:$A$168,K714))&amp;" ["&amp;SUBSTITUTE(SUBSTITUTE(SUBSTITUTE(E714," [",", "),"[",", "),"]","")&amp;"]")))</x:f>
      </x:c>
      <x:c r="G714" t="str">
        <x:f>IF(F714&lt;&gt;"",ROWS($F$3:F714)-COUNTBLANK($F$3:F714),"")</x:f>
      </x:c>
      <x:c r="H714"/>
      <x:c r="I714"/>
      <x:c r="J714"/>
      <x:c r="K714" t="str">
        <x:f>IF(ROW()-ROW($K$2)&lt;=SUM($J$3:$J$168),COUNTIF($H$3:$H$168,"&lt;"&amp;(ROW()-ROW($K$2))),"")</x:f>
      </x:c>
      <x:c r="L714" t="str">
        <x:f>IF(K714="","",ROW()-ROW($L$2)-INDEX($H$3:$H$168,K714))</x:f>
      </x:c>
      <x:c r="M714" t="str">
        <x:f>IF(K714="","",IF(L714=1,1,FIND(CHAR(1),SUBSTITUTE(INDEX($B$3:$B$168,K714),CHAR(10),CHAR(1),L714-1))+1))</x:f>
      </x:c>
      <x:c r="N714" t="str">
        <x:f>IF(K714="","",IFERROR(FIND(CHAR(1),SUBSTITUTE(INDEX($B$3:$B$168,K714),CHAR(10),CHAR(1),L714)),LEN(INDEX($B$3:$B$168,K714))+1))</x:f>
      </x:c>
    </x:row>
    <x:row r="715">
      <x:c r="A715"/>
      <x:c r="B715"/>
      <x:c r="C715"/>
      <x:c r="D715" t="str">
        <x:f>IFERROR(IF(713&lt;=$O$1,INDEX($A$3:$A$168,MATCH(713,$I$3:$I$168,0)),IF(713&lt;=$O$1+$O$2,INDEX($F$3:$F$1994,MATCH(713-$O$1,$G$3:$G$1994,0)),"")),"")</x:f>
      </x:c>
      <x:c r="E715" t="str">
        <x:f>IF(K715="","",IF(N715&lt;=M715,"",TRIM(CLEAN(MID(INDEX($B$3:$B$168,K715),M715,N715-M715)))))</x:f>
      </x:c>
      <x:c r="F715" t="str">
        <x:f>IF(E715="","",IF(E715=TRIM(INDEX($A$3:$A$168,K715)),"",IF(RIGHT(TRIM(INDEX($A$3:$A$168,K715)),1)="]",LEFT(TRIM(INDEX($A$3:$A$168,K715)),LEN(TRIM(INDEX($A$3:$A$168,K715)))-1)&amp;", "&amp;SUBSTITUTE(SUBSTITUTE(SUBSTITUTE(E715," [",", "),"[",", "),"]","")&amp;"]",TRIM(INDEX($A$3:$A$168,K715))&amp;" ["&amp;SUBSTITUTE(SUBSTITUTE(SUBSTITUTE(E715," [",", "),"[",", "),"]","")&amp;"]")))</x:f>
      </x:c>
      <x:c r="G715" t="str">
        <x:f>IF(F715&lt;&gt;"",ROWS($F$3:F715)-COUNTBLANK($F$3:F715),"")</x:f>
      </x:c>
      <x:c r="H715"/>
      <x:c r="I715"/>
      <x:c r="J715"/>
      <x:c r="K715" t="str">
        <x:f>IF(ROW()-ROW($K$2)&lt;=SUM($J$3:$J$168),COUNTIF($H$3:$H$168,"&lt;"&amp;(ROW()-ROW($K$2))),"")</x:f>
      </x:c>
      <x:c r="L715" t="str">
        <x:f>IF(K715="","",ROW()-ROW($L$2)-INDEX($H$3:$H$168,K715))</x:f>
      </x:c>
      <x:c r="M715" t="str">
        <x:f>IF(K715="","",IF(L715=1,1,FIND(CHAR(1),SUBSTITUTE(INDEX($B$3:$B$168,K715),CHAR(10),CHAR(1),L715-1))+1))</x:f>
      </x:c>
      <x:c r="N715" t="str">
        <x:f>IF(K715="","",IFERROR(FIND(CHAR(1),SUBSTITUTE(INDEX($B$3:$B$168,K715),CHAR(10),CHAR(1),L715)),LEN(INDEX($B$3:$B$168,K715))+1))</x:f>
      </x:c>
    </x:row>
    <x:row r="716">
      <x:c r="A716"/>
      <x:c r="B716"/>
      <x:c r="C716"/>
      <x:c r="D716" t="str">
        <x:f>IFERROR(IF(714&lt;=$O$1,INDEX($A$3:$A$168,MATCH(714,$I$3:$I$168,0)),IF(714&lt;=$O$1+$O$2,INDEX($F$3:$F$1994,MATCH(714-$O$1,$G$3:$G$1994,0)),"")),"")</x:f>
      </x:c>
      <x:c r="E716" t="str">
        <x:f>IF(K716="","",IF(N716&lt;=M716,"",TRIM(CLEAN(MID(INDEX($B$3:$B$168,K716),M716,N716-M716)))))</x:f>
      </x:c>
      <x:c r="F716" t="str">
        <x:f>IF(E716="","",IF(E716=TRIM(INDEX($A$3:$A$168,K716)),"",IF(RIGHT(TRIM(INDEX($A$3:$A$168,K716)),1)="]",LEFT(TRIM(INDEX($A$3:$A$168,K716)),LEN(TRIM(INDEX($A$3:$A$168,K716)))-1)&amp;", "&amp;SUBSTITUTE(SUBSTITUTE(SUBSTITUTE(E716," [",", "),"[",", "),"]","")&amp;"]",TRIM(INDEX($A$3:$A$168,K716))&amp;" ["&amp;SUBSTITUTE(SUBSTITUTE(SUBSTITUTE(E716," [",", "),"[",", "),"]","")&amp;"]")))</x:f>
      </x:c>
      <x:c r="G716" t="str">
        <x:f>IF(F716&lt;&gt;"",ROWS($F$3:F716)-COUNTBLANK($F$3:F716),"")</x:f>
      </x:c>
      <x:c r="H716"/>
      <x:c r="I716"/>
      <x:c r="J716"/>
      <x:c r="K716" t="str">
        <x:f>IF(ROW()-ROW($K$2)&lt;=SUM($J$3:$J$168),COUNTIF($H$3:$H$168,"&lt;"&amp;(ROW()-ROW($K$2))),"")</x:f>
      </x:c>
      <x:c r="L716" t="str">
        <x:f>IF(K716="","",ROW()-ROW($L$2)-INDEX($H$3:$H$168,K716))</x:f>
      </x:c>
      <x:c r="M716" t="str">
        <x:f>IF(K716="","",IF(L716=1,1,FIND(CHAR(1),SUBSTITUTE(INDEX($B$3:$B$168,K716),CHAR(10),CHAR(1),L716-1))+1))</x:f>
      </x:c>
      <x:c r="N716" t="str">
        <x:f>IF(K716="","",IFERROR(FIND(CHAR(1),SUBSTITUTE(INDEX($B$3:$B$168,K716),CHAR(10),CHAR(1),L716)),LEN(INDEX($B$3:$B$168,K716))+1))</x:f>
      </x:c>
    </x:row>
    <x:row r="717">
      <x:c r="A717"/>
      <x:c r="B717"/>
      <x:c r="C717"/>
      <x:c r="D717" t="str">
        <x:f>IFERROR(IF(715&lt;=$O$1,INDEX($A$3:$A$168,MATCH(715,$I$3:$I$168,0)),IF(715&lt;=$O$1+$O$2,INDEX($F$3:$F$1994,MATCH(715-$O$1,$G$3:$G$1994,0)),"")),"")</x:f>
      </x:c>
      <x:c r="E717" t="str">
        <x:f>IF(K717="","",IF(N717&lt;=M717,"",TRIM(CLEAN(MID(INDEX($B$3:$B$168,K717),M717,N717-M717)))))</x:f>
      </x:c>
      <x:c r="F717" t="str">
        <x:f>IF(E717="","",IF(E717=TRIM(INDEX($A$3:$A$168,K717)),"",IF(RIGHT(TRIM(INDEX($A$3:$A$168,K717)),1)="]",LEFT(TRIM(INDEX($A$3:$A$168,K717)),LEN(TRIM(INDEX($A$3:$A$168,K717)))-1)&amp;", "&amp;SUBSTITUTE(SUBSTITUTE(SUBSTITUTE(E717," [",", "),"[",", "),"]","")&amp;"]",TRIM(INDEX($A$3:$A$168,K717))&amp;" ["&amp;SUBSTITUTE(SUBSTITUTE(SUBSTITUTE(E717," [",", "),"[",", "),"]","")&amp;"]")))</x:f>
      </x:c>
      <x:c r="G717" t="str">
        <x:f>IF(F717&lt;&gt;"",ROWS($F$3:F717)-COUNTBLANK($F$3:F717),"")</x:f>
      </x:c>
      <x:c r="H717"/>
      <x:c r="I717"/>
      <x:c r="J717"/>
      <x:c r="K717" t="str">
        <x:f>IF(ROW()-ROW($K$2)&lt;=SUM($J$3:$J$168),COUNTIF($H$3:$H$168,"&lt;"&amp;(ROW()-ROW($K$2))),"")</x:f>
      </x:c>
      <x:c r="L717" t="str">
        <x:f>IF(K717="","",ROW()-ROW($L$2)-INDEX($H$3:$H$168,K717))</x:f>
      </x:c>
      <x:c r="M717" t="str">
        <x:f>IF(K717="","",IF(L717=1,1,FIND(CHAR(1),SUBSTITUTE(INDEX($B$3:$B$168,K717),CHAR(10),CHAR(1),L717-1))+1))</x:f>
      </x:c>
      <x:c r="N717" t="str">
        <x:f>IF(K717="","",IFERROR(FIND(CHAR(1),SUBSTITUTE(INDEX($B$3:$B$168,K717),CHAR(10),CHAR(1),L717)),LEN(INDEX($B$3:$B$168,K717))+1))</x:f>
      </x:c>
    </x:row>
    <x:row r="718">
      <x:c r="A718"/>
      <x:c r="B718"/>
      <x:c r="C718"/>
      <x:c r="D718" t="str">
        <x:f>IFERROR(IF(716&lt;=$O$1,INDEX($A$3:$A$168,MATCH(716,$I$3:$I$168,0)),IF(716&lt;=$O$1+$O$2,INDEX($F$3:$F$1994,MATCH(716-$O$1,$G$3:$G$1994,0)),"")),"")</x:f>
      </x:c>
      <x:c r="E718" t="str">
        <x:f>IF(K718="","",IF(N718&lt;=M718,"",TRIM(CLEAN(MID(INDEX($B$3:$B$168,K718),M718,N718-M718)))))</x:f>
      </x:c>
      <x:c r="F718" t="str">
        <x:f>IF(E718="","",IF(E718=TRIM(INDEX($A$3:$A$168,K718)),"",IF(RIGHT(TRIM(INDEX($A$3:$A$168,K718)),1)="]",LEFT(TRIM(INDEX($A$3:$A$168,K718)),LEN(TRIM(INDEX($A$3:$A$168,K718)))-1)&amp;", "&amp;SUBSTITUTE(SUBSTITUTE(SUBSTITUTE(E718," [",", "),"[",", "),"]","")&amp;"]",TRIM(INDEX($A$3:$A$168,K718))&amp;" ["&amp;SUBSTITUTE(SUBSTITUTE(SUBSTITUTE(E718," [",", "),"[",", "),"]","")&amp;"]")))</x:f>
      </x:c>
      <x:c r="G718" t="str">
        <x:f>IF(F718&lt;&gt;"",ROWS($F$3:F718)-COUNTBLANK($F$3:F718),"")</x:f>
      </x:c>
      <x:c r="H718"/>
      <x:c r="I718"/>
      <x:c r="J718"/>
      <x:c r="K718" t="str">
        <x:f>IF(ROW()-ROW($K$2)&lt;=SUM($J$3:$J$168),COUNTIF($H$3:$H$168,"&lt;"&amp;(ROW()-ROW($K$2))),"")</x:f>
      </x:c>
      <x:c r="L718" t="str">
        <x:f>IF(K718="","",ROW()-ROW($L$2)-INDEX($H$3:$H$168,K718))</x:f>
      </x:c>
      <x:c r="M718" t="str">
        <x:f>IF(K718="","",IF(L718=1,1,FIND(CHAR(1),SUBSTITUTE(INDEX($B$3:$B$168,K718),CHAR(10),CHAR(1),L718-1))+1))</x:f>
      </x:c>
      <x:c r="N718" t="str">
        <x:f>IF(K718="","",IFERROR(FIND(CHAR(1),SUBSTITUTE(INDEX($B$3:$B$168,K718),CHAR(10),CHAR(1),L718)),LEN(INDEX($B$3:$B$168,K718))+1))</x:f>
      </x:c>
    </x:row>
    <x:row r="719">
      <x:c r="A719"/>
      <x:c r="B719"/>
      <x:c r="C719"/>
      <x:c r="D719" t="str">
        <x:f>IFERROR(IF(717&lt;=$O$1,INDEX($A$3:$A$168,MATCH(717,$I$3:$I$168,0)),IF(717&lt;=$O$1+$O$2,INDEX($F$3:$F$1994,MATCH(717-$O$1,$G$3:$G$1994,0)),"")),"")</x:f>
      </x:c>
      <x:c r="E719" t="str">
        <x:f>IF(K719="","",IF(N719&lt;=M719,"",TRIM(CLEAN(MID(INDEX($B$3:$B$168,K719),M719,N719-M719)))))</x:f>
      </x:c>
      <x:c r="F719" t="str">
        <x:f>IF(E719="","",IF(E719=TRIM(INDEX($A$3:$A$168,K719)),"",IF(RIGHT(TRIM(INDEX($A$3:$A$168,K719)),1)="]",LEFT(TRIM(INDEX($A$3:$A$168,K719)),LEN(TRIM(INDEX($A$3:$A$168,K719)))-1)&amp;", "&amp;SUBSTITUTE(SUBSTITUTE(SUBSTITUTE(E719," [",", "),"[",", "),"]","")&amp;"]",TRIM(INDEX($A$3:$A$168,K719))&amp;" ["&amp;SUBSTITUTE(SUBSTITUTE(SUBSTITUTE(E719," [",", "),"[",", "),"]","")&amp;"]")))</x:f>
      </x:c>
      <x:c r="G719" t="str">
        <x:f>IF(F719&lt;&gt;"",ROWS($F$3:F719)-COUNTBLANK($F$3:F719),"")</x:f>
      </x:c>
      <x:c r="H719"/>
      <x:c r="I719"/>
      <x:c r="J719"/>
      <x:c r="K719" t="str">
        <x:f>IF(ROW()-ROW($K$2)&lt;=SUM($J$3:$J$168),COUNTIF($H$3:$H$168,"&lt;"&amp;(ROW()-ROW($K$2))),"")</x:f>
      </x:c>
      <x:c r="L719" t="str">
        <x:f>IF(K719="","",ROW()-ROW($L$2)-INDEX($H$3:$H$168,K719))</x:f>
      </x:c>
      <x:c r="M719" t="str">
        <x:f>IF(K719="","",IF(L719=1,1,FIND(CHAR(1),SUBSTITUTE(INDEX($B$3:$B$168,K719),CHAR(10),CHAR(1),L719-1))+1))</x:f>
      </x:c>
      <x:c r="N719" t="str">
        <x:f>IF(K719="","",IFERROR(FIND(CHAR(1),SUBSTITUTE(INDEX($B$3:$B$168,K719),CHAR(10),CHAR(1),L719)),LEN(INDEX($B$3:$B$168,K719))+1))</x:f>
      </x:c>
    </x:row>
    <x:row r="720">
      <x:c r="A720"/>
      <x:c r="B720"/>
      <x:c r="C720"/>
      <x:c r="D720" t="str">
        <x:f>IFERROR(IF(718&lt;=$O$1,INDEX($A$3:$A$168,MATCH(718,$I$3:$I$168,0)),IF(718&lt;=$O$1+$O$2,INDEX($F$3:$F$1994,MATCH(718-$O$1,$G$3:$G$1994,0)),"")),"")</x:f>
      </x:c>
      <x:c r="E720" t="str">
        <x:f>IF(K720="","",IF(N720&lt;=M720,"",TRIM(CLEAN(MID(INDEX($B$3:$B$168,K720),M720,N720-M720)))))</x:f>
      </x:c>
      <x:c r="F720" t="str">
        <x:f>IF(E720="","",IF(E720=TRIM(INDEX($A$3:$A$168,K720)),"",IF(RIGHT(TRIM(INDEX($A$3:$A$168,K720)),1)="]",LEFT(TRIM(INDEX($A$3:$A$168,K720)),LEN(TRIM(INDEX($A$3:$A$168,K720)))-1)&amp;", "&amp;SUBSTITUTE(SUBSTITUTE(SUBSTITUTE(E720," [",", "),"[",", "),"]","")&amp;"]",TRIM(INDEX($A$3:$A$168,K720))&amp;" ["&amp;SUBSTITUTE(SUBSTITUTE(SUBSTITUTE(E720," [",", "),"[",", "),"]","")&amp;"]")))</x:f>
      </x:c>
      <x:c r="G720" t="str">
        <x:f>IF(F720&lt;&gt;"",ROWS($F$3:F720)-COUNTBLANK($F$3:F720),"")</x:f>
      </x:c>
      <x:c r="H720"/>
      <x:c r="I720"/>
      <x:c r="J720"/>
      <x:c r="K720" t="str">
        <x:f>IF(ROW()-ROW($K$2)&lt;=SUM($J$3:$J$168),COUNTIF($H$3:$H$168,"&lt;"&amp;(ROW()-ROW($K$2))),"")</x:f>
      </x:c>
      <x:c r="L720" t="str">
        <x:f>IF(K720="","",ROW()-ROW($L$2)-INDEX($H$3:$H$168,K720))</x:f>
      </x:c>
      <x:c r="M720" t="str">
        <x:f>IF(K720="","",IF(L720=1,1,FIND(CHAR(1),SUBSTITUTE(INDEX($B$3:$B$168,K720),CHAR(10),CHAR(1),L720-1))+1))</x:f>
      </x:c>
      <x:c r="N720" t="str">
        <x:f>IF(K720="","",IFERROR(FIND(CHAR(1),SUBSTITUTE(INDEX($B$3:$B$168,K720),CHAR(10),CHAR(1),L720)),LEN(INDEX($B$3:$B$168,K720))+1))</x:f>
      </x:c>
    </x:row>
    <x:row r="721">
      <x:c r="A721"/>
      <x:c r="B721"/>
      <x:c r="C721"/>
      <x:c r="D721" t="str">
        <x:f>IFERROR(IF(719&lt;=$O$1,INDEX($A$3:$A$168,MATCH(719,$I$3:$I$168,0)),IF(719&lt;=$O$1+$O$2,INDEX($F$3:$F$1994,MATCH(719-$O$1,$G$3:$G$1994,0)),"")),"")</x:f>
      </x:c>
      <x:c r="E721" t="str">
        <x:f>IF(K721="","",IF(N721&lt;=M721,"",TRIM(CLEAN(MID(INDEX($B$3:$B$168,K721),M721,N721-M721)))))</x:f>
      </x:c>
      <x:c r="F721" t="str">
        <x:f>IF(E721="","",IF(E721=TRIM(INDEX($A$3:$A$168,K721)),"",IF(RIGHT(TRIM(INDEX($A$3:$A$168,K721)),1)="]",LEFT(TRIM(INDEX($A$3:$A$168,K721)),LEN(TRIM(INDEX($A$3:$A$168,K721)))-1)&amp;", "&amp;SUBSTITUTE(SUBSTITUTE(SUBSTITUTE(E721," [",", "),"[",", "),"]","")&amp;"]",TRIM(INDEX($A$3:$A$168,K721))&amp;" ["&amp;SUBSTITUTE(SUBSTITUTE(SUBSTITUTE(E721," [",", "),"[",", "),"]","")&amp;"]")))</x:f>
      </x:c>
      <x:c r="G721" t="str">
        <x:f>IF(F721&lt;&gt;"",ROWS($F$3:F721)-COUNTBLANK($F$3:F721),"")</x:f>
      </x:c>
      <x:c r="H721"/>
      <x:c r="I721"/>
      <x:c r="J721"/>
      <x:c r="K721" t="str">
        <x:f>IF(ROW()-ROW($K$2)&lt;=SUM($J$3:$J$168),COUNTIF($H$3:$H$168,"&lt;"&amp;(ROW()-ROW($K$2))),"")</x:f>
      </x:c>
      <x:c r="L721" t="str">
        <x:f>IF(K721="","",ROW()-ROW($L$2)-INDEX($H$3:$H$168,K721))</x:f>
      </x:c>
      <x:c r="M721" t="str">
        <x:f>IF(K721="","",IF(L721=1,1,FIND(CHAR(1),SUBSTITUTE(INDEX($B$3:$B$168,K721),CHAR(10),CHAR(1),L721-1))+1))</x:f>
      </x:c>
      <x:c r="N721" t="str">
        <x:f>IF(K721="","",IFERROR(FIND(CHAR(1),SUBSTITUTE(INDEX($B$3:$B$168,K721),CHAR(10),CHAR(1),L721)),LEN(INDEX($B$3:$B$168,K721))+1))</x:f>
      </x:c>
    </x:row>
    <x:row r="722">
      <x:c r="A722"/>
      <x:c r="B722"/>
      <x:c r="C722"/>
      <x:c r="D722" t="str">
        <x:f>IFERROR(IF(720&lt;=$O$1,INDEX($A$3:$A$168,MATCH(720,$I$3:$I$168,0)),IF(720&lt;=$O$1+$O$2,INDEX($F$3:$F$1994,MATCH(720-$O$1,$G$3:$G$1994,0)),"")),"")</x:f>
      </x:c>
      <x:c r="E722" t="str">
        <x:f>IF(K722="","",IF(N722&lt;=M722,"",TRIM(CLEAN(MID(INDEX($B$3:$B$168,K722),M722,N722-M722)))))</x:f>
      </x:c>
      <x:c r="F722" t="str">
        <x:f>IF(E722="","",IF(E722=TRIM(INDEX($A$3:$A$168,K722)),"",IF(RIGHT(TRIM(INDEX($A$3:$A$168,K722)),1)="]",LEFT(TRIM(INDEX($A$3:$A$168,K722)),LEN(TRIM(INDEX($A$3:$A$168,K722)))-1)&amp;", "&amp;SUBSTITUTE(SUBSTITUTE(SUBSTITUTE(E722," [",", "),"[",", "),"]","")&amp;"]",TRIM(INDEX($A$3:$A$168,K722))&amp;" ["&amp;SUBSTITUTE(SUBSTITUTE(SUBSTITUTE(E722," [",", "),"[",", "),"]","")&amp;"]")))</x:f>
      </x:c>
      <x:c r="G722" t="str">
        <x:f>IF(F722&lt;&gt;"",ROWS($F$3:F722)-COUNTBLANK($F$3:F722),"")</x:f>
      </x:c>
      <x:c r="H722"/>
      <x:c r="I722"/>
      <x:c r="J722"/>
      <x:c r="K722" t="str">
        <x:f>IF(ROW()-ROW($K$2)&lt;=SUM($J$3:$J$168),COUNTIF($H$3:$H$168,"&lt;"&amp;(ROW()-ROW($K$2))),"")</x:f>
      </x:c>
      <x:c r="L722" t="str">
        <x:f>IF(K722="","",ROW()-ROW($L$2)-INDEX($H$3:$H$168,K722))</x:f>
      </x:c>
      <x:c r="M722" t="str">
        <x:f>IF(K722="","",IF(L722=1,1,FIND(CHAR(1),SUBSTITUTE(INDEX($B$3:$B$168,K722),CHAR(10),CHAR(1),L722-1))+1))</x:f>
      </x:c>
      <x:c r="N722" t="str">
        <x:f>IF(K722="","",IFERROR(FIND(CHAR(1),SUBSTITUTE(INDEX($B$3:$B$168,K722),CHAR(10),CHAR(1),L722)),LEN(INDEX($B$3:$B$168,K722))+1))</x:f>
      </x:c>
    </x:row>
    <x:row r="723">
      <x:c r="A723"/>
      <x:c r="B723"/>
      <x:c r="C723"/>
      <x:c r="D723" t="str">
        <x:f>IFERROR(IF(721&lt;=$O$1,INDEX($A$3:$A$168,MATCH(721,$I$3:$I$168,0)),IF(721&lt;=$O$1+$O$2,INDEX($F$3:$F$1994,MATCH(721-$O$1,$G$3:$G$1994,0)),"")),"")</x:f>
      </x:c>
      <x:c r="E723" t="str">
        <x:f>IF(K723="","",IF(N723&lt;=M723,"",TRIM(CLEAN(MID(INDEX($B$3:$B$168,K723),M723,N723-M723)))))</x:f>
      </x:c>
      <x:c r="F723" t="str">
        <x:f>IF(E723="","",IF(E723=TRIM(INDEX($A$3:$A$168,K723)),"",IF(RIGHT(TRIM(INDEX($A$3:$A$168,K723)),1)="]",LEFT(TRIM(INDEX($A$3:$A$168,K723)),LEN(TRIM(INDEX($A$3:$A$168,K723)))-1)&amp;", "&amp;SUBSTITUTE(SUBSTITUTE(SUBSTITUTE(E723," [",", "),"[",", "),"]","")&amp;"]",TRIM(INDEX($A$3:$A$168,K723))&amp;" ["&amp;SUBSTITUTE(SUBSTITUTE(SUBSTITUTE(E723," [",", "),"[",", "),"]","")&amp;"]")))</x:f>
      </x:c>
      <x:c r="G723" t="str">
        <x:f>IF(F723&lt;&gt;"",ROWS($F$3:F723)-COUNTBLANK($F$3:F723),"")</x:f>
      </x:c>
      <x:c r="H723"/>
      <x:c r="I723"/>
      <x:c r="J723"/>
      <x:c r="K723" t="str">
        <x:f>IF(ROW()-ROW($K$2)&lt;=SUM($J$3:$J$168),COUNTIF($H$3:$H$168,"&lt;"&amp;(ROW()-ROW($K$2))),"")</x:f>
      </x:c>
      <x:c r="L723" t="str">
        <x:f>IF(K723="","",ROW()-ROW($L$2)-INDEX($H$3:$H$168,K723))</x:f>
      </x:c>
      <x:c r="M723" t="str">
        <x:f>IF(K723="","",IF(L723=1,1,FIND(CHAR(1),SUBSTITUTE(INDEX($B$3:$B$168,K723),CHAR(10),CHAR(1),L723-1))+1))</x:f>
      </x:c>
      <x:c r="N723" t="str">
        <x:f>IF(K723="","",IFERROR(FIND(CHAR(1),SUBSTITUTE(INDEX($B$3:$B$168,K723),CHAR(10),CHAR(1),L723)),LEN(INDEX($B$3:$B$168,K723))+1))</x:f>
      </x:c>
    </x:row>
    <x:row r="724">
      <x:c r="A724"/>
      <x:c r="B724"/>
      <x:c r="C724"/>
      <x:c r="D724" t="str">
        <x:f>IFERROR(IF(722&lt;=$O$1,INDEX($A$3:$A$168,MATCH(722,$I$3:$I$168,0)),IF(722&lt;=$O$1+$O$2,INDEX($F$3:$F$1994,MATCH(722-$O$1,$G$3:$G$1994,0)),"")),"")</x:f>
      </x:c>
      <x:c r="E724" t="str">
        <x:f>IF(K724="","",IF(N724&lt;=M724,"",TRIM(CLEAN(MID(INDEX($B$3:$B$168,K724),M724,N724-M724)))))</x:f>
      </x:c>
      <x:c r="F724" t="str">
        <x:f>IF(E724="","",IF(E724=TRIM(INDEX($A$3:$A$168,K724)),"",IF(RIGHT(TRIM(INDEX($A$3:$A$168,K724)),1)="]",LEFT(TRIM(INDEX($A$3:$A$168,K724)),LEN(TRIM(INDEX($A$3:$A$168,K724)))-1)&amp;", "&amp;SUBSTITUTE(SUBSTITUTE(SUBSTITUTE(E724," [",", "),"[",", "),"]","")&amp;"]",TRIM(INDEX($A$3:$A$168,K724))&amp;" ["&amp;SUBSTITUTE(SUBSTITUTE(SUBSTITUTE(E724," [",", "),"[",", "),"]","")&amp;"]")))</x:f>
      </x:c>
      <x:c r="G724" t="str">
        <x:f>IF(F724&lt;&gt;"",ROWS($F$3:F724)-COUNTBLANK($F$3:F724),"")</x:f>
      </x:c>
      <x:c r="H724"/>
      <x:c r="I724"/>
      <x:c r="J724"/>
      <x:c r="K724" t="str">
        <x:f>IF(ROW()-ROW($K$2)&lt;=SUM($J$3:$J$168),COUNTIF($H$3:$H$168,"&lt;"&amp;(ROW()-ROW($K$2))),"")</x:f>
      </x:c>
      <x:c r="L724" t="str">
        <x:f>IF(K724="","",ROW()-ROW($L$2)-INDEX($H$3:$H$168,K724))</x:f>
      </x:c>
      <x:c r="M724" t="str">
        <x:f>IF(K724="","",IF(L724=1,1,FIND(CHAR(1),SUBSTITUTE(INDEX($B$3:$B$168,K724),CHAR(10),CHAR(1),L724-1))+1))</x:f>
      </x:c>
      <x:c r="N724" t="str">
        <x:f>IF(K724="","",IFERROR(FIND(CHAR(1),SUBSTITUTE(INDEX($B$3:$B$168,K724),CHAR(10),CHAR(1),L724)),LEN(INDEX($B$3:$B$168,K724))+1))</x:f>
      </x:c>
    </x:row>
    <x:row r="725">
      <x:c r="A725"/>
      <x:c r="B725"/>
      <x:c r="C725"/>
      <x:c r="D725" t="str">
        <x:f>IFERROR(IF(723&lt;=$O$1,INDEX($A$3:$A$168,MATCH(723,$I$3:$I$168,0)),IF(723&lt;=$O$1+$O$2,INDEX($F$3:$F$1994,MATCH(723-$O$1,$G$3:$G$1994,0)),"")),"")</x:f>
      </x:c>
      <x:c r="E725" t="str">
        <x:f>IF(K725="","",IF(N725&lt;=M725,"",TRIM(CLEAN(MID(INDEX($B$3:$B$168,K725),M725,N725-M725)))))</x:f>
      </x:c>
      <x:c r="F725" t="str">
        <x:f>IF(E725="","",IF(E725=TRIM(INDEX($A$3:$A$168,K725)),"",IF(RIGHT(TRIM(INDEX($A$3:$A$168,K725)),1)="]",LEFT(TRIM(INDEX($A$3:$A$168,K725)),LEN(TRIM(INDEX($A$3:$A$168,K725)))-1)&amp;", "&amp;SUBSTITUTE(SUBSTITUTE(SUBSTITUTE(E725," [",", "),"[",", "),"]","")&amp;"]",TRIM(INDEX($A$3:$A$168,K725))&amp;" ["&amp;SUBSTITUTE(SUBSTITUTE(SUBSTITUTE(E725," [",", "),"[",", "),"]","")&amp;"]")))</x:f>
      </x:c>
      <x:c r="G725" t="str">
        <x:f>IF(F725&lt;&gt;"",ROWS($F$3:F725)-COUNTBLANK($F$3:F725),"")</x:f>
      </x:c>
      <x:c r="H725"/>
      <x:c r="I725"/>
      <x:c r="J725"/>
      <x:c r="K725" t="str">
        <x:f>IF(ROW()-ROW($K$2)&lt;=SUM($J$3:$J$168),COUNTIF($H$3:$H$168,"&lt;"&amp;(ROW()-ROW($K$2))),"")</x:f>
      </x:c>
      <x:c r="L725" t="str">
        <x:f>IF(K725="","",ROW()-ROW($L$2)-INDEX($H$3:$H$168,K725))</x:f>
      </x:c>
      <x:c r="M725" t="str">
        <x:f>IF(K725="","",IF(L725=1,1,FIND(CHAR(1),SUBSTITUTE(INDEX($B$3:$B$168,K725),CHAR(10),CHAR(1),L725-1))+1))</x:f>
      </x:c>
      <x:c r="N725" t="str">
        <x:f>IF(K725="","",IFERROR(FIND(CHAR(1),SUBSTITUTE(INDEX($B$3:$B$168,K725),CHAR(10),CHAR(1),L725)),LEN(INDEX($B$3:$B$168,K725))+1))</x:f>
      </x:c>
    </x:row>
    <x:row r="726">
      <x:c r="A726"/>
      <x:c r="B726"/>
      <x:c r="C726"/>
      <x:c r="D726" t="str">
        <x:f>IFERROR(IF(724&lt;=$O$1,INDEX($A$3:$A$168,MATCH(724,$I$3:$I$168,0)),IF(724&lt;=$O$1+$O$2,INDEX($F$3:$F$1994,MATCH(724-$O$1,$G$3:$G$1994,0)),"")),"")</x:f>
      </x:c>
      <x:c r="E726" t="str">
        <x:f>IF(K726="","",IF(N726&lt;=M726,"",TRIM(CLEAN(MID(INDEX($B$3:$B$168,K726),M726,N726-M726)))))</x:f>
      </x:c>
      <x:c r="F726" t="str">
        <x:f>IF(E726="","",IF(E726=TRIM(INDEX($A$3:$A$168,K726)),"",IF(RIGHT(TRIM(INDEX($A$3:$A$168,K726)),1)="]",LEFT(TRIM(INDEX($A$3:$A$168,K726)),LEN(TRIM(INDEX($A$3:$A$168,K726)))-1)&amp;", "&amp;SUBSTITUTE(SUBSTITUTE(SUBSTITUTE(E726," [",", "),"[",", "),"]","")&amp;"]",TRIM(INDEX($A$3:$A$168,K726))&amp;" ["&amp;SUBSTITUTE(SUBSTITUTE(SUBSTITUTE(E726," [",", "),"[",", "),"]","")&amp;"]")))</x:f>
      </x:c>
      <x:c r="G726" t="str">
        <x:f>IF(F726&lt;&gt;"",ROWS($F$3:F726)-COUNTBLANK($F$3:F726),"")</x:f>
      </x:c>
      <x:c r="H726"/>
      <x:c r="I726"/>
      <x:c r="J726"/>
      <x:c r="K726" t="str">
        <x:f>IF(ROW()-ROW($K$2)&lt;=SUM($J$3:$J$168),COUNTIF($H$3:$H$168,"&lt;"&amp;(ROW()-ROW($K$2))),"")</x:f>
      </x:c>
      <x:c r="L726" t="str">
        <x:f>IF(K726="","",ROW()-ROW($L$2)-INDEX($H$3:$H$168,K726))</x:f>
      </x:c>
      <x:c r="M726" t="str">
        <x:f>IF(K726="","",IF(L726=1,1,FIND(CHAR(1),SUBSTITUTE(INDEX($B$3:$B$168,K726),CHAR(10),CHAR(1),L726-1))+1))</x:f>
      </x:c>
      <x:c r="N726" t="str">
        <x:f>IF(K726="","",IFERROR(FIND(CHAR(1),SUBSTITUTE(INDEX($B$3:$B$168,K726),CHAR(10),CHAR(1),L726)),LEN(INDEX($B$3:$B$168,K726))+1))</x:f>
      </x:c>
    </x:row>
    <x:row r="727">
      <x:c r="A727"/>
      <x:c r="B727"/>
      <x:c r="C727"/>
      <x:c r="D727" t="str">
        <x:f>IFERROR(IF(725&lt;=$O$1,INDEX($A$3:$A$168,MATCH(725,$I$3:$I$168,0)),IF(725&lt;=$O$1+$O$2,INDEX($F$3:$F$1994,MATCH(725-$O$1,$G$3:$G$1994,0)),"")),"")</x:f>
      </x:c>
      <x:c r="E727" t="str">
        <x:f>IF(K727="","",IF(N727&lt;=M727,"",TRIM(CLEAN(MID(INDEX($B$3:$B$168,K727),M727,N727-M727)))))</x:f>
      </x:c>
      <x:c r="F727" t="str">
        <x:f>IF(E727="","",IF(E727=TRIM(INDEX($A$3:$A$168,K727)),"",IF(RIGHT(TRIM(INDEX($A$3:$A$168,K727)),1)="]",LEFT(TRIM(INDEX($A$3:$A$168,K727)),LEN(TRIM(INDEX($A$3:$A$168,K727)))-1)&amp;", "&amp;SUBSTITUTE(SUBSTITUTE(SUBSTITUTE(E727," [",", "),"[",", "),"]","")&amp;"]",TRIM(INDEX($A$3:$A$168,K727))&amp;" ["&amp;SUBSTITUTE(SUBSTITUTE(SUBSTITUTE(E727," [",", "),"[",", "),"]","")&amp;"]")))</x:f>
      </x:c>
      <x:c r="G727" t="str">
        <x:f>IF(F727&lt;&gt;"",ROWS($F$3:F727)-COUNTBLANK($F$3:F727),"")</x:f>
      </x:c>
      <x:c r="H727"/>
      <x:c r="I727"/>
      <x:c r="J727"/>
      <x:c r="K727" t="str">
        <x:f>IF(ROW()-ROW($K$2)&lt;=SUM($J$3:$J$168),COUNTIF($H$3:$H$168,"&lt;"&amp;(ROW()-ROW($K$2))),"")</x:f>
      </x:c>
      <x:c r="L727" t="str">
        <x:f>IF(K727="","",ROW()-ROW($L$2)-INDEX($H$3:$H$168,K727))</x:f>
      </x:c>
      <x:c r="M727" t="str">
        <x:f>IF(K727="","",IF(L727=1,1,FIND(CHAR(1),SUBSTITUTE(INDEX($B$3:$B$168,K727),CHAR(10),CHAR(1),L727-1))+1))</x:f>
      </x:c>
      <x:c r="N727" t="str">
        <x:f>IF(K727="","",IFERROR(FIND(CHAR(1),SUBSTITUTE(INDEX($B$3:$B$168,K727),CHAR(10),CHAR(1),L727)),LEN(INDEX($B$3:$B$168,K727))+1))</x:f>
      </x:c>
    </x:row>
    <x:row r="728">
      <x:c r="A728"/>
      <x:c r="B728"/>
      <x:c r="C728"/>
      <x:c r="D728" t="str">
        <x:f>IFERROR(IF(726&lt;=$O$1,INDEX($A$3:$A$168,MATCH(726,$I$3:$I$168,0)),IF(726&lt;=$O$1+$O$2,INDEX($F$3:$F$1994,MATCH(726-$O$1,$G$3:$G$1994,0)),"")),"")</x:f>
      </x:c>
      <x:c r="E728" t="str">
        <x:f>IF(K728="","",IF(N728&lt;=M728,"",TRIM(CLEAN(MID(INDEX($B$3:$B$168,K728),M728,N728-M728)))))</x:f>
      </x:c>
      <x:c r="F728" t="str">
        <x:f>IF(E728="","",IF(E728=TRIM(INDEX($A$3:$A$168,K728)),"",IF(RIGHT(TRIM(INDEX($A$3:$A$168,K728)),1)="]",LEFT(TRIM(INDEX($A$3:$A$168,K728)),LEN(TRIM(INDEX($A$3:$A$168,K728)))-1)&amp;", "&amp;SUBSTITUTE(SUBSTITUTE(SUBSTITUTE(E728," [",", "),"[",", "),"]","")&amp;"]",TRIM(INDEX($A$3:$A$168,K728))&amp;" ["&amp;SUBSTITUTE(SUBSTITUTE(SUBSTITUTE(E728," [",", "),"[",", "),"]","")&amp;"]")))</x:f>
      </x:c>
      <x:c r="G728" t="str">
        <x:f>IF(F728&lt;&gt;"",ROWS($F$3:F728)-COUNTBLANK($F$3:F728),"")</x:f>
      </x:c>
      <x:c r="H728"/>
      <x:c r="I728"/>
      <x:c r="J728"/>
      <x:c r="K728" t="str">
        <x:f>IF(ROW()-ROW($K$2)&lt;=SUM($J$3:$J$168),COUNTIF($H$3:$H$168,"&lt;"&amp;(ROW()-ROW($K$2))),"")</x:f>
      </x:c>
      <x:c r="L728" t="str">
        <x:f>IF(K728="","",ROW()-ROW($L$2)-INDEX($H$3:$H$168,K728))</x:f>
      </x:c>
      <x:c r="M728" t="str">
        <x:f>IF(K728="","",IF(L728=1,1,FIND(CHAR(1),SUBSTITUTE(INDEX($B$3:$B$168,K728),CHAR(10),CHAR(1),L728-1))+1))</x:f>
      </x:c>
      <x:c r="N728" t="str">
        <x:f>IF(K728="","",IFERROR(FIND(CHAR(1),SUBSTITUTE(INDEX($B$3:$B$168,K728),CHAR(10),CHAR(1),L728)),LEN(INDEX($B$3:$B$168,K728))+1))</x:f>
      </x:c>
    </x:row>
    <x:row r="729">
      <x:c r="A729"/>
      <x:c r="B729"/>
      <x:c r="C729"/>
      <x:c r="D729" t="str">
        <x:f>IFERROR(IF(727&lt;=$O$1,INDEX($A$3:$A$168,MATCH(727,$I$3:$I$168,0)),IF(727&lt;=$O$1+$O$2,INDEX($F$3:$F$1994,MATCH(727-$O$1,$G$3:$G$1994,0)),"")),"")</x:f>
      </x:c>
      <x:c r="E729" t="str">
        <x:f>IF(K729="","",IF(N729&lt;=M729,"",TRIM(CLEAN(MID(INDEX($B$3:$B$168,K729),M729,N729-M729)))))</x:f>
      </x:c>
      <x:c r="F729" t="str">
        <x:f>IF(E729="","",IF(E729=TRIM(INDEX($A$3:$A$168,K729)),"",IF(RIGHT(TRIM(INDEX($A$3:$A$168,K729)),1)="]",LEFT(TRIM(INDEX($A$3:$A$168,K729)),LEN(TRIM(INDEX($A$3:$A$168,K729)))-1)&amp;", "&amp;SUBSTITUTE(SUBSTITUTE(SUBSTITUTE(E729," [",", "),"[",", "),"]","")&amp;"]",TRIM(INDEX($A$3:$A$168,K729))&amp;" ["&amp;SUBSTITUTE(SUBSTITUTE(SUBSTITUTE(E729," [",", "),"[",", "),"]","")&amp;"]")))</x:f>
      </x:c>
      <x:c r="G729" t="str">
        <x:f>IF(F729&lt;&gt;"",ROWS($F$3:F729)-COUNTBLANK($F$3:F729),"")</x:f>
      </x:c>
      <x:c r="H729"/>
      <x:c r="I729"/>
      <x:c r="J729"/>
      <x:c r="K729" t="str">
        <x:f>IF(ROW()-ROW($K$2)&lt;=SUM($J$3:$J$168),COUNTIF($H$3:$H$168,"&lt;"&amp;(ROW()-ROW($K$2))),"")</x:f>
      </x:c>
      <x:c r="L729" t="str">
        <x:f>IF(K729="","",ROW()-ROW($L$2)-INDEX($H$3:$H$168,K729))</x:f>
      </x:c>
      <x:c r="M729" t="str">
        <x:f>IF(K729="","",IF(L729=1,1,FIND(CHAR(1),SUBSTITUTE(INDEX($B$3:$B$168,K729),CHAR(10),CHAR(1),L729-1))+1))</x:f>
      </x:c>
      <x:c r="N729" t="str">
        <x:f>IF(K729="","",IFERROR(FIND(CHAR(1),SUBSTITUTE(INDEX($B$3:$B$168,K729),CHAR(10),CHAR(1),L729)),LEN(INDEX($B$3:$B$168,K729))+1))</x:f>
      </x:c>
    </x:row>
    <x:row r="730">
      <x:c r="A730"/>
      <x:c r="B730"/>
      <x:c r="C730"/>
      <x:c r="D730" t="str">
        <x:f>IFERROR(IF(728&lt;=$O$1,INDEX($A$3:$A$168,MATCH(728,$I$3:$I$168,0)),IF(728&lt;=$O$1+$O$2,INDEX($F$3:$F$1994,MATCH(728-$O$1,$G$3:$G$1994,0)),"")),"")</x:f>
      </x:c>
      <x:c r="E730" t="str">
        <x:f>IF(K730="","",IF(N730&lt;=M730,"",TRIM(CLEAN(MID(INDEX($B$3:$B$168,K730),M730,N730-M730)))))</x:f>
      </x:c>
      <x:c r="F730" t="str">
        <x:f>IF(E730="","",IF(E730=TRIM(INDEX($A$3:$A$168,K730)),"",IF(RIGHT(TRIM(INDEX($A$3:$A$168,K730)),1)="]",LEFT(TRIM(INDEX($A$3:$A$168,K730)),LEN(TRIM(INDEX($A$3:$A$168,K730)))-1)&amp;", "&amp;SUBSTITUTE(SUBSTITUTE(SUBSTITUTE(E730," [",", "),"[",", "),"]","")&amp;"]",TRIM(INDEX($A$3:$A$168,K730))&amp;" ["&amp;SUBSTITUTE(SUBSTITUTE(SUBSTITUTE(E730," [",", "),"[",", "),"]","")&amp;"]")))</x:f>
      </x:c>
      <x:c r="G730" t="str">
        <x:f>IF(F730&lt;&gt;"",ROWS($F$3:F730)-COUNTBLANK($F$3:F730),"")</x:f>
      </x:c>
      <x:c r="H730"/>
      <x:c r="I730"/>
      <x:c r="J730"/>
      <x:c r="K730" t="str">
        <x:f>IF(ROW()-ROW($K$2)&lt;=SUM($J$3:$J$168),COUNTIF($H$3:$H$168,"&lt;"&amp;(ROW()-ROW($K$2))),"")</x:f>
      </x:c>
      <x:c r="L730" t="str">
        <x:f>IF(K730="","",ROW()-ROW($L$2)-INDEX($H$3:$H$168,K730))</x:f>
      </x:c>
      <x:c r="M730" t="str">
        <x:f>IF(K730="","",IF(L730=1,1,FIND(CHAR(1),SUBSTITUTE(INDEX($B$3:$B$168,K730),CHAR(10),CHAR(1),L730-1))+1))</x:f>
      </x:c>
      <x:c r="N730" t="str">
        <x:f>IF(K730="","",IFERROR(FIND(CHAR(1),SUBSTITUTE(INDEX($B$3:$B$168,K730),CHAR(10),CHAR(1),L730)),LEN(INDEX($B$3:$B$168,K730))+1))</x:f>
      </x:c>
    </x:row>
    <x:row r="731">
      <x:c r="A731"/>
      <x:c r="B731"/>
      <x:c r="C731"/>
      <x:c r="D731" t="str">
        <x:f>IFERROR(IF(729&lt;=$O$1,INDEX($A$3:$A$168,MATCH(729,$I$3:$I$168,0)),IF(729&lt;=$O$1+$O$2,INDEX($F$3:$F$1994,MATCH(729-$O$1,$G$3:$G$1994,0)),"")),"")</x:f>
      </x:c>
      <x:c r="E731" t="str">
        <x:f>IF(K731="","",IF(N731&lt;=M731,"",TRIM(CLEAN(MID(INDEX($B$3:$B$168,K731),M731,N731-M731)))))</x:f>
      </x:c>
      <x:c r="F731" t="str">
        <x:f>IF(E731="","",IF(E731=TRIM(INDEX($A$3:$A$168,K731)),"",IF(RIGHT(TRIM(INDEX($A$3:$A$168,K731)),1)="]",LEFT(TRIM(INDEX($A$3:$A$168,K731)),LEN(TRIM(INDEX($A$3:$A$168,K731)))-1)&amp;", "&amp;SUBSTITUTE(SUBSTITUTE(SUBSTITUTE(E731," [",", "),"[",", "),"]","")&amp;"]",TRIM(INDEX($A$3:$A$168,K731))&amp;" ["&amp;SUBSTITUTE(SUBSTITUTE(SUBSTITUTE(E731," [",", "),"[",", "),"]","")&amp;"]")))</x:f>
      </x:c>
      <x:c r="G731" t="str">
        <x:f>IF(F731&lt;&gt;"",ROWS($F$3:F731)-COUNTBLANK($F$3:F731),"")</x:f>
      </x:c>
      <x:c r="H731"/>
      <x:c r="I731"/>
      <x:c r="J731"/>
      <x:c r="K731" t="str">
        <x:f>IF(ROW()-ROW($K$2)&lt;=SUM($J$3:$J$168),COUNTIF($H$3:$H$168,"&lt;"&amp;(ROW()-ROW($K$2))),"")</x:f>
      </x:c>
      <x:c r="L731" t="str">
        <x:f>IF(K731="","",ROW()-ROW($L$2)-INDEX($H$3:$H$168,K731))</x:f>
      </x:c>
      <x:c r="M731" t="str">
        <x:f>IF(K731="","",IF(L731=1,1,FIND(CHAR(1),SUBSTITUTE(INDEX($B$3:$B$168,K731),CHAR(10),CHAR(1),L731-1))+1))</x:f>
      </x:c>
      <x:c r="N731" t="str">
        <x:f>IF(K731="","",IFERROR(FIND(CHAR(1),SUBSTITUTE(INDEX($B$3:$B$168,K731),CHAR(10),CHAR(1),L731)),LEN(INDEX($B$3:$B$168,K731))+1))</x:f>
      </x:c>
    </x:row>
    <x:row r="732">
      <x:c r="A732"/>
      <x:c r="B732"/>
      <x:c r="C732"/>
      <x:c r="D732" t="str">
        <x:f>IFERROR(IF(730&lt;=$O$1,INDEX($A$3:$A$168,MATCH(730,$I$3:$I$168,0)),IF(730&lt;=$O$1+$O$2,INDEX($F$3:$F$1994,MATCH(730-$O$1,$G$3:$G$1994,0)),"")),"")</x:f>
      </x:c>
      <x:c r="E732" t="str">
        <x:f>IF(K732="","",IF(N732&lt;=M732,"",TRIM(CLEAN(MID(INDEX($B$3:$B$168,K732),M732,N732-M732)))))</x:f>
      </x:c>
      <x:c r="F732" t="str">
        <x:f>IF(E732="","",IF(E732=TRIM(INDEX($A$3:$A$168,K732)),"",IF(RIGHT(TRIM(INDEX($A$3:$A$168,K732)),1)="]",LEFT(TRIM(INDEX($A$3:$A$168,K732)),LEN(TRIM(INDEX($A$3:$A$168,K732)))-1)&amp;", "&amp;SUBSTITUTE(SUBSTITUTE(SUBSTITUTE(E732," [",", "),"[",", "),"]","")&amp;"]",TRIM(INDEX($A$3:$A$168,K732))&amp;" ["&amp;SUBSTITUTE(SUBSTITUTE(SUBSTITUTE(E732," [",", "),"[",", "),"]","")&amp;"]")))</x:f>
      </x:c>
      <x:c r="G732" t="str">
        <x:f>IF(F732&lt;&gt;"",ROWS($F$3:F732)-COUNTBLANK($F$3:F732),"")</x:f>
      </x:c>
      <x:c r="H732"/>
      <x:c r="I732"/>
      <x:c r="J732"/>
      <x:c r="K732" t="str">
        <x:f>IF(ROW()-ROW($K$2)&lt;=SUM($J$3:$J$168),COUNTIF($H$3:$H$168,"&lt;"&amp;(ROW()-ROW($K$2))),"")</x:f>
      </x:c>
      <x:c r="L732" t="str">
        <x:f>IF(K732="","",ROW()-ROW($L$2)-INDEX($H$3:$H$168,K732))</x:f>
      </x:c>
      <x:c r="M732" t="str">
        <x:f>IF(K732="","",IF(L732=1,1,FIND(CHAR(1),SUBSTITUTE(INDEX($B$3:$B$168,K732),CHAR(10),CHAR(1),L732-1))+1))</x:f>
      </x:c>
      <x:c r="N732" t="str">
        <x:f>IF(K732="","",IFERROR(FIND(CHAR(1),SUBSTITUTE(INDEX($B$3:$B$168,K732),CHAR(10),CHAR(1),L732)),LEN(INDEX($B$3:$B$168,K732))+1))</x:f>
      </x:c>
    </x:row>
    <x:row r="733">
      <x:c r="A733"/>
      <x:c r="B733"/>
      <x:c r="C733"/>
      <x:c r="D733" t="str">
        <x:f>IFERROR(IF(731&lt;=$O$1,INDEX($A$3:$A$168,MATCH(731,$I$3:$I$168,0)),IF(731&lt;=$O$1+$O$2,INDEX($F$3:$F$1994,MATCH(731-$O$1,$G$3:$G$1994,0)),"")),"")</x:f>
      </x:c>
      <x:c r="E733" t="str">
        <x:f>IF(K733="","",IF(N733&lt;=M733,"",TRIM(CLEAN(MID(INDEX($B$3:$B$168,K733),M733,N733-M733)))))</x:f>
      </x:c>
      <x:c r="F733" t="str">
        <x:f>IF(E733="","",IF(E733=TRIM(INDEX($A$3:$A$168,K733)),"",IF(RIGHT(TRIM(INDEX($A$3:$A$168,K733)),1)="]",LEFT(TRIM(INDEX($A$3:$A$168,K733)),LEN(TRIM(INDEX($A$3:$A$168,K733)))-1)&amp;", "&amp;SUBSTITUTE(SUBSTITUTE(SUBSTITUTE(E733," [",", "),"[",", "),"]","")&amp;"]",TRIM(INDEX($A$3:$A$168,K733))&amp;" ["&amp;SUBSTITUTE(SUBSTITUTE(SUBSTITUTE(E733," [",", "),"[",", "),"]","")&amp;"]")))</x:f>
      </x:c>
      <x:c r="G733" t="str">
        <x:f>IF(F733&lt;&gt;"",ROWS($F$3:F733)-COUNTBLANK($F$3:F733),"")</x:f>
      </x:c>
      <x:c r="H733"/>
      <x:c r="I733"/>
      <x:c r="J733"/>
      <x:c r="K733" t="str">
        <x:f>IF(ROW()-ROW($K$2)&lt;=SUM($J$3:$J$168),COUNTIF($H$3:$H$168,"&lt;"&amp;(ROW()-ROW($K$2))),"")</x:f>
      </x:c>
      <x:c r="L733" t="str">
        <x:f>IF(K733="","",ROW()-ROW($L$2)-INDEX($H$3:$H$168,K733))</x:f>
      </x:c>
      <x:c r="M733" t="str">
        <x:f>IF(K733="","",IF(L733=1,1,FIND(CHAR(1),SUBSTITUTE(INDEX($B$3:$B$168,K733),CHAR(10),CHAR(1),L733-1))+1))</x:f>
      </x:c>
      <x:c r="N733" t="str">
        <x:f>IF(K733="","",IFERROR(FIND(CHAR(1),SUBSTITUTE(INDEX($B$3:$B$168,K733),CHAR(10),CHAR(1),L733)),LEN(INDEX($B$3:$B$168,K733))+1))</x:f>
      </x:c>
    </x:row>
    <x:row r="734">
      <x:c r="A734"/>
      <x:c r="B734"/>
      <x:c r="C734"/>
      <x:c r="D734" t="str">
        <x:f>IFERROR(IF(732&lt;=$O$1,INDEX($A$3:$A$168,MATCH(732,$I$3:$I$168,0)),IF(732&lt;=$O$1+$O$2,INDEX($F$3:$F$1994,MATCH(732-$O$1,$G$3:$G$1994,0)),"")),"")</x:f>
      </x:c>
      <x:c r="E734" t="str">
        <x:f>IF(K734="","",IF(N734&lt;=M734,"",TRIM(CLEAN(MID(INDEX($B$3:$B$168,K734),M734,N734-M734)))))</x:f>
      </x:c>
      <x:c r="F734" t="str">
        <x:f>IF(E734="","",IF(E734=TRIM(INDEX($A$3:$A$168,K734)),"",IF(RIGHT(TRIM(INDEX($A$3:$A$168,K734)),1)="]",LEFT(TRIM(INDEX($A$3:$A$168,K734)),LEN(TRIM(INDEX($A$3:$A$168,K734)))-1)&amp;", "&amp;SUBSTITUTE(SUBSTITUTE(SUBSTITUTE(E734," [",", "),"[",", "),"]","")&amp;"]",TRIM(INDEX($A$3:$A$168,K734))&amp;" ["&amp;SUBSTITUTE(SUBSTITUTE(SUBSTITUTE(E734," [",", "),"[",", "),"]","")&amp;"]")))</x:f>
      </x:c>
      <x:c r="G734" t="str">
        <x:f>IF(F734&lt;&gt;"",ROWS($F$3:F734)-COUNTBLANK($F$3:F734),"")</x:f>
      </x:c>
      <x:c r="H734"/>
      <x:c r="I734"/>
      <x:c r="J734"/>
      <x:c r="K734" t="str">
        <x:f>IF(ROW()-ROW($K$2)&lt;=SUM($J$3:$J$168),COUNTIF($H$3:$H$168,"&lt;"&amp;(ROW()-ROW($K$2))),"")</x:f>
      </x:c>
      <x:c r="L734" t="str">
        <x:f>IF(K734="","",ROW()-ROW($L$2)-INDEX($H$3:$H$168,K734))</x:f>
      </x:c>
      <x:c r="M734" t="str">
        <x:f>IF(K734="","",IF(L734=1,1,FIND(CHAR(1),SUBSTITUTE(INDEX($B$3:$B$168,K734),CHAR(10),CHAR(1),L734-1))+1))</x:f>
      </x:c>
      <x:c r="N734" t="str">
        <x:f>IF(K734="","",IFERROR(FIND(CHAR(1),SUBSTITUTE(INDEX($B$3:$B$168,K734),CHAR(10),CHAR(1),L734)),LEN(INDEX($B$3:$B$168,K734))+1))</x:f>
      </x:c>
    </x:row>
    <x:row r="735">
      <x:c r="A735"/>
      <x:c r="B735"/>
      <x:c r="C735"/>
      <x:c r="D735" t="str">
        <x:f>IFERROR(IF(733&lt;=$O$1,INDEX($A$3:$A$168,MATCH(733,$I$3:$I$168,0)),IF(733&lt;=$O$1+$O$2,INDEX($F$3:$F$1994,MATCH(733-$O$1,$G$3:$G$1994,0)),"")),"")</x:f>
      </x:c>
      <x:c r="E735" t="str">
        <x:f>IF(K735="","",IF(N735&lt;=M735,"",TRIM(CLEAN(MID(INDEX($B$3:$B$168,K735),M735,N735-M735)))))</x:f>
      </x:c>
      <x:c r="F735" t="str">
        <x:f>IF(E735="","",IF(E735=TRIM(INDEX($A$3:$A$168,K735)),"",IF(RIGHT(TRIM(INDEX($A$3:$A$168,K735)),1)="]",LEFT(TRIM(INDEX($A$3:$A$168,K735)),LEN(TRIM(INDEX($A$3:$A$168,K735)))-1)&amp;", "&amp;SUBSTITUTE(SUBSTITUTE(SUBSTITUTE(E735," [",", "),"[",", "),"]","")&amp;"]",TRIM(INDEX($A$3:$A$168,K735))&amp;" ["&amp;SUBSTITUTE(SUBSTITUTE(SUBSTITUTE(E735," [",", "),"[",", "),"]","")&amp;"]")))</x:f>
      </x:c>
      <x:c r="G735" t="str">
        <x:f>IF(F735&lt;&gt;"",ROWS($F$3:F735)-COUNTBLANK($F$3:F735),"")</x:f>
      </x:c>
      <x:c r="H735"/>
      <x:c r="I735"/>
      <x:c r="J735"/>
      <x:c r="K735" t="str">
        <x:f>IF(ROW()-ROW($K$2)&lt;=SUM($J$3:$J$168),COUNTIF($H$3:$H$168,"&lt;"&amp;(ROW()-ROW($K$2))),"")</x:f>
      </x:c>
      <x:c r="L735" t="str">
        <x:f>IF(K735="","",ROW()-ROW($L$2)-INDEX($H$3:$H$168,K735))</x:f>
      </x:c>
      <x:c r="M735" t="str">
        <x:f>IF(K735="","",IF(L735=1,1,FIND(CHAR(1),SUBSTITUTE(INDEX($B$3:$B$168,K735),CHAR(10),CHAR(1),L735-1))+1))</x:f>
      </x:c>
      <x:c r="N735" t="str">
        <x:f>IF(K735="","",IFERROR(FIND(CHAR(1),SUBSTITUTE(INDEX($B$3:$B$168,K735),CHAR(10),CHAR(1),L735)),LEN(INDEX($B$3:$B$168,K735))+1))</x:f>
      </x:c>
    </x:row>
    <x:row r="736">
      <x:c r="A736"/>
      <x:c r="B736"/>
      <x:c r="C736"/>
      <x:c r="D736" t="str">
        <x:f>IFERROR(IF(734&lt;=$O$1,INDEX($A$3:$A$168,MATCH(734,$I$3:$I$168,0)),IF(734&lt;=$O$1+$O$2,INDEX($F$3:$F$1994,MATCH(734-$O$1,$G$3:$G$1994,0)),"")),"")</x:f>
      </x:c>
      <x:c r="E736" t="str">
        <x:f>IF(K736="","",IF(N736&lt;=M736,"",TRIM(CLEAN(MID(INDEX($B$3:$B$168,K736),M736,N736-M736)))))</x:f>
      </x:c>
      <x:c r="F736" t="str">
        <x:f>IF(E736="","",IF(E736=TRIM(INDEX($A$3:$A$168,K736)),"",IF(RIGHT(TRIM(INDEX($A$3:$A$168,K736)),1)="]",LEFT(TRIM(INDEX($A$3:$A$168,K736)),LEN(TRIM(INDEX($A$3:$A$168,K736)))-1)&amp;", "&amp;SUBSTITUTE(SUBSTITUTE(SUBSTITUTE(E736," [",", "),"[",", "),"]","")&amp;"]",TRIM(INDEX($A$3:$A$168,K736))&amp;" ["&amp;SUBSTITUTE(SUBSTITUTE(SUBSTITUTE(E736," [",", "),"[",", "),"]","")&amp;"]")))</x:f>
      </x:c>
      <x:c r="G736" t="str">
        <x:f>IF(F736&lt;&gt;"",ROWS($F$3:F736)-COUNTBLANK($F$3:F736),"")</x:f>
      </x:c>
      <x:c r="H736"/>
      <x:c r="I736"/>
      <x:c r="J736"/>
      <x:c r="K736" t="str">
        <x:f>IF(ROW()-ROW($K$2)&lt;=SUM($J$3:$J$168),COUNTIF($H$3:$H$168,"&lt;"&amp;(ROW()-ROW($K$2))),"")</x:f>
      </x:c>
      <x:c r="L736" t="str">
        <x:f>IF(K736="","",ROW()-ROW($L$2)-INDEX($H$3:$H$168,K736))</x:f>
      </x:c>
      <x:c r="M736" t="str">
        <x:f>IF(K736="","",IF(L736=1,1,FIND(CHAR(1),SUBSTITUTE(INDEX($B$3:$B$168,K736),CHAR(10),CHAR(1),L736-1))+1))</x:f>
      </x:c>
      <x:c r="N736" t="str">
        <x:f>IF(K736="","",IFERROR(FIND(CHAR(1),SUBSTITUTE(INDEX($B$3:$B$168,K736),CHAR(10),CHAR(1),L736)),LEN(INDEX($B$3:$B$168,K736))+1))</x:f>
      </x:c>
    </x:row>
    <x:row r="737">
      <x:c r="A737"/>
      <x:c r="B737"/>
      <x:c r="C737"/>
      <x:c r="D737" t="str">
        <x:f>IFERROR(IF(735&lt;=$O$1,INDEX($A$3:$A$168,MATCH(735,$I$3:$I$168,0)),IF(735&lt;=$O$1+$O$2,INDEX($F$3:$F$1994,MATCH(735-$O$1,$G$3:$G$1994,0)),"")),"")</x:f>
      </x:c>
      <x:c r="E737" t="str">
        <x:f>IF(K737="","",IF(N737&lt;=M737,"",TRIM(CLEAN(MID(INDEX($B$3:$B$168,K737),M737,N737-M737)))))</x:f>
      </x:c>
      <x:c r="F737" t="str">
        <x:f>IF(E737="","",IF(E737=TRIM(INDEX($A$3:$A$168,K737)),"",IF(RIGHT(TRIM(INDEX($A$3:$A$168,K737)),1)="]",LEFT(TRIM(INDEX($A$3:$A$168,K737)),LEN(TRIM(INDEX($A$3:$A$168,K737)))-1)&amp;", "&amp;SUBSTITUTE(SUBSTITUTE(SUBSTITUTE(E737," [",", "),"[",", "),"]","")&amp;"]",TRIM(INDEX($A$3:$A$168,K737))&amp;" ["&amp;SUBSTITUTE(SUBSTITUTE(SUBSTITUTE(E737," [",", "),"[",", "),"]","")&amp;"]")))</x:f>
      </x:c>
      <x:c r="G737" t="str">
        <x:f>IF(F737&lt;&gt;"",ROWS($F$3:F737)-COUNTBLANK($F$3:F737),"")</x:f>
      </x:c>
      <x:c r="H737"/>
      <x:c r="I737"/>
      <x:c r="J737"/>
      <x:c r="K737" t="str">
        <x:f>IF(ROW()-ROW($K$2)&lt;=SUM($J$3:$J$168),COUNTIF($H$3:$H$168,"&lt;"&amp;(ROW()-ROW($K$2))),"")</x:f>
      </x:c>
      <x:c r="L737" t="str">
        <x:f>IF(K737="","",ROW()-ROW($L$2)-INDEX($H$3:$H$168,K737))</x:f>
      </x:c>
      <x:c r="M737" t="str">
        <x:f>IF(K737="","",IF(L737=1,1,FIND(CHAR(1),SUBSTITUTE(INDEX($B$3:$B$168,K737),CHAR(10),CHAR(1),L737-1))+1))</x:f>
      </x:c>
      <x:c r="N737" t="str">
        <x:f>IF(K737="","",IFERROR(FIND(CHAR(1),SUBSTITUTE(INDEX($B$3:$B$168,K737),CHAR(10),CHAR(1),L737)),LEN(INDEX($B$3:$B$168,K737))+1))</x:f>
      </x:c>
    </x:row>
    <x:row r="738">
      <x:c r="A738"/>
      <x:c r="B738"/>
      <x:c r="C738"/>
      <x:c r="D738" t="str">
        <x:f>IFERROR(IF(736&lt;=$O$1,INDEX($A$3:$A$168,MATCH(736,$I$3:$I$168,0)),IF(736&lt;=$O$1+$O$2,INDEX($F$3:$F$1994,MATCH(736-$O$1,$G$3:$G$1994,0)),"")),"")</x:f>
      </x:c>
      <x:c r="E738" t="str">
        <x:f>IF(K738="","",IF(N738&lt;=M738,"",TRIM(CLEAN(MID(INDEX($B$3:$B$168,K738),M738,N738-M738)))))</x:f>
      </x:c>
      <x:c r="F738" t="str">
        <x:f>IF(E738="","",IF(E738=TRIM(INDEX($A$3:$A$168,K738)),"",IF(RIGHT(TRIM(INDEX($A$3:$A$168,K738)),1)="]",LEFT(TRIM(INDEX($A$3:$A$168,K738)),LEN(TRIM(INDEX($A$3:$A$168,K738)))-1)&amp;", "&amp;SUBSTITUTE(SUBSTITUTE(SUBSTITUTE(E738," [",", "),"[",", "),"]","")&amp;"]",TRIM(INDEX($A$3:$A$168,K738))&amp;" ["&amp;SUBSTITUTE(SUBSTITUTE(SUBSTITUTE(E738," [",", "),"[",", "),"]","")&amp;"]")))</x:f>
      </x:c>
      <x:c r="G738" t="str">
        <x:f>IF(F738&lt;&gt;"",ROWS($F$3:F738)-COUNTBLANK($F$3:F738),"")</x:f>
      </x:c>
      <x:c r="H738"/>
      <x:c r="I738"/>
      <x:c r="J738"/>
      <x:c r="K738" t="str">
        <x:f>IF(ROW()-ROW($K$2)&lt;=SUM($J$3:$J$168),COUNTIF($H$3:$H$168,"&lt;"&amp;(ROW()-ROW($K$2))),"")</x:f>
      </x:c>
      <x:c r="L738" t="str">
        <x:f>IF(K738="","",ROW()-ROW($L$2)-INDEX($H$3:$H$168,K738))</x:f>
      </x:c>
      <x:c r="M738" t="str">
        <x:f>IF(K738="","",IF(L738=1,1,FIND(CHAR(1),SUBSTITUTE(INDEX($B$3:$B$168,K738),CHAR(10),CHAR(1),L738-1))+1))</x:f>
      </x:c>
      <x:c r="N738" t="str">
        <x:f>IF(K738="","",IFERROR(FIND(CHAR(1),SUBSTITUTE(INDEX($B$3:$B$168,K738),CHAR(10),CHAR(1),L738)),LEN(INDEX($B$3:$B$168,K738))+1))</x:f>
      </x:c>
    </x:row>
    <x:row r="739">
      <x:c r="A739"/>
      <x:c r="B739"/>
      <x:c r="C739"/>
      <x:c r="D739" t="str">
        <x:f>IFERROR(IF(737&lt;=$O$1,INDEX($A$3:$A$168,MATCH(737,$I$3:$I$168,0)),IF(737&lt;=$O$1+$O$2,INDEX($F$3:$F$1994,MATCH(737-$O$1,$G$3:$G$1994,0)),"")),"")</x:f>
      </x:c>
      <x:c r="E739" t="str">
        <x:f>IF(K739="","",IF(N739&lt;=M739,"",TRIM(CLEAN(MID(INDEX($B$3:$B$168,K739),M739,N739-M739)))))</x:f>
      </x:c>
      <x:c r="F739" t="str">
        <x:f>IF(E739="","",IF(E739=TRIM(INDEX($A$3:$A$168,K739)),"",IF(RIGHT(TRIM(INDEX($A$3:$A$168,K739)),1)="]",LEFT(TRIM(INDEX($A$3:$A$168,K739)),LEN(TRIM(INDEX($A$3:$A$168,K739)))-1)&amp;", "&amp;SUBSTITUTE(SUBSTITUTE(SUBSTITUTE(E739," [",", "),"[",", "),"]","")&amp;"]",TRIM(INDEX($A$3:$A$168,K739))&amp;" ["&amp;SUBSTITUTE(SUBSTITUTE(SUBSTITUTE(E739," [",", "),"[",", "),"]","")&amp;"]")))</x:f>
      </x:c>
      <x:c r="G739" t="str">
        <x:f>IF(F739&lt;&gt;"",ROWS($F$3:F739)-COUNTBLANK($F$3:F739),"")</x:f>
      </x:c>
      <x:c r="H739"/>
      <x:c r="I739"/>
      <x:c r="J739"/>
      <x:c r="K739" t="str">
        <x:f>IF(ROW()-ROW($K$2)&lt;=SUM($J$3:$J$168),COUNTIF($H$3:$H$168,"&lt;"&amp;(ROW()-ROW($K$2))),"")</x:f>
      </x:c>
      <x:c r="L739" t="str">
        <x:f>IF(K739="","",ROW()-ROW($L$2)-INDEX($H$3:$H$168,K739))</x:f>
      </x:c>
      <x:c r="M739" t="str">
        <x:f>IF(K739="","",IF(L739=1,1,FIND(CHAR(1),SUBSTITUTE(INDEX($B$3:$B$168,K739),CHAR(10),CHAR(1),L739-1))+1))</x:f>
      </x:c>
      <x:c r="N739" t="str">
        <x:f>IF(K739="","",IFERROR(FIND(CHAR(1),SUBSTITUTE(INDEX($B$3:$B$168,K739),CHAR(10),CHAR(1),L739)),LEN(INDEX($B$3:$B$168,K739))+1))</x:f>
      </x:c>
    </x:row>
    <x:row r="740">
      <x:c r="A740"/>
      <x:c r="B740"/>
      <x:c r="C740"/>
      <x:c r="D740" t="str">
        <x:f>IFERROR(IF(738&lt;=$O$1,INDEX($A$3:$A$168,MATCH(738,$I$3:$I$168,0)),IF(738&lt;=$O$1+$O$2,INDEX($F$3:$F$1994,MATCH(738-$O$1,$G$3:$G$1994,0)),"")),"")</x:f>
      </x:c>
      <x:c r="E740" t="str">
        <x:f>IF(K740="","",IF(N740&lt;=M740,"",TRIM(CLEAN(MID(INDEX($B$3:$B$168,K740),M740,N740-M740)))))</x:f>
      </x:c>
      <x:c r="F740" t="str">
        <x:f>IF(E740="","",IF(E740=TRIM(INDEX($A$3:$A$168,K740)),"",IF(RIGHT(TRIM(INDEX($A$3:$A$168,K740)),1)="]",LEFT(TRIM(INDEX($A$3:$A$168,K740)),LEN(TRIM(INDEX($A$3:$A$168,K740)))-1)&amp;", "&amp;SUBSTITUTE(SUBSTITUTE(SUBSTITUTE(E740," [",", "),"[",", "),"]","")&amp;"]",TRIM(INDEX($A$3:$A$168,K740))&amp;" ["&amp;SUBSTITUTE(SUBSTITUTE(SUBSTITUTE(E740," [",", "),"[",", "),"]","")&amp;"]")))</x:f>
      </x:c>
      <x:c r="G740" t="str">
        <x:f>IF(F740&lt;&gt;"",ROWS($F$3:F740)-COUNTBLANK($F$3:F740),"")</x:f>
      </x:c>
      <x:c r="H740"/>
      <x:c r="I740"/>
      <x:c r="J740"/>
      <x:c r="K740" t="str">
        <x:f>IF(ROW()-ROW($K$2)&lt;=SUM($J$3:$J$168),COUNTIF($H$3:$H$168,"&lt;"&amp;(ROW()-ROW($K$2))),"")</x:f>
      </x:c>
      <x:c r="L740" t="str">
        <x:f>IF(K740="","",ROW()-ROW($L$2)-INDEX($H$3:$H$168,K740))</x:f>
      </x:c>
      <x:c r="M740" t="str">
        <x:f>IF(K740="","",IF(L740=1,1,FIND(CHAR(1),SUBSTITUTE(INDEX($B$3:$B$168,K740),CHAR(10),CHAR(1),L740-1))+1))</x:f>
      </x:c>
      <x:c r="N740" t="str">
        <x:f>IF(K740="","",IFERROR(FIND(CHAR(1),SUBSTITUTE(INDEX($B$3:$B$168,K740),CHAR(10),CHAR(1),L740)),LEN(INDEX($B$3:$B$168,K740))+1))</x:f>
      </x:c>
    </x:row>
    <x:row r="741">
      <x:c r="A741"/>
      <x:c r="B741"/>
      <x:c r="C741"/>
      <x:c r="D741" t="str">
        <x:f>IFERROR(IF(739&lt;=$O$1,INDEX($A$3:$A$168,MATCH(739,$I$3:$I$168,0)),IF(739&lt;=$O$1+$O$2,INDEX($F$3:$F$1994,MATCH(739-$O$1,$G$3:$G$1994,0)),"")),"")</x:f>
      </x:c>
      <x:c r="E741" t="str">
        <x:f>IF(K741="","",IF(N741&lt;=M741,"",TRIM(CLEAN(MID(INDEX($B$3:$B$168,K741),M741,N741-M741)))))</x:f>
      </x:c>
      <x:c r="F741" t="str">
        <x:f>IF(E741="","",IF(E741=TRIM(INDEX($A$3:$A$168,K741)),"",IF(RIGHT(TRIM(INDEX($A$3:$A$168,K741)),1)="]",LEFT(TRIM(INDEX($A$3:$A$168,K741)),LEN(TRIM(INDEX($A$3:$A$168,K741)))-1)&amp;", "&amp;SUBSTITUTE(SUBSTITUTE(SUBSTITUTE(E741," [",", "),"[",", "),"]","")&amp;"]",TRIM(INDEX($A$3:$A$168,K741))&amp;" ["&amp;SUBSTITUTE(SUBSTITUTE(SUBSTITUTE(E741," [",", "),"[",", "),"]","")&amp;"]")))</x:f>
      </x:c>
      <x:c r="G741" t="str">
        <x:f>IF(F741&lt;&gt;"",ROWS($F$3:F741)-COUNTBLANK($F$3:F741),"")</x:f>
      </x:c>
      <x:c r="H741"/>
      <x:c r="I741"/>
      <x:c r="J741"/>
      <x:c r="K741" t="str">
        <x:f>IF(ROW()-ROW($K$2)&lt;=SUM($J$3:$J$168),COUNTIF($H$3:$H$168,"&lt;"&amp;(ROW()-ROW($K$2))),"")</x:f>
      </x:c>
      <x:c r="L741" t="str">
        <x:f>IF(K741="","",ROW()-ROW($L$2)-INDEX($H$3:$H$168,K741))</x:f>
      </x:c>
      <x:c r="M741" t="str">
        <x:f>IF(K741="","",IF(L741=1,1,FIND(CHAR(1),SUBSTITUTE(INDEX($B$3:$B$168,K741),CHAR(10),CHAR(1),L741-1))+1))</x:f>
      </x:c>
      <x:c r="N741" t="str">
        <x:f>IF(K741="","",IFERROR(FIND(CHAR(1),SUBSTITUTE(INDEX($B$3:$B$168,K741),CHAR(10),CHAR(1),L741)),LEN(INDEX($B$3:$B$168,K741))+1))</x:f>
      </x:c>
    </x:row>
    <x:row r="742">
      <x:c r="A742"/>
      <x:c r="B742"/>
      <x:c r="C742"/>
      <x:c r="D742" t="str">
        <x:f>IFERROR(IF(740&lt;=$O$1,INDEX($A$3:$A$168,MATCH(740,$I$3:$I$168,0)),IF(740&lt;=$O$1+$O$2,INDEX($F$3:$F$1994,MATCH(740-$O$1,$G$3:$G$1994,0)),"")),"")</x:f>
      </x:c>
      <x:c r="E742" t="str">
        <x:f>IF(K742="","",IF(N742&lt;=M742,"",TRIM(CLEAN(MID(INDEX($B$3:$B$168,K742),M742,N742-M742)))))</x:f>
      </x:c>
      <x:c r="F742" t="str">
        <x:f>IF(E742="","",IF(E742=TRIM(INDEX($A$3:$A$168,K742)),"",IF(RIGHT(TRIM(INDEX($A$3:$A$168,K742)),1)="]",LEFT(TRIM(INDEX($A$3:$A$168,K742)),LEN(TRIM(INDEX($A$3:$A$168,K742)))-1)&amp;", "&amp;SUBSTITUTE(SUBSTITUTE(SUBSTITUTE(E742," [",", "),"[",", "),"]","")&amp;"]",TRIM(INDEX($A$3:$A$168,K742))&amp;" ["&amp;SUBSTITUTE(SUBSTITUTE(SUBSTITUTE(E742," [",", "),"[",", "),"]","")&amp;"]")))</x:f>
      </x:c>
      <x:c r="G742" t="str">
        <x:f>IF(F742&lt;&gt;"",ROWS($F$3:F742)-COUNTBLANK($F$3:F742),"")</x:f>
      </x:c>
      <x:c r="H742"/>
      <x:c r="I742"/>
      <x:c r="J742"/>
      <x:c r="K742" t="str">
        <x:f>IF(ROW()-ROW($K$2)&lt;=SUM($J$3:$J$168),COUNTIF($H$3:$H$168,"&lt;"&amp;(ROW()-ROW($K$2))),"")</x:f>
      </x:c>
      <x:c r="L742" t="str">
        <x:f>IF(K742="","",ROW()-ROW($L$2)-INDEX($H$3:$H$168,K742))</x:f>
      </x:c>
      <x:c r="M742" t="str">
        <x:f>IF(K742="","",IF(L742=1,1,FIND(CHAR(1),SUBSTITUTE(INDEX($B$3:$B$168,K742),CHAR(10),CHAR(1),L742-1))+1))</x:f>
      </x:c>
      <x:c r="N742" t="str">
        <x:f>IF(K742="","",IFERROR(FIND(CHAR(1),SUBSTITUTE(INDEX($B$3:$B$168,K742),CHAR(10),CHAR(1),L742)),LEN(INDEX($B$3:$B$168,K742))+1))</x:f>
      </x:c>
    </x:row>
    <x:row r="743">
      <x:c r="A743"/>
      <x:c r="B743"/>
      <x:c r="C743"/>
      <x:c r="D743" t="str">
        <x:f>IFERROR(IF(741&lt;=$O$1,INDEX($A$3:$A$168,MATCH(741,$I$3:$I$168,0)),IF(741&lt;=$O$1+$O$2,INDEX($F$3:$F$1994,MATCH(741-$O$1,$G$3:$G$1994,0)),"")),"")</x:f>
      </x:c>
      <x:c r="E743" t="str">
        <x:f>IF(K743="","",IF(N743&lt;=M743,"",TRIM(CLEAN(MID(INDEX($B$3:$B$168,K743),M743,N743-M743)))))</x:f>
      </x:c>
      <x:c r="F743" t="str">
        <x:f>IF(E743="","",IF(E743=TRIM(INDEX($A$3:$A$168,K743)),"",IF(RIGHT(TRIM(INDEX($A$3:$A$168,K743)),1)="]",LEFT(TRIM(INDEX($A$3:$A$168,K743)),LEN(TRIM(INDEX($A$3:$A$168,K743)))-1)&amp;", "&amp;SUBSTITUTE(SUBSTITUTE(SUBSTITUTE(E743," [",", "),"[",", "),"]","")&amp;"]",TRIM(INDEX($A$3:$A$168,K743))&amp;" ["&amp;SUBSTITUTE(SUBSTITUTE(SUBSTITUTE(E743," [",", "),"[",", "),"]","")&amp;"]")))</x:f>
      </x:c>
      <x:c r="G743" t="str">
        <x:f>IF(F743&lt;&gt;"",ROWS($F$3:F743)-COUNTBLANK($F$3:F743),"")</x:f>
      </x:c>
      <x:c r="H743"/>
      <x:c r="I743"/>
      <x:c r="J743"/>
      <x:c r="K743" t="str">
        <x:f>IF(ROW()-ROW($K$2)&lt;=SUM($J$3:$J$168),COUNTIF($H$3:$H$168,"&lt;"&amp;(ROW()-ROW($K$2))),"")</x:f>
      </x:c>
      <x:c r="L743" t="str">
        <x:f>IF(K743="","",ROW()-ROW($L$2)-INDEX($H$3:$H$168,K743))</x:f>
      </x:c>
      <x:c r="M743" t="str">
        <x:f>IF(K743="","",IF(L743=1,1,FIND(CHAR(1),SUBSTITUTE(INDEX($B$3:$B$168,K743),CHAR(10),CHAR(1),L743-1))+1))</x:f>
      </x:c>
      <x:c r="N743" t="str">
        <x:f>IF(K743="","",IFERROR(FIND(CHAR(1),SUBSTITUTE(INDEX($B$3:$B$168,K743),CHAR(10),CHAR(1),L743)),LEN(INDEX($B$3:$B$168,K743))+1))</x:f>
      </x:c>
    </x:row>
    <x:row r="744">
      <x:c r="A744"/>
      <x:c r="B744"/>
      <x:c r="C744"/>
      <x:c r="D744" t="str">
        <x:f>IFERROR(IF(742&lt;=$O$1,INDEX($A$3:$A$168,MATCH(742,$I$3:$I$168,0)),IF(742&lt;=$O$1+$O$2,INDEX($F$3:$F$1994,MATCH(742-$O$1,$G$3:$G$1994,0)),"")),"")</x:f>
      </x:c>
      <x:c r="E744" t="str">
        <x:f>IF(K744="","",IF(N744&lt;=M744,"",TRIM(CLEAN(MID(INDEX($B$3:$B$168,K744),M744,N744-M744)))))</x:f>
      </x:c>
      <x:c r="F744" t="str">
        <x:f>IF(E744="","",IF(E744=TRIM(INDEX($A$3:$A$168,K744)),"",IF(RIGHT(TRIM(INDEX($A$3:$A$168,K744)),1)="]",LEFT(TRIM(INDEX($A$3:$A$168,K744)),LEN(TRIM(INDEX($A$3:$A$168,K744)))-1)&amp;", "&amp;SUBSTITUTE(SUBSTITUTE(SUBSTITUTE(E744," [",", "),"[",", "),"]","")&amp;"]",TRIM(INDEX($A$3:$A$168,K744))&amp;" ["&amp;SUBSTITUTE(SUBSTITUTE(SUBSTITUTE(E744," [",", "),"[",", "),"]","")&amp;"]")))</x:f>
      </x:c>
      <x:c r="G744" t="str">
        <x:f>IF(F744&lt;&gt;"",ROWS($F$3:F744)-COUNTBLANK($F$3:F744),"")</x:f>
      </x:c>
      <x:c r="H744"/>
      <x:c r="I744"/>
      <x:c r="J744"/>
      <x:c r="K744" t="str">
        <x:f>IF(ROW()-ROW($K$2)&lt;=SUM($J$3:$J$168),COUNTIF($H$3:$H$168,"&lt;"&amp;(ROW()-ROW($K$2))),"")</x:f>
      </x:c>
      <x:c r="L744" t="str">
        <x:f>IF(K744="","",ROW()-ROW($L$2)-INDEX($H$3:$H$168,K744))</x:f>
      </x:c>
      <x:c r="M744" t="str">
        <x:f>IF(K744="","",IF(L744=1,1,FIND(CHAR(1),SUBSTITUTE(INDEX($B$3:$B$168,K744),CHAR(10),CHAR(1),L744-1))+1))</x:f>
      </x:c>
      <x:c r="N744" t="str">
        <x:f>IF(K744="","",IFERROR(FIND(CHAR(1),SUBSTITUTE(INDEX($B$3:$B$168,K744),CHAR(10),CHAR(1),L744)),LEN(INDEX($B$3:$B$168,K744))+1))</x:f>
      </x:c>
    </x:row>
    <x:row r="745">
      <x:c r="A745"/>
      <x:c r="B745"/>
      <x:c r="C745"/>
      <x:c r="D745" t="str">
        <x:f>IFERROR(IF(743&lt;=$O$1,INDEX($A$3:$A$168,MATCH(743,$I$3:$I$168,0)),IF(743&lt;=$O$1+$O$2,INDEX($F$3:$F$1994,MATCH(743-$O$1,$G$3:$G$1994,0)),"")),"")</x:f>
      </x:c>
      <x:c r="E745" t="str">
        <x:f>IF(K745="","",IF(N745&lt;=M745,"",TRIM(CLEAN(MID(INDEX($B$3:$B$168,K745),M745,N745-M745)))))</x:f>
      </x:c>
      <x:c r="F745" t="str">
        <x:f>IF(E745="","",IF(E745=TRIM(INDEX($A$3:$A$168,K745)),"",IF(RIGHT(TRIM(INDEX($A$3:$A$168,K745)),1)="]",LEFT(TRIM(INDEX($A$3:$A$168,K745)),LEN(TRIM(INDEX($A$3:$A$168,K745)))-1)&amp;", "&amp;SUBSTITUTE(SUBSTITUTE(SUBSTITUTE(E745," [",", "),"[",", "),"]","")&amp;"]",TRIM(INDEX($A$3:$A$168,K745))&amp;" ["&amp;SUBSTITUTE(SUBSTITUTE(SUBSTITUTE(E745," [",", "),"[",", "),"]","")&amp;"]")))</x:f>
      </x:c>
      <x:c r="G745" t="str">
        <x:f>IF(F745&lt;&gt;"",ROWS($F$3:F745)-COUNTBLANK($F$3:F745),"")</x:f>
      </x:c>
      <x:c r="H745"/>
      <x:c r="I745"/>
      <x:c r="J745"/>
      <x:c r="K745" t="str">
        <x:f>IF(ROW()-ROW($K$2)&lt;=SUM($J$3:$J$168),COUNTIF($H$3:$H$168,"&lt;"&amp;(ROW()-ROW($K$2))),"")</x:f>
      </x:c>
      <x:c r="L745" t="str">
        <x:f>IF(K745="","",ROW()-ROW($L$2)-INDEX($H$3:$H$168,K745))</x:f>
      </x:c>
      <x:c r="M745" t="str">
        <x:f>IF(K745="","",IF(L745=1,1,FIND(CHAR(1),SUBSTITUTE(INDEX($B$3:$B$168,K745),CHAR(10),CHAR(1),L745-1))+1))</x:f>
      </x:c>
      <x:c r="N745" t="str">
        <x:f>IF(K745="","",IFERROR(FIND(CHAR(1),SUBSTITUTE(INDEX($B$3:$B$168,K745),CHAR(10),CHAR(1),L745)),LEN(INDEX($B$3:$B$168,K745))+1))</x:f>
      </x:c>
    </x:row>
    <x:row r="746">
      <x:c r="A746"/>
      <x:c r="B746"/>
      <x:c r="C746"/>
      <x:c r="D746" t="str">
        <x:f>IFERROR(IF(744&lt;=$O$1,INDEX($A$3:$A$168,MATCH(744,$I$3:$I$168,0)),IF(744&lt;=$O$1+$O$2,INDEX($F$3:$F$1994,MATCH(744-$O$1,$G$3:$G$1994,0)),"")),"")</x:f>
      </x:c>
      <x:c r="E746" t="str">
        <x:f>IF(K746="","",IF(N746&lt;=M746,"",TRIM(CLEAN(MID(INDEX($B$3:$B$168,K746),M746,N746-M746)))))</x:f>
      </x:c>
      <x:c r="F746" t="str">
        <x:f>IF(E746="","",IF(E746=TRIM(INDEX($A$3:$A$168,K746)),"",IF(RIGHT(TRIM(INDEX($A$3:$A$168,K746)),1)="]",LEFT(TRIM(INDEX($A$3:$A$168,K746)),LEN(TRIM(INDEX($A$3:$A$168,K746)))-1)&amp;", "&amp;SUBSTITUTE(SUBSTITUTE(SUBSTITUTE(E746," [",", "),"[",", "),"]","")&amp;"]",TRIM(INDEX($A$3:$A$168,K746))&amp;" ["&amp;SUBSTITUTE(SUBSTITUTE(SUBSTITUTE(E746," [",", "),"[",", "),"]","")&amp;"]")))</x:f>
      </x:c>
      <x:c r="G746" t="str">
        <x:f>IF(F746&lt;&gt;"",ROWS($F$3:F746)-COUNTBLANK($F$3:F746),"")</x:f>
      </x:c>
      <x:c r="H746"/>
      <x:c r="I746"/>
      <x:c r="J746"/>
      <x:c r="K746" t="str">
        <x:f>IF(ROW()-ROW($K$2)&lt;=SUM($J$3:$J$168),COUNTIF($H$3:$H$168,"&lt;"&amp;(ROW()-ROW($K$2))),"")</x:f>
      </x:c>
      <x:c r="L746" t="str">
        <x:f>IF(K746="","",ROW()-ROW($L$2)-INDEX($H$3:$H$168,K746))</x:f>
      </x:c>
      <x:c r="M746" t="str">
        <x:f>IF(K746="","",IF(L746=1,1,FIND(CHAR(1),SUBSTITUTE(INDEX($B$3:$B$168,K746),CHAR(10),CHAR(1),L746-1))+1))</x:f>
      </x:c>
      <x:c r="N746" t="str">
        <x:f>IF(K746="","",IFERROR(FIND(CHAR(1),SUBSTITUTE(INDEX($B$3:$B$168,K746),CHAR(10),CHAR(1),L746)),LEN(INDEX($B$3:$B$168,K746))+1))</x:f>
      </x:c>
    </x:row>
    <x:row r="747">
      <x:c r="A747"/>
      <x:c r="B747"/>
      <x:c r="C747"/>
      <x:c r="D747" t="str">
        <x:f>IFERROR(IF(745&lt;=$O$1,INDEX($A$3:$A$168,MATCH(745,$I$3:$I$168,0)),IF(745&lt;=$O$1+$O$2,INDEX($F$3:$F$1994,MATCH(745-$O$1,$G$3:$G$1994,0)),"")),"")</x:f>
      </x:c>
      <x:c r="E747" t="str">
        <x:f>IF(K747="","",IF(N747&lt;=M747,"",TRIM(CLEAN(MID(INDEX($B$3:$B$168,K747),M747,N747-M747)))))</x:f>
      </x:c>
      <x:c r="F747" t="str">
        <x:f>IF(E747="","",IF(E747=TRIM(INDEX($A$3:$A$168,K747)),"",IF(RIGHT(TRIM(INDEX($A$3:$A$168,K747)),1)="]",LEFT(TRIM(INDEX($A$3:$A$168,K747)),LEN(TRIM(INDEX($A$3:$A$168,K747)))-1)&amp;", "&amp;SUBSTITUTE(SUBSTITUTE(SUBSTITUTE(E747," [",", "),"[",", "),"]","")&amp;"]",TRIM(INDEX($A$3:$A$168,K747))&amp;" ["&amp;SUBSTITUTE(SUBSTITUTE(SUBSTITUTE(E747," [",", "),"[",", "),"]","")&amp;"]")))</x:f>
      </x:c>
      <x:c r="G747" t="str">
        <x:f>IF(F747&lt;&gt;"",ROWS($F$3:F747)-COUNTBLANK($F$3:F747),"")</x:f>
      </x:c>
      <x:c r="H747"/>
      <x:c r="I747"/>
      <x:c r="J747"/>
      <x:c r="K747" t="str">
        <x:f>IF(ROW()-ROW($K$2)&lt;=SUM($J$3:$J$168),COUNTIF($H$3:$H$168,"&lt;"&amp;(ROW()-ROW($K$2))),"")</x:f>
      </x:c>
      <x:c r="L747" t="str">
        <x:f>IF(K747="","",ROW()-ROW($L$2)-INDEX($H$3:$H$168,K747))</x:f>
      </x:c>
      <x:c r="M747" t="str">
        <x:f>IF(K747="","",IF(L747=1,1,FIND(CHAR(1),SUBSTITUTE(INDEX($B$3:$B$168,K747),CHAR(10),CHAR(1),L747-1))+1))</x:f>
      </x:c>
      <x:c r="N747" t="str">
        <x:f>IF(K747="","",IFERROR(FIND(CHAR(1),SUBSTITUTE(INDEX($B$3:$B$168,K747),CHAR(10),CHAR(1),L747)),LEN(INDEX($B$3:$B$168,K747))+1))</x:f>
      </x:c>
    </x:row>
    <x:row r="748">
      <x:c r="A748"/>
      <x:c r="B748"/>
      <x:c r="C748"/>
      <x:c r="D748" t="str">
        <x:f>IFERROR(IF(746&lt;=$O$1,INDEX($A$3:$A$168,MATCH(746,$I$3:$I$168,0)),IF(746&lt;=$O$1+$O$2,INDEX($F$3:$F$1994,MATCH(746-$O$1,$G$3:$G$1994,0)),"")),"")</x:f>
      </x:c>
      <x:c r="E748" t="str">
        <x:f>IF(K748="","",IF(N748&lt;=M748,"",TRIM(CLEAN(MID(INDEX($B$3:$B$168,K748),M748,N748-M748)))))</x:f>
      </x:c>
      <x:c r="F748" t="str">
        <x:f>IF(E748="","",IF(E748=TRIM(INDEX($A$3:$A$168,K748)),"",IF(RIGHT(TRIM(INDEX($A$3:$A$168,K748)),1)="]",LEFT(TRIM(INDEX($A$3:$A$168,K748)),LEN(TRIM(INDEX($A$3:$A$168,K748)))-1)&amp;", "&amp;SUBSTITUTE(SUBSTITUTE(SUBSTITUTE(E748," [",", "),"[",", "),"]","")&amp;"]",TRIM(INDEX($A$3:$A$168,K748))&amp;" ["&amp;SUBSTITUTE(SUBSTITUTE(SUBSTITUTE(E748," [",", "),"[",", "),"]","")&amp;"]")))</x:f>
      </x:c>
      <x:c r="G748" t="str">
        <x:f>IF(F748&lt;&gt;"",ROWS($F$3:F748)-COUNTBLANK($F$3:F748),"")</x:f>
      </x:c>
      <x:c r="H748"/>
      <x:c r="I748"/>
      <x:c r="J748"/>
      <x:c r="K748" t="str">
        <x:f>IF(ROW()-ROW($K$2)&lt;=SUM($J$3:$J$168),COUNTIF($H$3:$H$168,"&lt;"&amp;(ROW()-ROW($K$2))),"")</x:f>
      </x:c>
      <x:c r="L748" t="str">
        <x:f>IF(K748="","",ROW()-ROW($L$2)-INDEX($H$3:$H$168,K748))</x:f>
      </x:c>
      <x:c r="M748" t="str">
        <x:f>IF(K748="","",IF(L748=1,1,FIND(CHAR(1),SUBSTITUTE(INDEX($B$3:$B$168,K748),CHAR(10),CHAR(1),L748-1))+1))</x:f>
      </x:c>
      <x:c r="N748" t="str">
        <x:f>IF(K748="","",IFERROR(FIND(CHAR(1),SUBSTITUTE(INDEX($B$3:$B$168,K748),CHAR(10),CHAR(1),L748)),LEN(INDEX($B$3:$B$168,K748))+1))</x:f>
      </x:c>
    </x:row>
    <x:row r="749">
      <x:c r="A749"/>
      <x:c r="B749"/>
      <x:c r="C749"/>
      <x:c r="D749" t="str">
        <x:f>IFERROR(IF(747&lt;=$O$1,INDEX($A$3:$A$168,MATCH(747,$I$3:$I$168,0)),IF(747&lt;=$O$1+$O$2,INDEX($F$3:$F$1994,MATCH(747-$O$1,$G$3:$G$1994,0)),"")),"")</x:f>
      </x:c>
      <x:c r="E749" t="str">
        <x:f>IF(K749="","",IF(N749&lt;=M749,"",TRIM(CLEAN(MID(INDEX($B$3:$B$168,K749),M749,N749-M749)))))</x:f>
      </x:c>
      <x:c r="F749" t="str">
        <x:f>IF(E749="","",IF(E749=TRIM(INDEX($A$3:$A$168,K749)),"",IF(RIGHT(TRIM(INDEX($A$3:$A$168,K749)),1)="]",LEFT(TRIM(INDEX($A$3:$A$168,K749)),LEN(TRIM(INDEX($A$3:$A$168,K749)))-1)&amp;", "&amp;SUBSTITUTE(SUBSTITUTE(SUBSTITUTE(E749," [",", "),"[",", "),"]","")&amp;"]",TRIM(INDEX($A$3:$A$168,K749))&amp;" ["&amp;SUBSTITUTE(SUBSTITUTE(SUBSTITUTE(E749," [",", "),"[",", "),"]","")&amp;"]")))</x:f>
      </x:c>
      <x:c r="G749" t="str">
        <x:f>IF(F749&lt;&gt;"",ROWS($F$3:F749)-COUNTBLANK($F$3:F749),"")</x:f>
      </x:c>
      <x:c r="H749"/>
      <x:c r="I749"/>
      <x:c r="J749"/>
      <x:c r="K749" t="str">
        <x:f>IF(ROW()-ROW($K$2)&lt;=SUM($J$3:$J$168),COUNTIF($H$3:$H$168,"&lt;"&amp;(ROW()-ROW($K$2))),"")</x:f>
      </x:c>
      <x:c r="L749" t="str">
        <x:f>IF(K749="","",ROW()-ROW($L$2)-INDEX($H$3:$H$168,K749))</x:f>
      </x:c>
      <x:c r="M749" t="str">
        <x:f>IF(K749="","",IF(L749=1,1,FIND(CHAR(1),SUBSTITUTE(INDEX($B$3:$B$168,K749),CHAR(10),CHAR(1),L749-1))+1))</x:f>
      </x:c>
      <x:c r="N749" t="str">
        <x:f>IF(K749="","",IFERROR(FIND(CHAR(1),SUBSTITUTE(INDEX($B$3:$B$168,K749),CHAR(10),CHAR(1),L749)),LEN(INDEX($B$3:$B$168,K749))+1))</x:f>
      </x:c>
    </x:row>
    <x:row r="750">
      <x:c r="A750"/>
      <x:c r="B750"/>
      <x:c r="C750"/>
      <x:c r="D750" t="str">
        <x:f>IFERROR(IF(748&lt;=$O$1,INDEX($A$3:$A$168,MATCH(748,$I$3:$I$168,0)),IF(748&lt;=$O$1+$O$2,INDEX($F$3:$F$1994,MATCH(748-$O$1,$G$3:$G$1994,0)),"")),"")</x:f>
      </x:c>
      <x:c r="E750" t="str">
        <x:f>IF(K750="","",IF(N750&lt;=M750,"",TRIM(CLEAN(MID(INDEX($B$3:$B$168,K750),M750,N750-M750)))))</x:f>
      </x:c>
      <x:c r="F750" t="str">
        <x:f>IF(E750="","",IF(E750=TRIM(INDEX($A$3:$A$168,K750)),"",IF(RIGHT(TRIM(INDEX($A$3:$A$168,K750)),1)="]",LEFT(TRIM(INDEX($A$3:$A$168,K750)),LEN(TRIM(INDEX($A$3:$A$168,K750)))-1)&amp;", "&amp;SUBSTITUTE(SUBSTITUTE(SUBSTITUTE(E750," [",", "),"[",", "),"]","")&amp;"]",TRIM(INDEX($A$3:$A$168,K750))&amp;" ["&amp;SUBSTITUTE(SUBSTITUTE(SUBSTITUTE(E750," [",", "),"[",", "),"]","")&amp;"]")))</x:f>
      </x:c>
      <x:c r="G750" t="str">
        <x:f>IF(F750&lt;&gt;"",ROWS($F$3:F750)-COUNTBLANK($F$3:F750),"")</x:f>
      </x:c>
      <x:c r="H750"/>
      <x:c r="I750"/>
      <x:c r="J750"/>
      <x:c r="K750" t="str">
        <x:f>IF(ROW()-ROW($K$2)&lt;=SUM($J$3:$J$168),COUNTIF($H$3:$H$168,"&lt;"&amp;(ROW()-ROW($K$2))),"")</x:f>
      </x:c>
      <x:c r="L750" t="str">
        <x:f>IF(K750="","",ROW()-ROW($L$2)-INDEX($H$3:$H$168,K750))</x:f>
      </x:c>
      <x:c r="M750" t="str">
        <x:f>IF(K750="","",IF(L750=1,1,FIND(CHAR(1),SUBSTITUTE(INDEX($B$3:$B$168,K750),CHAR(10),CHAR(1),L750-1))+1))</x:f>
      </x:c>
      <x:c r="N750" t="str">
        <x:f>IF(K750="","",IFERROR(FIND(CHAR(1),SUBSTITUTE(INDEX($B$3:$B$168,K750),CHAR(10),CHAR(1),L750)),LEN(INDEX($B$3:$B$168,K750))+1))</x:f>
      </x:c>
    </x:row>
    <x:row r="751">
      <x:c r="A751"/>
      <x:c r="B751"/>
      <x:c r="C751"/>
      <x:c r="D751" t="str">
        <x:f>IFERROR(IF(749&lt;=$O$1,INDEX($A$3:$A$168,MATCH(749,$I$3:$I$168,0)),IF(749&lt;=$O$1+$O$2,INDEX($F$3:$F$1994,MATCH(749-$O$1,$G$3:$G$1994,0)),"")),"")</x:f>
      </x:c>
      <x:c r="E751" t="str">
        <x:f>IF(K751="","",IF(N751&lt;=M751,"",TRIM(CLEAN(MID(INDEX($B$3:$B$168,K751),M751,N751-M751)))))</x:f>
      </x:c>
      <x:c r="F751" t="str">
        <x:f>IF(E751="","",IF(E751=TRIM(INDEX($A$3:$A$168,K751)),"",IF(RIGHT(TRIM(INDEX($A$3:$A$168,K751)),1)="]",LEFT(TRIM(INDEX($A$3:$A$168,K751)),LEN(TRIM(INDEX($A$3:$A$168,K751)))-1)&amp;", "&amp;SUBSTITUTE(SUBSTITUTE(SUBSTITUTE(E751," [",", "),"[",", "),"]","")&amp;"]",TRIM(INDEX($A$3:$A$168,K751))&amp;" ["&amp;SUBSTITUTE(SUBSTITUTE(SUBSTITUTE(E751," [",", "),"[",", "),"]","")&amp;"]")))</x:f>
      </x:c>
      <x:c r="G751" t="str">
        <x:f>IF(F751&lt;&gt;"",ROWS($F$3:F751)-COUNTBLANK($F$3:F751),"")</x:f>
      </x:c>
      <x:c r="H751"/>
      <x:c r="I751"/>
      <x:c r="J751"/>
      <x:c r="K751" t="str">
        <x:f>IF(ROW()-ROW($K$2)&lt;=SUM($J$3:$J$168),COUNTIF($H$3:$H$168,"&lt;"&amp;(ROW()-ROW($K$2))),"")</x:f>
      </x:c>
      <x:c r="L751" t="str">
        <x:f>IF(K751="","",ROW()-ROW($L$2)-INDEX($H$3:$H$168,K751))</x:f>
      </x:c>
      <x:c r="M751" t="str">
        <x:f>IF(K751="","",IF(L751=1,1,FIND(CHAR(1),SUBSTITUTE(INDEX($B$3:$B$168,K751),CHAR(10),CHAR(1),L751-1))+1))</x:f>
      </x:c>
      <x:c r="N751" t="str">
        <x:f>IF(K751="","",IFERROR(FIND(CHAR(1),SUBSTITUTE(INDEX($B$3:$B$168,K751),CHAR(10),CHAR(1),L751)),LEN(INDEX($B$3:$B$168,K751))+1))</x:f>
      </x:c>
    </x:row>
    <x:row r="752">
      <x:c r="A752"/>
      <x:c r="B752"/>
      <x:c r="C752"/>
      <x:c r="D752" t="str">
        <x:f>IFERROR(IF(750&lt;=$O$1,INDEX($A$3:$A$168,MATCH(750,$I$3:$I$168,0)),IF(750&lt;=$O$1+$O$2,INDEX($F$3:$F$1994,MATCH(750-$O$1,$G$3:$G$1994,0)),"")),"")</x:f>
      </x:c>
      <x:c r="E752" t="str">
        <x:f>IF(K752="","",IF(N752&lt;=M752,"",TRIM(CLEAN(MID(INDEX($B$3:$B$168,K752),M752,N752-M752)))))</x:f>
      </x:c>
      <x:c r="F752" t="str">
        <x:f>IF(E752="","",IF(E752=TRIM(INDEX($A$3:$A$168,K752)),"",IF(RIGHT(TRIM(INDEX($A$3:$A$168,K752)),1)="]",LEFT(TRIM(INDEX($A$3:$A$168,K752)),LEN(TRIM(INDEX($A$3:$A$168,K752)))-1)&amp;", "&amp;SUBSTITUTE(SUBSTITUTE(SUBSTITUTE(E752," [",", "),"[",", "),"]","")&amp;"]",TRIM(INDEX($A$3:$A$168,K752))&amp;" ["&amp;SUBSTITUTE(SUBSTITUTE(SUBSTITUTE(E752," [",", "),"[",", "),"]","")&amp;"]")))</x:f>
      </x:c>
      <x:c r="G752" t="str">
        <x:f>IF(F752&lt;&gt;"",ROWS($F$3:F752)-COUNTBLANK($F$3:F752),"")</x:f>
      </x:c>
      <x:c r="H752"/>
      <x:c r="I752"/>
      <x:c r="J752"/>
      <x:c r="K752" t="str">
        <x:f>IF(ROW()-ROW($K$2)&lt;=SUM($J$3:$J$168),COUNTIF($H$3:$H$168,"&lt;"&amp;(ROW()-ROW($K$2))),"")</x:f>
      </x:c>
      <x:c r="L752" t="str">
        <x:f>IF(K752="","",ROW()-ROW($L$2)-INDEX($H$3:$H$168,K752))</x:f>
      </x:c>
      <x:c r="M752" t="str">
        <x:f>IF(K752="","",IF(L752=1,1,FIND(CHAR(1),SUBSTITUTE(INDEX($B$3:$B$168,K752),CHAR(10),CHAR(1),L752-1))+1))</x:f>
      </x:c>
      <x:c r="N752" t="str">
        <x:f>IF(K752="","",IFERROR(FIND(CHAR(1),SUBSTITUTE(INDEX($B$3:$B$168,K752),CHAR(10),CHAR(1),L752)),LEN(INDEX($B$3:$B$168,K752))+1))</x:f>
      </x:c>
    </x:row>
    <x:row r="753">
      <x:c r="A753"/>
      <x:c r="B753"/>
      <x:c r="C753"/>
      <x:c r="D753" t="str">
        <x:f>IFERROR(IF(751&lt;=$O$1,INDEX($A$3:$A$168,MATCH(751,$I$3:$I$168,0)),IF(751&lt;=$O$1+$O$2,INDEX($F$3:$F$1994,MATCH(751-$O$1,$G$3:$G$1994,0)),"")),"")</x:f>
      </x:c>
      <x:c r="E753" t="str">
        <x:f>IF(K753="","",IF(N753&lt;=M753,"",TRIM(CLEAN(MID(INDEX($B$3:$B$168,K753),M753,N753-M753)))))</x:f>
      </x:c>
      <x:c r="F753" t="str">
        <x:f>IF(E753="","",IF(E753=TRIM(INDEX($A$3:$A$168,K753)),"",IF(RIGHT(TRIM(INDEX($A$3:$A$168,K753)),1)="]",LEFT(TRIM(INDEX($A$3:$A$168,K753)),LEN(TRIM(INDEX($A$3:$A$168,K753)))-1)&amp;", "&amp;SUBSTITUTE(SUBSTITUTE(SUBSTITUTE(E753," [",", "),"[",", "),"]","")&amp;"]",TRIM(INDEX($A$3:$A$168,K753))&amp;" ["&amp;SUBSTITUTE(SUBSTITUTE(SUBSTITUTE(E753," [",", "),"[",", "),"]","")&amp;"]")))</x:f>
      </x:c>
      <x:c r="G753" t="str">
        <x:f>IF(F753&lt;&gt;"",ROWS($F$3:F753)-COUNTBLANK($F$3:F753),"")</x:f>
      </x:c>
      <x:c r="H753"/>
      <x:c r="I753"/>
      <x:c r="J753"/>
      <x:c r="K753" t="str">
        <x:f>IF(ROW()-ROW($K$2)&lt;=SUM($J$3:$J$168),COUNTIF($H$3:$H$168,"&lt;"&amp;(ROW()-ROW($K$2))),"")</x:f>
      </x:c>
      <x:c r="L753" t="str">
        <x:f>IF(K753="","",ROW()-ROW($L$2)-INDEX($H$3:$H$168,K753))</x:f>
      </x:c>
      <x:c r="M753" t="str">
        <x:f>IF(K753="","",IF(L753=1,1,FIND(CHAR(1),SUBSTITUTE(INDEX($B$3:$B$168,K753),CHAR(10),CHAR(1),L753-1))+1))</x:f>
      </x:c>
      <x:c r="N753" t="str">
        <x:f>IF(K753="","",IFERROR(FIND(CHAR(1),SUBSTITUTE(INDEX($B$3:$B$168,K753),CHAR(10),CHAR(1),L753)),LEN(INDEX($B$3:$B$168,K753))+1))</x:f>
      </x:c>
    </x:row>
    <x:row r="754">
      <x:c r="A754"/>
      <x:c r="B754"/>
      <x:c r="C754"/>
      <x:c r="D754" t="str">
        <x:f>IFERROR(IF(752&lt;=$O$1,INDEX($A$3:$A$168,MATCH(752,$I$3:$I$168,0)),IF(752&lt;=$O$1+$O$2,INDEX($F$3:$F$1994,MATCH(752-$O$1,$G$3:$G$1994,0)),"")),"")</x:f>
      </x:c>
      <x:c r="E754" t="str">
        <x:f>IF(K754="","",IF(N754&lt;=M754,"",TRIM(CLEAN(MID(INDEX($B$3:$B$168,K754),M754,N754-M754)))))</x:f>
      </x:c>
      <x:c r="F754" t="str">
        <x:f>IF(E754="","",IF(E754=TRIM(INDEX($A$3:$A$168,K754)),"",IF(RIGHT(TRIM(INDEX($A$3:$A$168,K754)),1)="]",LEFT(TRIM(INDEX($A$3:$A$168,K754)),LEN(TRIM(INDEX($A$3:$A$168,K754)))-1)&amp;", "&amp;SUBSTITUTE(SUBSTITUTE(SUBSTITUTE(E754," [",", "),"[",", "),"]","")&amp;"]",TRIM(INDEX($A$3:$A$168,K754))&amp;" ["&amp;SUBSTITUTE(SUBSTITUTE(SUBSTITUTE(E754," [",", "),"[",", "),"]","")&amp;"]")))</x:f>
      </x:c>
      <x:c r="G754" t="str">
        <x:f>IF(F754&lt;&gt;"",ROWS($F$3:F754)-COUNTBLANK($F$3:F754),"")</x:f>
      </x:c>
      <x:c r="H754"/>
      <x:c r="I754"/>
      <x:c r="J754"/>
      <x:c r="K754" t="str">
        <x:f>IF(ROW()-ROW($K$2)&lt;=SUM($J$3:$J$168),COUNTIF($H$3:$H$168,"&lt;"&amp;(ROW()-ROW($K$2))),"")</x:f>
      </x:c>
      <x:c r="L754" t="str">
        <x:f>IF(K754="","",ROW()-ROW($L$2)-INDEX($H$3:$H$168,K754))</x:f>
      </x:c>
      <x:c r="M754" t="str">
        <x:f>IF(K754="","",IF(L754=1,1,FIND(CHAR(1),SUBSTITUTE(INDEX($B$3:$B$168,K754),CHAR(10),CHAR(1),L754-1))+1))</x:f>
      </x:c>
      <x:c r="N754" t="str">
        <x:f>IF(K754="","",IFERROR(FIND(CHAR(1),SUBSTITUTE(INDEX($B$3:$B$168,K754),CHAR(10),CHAR(1),L754)),LEN(INDEX($B$3:$B$168,K754))+1))</x:f>
      </x:c>
    </x:row>
    <x:row r="755">
      <x:c r="A755"/>
      <x:c r="B755"/>
      <x:c r="C755"/>
      <x:c r="D755" t="str">
        <x:f>IFERROR(IF(753&lt;=$O$1,INDEX($A$3:$A$168,MATCH(753,$I$3:$I$168,0)),IF(753&lt;=$O$1+$O$2,INDEX($F$3:$F$1994,MATCH(753-$O$1,$G$3:$G$1994,0)),"")),"")</x:f>
      </x:c>
      <x:c r="E755" t="str">
        <x:f>IF(K755="","",IF(N755&lt;=M755,"",TRIM(CLEAN(MID(INDEX($B$3:$B$168,K755),M755,N755-M755)))))</x:f>
      </x:c>
      <x:c r="F755" t="str">
        <x:f>IF(E755="","",IF(E755=TRIM(INDEX($A$3:$A$168,K755)),"",IF(RIGHT(TRIM(INDEX($A$3:$A$168,K755)),1)="]",LEFT(TRIM(INDEX($A$3:$A$168,K755)),LEN(TRIM(INDEX($A$3:$A$168,K755)))-1)&amp;", "&amp;SUBSTITUTE(SUBSTITUTE(SUBSTITUTE(E755," [",", "),"[",", "),"]","")&amp;"]",TRIM(INDEX($A$3:$A$168,K755))&amp;" ["&amp;SUBSTITUTE(SUBSTITUTE(SUBSTITUTE(E755," [",", "),"[",", "),"]","")&amp;"]")))</x:f>
      </x:c>
      <x:c r="G755" t="str">
        <x:f>IF(F755&lt;&gt;"",ROWS($F$3:F755)-COUNTBLANK($F$3:F755),"")</x:f>
      </x:c>
      <x:c r="H755"/>
      <x:c r="I755"/>
      <x:c r="J755"/>
      <x:c r="K755" t="str">
        <x:f>IF(ROW()-ROW($K$2)&lt;=SUM($J$3:$J$168),COUNTIF($H$3:$H$168,"&lt;"&amp;(ROW()-ROW($K$2))),"")</x:f>
      </x:c>
      <x:c r="L755" t="str">
        <x:f>IF(K755="","",ROW()-ROW($L$2)-INDEX($H$3:$H$168,K755))</x:f>
      </x:c>
      <x:c r="M755" t="str">
        <x:f>IF(K755="","",IF(L755=1,1,FIND(CHAR(1),SUBSTITUTE(INDEX($B$3:$B$168,K755),CHAR(10),CHAR(1),L755-1))+1))</x:f>
      </x:c>
      <x:c r="N755" t="str">
        <x:f>IF(K755="","",IFERROR(FIND(CHAR(1),SUBSTITUTE(INDEX($B$3:$B$168,K755),CHAR(10),CHAR(1),L755)),LEN(INDEX($B$3:$B$168,K755))+1))</x:f>
      </x:c>
    </x:row>
    <x:row r="756">
      <x:c r="A756"/>
      <x:c r="B756"/>
      <x:c r="C756"/>
      <x:c r="D756" t="str">
        <x:f>IFERROR(IF(754&lt;=$O$1,INDEX($A$3:$A$168,MATCH(754,$I$3:$I$168,0)),IF(754&lt;=$O$1+$O$2,INDEX($F$3:$F$1994,MATCH(754-$O$1,$G$3:$G$1994,0)),"")),"")</x:f>
      </x:c>
      <x:c r="E756" t="str">
        <x:f>IF(K756="","",IF(N756&lt;=M756,"",TRIM(CLEAN(MID(INDEX($B$3:$B$168,K756),M756,N756-M756)))))</x:f>
      </x:c>
      <x:c r="F756" t="str">
        <x:f>IF(E756="","",IF(E756=TRIM(INDEX($A$3:$A$168,K756)),"",IF(RIGHT(TRIM(INDEX($A$3:$A$168,K756)),1)="]",LEFT(TRIM(INDEX($A$3:$A$168,K756)),LEN(TRIM(INDEX($A$3:$A$168,K756)))-1)&amp;", "&amp;SUBSTITUTE(SUBSTITUTE(SUBSTITUTE(E756," [",", "),"[",", "),"]","")&amp;"]",TRIM(INDEX($A$3:$A$168,K756))&amp;" ["&amp;SUBSTITUTE(SUBSTITUTE(SUBSTITUTE(E756," [",", "),"[",", "),"]","")&amp;"]")))</x:f>
      </x:c>
      <x:c r="G756" t="str">
        <x:f>IF(F756&lt;&gt;"",ROWS($F$3:F756)-COUNTBLANK($F$3:F756),"")</x:f>
      </x:c>
      <x:c r="H756"/>
      <x:c r="I756"/>
      <x:c r="J756"/>
      <x:c r="K756" t="str">
        <x:f>IF(ROW()-ROW($K$2)&lt;=SUM($J$3:$J$168),COUNTIF($H$3:$H$168,"&lt;"&amp;(ROW()-ROW($K$2))),"")</x:f>
      </x:c>
      <x:c r="L756" t="str">
        <x:f>IF(K756="","",ROW()-ROW($L$2)-INDEX($H$3:$H$168,K756))</x:f>
      </x:c>
      <x:c r="M756" t="str">
        <x:f>IF(K756="","",IF(L756=1,1,FIND(CHAR(1),SUBSTITUTE(INDEX($B$3:$B$168,K756),CHAR(10),CHAR(1),L756-1))+1))</x:f>
      </x:c>
      <x:c r="N756" t="str">
        <x:f>IF(K756="","",IFERROR(FIND(CHAR(1),SUBSTITUTE(INDEX($B$3:$B$168,K756),CHAR(10),CHAR(1),L756)),LEN(INDEX($B$3:$B$168,K756))+1))</x:f>
      </x:c>
    </x:row>
    <x:row r="757">
      <x:c r="A757"/>
      <x:c r="B757"/>
      <x:c r="C757"/>
      <x:c r="D757" t="str">
        <x:f>IFERROR(IF(755&lt;=$O$1,INDEX($A$3:$A$168,MATCH(755,$I$3:$I$168,0)),IF(755&lt;=$O$1+$O$2,INDEX($F$3:$F$1994,MATCH(755-$O$1,$G$3:$G$1994,0)),"")),"")</x:f>
      </x:c>
      <x:c r="E757" t="str">
        <x:f>IF(K757="","",IF(N757&lt;=M757,"",TRIM(CLEAN(MID(INDEX($B$3:$B$168,K757),M757,N757-M757)))))</x:f>
      </x:c>
      <x:c r="F757" t="str">
        <x:f>IF(E757="","",IF(E757=TRIM(INDEX($A$3:$A$168,K757)),"",IF(RIGHT(TRIM(INDEX($A$3:$A$168,K757)),1)="]",LEFT(TRIM(INDEX($A$3:$A$168,K757)),LEN(TRIM(INDEX($A$3:$A$168,K757)))-1)&amp;", "&amp;SUBSTITUTE(SUBSTITUTE(SUBSTITUTE(E757," [",", "),"[",", "),"]","")&amp;"]",TRIM(INDEX($A$3:$A$168,K757))&amp;" ["&amp;SUBSTITUTE(SUBSTITUTE(SUBSTITUTE(E757," [",", "),"[",", "),"]","")&amp;"]")))</x:f>
      </x:c>
      <x:c r="G757" t="str">
        <x:f>IF(F757&lt;&gt;"",ROWS($F$3:F757)-COUNTBLANK($F$3:F757),"")</x:f>
      </x:c>
      <x:c r="H757"/>
      <x:c r="I757"/>
      <x:c r="J757"/>
      <x:c r="K757" t="str">
        <x:f>IF(ROW()-ROW($K$2)&lt;=SUM($J$3:$J$168),COUNTIF($H$3:$H$168,"&lt;"&amp;(ROW()-ROW($K$2))),"")</x:f>
      </x:c>
      <x:c r="L757" t="str">
        <x:f>IF(K757="","",ROW()-ROW($L$2)-INDEX($H$3:$H$168,K757))</x:f>
      </x:c>
      <x:c r="M757" t="str">
        <x:f>IF(K757="","",IF(L757=1,1,FIND(CHAR(1),SUBSTITUTE(INDEX($B$3:$B$168,K757),CHAR(10),CHAR(1),L757-1))+1))</x:f>
      </x:c>
      <x:c r="N757" t="str">
        <x:f>IF(K757="","",IFERROR(FIND(CHAR(1),SUBSTITUTE(INDEX($B$3:$B$168,K757),CHAR(10),CHAR(1),L757)),LEN(INDEX($B$3:$B$168,K757))+1))</x:f>
      </x:c>
    </x:row>
    <x:row r="758">
      <x:c r="A758"/>
      <x:c r="B758"/>
      <x:c r="C758"/>
      <x:c r="D758" t="str">
        <x:f>IFERROR(IF(756&lt;=$O$1,INDEX($A$3:$A$168,MATCH(756,$I$3:$I$168,0)),IF(756&lt;=$O$1+$O$2,INDEX($F$3:$F$1994,MATCH(756-$O$1,$G$3:$G$1994,0)),"")),"")</x:f>
      </x:c>
      <x:c r="E758" t="str">
        <x:f>IF(K758="","",IF(N758&lt;=M758,"",TRIM(CLEAN(MID(INDEX($B$3:$B$168,K758),M758,N758-M758)))))</x:f>
      </x:c>
      <x:c r="F758" t="str">
        <x:f>IF(E758="","",IF(E758=TRIM(INDEX($A$3:$A$168,K758)),"",IF(RIGHT(TRIM(INDEX($A$3:$A$168,K758)),1)="]",LEFT(TRIM(INDEX($A$3:$A$168,K758)),LEN(TRIM(INDEX($A$3:$A$168,K758)))-1)&amp;", "&amp;SUBSTITUTE(SUBSTITUTE(SUBSTITUTE(E758," [",", "),"[",", "),"]","")&amp;"]",TRIM(INDEX($A$3:$A$168,K758))&amp;" ["&amp;SUBSTITUTE(SUBSTITUTE(SUBSTITUTE(E758," [",", "),"[",", "),"]","")&amp;"]")))</x:f>
      </x:c>
      <x:c r="G758" t="str">
        <x:f>IF(F758&lt;&gt;"",ROWS($F$3:F758)-COUNTBLANK($F$3:F758),"")</x:f>
      </x:c>
      <x:c r="H758"/>
      <x:c r="I758"/>
      <x:c r="J758"/>
      <x:c r="K758" t="str">
        <x:f>IF(ROW()-ROW($K$2)&lt;=SUM($J$3:$J$168),COUNTIF($H$3:$H$168,"&lt;"&amp;(ROW()-ROW($K$2))),"")</x:f>
      </x:c>
      <x:c r="L758" t="str">
        <x:f>IF(K758="","",ROW()-ROW($L$2)-INDEX($H$3:$H$168,K758))</x:f>
      </x:c>
      <x:c r="M758" t="str">
        <x:f>IF(K758="","",IF(L758=1,1,FIND(CHAR(1),SUBSTITUTE(INDEX($B$3:$B$168,K758),CHAR(10),CHAR(1),L758-1))+1))</x:f>
      </x:c>
      <x:c r="N758" t="str">
        <x:f>IF(K758="","",IFERROR(FIND(CHAR(1),SUBSTITUTE(INDEX($B$3:$B$168,K758),CHAR(10),CHAR(1),L758)),LEN(INDEX($B$3:$B$168,K758))+1))</x:f>
      </x:c>
    </x:row>
    <x:row r="759">
      <x:c r="A759"/>
      <x:c r="B759"/>
      <x:c r="C759"/>
      <x:c r="D759" t="str">
        <x:f>IFERROR(IF(757&lt;=$O$1,INDEX($A$3:$A$168,MATCH(757,$I$3:$I$168,0)),IF(757&lt;=$O$1+$O$2,INDEX($F$3:$F$1994,MATCH(757-$O$1,$G$3:$G$1994,0)),"")),"")</x:f>
      </x:c>
      <x:c r="E759" t="str">
        <x:f>IF(K759="","",IF(N759&lt;=M759,"",TRIM(CLEAN(MID(INDEX($B$3:$B$168,K759),M759,N759-M759)))))</x:f>
      </x:c>
      <x:c r="F759" t="str">
        <x:f>IF(E759="","",IF(E759=TRIM(INDEX($A$3:$A$168,K759)),"",IF(RIGHT(TRIM(INDEX($A$3:$A$168,K759)),1)="]",LEFT(TRIM(INDEX($A$3:$A$168,K759)),LEN(TRIM(INDEX($A$3:$A$168,K759)))-1)&amp;", "&amp;SUBSTITUTE(SUBSTITUTE(SUBSTITUTE(E759," [",", "),"[",", "),"]","")&amp;"]",TRIM(INDEX($A$3:$A$168,K759))&amp;" ["&amp;SUBSTITUTE(SUBSTITUTE(SUBSTITUTE(E759," [",", "),"[",", "),"]","")&amp;"]")))</x:f>
      </x:c>
      <x:c r="G759" t="str">
        <x:f>IF(F759&lt;&gt;"",ROWS($F$3:F759)-COUNTBLANK($F$3:F759),"")</x:f>
      </x:c>
      <x:c r="H759"/>
      <x:c r="I759"/>
      <x:c r="J759"/>
      <x:c r="K759" t="str">
        <x:f>IF(ROW()-ROW($K$2)&lt;=SUM($J$3:$J$168),COUNTIF($H$3:$H$168,"&lt;"&amp;(ROW()-ROW($K$2))),"")</x:f>
      </x:c>
      <x:c r="L759" t="str">
        <x:f>IF(K759="","",ROW()-ROW($L$2)-INDEX($H$3:$H$168,K759))</x:f>
      </x:c>
      <x:c r="M759" t="str">
        <x:f>IF(K759="","",IF(L759=1,1,FIND(CHAR(1),SUBSTITUTE(INDEX($B$3:$B$168,K759),CHAR(10),CHAR(1),L759-1))+1))</x:f>
      </x:c>
      <x:c r="N759" t="str">
        <x:f>IF(K759="","",IFERROR(FIND(CHAR(1),SUBSTITUTE(INDEX($B$3:$B$168,K759),CHAR(10),CHAR(1),L759)),LEN(INDEX($B$3:$B$168,K759))+1))</x:f>
      </x:c>
    </x:row>
    <x:row r="760">
      <x:c r="A760"/>
      <x:c r="B760"/>
      <x:c r="C760"/>
      <x:c r="D760" t="str">
        <x:f>IFERROR(IF(758&lt;=$O$1,INDEX($A$3:$A$168,MATCH(758,$I$3:$I$168,0)),IF(758&lt;=$O$1+$O$2,INDEX($F$3:$F$1994,MATCH(758-$O$1,$G$3:$G$1994,0)),"")),"")</x:f>
      </x:c>
      <x:c r="E760" t="str">
        <x:f>IF(K760="","",IF(N760&lt;=M760,"",TRIM(CLEAN(MID(INDEX($B$3:$B$168,K760),M760,N760-M760)))))</x:f>
      </x:c>
      <x:c r="F760" t="str">
        <x:f>IF(E760="","",IF(E760=TRIM(INDEX($A$3:$A$168,K760)),"",IF(RIGHT(TRIM(INDEX($A$3:$A$168,K760)),1)="]",LEFT(TRIM(INDEX($A$3:$A$168,K760)),LEN(TRIM(INDEX($A$3:$A$168,K760)))-1)&amp;", "&amp;SUBSTITUTE(SUBSTITUTE(SUBSTITUTE(E760," [",", "),"[",", "),"]","")&amp;"]",TRIM(INDEX($A$3:$A$168,K760))&amp;" ["&amp;SUBSTITUTE(SUBSTITUTE(SUBSTITUTE(E760," [",", "),"[",", "),"]","")&amp;"]")))</x:f>
      </x:c>
      <x:c r="G760" t="str">
        <x:f>IF(F760&lt;&gt;"",ROWS($F$3:F760)-COUNTBLANK($F$3:F760),"")</x:f>
      </x:c>
      <x:c r="H760"/>
      <x:c r="I760"/>
      <x:c r="J760"/>
      <x:c r="K760" t="str">
        <x:f>IF(ROW()-ROW($K$2)&lt;=SUM($J$3:$J$168),COUNTIF($H$3:$H$168,"&lt;"&amp;(ROW()-ROW($K$2))),"")</x:f>
      </x:c>
      <x:c r="L760" t="str">
        <x:f>IF(K760="","",ROW()-ROW($L$2)-INDEX($H$3:$H$168,K760))</x:f>
      </x:c>
      <x:c r="M760" t="str">
        <x:f>IF(K760="","",IF(L760=1,1,FIND(CHAR(1),SUBSTITUTE(INDEX($B$3:$B$168,K760),CHAR(10),CHAR(1),L760-1))+1))</x:f>
      </x:c>
      <x:c r="N760" t="str">
        <x:f>IF(K760="","",IFERROR(FIND(CHAR(1),SUBSTITUTE(INDEX($B$3:$B$168,K760),CHAR(10),CHAR(1),L760)),LEN(INDEX($B$3:$B$168,K760))+1))</x:f>
      </x:c>
    </x:row>
    <x:row r="761">
      <x:c r="A761"/>
      <x:c r="B761"/>
      <x:c r="C761"/>
      <x:c r="D761" t="str">
        <x:f>IFERROR(IF(759&lt;=$O$1,INDEX($A$3:$A$168,MATCH(759,$I$3:$I$168,0)),IF(759&lt;=$O$1+$O$2,INDEX($F$3:$F$1994,MATCH(759-$O$1,$G$3:$G$1994,0)),"")),"")</x:f>
      </x:c>
      <x:c r="E761" t="str">
        <x:f>IF(K761="","",IF(N761&lt;=M761,"",TRIM(CLEAN(MID(INDEX($B$3:$B$168,K761),M761,N761-M761)))))</x:f>
      </x:c>
      <x:c r="F761" t="str">
        <x:f>IF(E761="","",IF(E761=TRIM(INDEX($A$3:$A$168,K761)),"",IF(RIGHT(TRIM(INDEX($A$3:$A$168,K761)),1)="]",LEFT(TRIM(INDEX($A$3:$A$168,K761)),LEN(TRIM(INDEX($A$3:$A$168,K761)))-1)&amp;", "&amp;SUBSTITUTE(SUBSTITUTE(SUBSTITUTE(E761," [",", "),"[",", "),"]","")&amp;"]",TRIM(INDEX($A$3:$A$168,K761))&amp;" ["&amp;SUBSTITUTE(SUBSTITUTE(SUBSTITUTE(E761," [",", "),"[",", "),"]","")&amp;"]")))</x:f>
      </x:c>
      <x:c r="G761" t="str">
        <x:f>IF(F761&lt;&gt;"",ROWS($F$3:F761)-COUNTBLANK($F$3:F761),"")</x:f>
      </x:c>
      <x:c r="H761"/>
      <x:c r="I761"/>
      <x:c r="J761"/>
      <x:c r="K761" t="str">
        <x:f>IF(ROW()-ROW($K$2)&lt;=SUM($J$3:$J$168),COUNTIF($H$3:$H$168,"&lt;"&amp;(ROW()-ROW($K$2))),"")</x:f>
      </x:c>
      <x:c r="L761" t="str">
        <x:f>IF(K761="","",ROW()-ROW($L$2)-INDEX($H$3:$H$168,K761))</x:f>
      </x:c>
      <x:c r="M761" t="str">
        <x:f>IF(K761="","",IF(L761=1,1,FIND(CHAR(1),SUBSTITUTE(INDEX($B$3:$B$168,K761),CHAR(10),CHAR(1),L761-1))+1))</x:f>
      </x:c>
      <x:c r="N761" t="str">
        <x:f>IF(K761="","",IFERROR(FIND(CHAR(1),SUBSTITUTE(INDEX($B$3:$B$168,K761),CHAR(10),CHAR(1),L761)),LEN(INDEX($B$3:$B$168,K761))+1))</x:f>
      </x:c>
    </x:row>
    <x:row r="762">
      <x:c r="A762"/>
      <x:c r="B762"/>
      <x:c r="C762"/>
      <x:c r="D762" t="str">
        <x:f>IFERROR(IF(760&lt;=$O$1,INDEX($A$3:$A$168,MATCH(760,$I$3:$I$168,0)),IF(760&lt;=$O$1+$O$2,INDEX($F$3:$F$1994,MATCH(760-$O$1,$G$3:$G$1994,0)),"")),"")</x:f>
      </x:c>
      <x:c r="E762" t="str">
        <x:f>IF(K762="","",IF(N762&lt;=M762,"",TRIM(CLEAN(MID(INDEX($B$3:$B$168,K762),M762,N762-M762)))))</x:f>
      </x:c>
      <x:c r="F762" t="str">
        <x:f>IF(E762="","",IF(E762=TRIM(INDEX($A$3:$A$168,K762)),"",IF(RIGHT(TRIM(INDEX($A$3:$A$168,K762)),1)="]",LEFT(TRIM(INDEX($A$3:$A$168,K762)),LEN(TRIM(INDEX($A$3:$A$168,K762)))-1)&amp;", "&amp;SUBSTITUTE(SUBSTITUTE(SUBSTITUTE(E762," [",", "),"[",", "),"]","")&amp;"]",TRIM(INDEX($A$3:$A$168,K762))&amp;" ["&amp;SUBSTITUTE(SUBSTITUTE(SUBSTITUTE(E762," [",", "),"[",", "),"]","")&amp;"]")))</x:f>
      </x:c>
      <x:c r="G762" t="str">
        <x:f>IF(F762&lt;&gt;"",ROWS($F$3:F762)-COUNTBLANK($F$3:F762),"")</x:f>
      </x:c>
      <x:c r="H762"/>
      <x:c r="I762"/>
      <x:c r="J762"/>
      <x:c r="K762" t="str">
        <x:f>IF(ROW()-ROW($K$2)&lt;=SUM($J$3:$J$168),COUNTIF($H$3:$H$168,"&lt;"&amp;(ROW()-ROW($K$2))),"")</x:f>
      </x:c>
      <x:c r="L762" t="str">
        <x:f>IF(K762="","",ROW()-ROW($L$2)-INDEX($H$3:$H$168,K762))</x:f>
      </x:c>
      <x:c r="M762" t="str">
        <x:f>IF(K762="","",IF(L762=1,1,FIND(CHAR(1),SUBSTITUTE(INDEX($B$3:$B$168,K762),CHAR(10),CHAR(1),L762-1))+1))</x:f>
      </x:c>
      <x:c r="N762" t="str">
        <x:f>IF(K762="","",IFERROR(FIND(CHAR(1),SUBSTITUTE(INDEX($B$3:$B$168,K762),CHAR(10),CHAR(1),L762)),LEN(INDEX($B$3:$B$168,K762))+1))</x:f>
      </x:c>
    </x:row>
    <x:row r="763">
      <x:c r="A763"/>
      <x:c r="B763"/>
      <x:c r="C763"/>
      <x:c r="D763" t="str">
        <x:f>IFERROR(IF(761&lt;=$O$1,INDEX($A$3:$A$168,MATCH(761,$I$3:$I$168,0)),IF(761&lt;=$O$1+$O$2,INDEX($F$3:$F$1994,MATCH(761-$O$1,$G$3:$G$1994,0)),"")),"")</x:f>
      </x:c>
      <x:c r="E763" t="str">
        <x:f>IF(K763="","",IF(N763&lt;=M763,"",TRIM(CLEAN(MID(INDEX($B$3:$B$168,K763),M763,N763-M763)))))</x:f>
      </x:c>
      <x:c r="F763" t="str">
        <x:f>IF(E763="","",IF(E763=TRIM(INDEX($A$3:$A$168,K763)),"",IF(RIGHT(TRIM(INDEX($A$3:$A$168,K763)),1)="]",LEFT(TRIM(INDEX($A$3:$A$168,K763)),LEN(TRIM(INDEX($A$3:$A$168,K763)))-1)&amp;", "&amp;SUBSTITUTE(SUBSTITUTE(SUBSTITUTE(E763," [",", "),"[",", "),"]","")&amp;"]",TRIM(INDEX($A$3:$A$168,K763))&amp;" ["&amp;SUBSTITUTE(SUBSTITUTE(SUBSTITUTE(E763," [",", "),"[",", "),"]","")&amp;"]")))</x:f>
      </x:c>
      <x:c r="G763" t="str">
        <x:f>IF(F763&lt;&gt;"",ROWS($F$3:F763)-COUNTBLANK($F$3:F763),"")</x:f>
      </x:c>
      <x:c r="H763"/>
      <x:c r="I763"/>
      <x:c r="J763"/>
      <x:c r="K763" t="str">
        <x:f>IF(ROW()-ROW($K$2)&lt;=SUM($J$3:$J$168),COUNTIF($H$3:$H$168,"&lt;"&amp;(ROW()-ROW($K$2))),"")</x:f>
      </x:c>
      <x:c r="L763" t="str">
        <x:f>IF(K763="","",ROW()-ROW($L$2)-INDEX($H$3:$H$168,K763))</x:f>
      </x:c>
      <x:c r="M763" t="str">
        <x:f>IF(K763="","",IF(L763=1,1,FIND(CHAR(1),SUBSTITUTE(INDEX($B$3:$B$168,K763),CHAR(10),CHAR(1),L763-1))+1))</x:f>
      </x:c>
      <x:c r="N763" t="str">
        <x:f>IF(K763="","",IFERROR(FIND(CHAR(1),SUBSTITUTE(INDEX($B$3:$B$168,K763),CHAR(10),CHAR(1),L763)),LEN(INDEX($B$3:$B$168,K763))+1))</x:f>
      </x:c>
    </x:row>
    <x:row r="764">
      <x:c r="A764"/>
      <x:c r="B764"/>
      <x:c r="C764"/>
      <x:c r="D764" t="str">
        <x:f>IFERROR(IF(762&lt;=$O$1,INDEX($A$3:$A$168,MATCH(762,$I$3:$I$168,0)),IF(762&lt;=$O$1+$O$2,INDEX($F$3:$F$1994,MATCH(762-$O$1,$G$3:$G$1994,0)),"")),"")</x:f>
      </x:c>
      <x:c r="E764" t="str">
        <x:f>IF(K764="","",IF(N764&lt;=M764,"",TRIM(CLEAN(MID(INDEX($B$3:$B$168,K764),M764,N764-M764)))))</x:f>
      </x:c>
      <x:c r="F764" t="str">
        <x:f>IF(E764="","",IF(E764=TRIM(INDEX($A$3:$A$168,K764)),"",IF(RIGHT(TRIM(INDEX($A$3:$A$168,K764)),1)="]",LEFT(TRIM(INDEX($A$3:$A$168,K764)),LEN(TRIM(INDEX($A$3:$A$168,K764)))-1)&amp;", "&amp;SUBSTITUTE(SUBSTITUTE(SUBSTITUTE(E764," [",", "),"[",", "),"]","")&amp;"]",TRIM(INDEX($A$3:$A$168,K764))&amp;" ["&amp;SUBSTITUTE(SUBSTITUTE(SUBSTITUTE(E764," [",", "),"[",", "),"]","")&amp;"]")))</x:f>
      </x:c>
      <x:c r="G764" t="str">
        <x:f>IF(F764&lt;&gt;"",ROWS($F$3:F764)-COUNTBLANK($F$3:F764),"")</x:f>
      </x:c>
      <x:c r="H764"/>
      <x:c r="I764"/>
      <x:c r="J764"/>
      <x:c r="K764" t="str">
        <x:f>IF(ROW()-ROW($K$2)&lt;=SUM($J$3:$J$168),COUNTIF($H$3:$H$168,"&lt;"&amp;(ROW()-ROW($K$2))),"")</x:f>
      </x:c>
      <x:c r="L764" t="str">
        <x:f>IF(K764="","",ROW()-ROW($L$2)-INDEX($H$3:$H$168,K764))</x:f>
      </x:c>
      <x:c r="M764" t="str">
        <x:f>IF(K764="","",IF(L764=1,1,FIND(CHAR(1),SUBSTITUTE(INDEX($B$3:$B$168,K764),CHAR(10),CHAR(1),L764-1))+1))</x:f>
      </x:c>
      <x:c r="N764" t="str">
        <x:f>IF(K764="","",IFERROR(FIND(CHAR(1),SUBSTITUTE(INDEX($B$3:$B$168,K764),CHAR(10),CHAR(1),L764)),LEN(INDEX($B$3:$B$168,K764))+1))</x:f>
      </x:c>
    </x:row>
    <x:row r="765">
      <x:c r="A765"/>
      <x:c r="B765"/>
      <x:c r="C765"/>
      <x:c r="D765" t="str">
        <x:f>IFERROR(IF(763&lt;=$O$1,INDEX($A$3:$A$168,MATCH(763,$I$3:$I$168,0)),IF(763&lt;=$O$1+$O$2,INDEX($F$3:$F$1994,MATCH(763-$O$1,$G$3:$G$1994,0)),"")),"")</x:f>
      </x:c>
      <x:c r="E765" t="str">
        <x:f>IF(K765="","",IF(N765&lt;=M765,"",TRIM(CLEAN(MID(INDEX($B$3:$B$168,K765),M765,N765-M765)))))</x:f>
      </x:c>
      <x:c r="F765" t="str">
        <x:f>IF(E765="","",IF(E765=TRIM(INDEX($A$3:$A$168,K765)),"",IF(RIGHT(TRIM(INDEX($A$3:$A$168,K765)),1)="]",LEFT(TRIM(INDEX($A$3:$A$168,K765)),LEN(TRIM(INDEX($A$3:$A$168,K765)))-1)&amp;", "&amp;SUBSTITUTE(SUBSTITUTE(SUBSTITUTE(E765," [",", "),"[",", "),"]","")&amp;"]",TRIM(INDEX($A$3:$A$168,K765))&amp;" ["&amp;SUBSTITUTE(SUBSTITUTE(SUBSTITUTE(E765," [",", "),"[",", "),"]","")&amp;"]")))</x:f>
      </x:c>
      <x:c r="G765" t="str">
        <x:f>IF(F765&lt;&gt;"",ROWS($F$3:F765)-COUNTBLANK($F$3:F765),"")</x:f>
      </x:c>
      <x:c r="H765"/>
      <x:c r="I765"/>
      <x:c r="J765"/>
      <x:c r="K765" t="str">
        <x:f>IF(ROW()-ROW($K$2)&lt;=SUM($J$3:$J$168),COUNTIF($H$3:$H$168,"&lt;"&amp;(ROW()-ROW($K$2))),"")</x:f>
      </x:c>
      <x:c r="L765" t="str">
        <x:f>IF(K765="","",ROW()-ROW($L$2)-INDEX($H$3:$H$168,K765))</x:f>
      </x:c>
      <x:c r="M765" t="str">
        <x:f>IF(K765="","",IF(L765=1,1,FIND(CHAR(1),SUBSTITUTE(INDEX($B$3:$B$168,K765),CHAR(10),CHAR(1),L765-1))+1))</x:f>
      </x:c>
      <x:c r="N765" t="str">
        <x:f>IF(K765="","",IFERROR(FIND(CHAR(1),SUBSTITUTE(INDEX($B$3:$B$168,K765),CHAR(10),CHAR(1),L765)),LEN(INDEX($B$3:$B$168,K765))+1))</x:f>
      </x:c>
    </x:row>
    <x:row r="766">
      <x:c r="A766"/>
      <x:c r="B766"/>
      <x:c r="C766"/>
      <x:c r="D766" t="str">
        <x:f>IFERROR(IF(764&lt;=$O$1,INDEX($A$3:$A$168,MATCH(764,$I$3:$I$168,0)),IF(764&lt;=$O$1+$O$2,INDEX($F$3:$F$1994,MATCH(764-$O$1,$G$3:$G$1994,0)),"")),"")</x:f>
      </x:c>
      <x:c r="E766" t="str">
        <x:f>IF(K766="","",IF(N766&lt;=M766,"",TRIM(CLEAN(MID(INDEX($B$3:$B$168,K766),M766,N766-M766)))))</x:f>
      </x:c>
      <x:c r="F766" t="str">
        <x:f>IF(E766="","",IF(E766=TRIM(INDEX($A$3:$A$168,K766)),"",IF(RIGHT(TRIM(INDEX($A$3:$A$168,K766)),1)="]",LEFT(TRIM(INDEX($A$3:$A$168,K766)),LEN(TRIM(INDEX($A$3:$A$168,K766)))-1)&amp;", "&amp;SUBSTITUTE(SUBSTITUTE(SUBSTITUTE(E766," [",", "),"[",", "),"]","")&amp;"]",TRIM(INDEX($A$3:$A$168,K766))&amp;" ["&amp;SUBSTITUTE(SUBSTITUTE(SUBSTITUTE(E766," [",", "),"[",", "),"]","")&amp;"]")))</x:f>
      </x:c>
      <x:c r="G766" t="str">
        <x:f>IF(F766&lt;&gt;"",ROWS($F$3:F766)-COUNTBLANK($F$3:F766),"")</x:f>
      </x:c>
      <x:c r="H766"/>
      <x:c r="I766"/>
      <x:c r="J766"/>
      <x:c r="K766" t="str">
        <x:f>IF(ROW()-ROW($K$2)&lt;=SUM($J$3:$J$168),COUNTIF($H$3:$H$168,"&lt;"&amp;(ROW()-ROW($K$2))),"")</x:f>
      </x:c>
      <x:c r="L766" t="str">
        <x:f>IF(K766="","",ROW()-ROW($L$2)-INDEX($H$3:$H$168,K766))</x:f>
      </x:c>
      <x:c r="M766" t="str">
        <x:f>IF(K766="","",IF(L766=1,1,FIND(CHAR(1),SUBSTITUTE(INDEX($B$3:$B$168,K766),CHAR(10),CHAR(1),L766-1))+1))</x:f>
      </x:c>
      <x:c r="N766" t="str">
        <x:f>IF(K766="","",IFERROR(FIND(CHAR(1),SUBSTITUTE(INDEX($B$3:$B$168,K766),CHAR(10),CHAR(1),L766)),LEN(INDEX($B$3:$B$168,K766))+1))</x:f>
      </x:c>
    </x:row>
    <x:row r="767">
      <x:c r="A767"/>
      <x:c r="B767"/>
      <x:c r="C767"/>
      <x:c r="D767" t="str">
        <x:f>IFERROR(IF(765&lt;=$O$1,INDEX($A$3:$A$168,MATCH(765,$I$3:$I$168,0)),IF(765&lt;=$O$1+$O$2,INDEX($F$3:$F$1994,MATCH(765-$O$1,$G$3:$G$1994,0)),"")),"")</x:f>
      </x:c>
      <x:c r="E767" t="str">
        <x:f>IF(K767="","",IF(N767&lt;=M767,"",TRIM(CLEAN(MID(INDEX($B$3:$B$168,K767),M767,N767-M767)))))</x:f>
      </x:c>
      <x:c r="F767" t="str">
        <x:f>IF(E767="","",IF(E767=TRIM(INDEX($A$3:$A$168,K767)),"",IF(RIGHT(TRIM(INDEX($A$3:$A$168,K767)),1)="]",LEFT(TRIM(INDEX($A$3:$A$168,K767)),LEN(TRIM(INDEX($A$3:$A$168,K767)))-1)&amp;", "&amp;SUBSTITUTE(SUBSTITUTE(SUBSTITUTE(E767," [",", "),"[",", "),"]","")&amp;"]",TRIM(INDEX($A$3:$A$168,K767))&amp;" ["&amp;SUBSTITUTE(SUBSTITUTE(SUBSTITUTE(E767," [",", "),"[",", "),"]","")&amp;"]")))</x:f>
      </x:c>
      <x:c r="G767" t="str">
        <x:f>IF(F767&lt;&gt;"",ROWS($F$3:F767)-COUNTBLANK($F$3:F767),"")</x:f>
      </x:c>
      <x:c r="H767"/>
      <x:c r="I767"/>
      <x:c r="J767"/>
      <x:c r="K767" t="str">
        <x:f>IF(ROW()-ROW($K$2)&lt;=SUM($J$3:$J$168),COUNTIF($H$3:$H$168,"&lt;"&amp;(ROW()-ROW($K$2))),"")</x:f>
      </x:c>
      <x:c r="L767" t="str">
        <x:f>IF(K767="","",ROW()-ROW($L$2)-INDEX($H$3:$H$168,K767))</x:f>
      </x:c>
      <x:c r="M767" t="str">
        <x:f>IF(K767="","",IF(L767=1,1,FIND(CHAR(1),SUBSTITUTE(INDEX($B$3:$B$168,K767),CHAR(10),CHAR(1),L767-1))+1))</x:f>
      </x:c>
      <x:c r="N767" t="str">
        <x:f>IF(K767="","",IFERROR(FIND(CHAR(1),SUBSTITUTE(INDEX($B$3:$B$168,K767),CHAR(10),CHAR(1),L767)),LEN(INDEX($B$3:$B$168,K767))+1))</x:f>
      </x:c>
    </x:row>
    <x:row r="768">
      <x:c r="A768"/>
      <x:c r="B768"/>
      <x:c r="C768"/>
      <x:c r="D768" t="str">
        <x:f>IFERROR(IF(766&lt;=$O$1,INDEX($A$3:$A$168,MATCH(766,$I$3:$I$168,0)),IF(766&lt;=$O$1+$O$2,INDEX($F$3:$F$1994,MATCH(766-$O$1,$G$3:$G$1994,0)),"")),"")</x:f>
      </x:c>
      <x:c r="E768" t="str">
        <x:f>IF(K768="","",IF(N768&lt;=M768,"",TRIM(CLEAN(MID(INDEX($B$3:$B$168,K768),M768,N768-M768)))))</x:f>
      </x:c>
      <x:c r="F768" t="str">
        <x:f>IF(E768="","",IF(E768=TRIM(INDEX($A$3:$A$168,K768)),"",IF(RIGHT(TRIM(INDEX($A$3:$A$168,K768)),1)="]",LEFT(TRIM(INDEX($A$3:$A$168,K768)),LEN(TRIM(INDEX($A$3:$A$168,K768)))-1)&amp;", "&amp;SUBSTITUTE(SUBSTITUTE(SUBSTITUTE(E768," [",", "),"[",", "),"]","")&amp;"]",TRIM(INDEX($A$3:$A$168,K768))&amp;" ["&amp;SUBSTITUTE(SUBSTITUTE(SUBSTITUTE(E768," [",", "),"[",", "),"]","")&amp;"]")))</x:f>
      </x:c>
      <x:c r="G768" t="str">
        <x:f>IF(F768&lt;&gt;"",ROWS($F$3:F768)-COUNTBLANK($F$3:F768),"")</x:f>
      </x:c>
      <x:c r="H768"/>
      <x:c r="I768"/>
      <x:c r="J768"/>
      <x:c r="K768" t="str">
        <x:f>IF(ROW()-ROW($K$2)&lt;=SUM($J$3:$J$168),COUNTIF($H$3:$H$168,"&lt;"&amp;(ROW()-ROW($K$2))),"")</x:f>
      </x:c>
      <x:c r="L768" t="str">
        <x:f>IF(K768="","",ROW()-ROW($L$2)-INDEX($H$3:$H$168,K768))</x:f>
      </x:c>
      <x:c r="M768" t="str">
        <x:f>IF(K768="","",IF(L768=1,1,FIND(CHAR(1),SUBSTITUTE(INDEX($B$3:$B$168,K768),CHAR(10),CHAR(1),L768-1))+1))</x:f>
      </x:c>
      <x:c r="N768" t="str">
        <x:f>IF(K768="","",IFERROR(FIND(CHAR(1),SUBSTITUTE(INDEX($B$3:$B$168,K768),CHAR(10),CHAR(1),L768)),LEN(INDEX($B$3:$B$168,K768))+1))</x:f>
      </x:c>
    </x:row>
    <x:row r="769">
      <x:c r="A769"/>
      <x:c r="B769"/>
      <x:c r="C769"/>
      <x:c r="D769" t="str">
        <x:f>IFERROR(IF(767&lt;=$O$1,INDEX($A$3:$A$168,MATCH(767,$I$3:$I$168,0)),IF(767&lt;=$O$1+$O$2,INDEX($F$3:$F$1994,MATCH(767-$O$1,$G$3:$G$1994,0)),"")),"")</x:f>
      </x:c>
      <x:c r="E769" t="str">
        <x:f>IF(K769="","",IF(N769&lt;=M769,"",TRIM(CLEAN(MID(INDEX($B$3:$B$168,K769),M769,N769-M769)))))</x:f>
      </x:c>
      <x:c r="F769" t="str">
        <x:f>IF(E769="","",IF(E769=TRIM(INDEX($A$3:$A$168,K769)),"",IF(RIGHT(TRIM(INDEX($A$3:$A$168,K769)),1)="]",LEFT(TRIM(INDEX($A$3:$A$168,K769)),LEN(TRIM(INDEX($A$3:$A$168,K769)))-1)&amp;", "&amp;SUBSTITUTE(SUBSTITUTE(SUBSTITUTE(E769," [",", "),"[",", "),"]","")&amp;"]",TRIM(INDEX($A$3:$A$168,K769))&amp;" ["&amp;SUBSTITUTE(SUBSTITUTE(SUBSTITUTE(E769," [",", "),"[",", "),"]","")&amp;"]")))</x:f>
      </x:c>
      <x:c r="G769" t="str">
        <x:f>IF(F769&lt;&gt;"",ROWS($F$3:F769)-COUNTBLANK($F$3:F769),"")</x:f>
      </x:c>
      <x:c r="H769"/>
      <x:c r="I769"/>
      <x:c r="J769"/>
      <x:c r="K769" t="str">
        <x:f>IF(ROW()-ROW($K$2)&lt;=SUM($J$3:$J$168),COUNTIF($H$3:$H$168,"&lt;"&amp;(ROW()-ROW($K$2))),"")</x:f>
      </x:c>
      <x:c r="L769" t="str">
        <x:f>IF(K769="","",ROW()-ROW($L$2)-INDEX($H$3:$H$168,K769))</x:f>
      </x:c>
      <x:c r="M769" t="str">
        <x:f>IF(K769="","",IF(L769=1,1,FIND(CHAR(1),SUBSTITUTE(INDEX($B$3:$B$168,K769),CHAR(10),CHAR(1),L769-1))+1))</x:f>
      </x:c>
      <x:c r="N769" t="str">
        <x:f>IF(K769="","",IFERROR(FIND(CHAR(1),SUBSTITUTE(INDEX($B$3:$B$168,K769),CHAR(10),CHAR(1),L769)),LEN(INDEX($B$3:$B$168,K769))+1))</x:f>
      </x:c>
    </x:row>
    <x:row r="770">
      <x:c r="A770"/>
      <x:c r="B770"/>
      <x:c r="C770"/>
      <x:c r="D770" t="str">
        <x:f>IFERROR(IF(768&lt;=$O$1,INDEX($A$3:$A$168,MATCH(768,$I$3:$I$168,0)),IF(768&lt;=$O$1+$O$2,INDEX($F$3:$F$1994,MATCH(768-$O$1,$G$3:$G$1994,0)),"")),"")</x:f>
      </x:c>
      <x:c r="E770" t="str">
        <x:f>IF(K770="","",IF(N770&lt;=M770,"",TRIM(CLEAN(MID(INDEX($B$3:$B$168,K770),M770,N770-M770)))))</x:f>
      </x:c>
      <x:c r="F770" t="str">
        <x:f>IF(E770="","",IF(E770=TRIM(INDEX($A$3:$A$168,K770)),"",IF(RIGHT(TRIM(INDEX($A$3:$A$168,K770)),1)="]",LEFT(TRIM(INDEX($A$3:$A$168,K770)),LEN(TRIM(INDEX($A$3:$A$168,K770)))-1)&amp;", "&amp;SUBSTITUTE(SUBSTITUTE(SUBSTITUTE(E770," [",", "),"[",", "),"]","")&amp;"]",TRIM(INDEX($A$3:$A$168,K770))&amp;" ["&amp;SUBSTITUTE(SUBSTITUTE(SUBSTITUTE(E770," [",", "),"[",", "),"]","")&amp;"]")))</x:f>
      </x:c>
      <x:c r="G770" t="str">
        <x:f>IF(F770&lt;&gt;"",ROWS($F$3:F770)-COUNTBLANK($F$3:F770),"")</x:f>
      </x:c>
      <x:c r="H770"/>
      <x:c r="I770"/>
      <x:c r="J770"/>
      <x:c r="K770" t="str">
        <x:f>IF(ROW()-ROW($K$2)&lt;=SUM($J$3:$J$168),COUNTIF($H$3:$H$168,"&lt;"&amp;(ROW()-ROW($K$2))),"")</x:f>
      </x:c>
      <x:c r="L770" t="str">
        <x:f>IF(K770="","",ROW()-ROW($L$2)-INDEX($H$3:$H$168,K770))</x:f>
      </x:c>
      <x:c r="M770" t="str">
        <x:f>IF(K770="","",IF(L770=1,1,FIND(CHAR(1),SUBSTITUTE(INDEX($B$3:$B$168,K770),CHAR(10),CHAR(1),L770-1))+1))</x:f>
      </x:c>
      <x:c r="N770" t="str">
        <x:f>IF(K770="","",IFERROR(FIND(CHAR(1),SUBSTITUTE(INDEX($B$3:$B$168,K770),CHAR(10),CHAR(1),L770)),LEN(INDEX($B$3:$B$168,K770))+1))</x:f>
      </x:c>
    </x:row>
    <x:row r="771">
      <x:c r="A771"/>
      <x:c r="B771"/>
      <x:c r="C771"/>
      <x:c r="D771" t="str">
        <x:f>IFERROR(IF(769&lt;=$O$1,INDEX($A$3:$A$168,MATCH(769,$I$3:$I$168,0)),IF(769&lt;=$O$1+$O$2,INDEX($F$3:$F$1994,MATCH(769-$O$1,$G$3:$G$1994,0)),"")),"")</x:f>
      </x:c>
      <x:c r="E771" t="str">
        <x:f>IF(K771="","",IF(N771&lt;=M771,"",TRIM(CLEAN(MID(INDEX($B$3:$B$168,K771),M771,N771-M771)))))</x:f>
      </x:c>
      <x:c r="F771" t="str">
        <x:f>IF(E771="","",IF(E771=TRIM(INDEX($A$3:$A$168,K771)),"",IF(RIGHT(TRIM(INDEX($A$3:$A$168,K771)),1)="]",LEFT(TRIM(INDEX($A$3:$A$168,K771)),LEN(TRIM(INDEX($A$3:$A$168,K771)))-1)&amp;", "&amp;SUBSTITUTE(SUBSTITUTE(SUBSTITUTE(E771," [",", "),"[",", "),"]","")&amp;"]",TRIM(INDEX($A$3:$A$168,K771))&amp;" ["&amp;SUBSTITUTE(SUBSTITUTE(SUBSTITUTE(E771," [",", "),"[",", "),"]","")&amp;"]")))</x:f>
      </x:c>
      <x:c r="G771" t="str">
        <x:f>IF(F771&lt;&gt;"",ROWS($F$3:F771)-COUNTBLANK($F$3:F771),"")</x:f>
      </x:c>
      <x:c r="H771"/>
      <x:c r="I771"/>
      <x:c r="J771"/>
      <x:c r="K771" t="str">
        <x:f>IF(ROW()-ROW($K$2)&lt;=SUM($J$3:$J$168),COUNTIF($H$3:$H$168,"&lt;"&amp;(ROW()-ROW($K$2))),"")</x:f>
      </x:c>
      <x:c r="L771" t="str">
        <x:f>IF(K771="","",ROW()-ROW($L$2)-INDEX($H$3:$H$168,K771))</x:f>
      </x:c>
      <x:c r="M771" t="str">
        <x:f>IF(K771="","",IF(L771=1,1,FIND(CHAR(1),SUBSTITUTE(INDEX($B$3:$B$168,K771),CHAR(10),CHAR(1),L771-1))+1))</x:f>
      </x:c>
      <x:c r="N771" t="str">
        <x:f>IF(K771="","",IFERROR(FIND(CHAR(1),SUBSTITUTE(INDEX($B$3:$B$168,K771),CHAR(10),CHAR(1),L771)),LEN(INDEX($B$3:$B$168,K771))+1))</x:f>
      </x:c>
    </x:row>
    <x:row r="772">
      <x:c r="A772"/>
      <x:c r="B772"/>
      <x:c r="C772"/>
      <x:c r="D772" t="str">
        <x:f>IFERROR(IF(770&lt;=$O$1,INDEX($A$3:$A$168,MATCH(770,$I$3:$I$168,0)),IF(770&lt;=$O$1+$O$2,INDEX($F$3:$F$1994,MATCH(770-$O$1,$G$3:$G$1994,0)),"")),"")</x:f>
      </x:c>
      <x:c r="E772" t="str">
        <x:f>IF(K772="","",IF(N772&lt;=M772,"",TRIM(CLEAN(MID(INDEX($B$3:$B$168,K772),M772,N772-M772)))))</x:f>
      </x:c>
      <x:c r="F772" t="str">
        <x:f>IF(E772="","",IF(E772=TRIM(INDEX($A$3:$A$168,K772)),"",IF(RIGHT(TRIM(INDEX($A$3:$A$168,K772)),1)="]",LEFT(TRIM(INDEX($A$3:$A$168,K772)),LEN(TRIM(INDEX($A$3:$A$168,K772)))-1)&amp;", "&amp;SUBSTITUTE(SUBSTITUTE(SUBSTITUTE(E772," [",", "),"[",", "),"]","")&amp;"]",TRIM(INDEX($A$3:$A$168,K772))&amp;" ["&amp;SUBSTITUTE(SUBSTITUTE(SUBSTITUTE(E772," [",", "),"[",", "),"]","")&amp;"]")))</x:f>
      </x:c>
      <x:c r="G772" t="str">
        <x:f>IF(F772&lt;&gt;"",ROWS($F$3:F772)-COUNTBLANK($F$3:F772),"")</x:f>
      </x:c>
      <x:c r="H772"/>
      <x:c r="I772"/>
      <x:c r="J772"/>
      <x:c r="K772" t="str">
        <x:f>IF(ROW()-ROW($K$2)&lt;=SUM($J$3:$J$168),COUNTIF($H$3:$H$168,"&lt;"&amp;(ROW()-ROW($K$2))),"")</x:f>
      </x:c>
      <x:c r="L772" t="str">
        <x:f>IF(K772="","",ROW()-ROW($L$2)-INDEX($H$3:$H$168,K772))</x:f>
      </x:c>
      <x:c r="M772" t="str">
        <x:f>IF(K772="","",IF(L772=1,1,FIND(CHAR(1),SUBSTITUTE(INDEX($B$3:$B$168,K772),CHAR(10),CHAR(1),L772-1))+1))</x:f>
      </x:c>
      <x:c r="N772" t="str">
        <x:f>IF(K772="","",IFERROR(FIND(CHAR(1),SUBSTITUTE(INDEX($B$3:$B$168,K772),CHAR(10),CHAR(1),L772)),LEN(INDEX($B$3:$B$168,K772))+1))</x:f>
      </x:c>
    </x:row>
    <x:row r="773">
      <x:c r="A773"/>
      <x:c r="B773"/>
      <x:c r="C773"/>
      <x:c r="D773" t="str">
        <x:f>IFERROR(IF(771&lt;=$O$1,INDEX($A$3:$A$168,MATCH(771,$I$3:$I$168,0)),IF(771&lt;=$O$1+$O$2,INDEX($F$3:$F$1994,MATCH(771-$O$1,$G$3:$G$1994,0)),"")),"")</x:f>
      </x:c>
      <x:c r="E773" t="str">
        <x:f>IF(K773="","",IF(N773&lt;=M773,"",TRIM(CLEAN(MID(INDEX($B$3:$B$168,K773),M773,N773-M773)))))</x:f>
      </x:c>
      <x:c r="F773" t="str">
        <x:f>IF(E773="","",IF(E773=TRIM(INDEX($A$3:$A$168,K773)),"",IF(RIGHT(TRIM(INDEX($A$3:$A$168,K773)),1)="]",LEFT(TRIM(INDEX($A$3:$A$168,K773)),LEN(TRIM(INDEX($A$3:$A$168,K773)))-1)&amp;", "&amp;SUBSTITUTE(SUBSTITUTE(SUBSTITUTE(E773," [",", "),"[",", "),"]","")&amp;"]",TRIM(INDEX($A$3:$A$168,K773))&amp;" ["&amp;SUBSTITUTE(SUBSTITUTE(SUBSTITUTE(E773," [",", "),"[",", "),"]","")&amp;"]")))</x:f>
      </x:c>
      <x:c r="G773" t="str">
        <x:f>IF(F773&lt;&gt;"",ROWS($F$3:F773)-COUNTBLANK($F$3:F773),"")</x:f>
      </x:c>
      <x:c r="H773"/>
      <x:c r="I773"/>
      <x:c r="J773"/>
      <x:c r="K773" t="str">
        <x:f>IF(ROW()-ROW($K$2)&lt;=SUM($J$3:$J$168),COUNTIF($H$3:$H$168,"&lt;"&amp;(ROW()-ROW($K$2))),"")</x:f>
      </x:c>
      <x:c r="L773" t="str">
        <x:f>IF(K773="","",ROW()-ROW($L$2)-INDEX($H$3:$H$168,K773))</x:f>
      </x:c>
      <x:c r="M773" t="str">
        <x:f>IF(K773="","",IF(L773=1,1,FIND(CHAR(1),SUBSTITUTE(INDEX($B$3:$B$168,K773),CHAR(10),CHAR(1),L773-1))+1))</x:f>
      </x:c>
      <x:c r="N773" t="str">
        <x:f>IF(K773="","",IFERROR(FIND(CHAR(1),SUBSTITUTE(INDEX($B$3:$B$168,K773),CHAR(10),CHAR(1),L773)),LEN(INDEX($B$3:$B$168,K773))+1))</x:f>
      </x:c>
    </x:row>
    <x:row r="774">
      <x:c r="A774"/>
      <x:c r="B774"/>
      <x:c r="C774"/>
      <x:c r="D774" t="str">
        <x:f>IFERROR(IF(772&lt;=$O$1,INDEX($A$3:$A$168,MATCH(772,$I$3:$I$168,0)),IF(772&lt;=$O$1+$O$2,INDEX($F$3:$F$1994,MATCH(772-$O$1,$G$3:$G$1994,0)),"")),"")</x:f>
      </x:c>
      <x:c r="E774" t="str">
        <x:f>IF(K774="","",IF(N774&lt;=M774,"",TRIM(CLEAN(MID(INDEX($B$3:$B$168,K774),M774,N774-M774)))))</x:f>
      </x:c>
      <x:c r="F774" t="str">
        <x:f>IF(E774="","",IF(E774=TRIM(INDEX($A$3:$A$168,K774)),"",IF(RIGHT(TRIM(INDEX($A$3:$A$168,K774)),1)="]",LEFT(TRIM(INDEX($A$3:$A$168,K774)),LEN(TRIM(INDEX($A$3:$A$168,K774)))-1)&amp;", "&amp;SUBSTITUTE(SUBSTITUTE(SUBSTITUTE(E774," [",", "),"[",", "),"]","")&amp;"]",TRIM(INDEX($A$3:$A$168,K774))&amp;" ["&amp;SUBSTITUTE(SUBSTITUTE(SUBSTITUTE(E774," [",", "),"[",", "),"]","")&amp;"]")))</x:f>
      </x:c>
      <x:c r="G774" t="str">
        <x:f>IF(F774&lt;&gt;"",ROWS($F$3:F774)-COUNTBLANK($F$3:F774),"")</x:f>
      </x:c>
      <x:c r="H774"/>
      <x:c r="I774"/>
      <x:c r="J774"/>
      <x:c r="K774" t="str">
        <x:f>IF(ROW()-ROW($K$2)&lt;=SUM($J$3:$J$168),COUNTIF($H$3:$H$168,"&lt;"&amp;(ROW()-ROW($K$2))),"")</x:f>
      </x:c>
      <x:c r="L774" t="str">
        <x:f>IF(K774="","",ROW()-ROW($L$2)-INDEX($H$3:$H$168,K774))</x:f>
      </x:c>
      <x:c r="M774" t="str">
        <x:f>IF(K774="","",IF(L774=1,1,FIND(CHAR(1),SUBSTITUTE(INDEX($B$3:$B$168,K774),CHAR(10),CHAR(1),L774-1))+1))</x:f>
      </x:c>
      <x:c r="N774" t="str">
        <x:f>IF(K774="","",IFERROR(FIND(CHAR(1),SUBSTITUTE(INDEX($B$3:$B$168,K774),CHAR(10),CHAR(1),L774)),LEN(INDEX($B$3:$B$168,K774))+1))</x:f>
      </x:c>
    </x:row>
    <x:row r="775">
      <x:c r="A775"/>
      <x:c r="B775"/>
      <x:c r="C775"/>
      <x:c r="D775" t="str">
        <x:f>IFERROR(IF(773&lt;=$O$1,INDEX($A$3:$A$168,MATCH(773,$I$3:$I$168,0)),IF(773&lt;=$O$1+$O$2,INDEX($F$3:$F$1994,MATCH(773-$O$1,$G$3:$G$1994,0)),"")),"")</x:f>
      </x:c>
      <x:c r="E775" t="str">
        <x:f>IF(K775="","",IF(N775&lt;=M775,"",TRIM(CLEAN(MID(INDEX($B$3:$B$168,K775),M775,N775-M775)))))</x:f>
      </x:c>
      <x:c r="F775" t="str">
        <x:f>IF(E775="","",IF(E775=TRIM(INDEX($A$3:$A$168,K775)),"",IF(RIGHT(TRIM(INDEX($A$3:$A$168,K775)),1)="]",LEFT(TRIM(INDEX($A$3:$A$168,K775)),LEN(TRIM(INDEX($A$3:$A$168,K775)))-1)&amp;", "&amp;SUBSTITUTE(SUBSTITUTE(SUBSTITUTE(E775," [",", "),"[",", "),"]","")&amp;"]",TRIM(INDEX($A$3:$A$168,K775))&amp;" ["&amp;SUBSTITUTE(SUBSTITUTE(SUBSTITUTE(E775," [",", "),"[",", "),"]","")&amp;"]")))</x:f>
      </x:c>
      <x:c r="G775" t="str">
        <x:f>IF(F775&lt;&gt;"",ROWS($F$3:F775)-COUNTBLANK($F$3:F775),"")</x:f>
      </x:c>
      <x:c r="H775"/>
      <x:c r="I775"/>
      <x:c r="J775"/>
      <x:c r="K775" t="str">
        <x:f>IF(ROW()-ROW($K$2)&lt;=SUM($J$3:$J$168),COUNTIF($H$3:$H$168,"&lt;"&amp;(ROW()-ROW($K$2))),"")</x:f>
      </x:c>
      <x:c r="L775" t="str">
        <x:f>IF(K775="","",ROW()-ROW($L$2)-INDEX($H$3:$H$168,K775))</x:f>
      </x:c>
      <x:c r="M775" t="str">
        <x:f>IF(K775="","",IF(L775=1,1,FIND(CHAR(1),SUBSTITUTE(INDEX($B$3:$B$168,K775),CHAR(10),CHAR(1),L775-1))+1))</x:f>
      </x:c>
      <x:c r="N775" t="str">
        <x:f>IF(K775="","",IFERROR(FIND(CHAR(1),SUBSTITUTE(INDEX($B$3:$B$168,K775),CHAR(10),CHAR(1),L775)),LEN(INDEX($B$3:$B$168,K775))+1))</x:f>
      </x:c>
    </x:row>
    <x:row r="776">
      <x:c r="A776"/>
      <x:c r="B776"/>
      <x:c r="C776"/>
      <x:c r="D776" t="str">
        <x:f>IFERROR(IF(774&lt;=$O$1,INDEX($A$3:$A$168,MATCH(774,$I$3:$I$168,0)),IF(774&lt;=$O$1+$O$2,INDEX($F$3:$F$1994,MATCH(774-$O$1,$G$3:$G$1994,0)),"")),"")</x:f>
      </x:c>
      <x:c r="E776" t="str">
        <x:f>IF(K776="","",IF(N776&lt;=M776,"",TRIM(CLEAN(MID(INDEX($B$3:$B$168,K776),M776,N776-M776)))))</x:f>
      </x:c>
      <x:c r="F776" t="str">
        <x:f>IF(E776="","",IF(E776=TRIM(INDEX($A$3:$A$168,K776)),"",IF(RIGHT(TRIM(INDEX($A$3:$A$168,K776)),1)="]",LEFT(TRIM(INDEX($A$3:$A$168,K776)),LEN(TRIM(INDEX($A$3:$A$168,K776)))-1)&amp;", "&amp;SUBSTITUTE(SUBSTITUTE(SUBSTITUTE(E776," [",", "),"[",", "),"]","")&amp;"]",TRIM(INDEX($A$3:$A$168,K776))&amp;" ["&amp;SUBSTITUTE(SUBSTITUTE(SUBSTITUTE(E776," [",", "),"[",", "),"]","")&amp;"]")))</x:f>
      </x:c>
      <x:c r="G776" t="str">
        <x:f>IF(F776&lt;&gt;"",ROWS($F$3:F776)-COUNTBLANK($F$3:F776),"")</x:f>
      </x:c>
      <x:c r="H776"/>
      <x:c r="I776"/>
      <x:c r="J776"/>
      <x:c r="K776" t="str">
        <x:f>IF(ROW()-ROW($K$2)&lt;=SUM($J$3:$J$168),COUNTIF($H$3:$H$168,"&lt;"&amp;(ROW()-ROW($K$2))),"")</x:f>
      </x:c>
      <x:c r="L776" t="str">
        <x:f>IF(K776="","",ROW()-ROW($L$2)-INDEX($H$3:$H$168,K776))</x:f>
      </x:c>
      <x:c r="M776" t="str">
        <x:f>IF(K776="","",IF(L776=1,1,FIND(CHAR(1),SUBSTITUTE(INDEX($B$3:$B$168,K776),CHAR(10),CHAR(1),L776-1))+1))</x:f>
      </x:c>
      <x:c r="N776" t="str">
        <x:f>IF(K776="","",IFERROR(FIND(CHAR(1),SUBSTITUTE(INDEX($B$3:$B$168,K776),CHAR(10),CHAR(1),L776)),LEN(INDEX($B$3:$B$168,K776))+1))</x:f>
      </x:c>
    </x:row>
    <x:row r="777">
      <x:c r="A777"/>
      <x:c r="B777"/>
      <x:c r="C777"/>
      <x:c r="D777" t="str">
        <x:f>IFERROR(IF(775&lt;=$O$1,INDEX($A$3:$A$168,MATCH(775,$I$3:$I$168,0)),IF(775&lt;=$O$1+$O$2,INDEX($F$3:$F$1994,MATCH(775-$O$1,$G$3:$G$1994,0)),"")),"")</x:f>
      </x:c>
      <x:c r="E777" t="str">
        <x:f>IF(K777="","",IF(N777&lt;=M777,"",TRIM(CLEAN(MID(INDEX($B$3:$B$168,K777),M777,N777-M777)))))</x:f>
      </x:c>
      <x:c r="F777" t="str">
        <x:f>IF(E777="","",IF(E777=TRIM(INDEX($A$3:$A$168,K777)),"",IF(RIGHT(TRIM(INDEX($A$3:$A$168,K777)),1)="]",LEFT(TRIM(INDEX($A$3:$A$168,K777)),LEN(TRIM(INDEX($A$3:$A$168,K777)))-1)&amp;", "&amp;SUBSTITUTE(SUBSTITUTE(SUBSTITUTE(E777," [",", "),"[",", "),"]","")&amp;"]",TRIM(INDEX($A$3:$A$168,K777))&amp;" ["&amp;SUBSTITUTE(SUBSTITUTE(SUBSTITUTE(E777," [",", "),"[",", "),"]","")&amp;"]")))</x:f>
      </x:c>
      <x:c r="G777" t="str">
        <x:f>IF(F777&lt;&gt;"",ROWS($F$3:F777)-COUNTBLANK($F$3:F777),"")</x:f>
      </x:c>
      <x:c r="H777"/>
      <x:c r="I777"/>
      <x:c r="J777"/>
      <x:c r="K777" t="str">
        <x:f>IF(ROW()-ROW($K$2)&lt;=SUM($J$3:$J$168),COUNTIF($H$3:$H$168,"&lt;"&amp;(ROW()-ROW($K$2))),"")</x:f>
      </x:c>
      <x:c r="L777" t="str">
        <x:f>IF(K777="","",ROW()-ROW($L$2)-INDEX($H$3:$H$168,K777))</x:f>
      </x:c>
      <x:c r="M777" t="str">
        <x:f>IF(K777="","",IF(L777=1,1,FIND(CHAR(1),SUBSTITUTE(INDEX($B$3:$B$168,K777),CHAR(10),CHAR(1),L777-1))+1))</x:f>
      </x:c>
      <x:c r="N777" t="str">
        <x:f>IF(K777="","",IFERROR(FIND(CHAR(1),SUBSTITUTE(INDEX($B$3:$B$168,K777),CHAR(10),CHAR(1),L777)),LEN(INDEX($B$3:$B$168,K777))+1))</x:f>
      </x:c>
    </x:row>
    <x:row r="778">
      <x:c r="A778"/>
      <x:c r="B778"/>
      <x:c r="C778"/>
      <x:c r="D778" t="str">
        <x:f>IFERROR(IF(776&lt;=$O$1,INDEX($A$3:$A$168,MATCH(776,$I$3:$I$168,0)),IF(776&lt;=$O$1+$O$2,INDEX($F$3:$F$1994,MATCH(776-$O$1,$G$3:$G$1994,0)),"")),"")</x:f>
      </x:c>
      <x:c r="E778" t="str">
        <x:f>IF(K778="","",IF(N778&lt;=M778,"",TRIM(CLEAN(MID(INDEX($B$3:$B$168,K778),M778,N778-M778)))))</x:f>
      </x:c>
      <x:c r="F778" t="str">
        <x:f>IF(E778="","",IF(E778=TRIM(INDEX($A$3:$A$168,K778)),"",IF(RIGHT(TRIM(INDEX($A$3:$A$168,K778)),1)="]",LEFT(TRIM(INDEX($A$3:$A$168,K778)),LEN(TRIM(INDEX($A$3:$A$168,K778)))-1)&amp;", "&amp;SUBSTITUTE(SUBSTITUTE(SUBSTITUTE(E778," [",", "),"[",", "),"]","")&amp;"]",TRIM(INDEX($A$3:$A$168,K778))&amp;" ["&amp;SUBSTITUTE(SUBSTITUTE(SUBSTITUTE(E778," [",", "),"[",", "),"]","")&amp;"]")))</x:f>
      </x:c>
      <x:c r="G778" t="str">
        <x:f>IF(F778&lt;&gt;"",ROWS($F$3:F778)-COUNTBLANK($F$3:F778),"")</x:f>
      </x:c>
      <x:c r="H778"/>
      <x:c r="I778"/>
      <x:c r="J778"/>
      <x:c r="K778" t="str">
        <x:f>IF(ROW()-ROW($K$2)&lt;=SUM($J$3:$J$168),COUNTIF($H$3:$H$168,"&lt;"&amp;(ROW()-ROW($K$2))),"")</x:f>
      </x:c>
      <x:c r="L778" t="str">
        <x:f>IF(K778="","",ROW()-ROW($L$2)-INDEX($H$3:$H$168,K778))</x:f>
      </x:c>
      <x:c r="M778" t="str">
        <x:f>IF(K778="","",IF(L778=1,1,FIND(CHAR(1),SUBSTITUTE(INDEX($B$3:$B$168,K778),CHAR(10),CHAR(1),L778-1))+1))</x:f>
      </x:c>
      <x:c r="N778" t="str">
        <x:f>IF(K778="","",IFERROR(FIND(CHAR(1),SUBSTITUTE(INDEX($B$3:$B$168,K778),CHAR(10),CHAR(1),L778)),LEN(INDEX($B$3:$B$168,K778))+1))</x:f>
      </x:c>
    </x:row>
    <x:row r="779">
      <x:c r="A779"/>
      <x:c r="B779"/>
      <x:c r="C779"/>
      <x:c r="D779" t="str">
        <x:f>IFERROR(IF(777&lt;=$O$1,INDEX($A$3:$A$168,MATCH(777,$I$3:$I$168,0)),IF(777&lt;=$O$1+$O$2,INDEX($F$3:$F$1994,MATCH(777-$O$1,$G$3:$G$1994,0)),"")),"")</x:f>
      </x:c>
      <x:c r="E779" t="str">
        <x:f>IF(K779="","",IF(N779&lt;=M779,"",TRIM(CLEAN(MID(INDEX($B$3:$B$168,K779),M779,N779-M779)))))</x:f>
      </x:c>
      <x:c r="F779" t="str">
        <x:f>IF(E779="","",IF(E779=TRIM(INDEX($A$3:$A$168,K779)),"",IF(RIGHT(TRIM(INDEX($A$3:$A$168,K779)),1)="]",LEFT(TRIM(INDEX($A$3:$A$168,K779)),LEN(TRIM(INDEX($A$3:$A$168,K779)))-1)&amp;", "&amp;SUBSTITUTE(SUBSTITUTE(SUBSTITUTE(E779," [",", "),"[",", "),"]","")&amp;"]",TRIM(INDEX($A$3:$A$168,K779))&amp;" ["&amp;SUBSTITUTE(SUBSTITUTE(SUBSTITUTE(E779," [",", "),"[",", "),"]","")&amp;"]")))</x:f>
      </x:c>
      <x:c r="G779" t="str">
        <x:f>IF(F779&lt;&gt;"",ROWS($F$3:F779)-COUNTBLANK($F$3:F779),"")</x:f>
      </x:c>
      <x:c r="H779"/>
      <x:c r="I779"/>
      <x:c r="J779"/>
      <x:c r="K779" t="str">
        <x:f>IF(ROW()-ROW($K$2)&lt;=SUM($J$3:$J$168),COUNTIF($H$3:$H$168,"&lt;"&amp;(ROW()-ROW($K$2))),"")</x:f>
      </x:c>
      <x:c r="L779" t="str">
        <x:f>IF(K779="","",ROW()-ROW($L$2)-INDEX($H$3:$H$168,K779))</x:f>
      </x:c>
      <x:c r="M779" t="str">
        <x:f>IF(K779="","",IF(L779=1,1,FIND(CHAR(1),SUBSTITUTE(INDEX($B$3:$B$168,K779),CHAR(10),CHAR(1),L779-1))+1))</x:f>
      </x:c>
      <x:c r="N779" t="str">
        <x:f>IF(K779="","",IFERROR(FIND(CHAR(1),SUBSTITUTE(INDEX($B$3:$B$168,K779),CHAR(10),CHAR(1),L779)),LEN(INDEX($B$3:$B$168,K779))+1))</x:f>
      </x:c>
    </x:row>
    <x:row r="780">
      <x:c r="A780"/>
      <x:c r="B780"/>
      <x:c r="C780"/>
      <x:c r="D780" t="str">
        <x:f>IFERROR(IF(778&lt;=$O$1,INDEX($A$3:$A$168,MATCH(778,$I$3:$I$168,0)),IF(778&lt;=$O$1+$O$2,INDEX($F$3:$F$1994,MATCH(778-$O$1,$G$3:$G$1994,0)),"")),"")</x:f>
      </x:c>
      <x:c r="E780" t="str">
        <x:f>IF(K780="","",IF(N780&lt;=M780,"",TRIM(CLEAN(MID(INDEX($B$3:$B$168,K780),M780,N780-M780)))))</x:f>
      </x:c>
      <x:c r="F780" t="str">
        <x:f>IF(E780="","",IF(E780=TRIM(INDEX($A$3:$A$168,K780)),"",IF(RIGHT(TRIM(INDEX($A$3:$A$168,K780)),1)="]",LEFT(TRIM(INDEX($A$3:$A$168,K780)),LEN(TRIM(INDEX($A$3:$A$168,K780)))-1)&amp;", "&amp;SUBSTITUTE(SUBSTITUTE(SUBSTITUTE(E780," [",", "),"[",", "),"]","")&amp;"]",TRIM(INDEX($A$3:$A$168,K780))&amp;" ["&amp;SUBSTITUTE(SUBSTITUTE(SUBSTITUTE(E780," [",", "),"[",", "),"]","")&amp;"]")))</x:f>
      </x:c>
      <x:c r="G780" t="str">
        <x:f>IF(F780&lt;&gt;"",ROWS($F$3:F780)-COUNTBLANK($F$3:F780),"")</x:f>
      </x:c>
      <x:c r="H780"/>
      <x:c r="I780"/>
      <x:c r="J780"/>
      <x:c r="K780" t="str">
        <x:f>IF(ROW()-ROW($K$2)&lt;=SUM($J$3:$J$168),COUNTIF($H$3:$H$168,"&lt;"&amp;(ROW()-ROW($K$2))),"")</x:f>
      </x:c>
      <x:c r="L780" t="str">
        <x:f>IF(K780="","",ROW()-ROW($L$2)-INDEX($H$3:$H$168,K780))</x:f>
      </x:c>
      <x:c r="M780" t="str">
        <x:f>IF(K780="","",IF(L780=1,1,FIND(CHAR(1),SUBSTITUTE(INDEX($B$3:$B$168,K780),CHAR(10),CHAR(1),L780-1))+1))</x:f>
      </x:c>
      <x:c r="N780" t="str">
        <x:f>IF(K780="","",IFERROR(FIND(CHAR(1),SUBSTITUTE(INDEX($B$3:$B$168,K780),CHAR(10),CHAR(1),L780)),LEN(INDEX($B$3:$B$168,K780))+1))</x:f>
      </x:c>
    </x:row>
    <x:row r="781">
      <x:c r="A781"/>
      <x:c r="B781"/>
      <x:c r="C781"/>
      <x:c r="D781" t="str">
        <x:f>IFERROR(IF(779&lt;=$O$1,INDEX($A$3:$A$168,MATCH(779,$I$3:$I$168,0)),IF(779&lt;=$O$1+$O$2,INDEX($F$3:$F$1994,MATCH(779-$O$1,$G$3:$G$1994,0)),"")),"")</x:f>
      </x:c>
      <x:c r="E781" t="str">
        <x:f>IF(K781="","",IF(N781&lt;=M781,"",TRIM(CLEAN(MID(INDEX($B$3:$B$168,K781),M781,N781-M781)))))</x:f>
      </x:c>
      <x:c r="F781" t="str">
        <x:f>IF(E781="","",IF(E781=TRIM(INDEX($A$3:$A$168,K781)),"",IF(RIGHT(TRIM(INDEX($A$3:$A$168,K781)),1)="]",LEFT(TRIM(INDEX($A$3:$A$168,K781)),LEN(TRIM(INDEX($A$3:$A$168,K781)))-1)&amp;", "&amp;SUBSTITUTE(SUBSTITUTE(SUBSTITUTE(E781," [",", "),"[",", "),"]","")&amp;"]",TRIM(INDEX($A$3:$A$168,K781))&amp;" ["&amp;SUBSTITUTE(SUBSTITUTE(SUBSTITUTE(E781," [",", "),"[",", "),"]","")&amp;"]")))</x:f>
      </x:c>
      <x:c r="G781" t="str">
        <x:f>IF(F781&lt;&gt;"",ROWS($F$3:F781)-COUNTBLANK($F$3:F781),"")</x:f>
      </x:c>
      <x:c r="H781"/>
      <x:c r="I781"/>
      <x:c r="J781"/>
      <x:c r="K781" t="str">
        <x:f>IF(ROW()-ROW($K$2)&lt;=SUM($J$3:$J$168),COUNTIF($H$3:$H$168,"&lt;"&amp;(ROW()-ROW($K$2))),"")</x:f>
      </x:c>
      <x:c r="L781" t="str">
        <x:f>IF(K781="","",ROW()-ROW($L$2)-INDEX($H$3:$H$168,K781))</x:f>
      </x:c>
      <x:c r="M781" t="str">
        <x:f>IF(K781="","",IF(L781=1,1,FIND(CHAR(1),SUBSTITUTE(INDEX($B$3:$B$168,K781),CHAR(10),CHAR(1),L781-1))+1))</x:f>
      </x:c>
      <x:c r="N781" t="str">
        <x:f>IF(K781="","",IFERROR(FIND(CHAR(1),SUBSTITUTE(INDEX($B$3:$B$168,K781),CHAR(10),CHAR(1),L781)),LEN(INDEX($B$3:$B$168,K781))+1))</x:f>
      </x:c>
    </x:row>
    <x:row r="782">
      <x:c r="A782"/>
      <x:c r="B782"/>
      <x:c r="C782"/>
      <x:c r="D782" t="str">
        <x:f>IFERROR(IF(780&lt;=$O$1,INDEX($A$3:$A$168,MATCH(780,$I$3:$I$168,0)),IF(780&lt;=$O$1+$O$2,INDEX($F$3:$F$1994,MATCH(780-$O$1,$G$3:$G$1994,0)),"")),"")</x:f>
      </x:c>
      <x:c r="E782" t="str">
        <x:f>IF(K782="","",IF(N782&lt;=M782,"",TRIM(CLEAN(MID(INDEX($B$3:$B$168,K782),M782,N782-M782)))))</x:f>
      </x:c>
      <x:c r="F782" t="str">
        <x:f>IF(E782="","",IF(E782=TRIM(INDEX($A$3:$A$168,K782)),"",IF(RIGHT(TRIM(INDEX($A$3:$A$168,K782)),1)="]",LEFT(TRIM(INDEX($A$3:$A$168,K782)),LEN(TRIM(INDEX($A$3:$A$168,K782)))-1)&amp;", "&amp;SUBSTITUTE(SUBSTITUTE(SUBSTITUTE(E782," [",", "),"[",", "),"]","")&amp;"]",TRIM(INDEX($A$3:$A$168,K782))&amp;" ["&amp;SUBSTITUTE(SUBSTITUTE(SUBSTITUTE(E782," [",", "),"[",", "),"]","")&amp;"]")))</x:f>
      </x:c>
      <x:c r="G782" t="str">
        <x:f>IF(F782&lt;&gt;"",ROWS($F$3:F782)-COUNTBLANK($F$3:F782),"")</x:f>
      </x:c>
      <x:c r="H782"/>
      <x:c r="I782"/>
      <x:c r="J782"/>
      <x:c r="K782" t="str">
        <x:f>IF(ROW()-ROW($K$2)&lt;=SUM($J$3:$J$168),COUNTIF($H$3:$H$168,"&lt;"&amp;(ROW()-ROW($K$2))),"")</x:f>
      </x:c>
      <x:c r="L782" t="str">
        <x:f>IF(K782="","",ROW()-ROW($L$2)-INDEX($H$3:$H$168,K782))</x:f>
      </x:c>
      <x:c r="M782" t="str">
        <x:f>IF(K782="","",IF(L782=1,1,FIND(CHAR(1),SUBSTITUTE(INDEX($B$3:$B$168,K782),CHAR(10),CHAR(1),L782-1))+1))</x:f>
      </x:c>
      <x:c r="N782" t="str">
        <x:f>IF(K782="","",IFERROR(FIND(CHAR(1),SUBSTITUTE(INDEX($B$3:$B$168,K782),CHAR(10),CHAR(1),L782)),LEN(INDEX($B$3:$B$168,K782))+1))</x:f>
      </x:c>
    </x:row>
    <x:row r="783">
      <x:c r="A783"/>
      <x:c r="B783"/>
      <x:c r="C783"/>
      <x:c r="D783" t="str">
        <x:f>IFERROR(IF(781&lt;=$O$1,INDEX($A$3:$A$168,MATCH(781,$I$3:$I$168,0)),IF(781&lt;=$O$1+$O$2,INDEX($F$3:$F$1994,MATCH(781-$O$1,$G$3:$G$1994,0)),"")),"")</x:f>
      </x:c>
      <x:c r="E783" t="str">
        <x:f>IF(K783="","",IF(N783&lt;=M783,"",TRIM(CLEAN(MID(INDEX($B$3:$B$168,K783),M783,N783-M783)))))</x:f>
      </x:c>
      <x:c r="F783" t="str">
        <x:f>IF(E783="","",IF(E783=TRIM(INDEX($A$3:$A$168,K783)),"",IF(RIGHT(TRIM(INDEX($A$3:$A$168,K783)),1)="]",LEFT(TRIM(INDEX($A$3:$A$168,K783)),LEN(TRIM(INDEX($A$3:$A$168,K783)))-1)&amp;", "&amp;SUBSTITUTE(SUBSTITUTE(SUBSTITUTE(E783," [",", "),"[",", "),"]","")&amp;"]",TRIM(INDEX($A$3:$A$168,K783))&amp;" ["&amp;SUBSTITUTE(SUBSTITUTE(SUBSTITUTE(E783," [",", "),"[",", "),"]","")&amp;"]")))</x:f>
      </x:c>
      <x:c r="G783" t="str">
        <x:f>IF(F783&lt;&gt;"",ROWS($F$3:F783)-COUNTBLANK($F$3:F783),"")</x:f>
      </x:c>
      <x:c r="H783"/>
      <x:c r="I783"/>
      <x:c r="J783"/>
      <x:c r="K783" t="str">
        <x:f>IF(ROW()-ROW($K$2)&lt;=SUM($J$3:$J$168),COUNTIF($H$3:$H$168,"&lt;"&amp;(ROW()-ROW($K$2))),"")</x:f>
      </x:c>
      <x:c r="L783" t="str">
        <x:f>IF(K783="","",ROW()-ROW($L$2)-INDEX($H$3:$H$168,K783))</x:f>
      </x:c>
      <x:c r="M783" t="str">
        <x:f>IF(K783="","",IF(L783=1,1,FIND(CHAR(1),SUBSTITUTE(INDEX($B$3:$B$168,K783),CHAR(10),CHAR(1),L783-1))+1))</x:f>
      </x:c>
      <x:c r="N783" t="str">
        <x:f>IF(K783="","",IFERROR(FIND(CHAR(1),SUBSTITUTE(INDEX($B$3:$B$168,K783),CHAR(10),CHAR(1),L783)),LEN(INDEX($B$3:$B$168,K783))+1))</x:f>
      </x:c>
    </x:row>
    <x:row r="784">
      <x:c r="A784"/>
      <x:c r="B784"/>
      <x:c r="C784"/>
      <x:c r="D784" t="str">
        <x:f>IFERROR(IF(782&lt;=$O$1,INDEX($A$3:$A$168,MATCH(782,$I$3:$I$168,0)),IF(782&lt;=$O$1+$O$2,INDEX($F$3:$F$1994,MATCH(782-$O$1,$G$3:$G$1994,0)),"")),"")</x:f>
      </x:c>
      <x:c r="E784" t="str">
        <x:f>IF(K784="","",IF(N784&lt;=M784,"",TRIM(CLEAN(MID(INDEX($B$3:$B$168,K784),M784,N784-M784)))))</x:f>
      </x:c>
      <x:c r="F784" t="str">
        <x:f>IF(E784="","",IF(E784=TRIM(INDEX($A$3:$A$168,K784)),"",IF(RIGHT(TRIM(INDEX($A$3:$A$168,K784)),1)="]",LEFT(TRIM(INDEX($A$3:$A$168,K784)),LEN(TRIM(INDEX($A$3:$A$168,K784)))-1)&amp;", "&amp;SUBSTITUTE(SUBSTITUTE(SUBSTITUTE(E784," [",", "),"[",", "),"]","")&amp;"]",TRIM(INDEX($A$3:$A$168,K784))&amp;" ["&amp;SUBSTITUTE(SUBSTITUTE(SUBSTITUTE(E784," [",", "),"[",", "),"]","")&amp;"]")))</x:f>
      </x:c>
      <x:c r="G784" t="str">
        <x:f>IF(F784&lt;&gt;"",ROWS($F$3:F784)-COUNTBLANK($F$3:F784),"")</x:f>
      </x:c>
      <x:c r="H784"/>
      <x:c r="I784"/>
      <x:c r="J784"/>
      <x:c r="K784" t="str">
        <x:f>IF(ROW()-ROW($K$2)&lt;=SUM($J$3:$J$168),COUNTIF($H$3:$H$168,"&lt;"&amp;(ROW()-ROW($K$2))),"")</x:f>
      </x:c>
      <x:c r="L784" t="str">
        <x:f>IF(K784="","",ROW()-ROW($L$2)-INDEX($H$3:$H$168,K784))</x:f>
      </x:c>
      <x:c r="M784" t="str">
        <x:f>IF(K784="","",IF(L784=1,1,FIND(CHAR(1),SUBSTITUTE(INDEX($B$3:$B$168,K784),CHAR(10),CHAR(1),L784-1))+1))</x:f>
      </x:c>
      <x:c r="N784" t="str">
        <x:f>IF(K784="","",IFERROR(FIND(CHAR(1),SUBSTITUTE(INDEX($B$3:$B$168,K784),CHAR(10),CHAR(1),L784)),LEN(INDEX($B$3:$B$168,K784))+1))</x:f>
      </x:c>
    </x:row>
    <x:row r="785">
      <x:c r="A785"/>
      <x:c r="B785"/>
      <x:c r="C785"/>
      <x:c r="D785" t="str">
        <x:f>IFERROR(IF(783&lt;=$O$1,INDEX($A$3:$A$168,MATCH(783,$I$3:$I$168,0)),IF(783&lt;=$O$1+$O$2,INDEX($F$3:$F$1994,MATCH(783-$O$1,$G$3:$G$1994,0)),"")),"")</x:f>
      </x:c>
      <x:c r="E785" t="str">
        <x:f>IF(K785="","",IF(N785&lt;=M785,"",TRIM(CLEAN(MID(INDEX($B$3:$B$168,K785),M785,N785-M785)))))</x:f>
      </x:c>
      <x:c r="F785" t="str">
        <x:f>IF(E785="","",IF(E785=TRIM(INDEX($A$3:$A$168,K785)),"",IF(RIGHT(TRIM(INDEX($A$3:$A$168,K785)),1)="]",LEFT(TRIM(INDEX($A$3:$A$168,K785)),LEN(TRIM(INDEX($A$3:$A$168,K785)))-1)&amp;", "&amp;SUBSTITUTE(SUBSTITUTE(SUBSTITUTE(E785," [",", "),"[",", "),"]","")&amp;"]",TRIM(INDEX($A$3:$A$168,K785))&amp;" ["&amp;SUBSTITUTE(SUBSTITUTE(SUBSTITUTE(E785," [",", "),"[",", "),"]","")&amp;"]")))</x:f>
      </x:c>
      <x:c r="G785" t="str">
        <x:f>IF(F785&lt;&gt;"",ROWS($F$3:F785)-COUNTBLANK($F$3:F785),"")</x:f>
      </x:c>
      <x:c r="H785"/>
      <x:c r="I785"/>
      <x:c r="J785"/>
      <x:c r="K785" t="str">
        <x:f>IF(ROW()-ROW($K$2)&lt;=SUM($J$3:$J$168),COUNTIF($H$3:$H$168,"&lt;"&amp;(ROW()-ROW($K$2))),"")</x:f>
      </x:c>
      <x:c r="L785" t="str">
        <x:f>IF(K785="","",ROW()-ROW($L$2)-INDEX($H$3:$H$168,K785))</x:f>
      </x:c>
      <x:c r="M785" t="str">
        <x:f>IF(K785="","",IF(L785=1,1,FIND(CHAR(1),SUBSTITUTE(INDEX($B$3:$B$168,K785),CHAR(10),CHAR(1),L785-1))+1))</x:f>
      </x:c>
      <x:c r="N785" t="str">
        <x:f>IF(K785="","",IFERROR(FIND(CHAR(1),SUBSTITUTE(INDEX($B$3:$B$168,K785),CHAR(10),CHAR(1),L785)),LEN(INDEX($B$3:$B$168,K785))+1))</x:f>
      </x:c>
    </x:row>
    <x:row r="786">
      <x:c r="A786"/>
      <x:c r="B786"/>
      <x:c r="C786"/>
      <x:c r="D786" t="str">
        <x:f>IFERROR(IF(784&lt;=$O$1,INDEX($A$3:$A$168,MATCH(784,$I$3:$I$168,0)),IF(784&lt;=$O$1+$O$2,INDEX($F$3:$F$1994,MATCH(784-$O$1,$G$3:$G$1994,0)),"")),"")</x:f>
      </x:c>
      <x:c r="E786" t="str">
        <x:f>IF(K786="","",IF(N786&lt;=M786,"",TRIM(CLEAN(MID(INDEX($B$3:$B$168,K786),M786,N786-M786)))))</x:f>
      </x:c>
      <x:c r="F786" t="str">
        <x:f>IF(E786="","",IF(E786=TRIM(INDEX($A$3:$A$168,K786)),"",IF(RIGHT(TRIM(INDEX($A$3:$A$168,K786)),1)="]",LEFT(TRIM(INDEX($A$3:$A$168,K786)),LEN(TRIM(INDEX($A$3:$A$168,K786)))-1)&amp;", "&amp;SUBSTITUTE(SUBSTITUTE(SUBSTITUTE(E786," [",", "),"[",", "),"]","")&amp;"]",TRIM(INDEX($A$3:$A$168,K786))&amp;" ["&amp;SUBSTITUTE(SUBSTITUTE(SUBSTITUTE(E786," [",", "),"[",", "),"]","")&amp;"]")))</x:f>
      </x:c>
      <x:c r="G786" t="str">
        <x:f>IF(F786&lt;&gt;"",ROWS($F$3:F786)-COUNTBLANK($F$3:F786),"")</x:f>
      </x:c>
      <x:c r="H786"/>
      <x:c r="I786"/>
      <x:c r="J786"/>
      <x:c r="K786" t="str">
        <x:f>IF(ROW()-ROW($K$2)&lt;=SUM($J$3:$J$168),COUNTIF($H$3:$H$168,"&lt;"&amp;(ROW()-ROW($K$2))),"")</x:f>
      </x:c>
      <x:c r="L786" t="str">
        <x:f>IF(K786="","",ROW()-ROW($L$2)-INDEX($H$3:$H$168,K786))</x:f>
      </x:c>
      <x:c r="M786" t="str">
        <x:f>IF(K786="","",IF(L786=1,1,FIND(CHAR(1),SUBSTITUTE(INDEX($B$3:$B$168,K786),CHAR(10),CHAR(1),L786-1))+1))</x:f>
      </x:c>
      <x:c r="N786" t="str">
        <x:f>IF(K786="","",IFERROR(FIND(CHAR(1),SUBSTITUTE(INDEX($B$3:$B$168,K786),CHAR(10),CHAR(1),L786)),LEN(INDEX($B$3:$B$168,K786))+1))</x:f>
      </x:c>
    </x:row>
    <x:row r="787">
      <x:c r="A787"/>
      <x:c r="B787"/>
      <x:c r="C787"/>
      <x:c r="D787" t="str">
        <x:f>IFERROR(IF(785&lt;=$O$1,INDEX($A$3:$A$168,MATCH(785,$I$3:$I$168,0)),IF(785&lt;=$O$1+$O$2,INDEX($F$3:$F$1994,MATCH(785-$O$1,$G$3:$G$1994,0)),"")),"")</x:f>
      </x:c>
      <x:c r="E787" t="str">
        <x:f>IF(K787="","",IF(N787&lt;=M787,"",TRIM(CLEAN(MID(INDEX($B$3:$B$168,K787),M787,N787-M787)))))</x:f>
      </x:c>
      <x:c r="F787" t="str">
        <x:f>IF(E787="","",IF(E787=TRIM(INDEX($A$3:$A$168,K787)),"",IF(RIGHT(TRIM(INDEX($A$3:$A$168,K787)),1)="]",LEFT(TRIM(INDEX($A$3:$A$168,K787)),LEN(TRIM(INDEX($A$3:$A$168,K787)))-1)&amp;", "&amp;SUBSTITUTE(SUBSTITUTE(SUBSTITUTE(E787," [",", "),"[",", "),"]","")&amp;"]",TRIM(INDEX($A$3:$A$168,K787))&amp;" ["&amp;SUBSTITUTE(SUBSTITUTE(SUBSTITUTE(E787," [",", "),"[",", "),"]","")&amp;"]")))</x:f>
      </x:c>
      <x:c r="G787" t="str">
        <x:f>IF(F787&lt;&gt;"",ROWS($F$3:F787)-COUNTBLANK($F$3:F787),"")</x:f>
      </x:c>
      <x:c r="H787"/>
      <x:c r="I787"/>
      <x:c r="J787"/>
      <x:c r="K787" t="str">
        <x:f>IF(ROW()-ROW($K$2)&lt;=SUM($J$3:$J$168),COUNTIF($H$3:$H$168,"&lt;"&amp;(ROW()-ROW($K$2))),"")</x:f>
      </x:c>
      <x:c r="L787" t="str">
        <x:f>IF(K787="","",ROW()-ROW($L$2)-INDEX($H$3:$H$168,K787))</x:f>
      </x:c>
      <x:c r="M787" t="str">
        <x:f>IF(K787="","",IF(L787=1,1,FIND(CHAR(1),SUBSTITUTE(INDEX($B$3:$B$168,K787),CHAR(10),CHAR(1),L787-1))+1))</x:f>
      </x:c>
      <x:c r="N787" t="str">
        <x:f>IF(K787="","",IFERROR(FIND(CHAR(1),SUBSTITUTE(INDEX($B$3:$B$168,K787),CHAR(10),CHAR(1),L787)),LEN(INDEX($B$3:$B$168,K787))+1))</x:f>
      </x:c>
    </x:row>
    <x:row r="788">
      <x:c r="A788"/>
      <x:c r="B788"/>
      <x:c r="C788"/>
      <x:c r="D788" t="str">
        <x:f>IFERROR(IF(786&lt;=$O$1,INDEX($A$3:$A$168,MATCH(786,$I$3:$I$168,0)),IF(786&lt;=$O$1+$O$2,INDEX($F$3:$F$1994,MATCH(786-$O$1,$G$3:$G$1994,0)),"")),"")</x:f>
      </x:c>
      <x:c r="E788" t="str">
        <x:f>IF(K788="","",IF(N788&lt;=M788,"",TRIM(CLEAN(MID(INDEX($B$3:$B$168,K788),M788,N788-M788)))))</x:f>
      </x:c>
      <x:c r="F788" t="str">
        <x:f>IF(E788="","",IF(E788=TRIM(INDEX($A$3:$A$168,K788)),"",IF(RIGHT(TRIM(INDEX($A$3:$A$168,K788)),1)="]",LEFT(TRIM(INDEX($A$3:$A$168,K788)),LEN(TRIM(INDEX($A$3:$A$168,K788)))-1)&amp;", "&amp;SUBSTITUTE(SUBSTITUTE(SUBSTITUTE(E788," [",", "),"[",", "),"]","")&amp;"]",TRIM(INDEX($A$3:$A$168,K788))&amp;" ["&amp;SUBSTITUTE(SUBSTITUTE(SUBSTITUTE(E788," [",", "),"[",", "),"]","")&amp;"]")))</x:f>
      </x:c>
      <x:c r="G788" t="str">
        <x:f>IF(F788&lt;&gt;"",ROWS($F$3:F788)-COUNTBLANK($F$3:F788),"")</x:f>
      </x:c>
      <x:c r="H788"/>
      <x:c r="I788"/>
      <x:c r="J788"/>
      <x:c r="K788" t="str">
        <x:f>IF(ROW()-ROW($K$2)&lt;=SUM($J$3:$J$168),COUNTIF($H$3:$H$168,"&lt;"&amp;(ROW()-ROW($K$2))),"")</x:f>
      </x:c>
      <x:c r="L788" t="str">
        <x:f>IF(K788="","",ROW()-ROW($L$2)-INDEX($H$3:$H$168,K788))</x:f>
      </x:c>
      <x:c r="M788" t="str">
        <x:f>IF(K788="","",IF(L788=1,1,FIND(CHAR(1),SUBSTITUTE(INDEX($B$3:$B$168,K788),CHAR(10),CHAR(1),L788-1))+1))</x:f>
      </x:c>
      <x:c r="N788" t="str">
        <x:f>IF(K788="","",IFERROR(FIND(CHAR(1),SUBSTITUTE(INDEX($B$3:$B$168,K788),CHAR(10),CHAR(1),L788)),LEN(INDEX($B$3:$B$168,K788))+1))</x:f>
      </x:c>
    </x:row>
    <x:row r="789">
      <x:c r="A789"/>
      <x:c r="B789"/>
      <x:c r="C789"/>
      <x:c r="D789" t="str">
        <x:f>IFERROR(IF(787&lt;=$O$1,INDEX($A$3:$A$168,MATCH(787,$I$3:$I$168,0)),IF(787&lt;=$O$1+$O$2,INDEX($F$3:$F$1994,MATCH(787-$O$1,$G$3:$G$1994,0)),"")),"")</x:f>
      </x:c>
      <x:c r="E789" t="str">
        <x:f>IF(K789="","",IF(N789&lt;=M789,"",TRIM(CLEAN(MID(INDEX($B$3:$B$168,K789),M789,N789-M789)))))</x:f>
      </x:c>
      <x:c r="F789" t="str">
        <x:f>IF(E789="","",IF(E789=TRIM(INDEX($A$3:$A$168,K789)),"",IF(RIGHT(TRIM(INDEX($A$3:$A$168,K789)),1)="]",LEFT(TRIM(INDEX($A$3:$A$168,K789)),LEN(TRIM(INDEX($A$3:$A$168,K789)))-1)&amp;", "&amp;SUBSTITUTE(SUBSTITUTE(SUBSTITUTE(E789," [",", "),"[",", "),"]","")&amp;"]",TRIM(INDEX($A$3:$A$168,K789))&amp;" ["&amp;SUBSTITUTE(SUBSTITUTE(SUBSTITUTE(E789," [",", "),"[",", "),"]","")&amp;"]")))</x:f>
      </x:c>
      <x:c r="G789" t="str">
        <x:f>IF(F789&lt;&gt;"",ROWS($F$3:F789)-COUNTBLANK($F$3:F789),"")</x:f>
      </x:c>
      <x:c r="H789"/>
      <x:c r="I789"/>
      <x:c r="J789"/>
      <x:c r="K789" t="str">
        <x:f>IF(ROW()-ROW($K$2)&lt;=SUM($J$3:$J$168),COUNTIF($H$3:$H$168,"&lt;"&amp;(ROW()-ROW($K$2))),"")</x:f>
      </x:c>
      <x:c r="L789" t="str">
        <x:f>IF(K789="","",ROW()-ROW($L$2)-INDEX($H$3:$H$168,K789))</x:f>
      </x:c>
      <x:c r="M789" t="str">
        <x:f>IF(K789="","",IF(L789=1,1,FIND(CHAR(1),SUBSTITUTE(INDEX($B$3:$B$168,K789),CHAR(10),CHAR(1),L789-1))+1))</x:f>
      </x:c>
      <x:c r="N789" t="str">
        <x:f>IF(K789="","",IFERROR(FIND(CHAR(1),SUBSTITUTE(INDEX($B$3:$B$168,K789),CHAR(10),CHAR(1),L789)),LEN(INDEX($B$3:$B$168,K789))+1))</x:f>
      </x:c>
    </x:row>
    <x:row r="790">
      <x:c r="A790"/>
      <x:c r="B790"/>
      <x:c r="C790"/>
      <x:c r="D790" t="str">
        <x:f>IFERROR(IF(788&lt;=$O$1,INDEX($A$3:$A$168,MATCH(788,$I$3:$I$168,0)),IF(788&lt;=$O$1+$O$2,INDEX($F$3:$F$1994,MATCH(788-$O$1,$G$3:$G$1994,0)),"")),"")</x:f>
      </x:c>
      <x:c r="E790" t="str">
        <x:f>IF(K790="","",IF(N790&lt;=M790,"",TRIM(CLEAN(MID(INDEX($B$3:$B$168,K790),M790,N790-M790)))))</x:f>
      </x:c>
      <x:c r="F790" t="str">
        <x:f>IF(E790="","",IF(E790=TRIM(INDEX($A$3:$A$168,K790)),"",IF(RIGHT(TRIM(INDEX($A$3:$A$168,K790)),1)="]",LEFT(TRIM(INDEX($A$3:$A$168,K790)),LEN(TRIM(INDEX($A$3:$A$168,K790)))-1)&amp;", "&amp;SUBSTITUTE(SUBSTITUTE(SUBSTITUTE(E790," [",", "),"[",", "),"]","")&amp;"]",TRIM(INDEX($A$3:$A$168,K790))&amp;" ["&amp;SUBSTITUTE(SUBSTITUTE(SUBSTITUTE(E790," [",", "),"[",", "),"]","")&amp;"]")))</x:f>
      </x:c>
      <x:c r="G790" t="str">
        <x:f>IF(F790&lt;&gt;"",ROWS($F$3:F790)-COUNTBLANK($F$3:F790),"")</x:f>
      </x:c>
      <x:c r="H790"/>
      <x:c r="I790"/>
      <x:c r="J790"/>
      <x:c r="K790" t="str">
        <x:f>IF(ROW()-ROW($K$2)&lt;=SUM($J$3:$J$168),COUNTIF($H$3:$H$168,"&lt;"&amp;(ROW()-ROW($K$2))),"")</x:f>
      </x:c>
      <x:c r="L790" t="str">
        <x:f>IF(K790="","",ROW()-ROW($L$2)-INDEX($H$3:$H$168,K790))</x:f>
      </x:c>
      <x:c r="M790" t="str">
        <x:f>IF(K790="","",IF(L790=1,1,FIND(CHAR(1),SUBSTITUTE(INDEX($B$3:$B$168,K790),CHAR(10),CHAR(1),L790-1))+1))</x:f>
      </x:c>
      <x:c r="N790" t="str">
        <x:f>IF(K790="","",IFERROR(FIND(CHAR(1),SUBSTITUTE(INDEX($B$3:$B$168,K790),CHAR(10),CHAR(1),L790)),LEN(INDEX($B$3:$B$168,K790))+1))</x:f>
      </x:c>
    </x:row>
    <x:row r="791">
      <x:c r="A791"/>
      <x:c r="B791"/>
      <x:c r="C791"/>
      <x:c r="D791" t="str">
        <x:f>IFERROR(IF(789&lt;=$O$1,INDEX($A$3:$A$168,MATCH(789,$I$3:$I$168,0)),IF(789&lt;=$O$1+$O$2,INDEX($F$3:$F$1994,MATCH(789-$O$1,$G$3:$G$1994,0)),"")),"")</x:f>
      </x:c>
      <x:c r="E791" t="str">
        <x:f>IF(K791="","",IF(N791&lt;=M791,"",TRIM(CLEAN(MID(INDEX($B$3:$B$168,K791),M791,N791-M791)))))</x:f>
      </x:c>
      <x:c r="F791" t="str">
        <x:f>IF(E791="","",IF(E791=TRIM(INDEX($A$3:$A$168,K791)),"",IF(RIGHT(TRIM(INDEX($A$3:$A$168,K791)),1)="]",LEFT(TRIM(INDEX($A$3:$A$168,K791)),LEN(TRIM(INDEX($A$3:$A$168,K791)))-1)&amp;", "&amp;SUBSTITUTE(SUBSTITUTE(SUBSTITUTE(E791," [",", "),"[",", "),"]","")&amp;"]",TRIM(INDEX($A$3:$A$168,K791))&amp;" ["&amp;SUBSTITUTE(SUBSTITUTE(SUBSTITUTE(E791," [",", "),"[",", "),"]","")&amp;"]")))</x:f>
      </x:c>
      <x:c r="G791" t="str">
        <x:f>IF(F791&lt;&gt;"",ROWS($F$3:F791)-COUNTBLANK($F$3:F791),"")</x:f>
      </x:c>
      <x:c r="H791"/>
      <x:c r="I791"/>
      <x:c r="J791"/>
      <x:c r="K791" t="str">
        <x:f>IF(ROW()-ROW($K$2)&lt;=SUM($J$3:$J$168),COUNTIF($H$3:$H$168,"&lt;"&amp;(ROW()-ROW($K$2))),"")</x:f>
      </x:c>
      <x:c r="L791" t="str">
        <x:f>IF(K791="","",ROW()-ROW($L$2)-INDEX($H$3:$H$168,K791))</x:f>
      </x:c>
      <x:c r="M791" t="str">
        <x:f>IF(K791="","",IF(L791=1,1,FIND(CHAR(1),SUBSTITUTE(INDEX($B$3:$B$168,K791),CHAR(10),CHAR(1),L791-1))+1))</x:f>
      </x:c>
      <x:c r="N791" t="str">
        <x:f>IF(K791="","",IFERROR(FIND(CHAR(1),SUBSTITUTE(INDEX($B$3:$B$168,K791),CHAR(10),CHAR(1),L791)),LEN(INDEX($B$3:$B$168,K791))+1))</x:f>
      </x:c>
    </x:row>
    <x:row r="792">
      <x:c r="A792"/>
      <x:c r="B792"/>
      <x:c r="C792"/>
      <x:c r="D792" t="str">
        <x:f>IFERROR(IF(790&lt;=$O$1,INDEX($A$3:$A$168,MATCH(790,$I$3:$I$168,0)),IF(790&lt;=$O$1+$O$2,INDEX($F$3:$F$1994,MATCH(790-$O$1,$G$3:$G$1994,0)),"")),"")</x:f>
      </x:c>
      <x:c r="E792" t="str">
        <x:f>IF(K792="","",IF(N792&lt;=M792,"",TRIM(CLEAN(MID(INDEX($B$3:$B$168,K792),M792,N792-M792)))))</x:f>
      </x:c>
      <x:c r="F792" t="str">
        <x:f>IF(E792="","",IF(E792=TRIM(INDEX($A$3:$A$168,K792)),"",IF(RIGHT(TRIM(INDEX($A$3:$A$168,K792)),1)="]",LEFT(TRIM(INDEX($A$3:$A$168,K792)),LEN(TRIM(INDEX($A$3:$A$168,K792)))-1)&amp;", "&amp;SUBSTITUTE(SUBSTITUTE(SUBSTITUTE(E792," [",", "),"[",", "),"]","")&amp;"]",TRIM(INDEX($A$3:$A$168,K792))&amp;" ["&amp;SUBSTITUTE(SUBSTITUTE(SUBSTITUTE(E792," [",", "),"[",", "),"]","")&amp;"]")))</x:f>
      </x:c>
      <x:c r="G792" t="str">
        <x:f>IF(F792&lt;&gt;"",ROWS($F$3:F792)-COUNTBLANK($F$3:F792),"")</x:f>
      </x:c>
      <x:c r="H792"/>
      <x:c r="I792"/>
      <x:c r="J792"/>
      <x:c r="K792" t="str">
        <x:f>IF(ROW()-ROW($K$2)&lt;=SUM($J$3:$J$168),COUNTIF($H$3:$H$168,"&lt;"&amp;(ROW()-ROW($K$2))),"")</x:f>
      </x:c>
      <x:c r="L792" t="str">
        <x:f>IF(K792="","",ROW()-ROW($L$2)-INDEX($H$3:$H$168,K792))</x:f>
      </x:c>
      <x:c r="M792" t="str">
        <x:f>IF(K792="","",IF(L792=1,1,FIND(CHAR(1),SUBSTITUTE(INDEX($B$3:$B$168,K792),CHAR(10),CHAR(1),L792-1))+1))</x:f>
      </x:c>
      <x:c r="N792" t="str">
        <x:f>IF(K792="","",IFERROR(FIND(CHAR(1),SUBSTITUTE(INDEX($B$3:$B$168,K792),CHAR(10),CHAR(1),L792)),LEN(INDEX($B$3:$B$168,K792))+1))</x:f>
      </x:c>
    </x:row>
    <x:row r="793">
      <x:c r="A793"/>
      <x:c r="B793"/>
      <x:c r="C793"/>
      <x:c r="D793" t="str">
        <x:f>IFERROR(IF(791&lt;=$O$1,INDEX($A$3:$A$168,MATCH(791,$I$3:$I$168,0)),IF(791&lt;=$O$1+$O$2,INDEX($F$3:$F$1994,MATCH(791-$O$1,$G$3:$G$1994,0)),"")),"")</x:f>
      </x:c>
      <x:c r="E793" t="str">
        <x:f>IF(K793="","",IF(N793&lt;=M793,"",TRIM(CLEAN(MID(INDEX($B$3:$B$168,K793),M793,N793-M793)))))</x:f>
      </x:c>
      <x:c r="F793" t="str">
        <x:f>IF(E793="","",IF(E793=TRIM(INDEX($A$3:$A$168,K793)),"",IF(RIGHT(TRIM(INDEX($A$3:$A$168,K793)),1)="]",LEFT(TRIM(INDEX($A$3:$A$168,K793)),LEN(TRIM(INDEX($A$3:$A$168,K793)))-1)&amp;", "&amp;SUBSTITUTE(SUBSTITUTE(SUBSTITUTE(E793," [",", "),"[",", "),"]","")&amp;"]",TRIM(INDEX($A$3:$A$168,K793))&amp;" ["&amp;SUBSTITUTE(SUBSTITUTE(SUBSTITUTE(E793," [",", "),"[",", "),"]","")&amp;"]")))</x:f>
      </x:c>
      <x:c r="G793" t="str">
        <x:f>IF(F793&lt;&gt;"",ROWS($F$3:F793)-COUNTBLANK($F$3:F793),"")</x:f>
      </x:c>
      <x:c r="H793"/>
      <x:c r="I793"/>
      <x:c r="J793"/>
      <x:c r="K793" t="str">
        <x:f>IF(ROW()-ROW($K$2)&lt;=SUM($J$3:$J$168),COUNTIF($H$3:$H$168,"&lt;"&amp;(ROW()-ROW($K$2))),"")</x:f>
      </x:c>
      <x:c r="L793" t="str">
        <x:f>IF(K793="","",ROW()-ROW($L$2)-INDEX($H$3:$H$168,K793))</x:f>
      </x:c>
      <x:c r="M793" t="str">
        <x:f>IF(K793="","",IF(L793=1,1,FIND(CHAR(1),SUBSTITUTE(INDEX($B$3:$B$168,K793),CHAR(10),CHAR(1),L793-1))+1))</x:f>
      </x:c>
      <x:c r="N793" t="str">
        <x:f>IF(K793="","",IFERROR(FIND(CHAR(1),SUBSTITUTE(INDEX($B$3:$B$168,K793),CHAR(10),CHAR(1),L793)),LEN(INDEX($B$3:$B$168,K793))+1))</x:f>
      </x:c>
    </x:row>
    <x:row r="794">
      <x:c r="A794"/>
      <x:c r="B794"/>
      <x:c r="C794"/>
      <x:c r="D794" t="str">
        <x:f>IFERROR(IF(792&lt;=$O$1,INDEX($A$3:$A$168,MATCH(792,$I$3:$I$168,0)),IF(792&lt;=$O$1+$O$2,INDEX($F$3:$F$1994,MATCH(792-$O$1,$G$3:$G$1994,0)),"")),"")</x:f>
      </x:c>
      <x:c r="E794" t="str">
        <x:f>IF(K794="","",IF(N794&lt;=M794,"",TRIM(CLEAN(MID(INDEX($B$3:$B$168,K794),M794,N794-M794)))))</x:f>
      </x:c>
      <x:c r="F794" t="str">
        <x:f>IF(E794="","",IF(E794=TRIM(INDEX($A$3:$A$168,K794)),"",IF(RIGHT(TRIM(INDEX($A$3:$A$168,K794)),1)="]",LEFT(TRIM(INDEX($A$3:$A$168,K794)),LEN(TRIM(INDEX($A$3:$A$168,K794)))-1)&amp;", "&amp;SUBSTITUTE(SUBSTITUTE(SUBSTITUTE(E794," [",", "),"[",", "),"]","")&amp;"]",TRIM(INDEX($A$3:$A$168,K794))&amp;" ["&amp;SUBSTITUTE(SUBSTITUTE(SUBSTITUTE(E794," [",", "),"[",", "),"]","")&amp;"]")))</x:f>
      </x:c>
      <x:c r="G794" t="str">
        <x:f>IF(F794&lt;&gt;"",ROWS($F$3:F794)-COUNTBLANK($F$3:F794),"")</x:f>
      </x:c>
      <x:c r="H794"/>
      <x:c r="I794"/>
      <x:c r="J794"/>
      <x:c r="K794" t="str">
        <x:f>IF(ROW()-ROW($K$2)&lt;=SUM($J$3:$J$168),COUNTIF($H$3:$H$168,"&lt;"&amp;(ROW()-ROW($K$2))),"")</x:f>
      </x:c>
      <x:c r="L794" t="str">
        <x:f>IF(K794="","",ROW()-ROW($L$2)-INDEX($H$3:$H$168,K794))</x:f>
      </x:c>
      <x:c r="M794" t="str">
        <x:f>IF(K794="","",IF(L794=1,1,FIND(CHAR(1),SUBSTITUTE(INDEX($B$3:$B$168,K794),CHAR(10),CHAR(1),L794-1))+1))</x:f>
      </x:c>
      <x:c r="N794" t="str">
        <x:f>IF(K794="","",IFERROR(FIND(CHAR(1),SUBSTITUTE(INDEX($B$3:$B$168,K794),CHAR(10),CHAR(1),L794)),LEN(INDEX($B$3:$B$168,K794))+1))</x:f>
      </x:c>
    </x:row>
    <x:row r="795">
      <x:c r="A795"/>
      <x:c r="B795"/>
      <x:c r="C795"/>
      <x:c r="D795" t="str">
        <x:f>IFERROR(IF(793&lt;=$O$1,INDEX($A$3:$A$168,MATCH(793,$I$3:$I$168,0)),IF(793&lt;=$O$1+$O$2,INDEX($F$3:$F$1994,MATCH(793-$O$1,$G$3:$G$1994,0)),"")),"")</x:f>
      </x:c>
      <x:c r="E795" t="str">
        <x:f>IF(K795="","",IF(N795&lt;=M795,"",TRIM(CLEAN(MID(INDEX($B$3:$B$168,K795),M795,N795-M795)))))</x:f>
      </x:c>
      <x:c r="F795" t="str">
        <x:f>IF(E795="","",IF(E795=TRIM(INDEX($A$3:$A$168,K795)),"",IF(RIGHT(TRIM(INDEX($A$3:$A$168,K795)),1)="]",LEFT(TRIM(INDEX($A$3:$A$168,K795)),LEN(TRIM(INDEX($A$3:$A$168,K795)))-1)&amp;", "&amp;SUBSTITUTE(SUBSTITUTE(SUBSTITUTE(E795," [",", "),"[",", "),"]","")&amp;"]",TRIM(INDEX($A$3:$A$168,K795))&amp;" ["&amp;SUBSTITUTE(SUBSTITUTE(SUBSTITUTE(E795," [",", "),"[",", "),"]","")&amp;"]")))</x:f>
      </x:c>
      <x:c r="G795" t="str">
        <x:f>IF(F795&lt;&gt;"",ROWS($F$3:F795)-COUNTBLANK($F$3:F795),"")</x:f>
      </x:c>
      <x:c r="H795"/>
      <x:c r="I795"/>
      <x:c r="J795"/>
      <x:c r="K795" t="str">
        <x:f>IF(ROW()-ROW($K$2)&lt;=SUM($J$3:$J$168),COUNTIF($H$3:$H$168,"&lt;"&amp;(ROW()-ROW($K$2))),"")</x:f>
      </x:c>
      <x:c r="L795" t="str">
        <x:f>IF(K795="","",ROW()-ROW($L$2)-INDEX($H$3:$H$168,K795))</x:f>
      </x:c>
      <x:c r="M795" t="str">
        <x:f>IF(K795="","",IF(L795=1,1,FIND(CHAR(1),SUBSTITUTE(INDEX($B$3:$B$168,K795),CHAR(10),CHAR(1),L795-1))+1))</x:f>
      </x:c>
      <x:c r="N795" t="str">
        <x:f>IF(K795="","",IFERROR(FIND(CHAR(1),SUBSTITUTE(INDEX($B$3:$B$168,K795),CHAR(10),CHAR(1),L795)),LEN(INDEX($B$3:$B$168,K795))+1))</x:f>
      </x:c>
    </x:row>
    <x:row r="796">
      <x:c r="A796"/>
      <x:c r="B796"/>
      <x:c r="C796"/>
      <x:c r="D796" t="str">
        <x:f>IFERROR(IF(794&lt;=$O$1,INDEX($A$3:$A$168,MATCH(794,$I$3:$I$168,0)),IF(794&lt;=$O$1+$O$2,INDEX($F$3:$F$1994,MATCH(794-$O$1,$G$3:$G$1994,0)),"")),"")</x:f>
      </x:c>
      <x:c r="E796" t="str">
        <x:f>IF(K796="","",IF(N796&lt;=M796,"",TRIM(CLEAN(MID(INDEX($B$3:$B$168,K796),M796,N796-M796)))))</x:f>
      </x:c>
      <x:c r="F796" t="str">
        <x:f>IF(E796="","",IF(E796=TRIM(INDEX($A$3:$A$168,K796)),"",IF(RIGHT(TRIM(INDEX($A$3:$A$168,K796)),1)="]",LEFT(TRIM(INDEX($A$3:$A$168,K796)),LEN(TRIM(INDEX($A$3:$A$168,K796)))-1)&amp;", "&amp;SUBSTITUTE(SUBSTITUTE(SUBSTITUTE(E796," [",", "),"[",", "),"]","")&amp;"]",TRIM(INDEX($A$3:$A$168,K796))&amp;" ["&amp;SUBSTITUTE(SUBSTITUTE(SUBSTITUTE(E796," [",", "),"[",", "),"]","")&amp;"]")))</x:f>
      </x:c>
      <x:c r="G796" t="str">
        <x:f>IF(F796&lt;&gt;"",ROWS($F$3:F796)-COUNTBLANK($F$3:F796),"")</x:f>
      </x:c>
      <x:c r="H796"/>
      <x:c r="I796"/>
      <x:c r="J796"/>
      <x:c r="K796" t="str">
        <x:f>IF(ROW()-ROW($K$2)&lt;=SUM($J$3:$J$168),COUNTIF($H$3:$H$168,"&lt;"&amp;(ROW()-ROW($K$2))),"")</x:f>
      </x:c>
      <x:c r="L796" t="str">
        <x:f>IF(K796="","",ROW()-ROW($L$2)-INDEX($H$3:$H$168,K796))</x:f>
      </x:c>
      <x:c r="M796" t="str">
        <x:f>IF(K796="","",IF(L796=1,1,FIND(CHAR(1),SUBSTITUTE(INDEX($B$3:$B$168,K796),CHAR(10),CHAR(1),L796-1))+1))</x:f>
      </x:c>
      <x:c r="N796" t="str">
        <x:f>IF(K796="","",IFERROR(FIND(CHAR(1),SUBSTITUTE(INDEX($B$3:$B$168,K796),CHAR(10),CHAR(1),L796)),LEN(INDEX($B$3:$B$168,K796))+1))</x:f>
      </x:c>
    </x:row>
    <x:row r="797">
      <x:c r="A797"/>
      <x:c r="B797"/>
      <x:c r="C797"/>
      <x:c r="D797" t="str">
        <x:f>IFERROR(IF(795&lt;=$O$1,INDEX($A$3:$A$168,MATCH(795,$I$3:$I$168,0)),IF(795&lt;=$O$1+$O$2,INDEX($F$3:$F$1994,MATCH(795-$O$1,$G$3:$G$1994,0)),"")),"")</x:f>
      </x:c>
      <x:c r="E797" t="str">
        <x:f>IF(K797="","",IF(N797&lt;=M797,"",TRIM(CLEAN(MID(INDEX($B$3:$B$168,K797),M797,N797-M797)))))</x:f>
      </x:c>
      <x:c r="F797" t="str">
        <x:f>IF(E797="","",IF(E797=TRIM(INDEX($A$3:$A$168,K797)),"",IF(RIGHT(TRIM(INDEX($A$3:$A$168,K797)),1)="]",LEFT(TRIM(INDEX($A$3:$A$168,K797)),LEN(TRIM(INDEX($A$3:$A$168,K797)))-1)&amp;", "&amp;SUBSTITUTE(SUBSTITUTE(SUBSTITUTE(E797," [",", "),"[",", "),"]","")&amp;"]",TRIM(INDEX($A$3:$A$168,K797))&amp;" ["&amp;SUBSTITUTE(SUBSTITUTE(SUBSTITUTE(E797," [",", "),"[",", "),"]","")&amp;"]")))</x:f>
      </x:c>
      <x:c r="G797" t="str">
        <x:f>IF(F797&lt;&gt;"",ROWS($F$3:F797)-COUNTBLANK($F$3:F797),"")</x:f>
      </x:c>
      <x:c r="H797"/>
      <x:c r="I797"/>
      <x:c r="J797"/>
      <x:c r="K797" t="str">
        <x:f>IF(ROW()-ROW($K$2)&lt;=SUM($J$3:$J$168),COUNTIF($H$3:$H$168,"&lt;"&amp;(ROW()-ROW($K$2))),"")</x:f>
      </x:c>
      <x:c r="L797" t="str">
        <x:f>IF(K797="","",ROW()-ROW($L$2)-INDEX($H$3:$H$168,K797))</x:f>
      </x:c>
      <x:c r="M797" t="str">
        <x:f>IF(K797="","",IF(L797=1,1,FIND(CHAR(1),SUBSTITUTE(INDEX($B$3:$B$168,K797),CHAR(10),CHAR(1),L797-1))+1))</x:f>
      </x:c>
      <x:c r="N797" t="str">
        <x:f>IF(K797="","",IFERROR(FIND(CHAR(1),SUBSTITUTE(INDEX($B$3:$B$168,K797),CHAR(10),CHAR(1),L797)),LEN(INDEX($B$3:$B$168,K797))+1))</x:f>
      </x:c>
    </x:row>
    <x:row r="798">
      <x:c r="A798"/>
      <x:c r="B798"/>
      <x:c r="C798"/>
      <x:c r="D798" t="str">
        <x:f>IFERROR(IF(796&lt;=$O$1,INDEX($A$3:$A$168,MATCH(796,$I$3:$I$168,0)),IF(796&lt;=$O$1+$O$2,INDEX($F$3:$F$1994,MATCH(796-$O$1,$G$3:$G$1994,0)),"")),"")</x:f>
      </x:c>
      <x:c r="E798" t="str">
        <x:f>IF(K798="","",IF(N798&lt;=M798,"",TRIM(CLEAN(MID(INDEX($B$3:$B$168,K798),M798,N798-M798)))))</x:f>
      </x:c>
      <x:c r="F798" t="str">
        <x:f>IF(E798="","",IF(E798=TRIM(INDEX($A$3:$A$168,K798)),"",IF(RIGHT(TRIM(INDEX($A$3:$A$168,K798)),1)="]",LEFT(TRIM(INDEX($A$3:$A$168,K798)),LEN(TRIM(INDEX($A$3:$A$168,K798)))-1)&amp;", "&amp;SUBSTITUTE(SUBSTITUTE(SUBSTITUTE(E798," [",", "),"[",", "),"]","")&amp;"]",TRIM(INDEX($A$3:$A$168,K798))&amp;" ["&amp;SUBSTITUTE(SUBSTITUTE(SUBSTITUTE(E798," [",", "),"[",", "),"]","")&amp;"]")))</x:f>
      </x:c>
      <x:c r="G798" t="str">
        <x:f>IF(F798&lt;&gt;"",ROWS($F$3:F798)-COUNTBLANK($F$3:F798),"")</x:f>
      </x:c>
      <x:c r="H798"/>
      <x:c r="I798"/>
      <x:c r="J798"/>
      <x:c r="K798" t="str">
        <x:f>IF(ROW()-ROW($K$2)&lt;=SUM($J$3:$J$168),COUNTIF($H$3:$H$168,"&lt;"&amp;(ROW()-ROW($K$2))),"")</x:f>
      </x:c>
      <x:c r="L798" t="str">
        <x:f>IF(K798="","",ROW()-ROW($L$2)-INDEX($H$3:$H$168,K798))</x:f>
      </x:c>
      <x:c r="M798" t="str">
        <x:f>IF(K798="","",IF(L798=1,1,FIND(CHAR(1),SUBSTITUTE(INDEX($B$3:$B$168,K798),CHAR(10),CHAR(1),L798-1))+1))</x:f>
      </x:c>
      <x:c r="N798" t="str">
        <x:f>IF(K798="","",IFERROR(FIND(CHAR(1),SUBSTITUTE(INDEX($B$3:$B$168,K798),CHAR(10),CHAR(1),L798)),LEN(INDEX($B$3:$B$168,K798))+1))</x:f>
      </x:c>
    </x:row>
    <x:row r="799">
      <x:c r="A799"/>
      <x:c r="B799"/>
      <x:c r="C799"/>
      <x:c r="D799" t="str">
        <x:f>IFERROR(IF(797&lt;=$O$1,INDEX($A$3:$A$168,MATCH(797,$I$3:$I$168,0)),IF(797&lt;=$O$1+$O$2,INDEX($F$3:$F$1994,MATCH(797-$O$1,$G$3:$G$1994,0)),"")),"")</x:f>
      </x:c>
      <x:c r="E799" t="str">
        <x:f>IF(K799="","",IF(N799&lt;=M799,"",TRIM(CLEAN(MID(INDEX($B$3:$B$168,K799),M799,N799-M799)))))</x:f>
      </x:c>
      <x:c r="F799" t="str">
        <x:f>IF(E799="","",IF(E799=TRIM(INDEX($A$3:$A$168,K799)),"",IF(RIGHT(TRIM(INDEX($A$3:$A$168,K799)),1)="]",LEFT(TRIM(INDEX($A$3:$A$168,K799)),LEN(TRIM(INDEX($A$3:$A$168,K799)))-1)&amp;", "&amp;SUBSTITUTE(SUBSTITUTE(SUBSTITUTE(E799," [",", "),"[",", "),"]","")&amp;"]",TRIM(INDEX($A$3:$A$168,K799))&amp;" ["&amp;SUBSTITUTE(SUBSTITUTE(SUBSTITUTE(E799," [",", "),"[",", "),"]","")&amp;"]")))</x:f>
      </x:c>
      <x:c r="G799" t="str">
        <x:f>IF(F799&lt;&gt;"",ROWS($F$3:F799)-COUNTBLANK($F$3:F799),"")</x:f>
      </x:c>
      <x:c r="H799"/>
      <x:c r="I799"/>
      <x:c r="J799"/>
      <x:c r="K799" t="str">
        <x:f>IF(ROW()-ROW($K$2)&lt;=SUM($J$3:$J$168),COUNTIF($H$3:$H$168,"&lt;"&amp;(ROW()-ROW($K$2))),"")</x:f>
      </x:c>
      <x:c r="L799" t="str">
        <x:f>IF(K799="","",ROW()-ROW($L$2)-INDEX($H$3:$H$168,K799))</x:f>
      </x:c>
      <x:c r="M799" t="str">
        <x:f>IF(K799="","",IF(L799=1,1,FIND(CHAR(1),SUBSTITUTE(INDEX($B$3:$B$168,K799),CHAR(10),CHAR(1),L799-1))+1))</x:f>
      </x:c>
      <x:c r="N799" t="str">
        <x:f>IF(K799="","",IFERROR(FIND(CHAR(1),SUBSTITUTE(INDEX($B$3:$B$168,K799),CHAR(10),CHAR(1),L799)),LEN(INDEX($B$3:$B$168,K799))+1))</x:f>
      </x:c>
    </x:row>
    <x:row r="800">
      <x:c r="A800"/>
      <x:c r="B800"/>
      <x:c r="C800"/>
      <x:c r="D800" t="str">
        <x:f>IFERROR(IF(798&lt;=$O$1,INDEX($A$3:$A$168,MATCH(798,$I$3:$I$168,0)),IF(798&lt;=$O$1+$O$2,INDEX($F$3:$F$1994,MATCH(798-$O$1,$G$3:$G$1994,0)),"")),"")</x:f>
      </x:c>
      <x:c r="E800" t="str">
        <x:f>IF(K800="","",IF(N800&lt;=M800,"",TRIM(CLEAN(MID(INDEX($B$3:$B$168,K800),M800,N800-M800)))))</x:f>
      </x:c>
      <x:c r="F800" t="str">
        <x:f>IF(E800="","",IF(E800=TRIM(INDEX($A$3:$A$168,K800)),"",IF(RIGHT(TRIM(INDEX($A$3:$A$168,K800)),1)="]",LEFT(TRIM(INDEX($A$3:$A$168,K800)),LEN(TRIM(INDEX($A$3:$A$168,K800)))-1)&amp;", "&amp;SUBSTITUTE(SUBSTITUTE(SUBSTITUTE(E800," [",", "),"[",", "),"]","")&amp;"]",TRIM(INDEX($A$3:$A$168,K800))&amp;" ["&amp;SUBSTITUTE(SUBSTITUTE(SUBSTITUTE(E800," [",", "),"[",", "),"]","")&amp;"]")))</x:f>
      </x:c>
      <x:c r="G800" t="str">
        <x:f>IF(F800&lt;&gt;"",ROWS($F$3:F800)-COUNTBLANK($F$3:F800),"")</x:f>
      </x:c>
      <x:c r="H800"/>
      <x:c r="I800"/>
      <x:c r="J800"/>
      <x:c r="K800" t="str">
        <x:f>IF(ROW()-ROW($K$2)&lt;=SUM($J$3:$J$168),COUNTIF($H$3:$H$168,"&lt;"&amp;(ROW()-ROW($K$2))),"")</x:f>
      </x:c>
      <x:c r="L800" t="str">
        <x:f>IF(K800="","",ROW()-ROW($L$2)-INDEX($H$3:$H$168,K800))</x:f>
      </x:c>
      <x:c r="M800" t="str">
        <x:f>IF(K800="","",IF(L800=1,1,FIND(CHAR(1),SUBSTITUTE(INDEX($B$3:$B$168,K800),CHAR(10),CHAR(1),L800-1))+1))</x:f>
      </x:c>
      <x:c r="N800" t="str">
        <x:f>IF(K800="","",IFERROR(FIND(CHAR(1),SUBSTITUTE(INDEX($B$3:$B$168,K800),CHAR(10),CHAR(1),L800)),LEN(INDEX($B$3:$B$168,K800))+1))</x:f>
      </x:c>
    </x:row>
    <x:row r="801">
      <x:c r="A801"/>
      <x:c r="B801"/>
      <x:c r="C801"/>
      <x:c r="D801" t="str">
        <x:f>IFERROR(IF(799&lt;=$O$1,INDEX($A$3:$A$168,MATCH(799,$I$3:$I$168,0)),IF(799&lt;=$O$1+$O$2,INDEX($F$3:$F$1994,MATCH(799-$O$1,$G$3:$G$1994,0)),"")),"")</x:f>
      </x:c>
      <x:c r="E801" t="str">
        <x:f>IF(K801="","",IF(N801&lt;=M801,"",TRIM(CLEAN(MID(INDEX($B$3:$B$168,K801),M801,N801-M801)))))</x:f>
      </x:c>
      <x:c r="F801" t="str">
        <x:f>IF(E801="","",IF(E801=TRIM(INDEX($A$3:$A$168,K801)),"",IF(RIGHT(TRIM(INDEX($A$3:$A$168,K801)),1)="]",LEFT(TRIM(INDEX($A$3:$A$168,K801)),LEN(TRIM(INDEX($A$3:$A$168,K801)))-1)&amp;", "&amp;SUBSTITUTE(SUBSTITUTE(SUBSTITUTE(E801," [",", "),"[",", "),"]","")&amp;"]",TRIM(INDEX($A$3:$A$168,K801))&amp;" ["&amp;SUBSTITUTE(SUBSTITUTE(SUBSTITUTE(E801," [",", "),"[",", "),"]","")&amp;"]")))</x:f>
      </x:c>
      <x:c r="G801" t="str">
        <x:f>IF(F801&lt;&gt;"",ROWS($F$3:F801)-COUNTBLANK($F$3:F801),"")</x:f>
      </x:c>
      <x:c r="H801"/>
      <x:c r="I801"/>
      <x:c r="J801"/>
      <x:c r="K801" t="str">
        <x:f>IF(ROW()-ROW($K$2)&lt;=SUM($J$3:$J$168),COUNTIF($H$3:$H$168,"&lt;"&amp;(ROW()-ROW($K$2))),"")</x:f>
      </x:c>
      <x:c r="L801" t="str">
        <x:f>IF(K801="","",ROW()-ROW($L$2)-INDEX($H$3:$H$168,K801))</x:f>
      </x:c>
      <x:c r="M801" t="str">
        <x:f>IF(K801="","",IF(L801=1,1,FIND(CHAR(1),SUBSTITUTE(INDEX($B$3:$B$168,K801),CHAR(10),CHAR(1),L801-1))+1))</x:f>
      </x:c>
      <x:c r="N801" t="str">
        <x:f>IF(K801="","",IFERROR(FIND(CHAR(1),SUBSTITUTE(INDEX($B$3:$B$168,K801),CHAR(10),CHAR(1),L801)),LEN(INDEX($B$3:$B$168,K801))+1))</x:f>
      </x:c>
    </x:row>
    <x:row r="802">
      <x:c r="A802"/>
      <x:c r="B802"/>
      <x:c r="C802"/>
      <x:c r="D802" t="str">
        <x:f>IFERROR(IF(800&lt;=$O$1,INDEX($A$3:$A$168,MATCH(800,$I$3:$I$168,0)),IF(800&lt;=$O$1+$O$2,INDEX($F$3:$F$1994,MATCH(800-$O$1,$G$3:$G$1994,0)),"")),"")</x:f>
      </x:c>
      <x:c r="E802" t="str">
        <x:f>IF(K802="","",IF(N802&lt;=M802,"",TRIM(CLEAN(MID(INDEX($B$3:$B$168,K802),M802,N802-M802)))))</x:f>
      </x:c>
      <x:c r="F802" t="str">
        <x:f>IF(E802="","",IF(E802=TRIM(INDEX($A$3:$A$168,K802)),"",IF(RIGHT(TRIM(INDEX($A$3:$A$168,K802)),1)="]",LEFT(TRIM(INDEX($A$3:$A$168,K802)),LEN(TRIM(INDEX($A$3:$A$168,K802)))-1)&amp;", "&amp;SUBSTITUTE(SUBSTITUTE(SUBSTITUTE(E802," [",", "),"[",", "),"]","")&amp;"]",TRIM(INDEX($A$3:$A$168,K802))&amp;" ["&amp;SUBSTITUTE(SUBSTITUTE(SUBSTITUTE(E802," [",", "),"[",", "),"]","")&amp;"]")))</x:f>
      </x:c>
      <x:c r="G802" t="str">
        <x:f>IF(F802&lt;&gt;"",ROWS($F$3:F802)-COUNTBLANK($F$3:F802),"")</x:f>
      </x:c>
      <x:c r="H802"/>
      <x:c r="I802"/>
      <x:c r="J802"/>
      <x:c r="K802" t="str">
        <x:f>IF(ROW()-ROW($K$2)&lt;=SUM($J$3:$J$168),COUNTIF($H$3:$H$168,"&lt;"&amp;(ROW()-ROW($K$2))),"")</x:f>
      </x:c>
      <x:c r="L802" t="str">
        <x:f>IF(K802="","",ROW()-ROW($L$2)-INDEX($H$3:$H$168,K802))</x:f>
      </x:c>
      <x:c r="M802" t="str">
        <x:f>IF(K802="","",IF(L802=1,1,FIND(CHAR(1),SUBSTITUTE(INDEX($B$3:$B$168,K802),CHAR(10),CHAR(1),L802-1))+1))</x:f>
      </x:c>
      <x:c r="N802" t="str">
        <x:f>IF(K802="","",IFERROR(FIND(CHAR(1),SUBSTITUTE(INDEX($B$3:$B$168,K802),CHAR(10),CHAR(1),L802)),LEN(INDEX($B$3:$B$168,K802))+1))</x:f>
      </x:c>
    </x:row>
    <x:row r="803">
      <x:c r="A803"/>
      <x:c r="B803"/>
      <x:c r="C803"/>
      <x:c r="D803" t="str">
        <x:f>IFERROR(IF(801&lt;=$O$1,INDEX($A$3:$A$168,MATCH(801,$I$3:$I$168,0)),IF(801&lt;=$O$1+$O$2,INDEX($F$3:$F$1994,MATCH(801-$O$1,$G$3:$G$1994,0)),"")),"")</x:f>
      </x:c>
      <x:c r="E803" t="str">
        <x:f>IF(K803="","",IF(N803&lt;=M803,"",TRIM(CLEAN(MID(INDEX($B$3:$B$168,K803),M803,N803-M803)))))</x:f>
      </x:c>
      <x:c r="F803" t="str">
        <x:f>IF(E803="","",IF(E803=TRIM(INDEX($A$3:$A$168,K803)),"",IF(RIGHT(TRIM(INDEX($A$3:$A$168,K803)),1)="]",LEFT(TRIM(INDEX($A$3:$A$168,K803)),LEN(TRIM(INDEX($A$3:$A$168,K803)))-1)&amp;", "&amp;SUBSTITUTE(SUBSTITUTE(SUBSTITUTE(E803," [",", "),"[",", "),"]","")&amp;"]",TRIM(INDEX($A$3:$A$168,K803))&amp;" ["&amp;SUBSTITUTE(SUBSTITUTE(SUBSTITUTE(E803," [",", "),"[",", "),"]","")&amp;"]")))</x:f>
      </x:c>
      <x:c r="G803" t="str">
        <x:f>IF(F803&lt;&gt;"",ROWS($F$3:F803)-COUNTBLANK($F$3:F803),"")</x:f>
      </x:c>
      <x:c r="H803"/>
      <x:c r="I803"/>
      <x:c r="J803"/>
      <x:c r="K803" t="str">
        <x:f>IF(ROW()-ROW($K$2)&lt;=SUM($J$3:$J$168),COUNTIF($H$3:$H$168,"&lt;"&amp;(ROW()-ROW($K$2))),"")</x:f>
      </x:c>
      <x:c r="L803" t="str">
        <x:f>IF(K803="","",ROW()-ROW($L$2)-INDEX($H$3:$H$168,K803))</x:f>
      </x:c>
      <x:c r="M803" t="str">
        <x:f>IF(K803="","",IF(L803=1,1,FIND(CHAR(1),SUBSTITUTE(INDEX($B$3:$B$168,K803),CHAR(10),CHAR(1),L803-1))+1))</x:f>
      </x:c>
      <x:c r="N803" t="str">
        <x:f>IF(K803="","",IFERROR(FIND(CHAR(1),SUBSTITUTE(INDEX($B$3:$B$168,K803),CHAR(10),CHAR(1),L803)),LEN(INDEX($B$3:$B$168,K803))+1))</x:f>
      </x:c>
    </x:row>
    <x:row r="804">
      <x:c r="A804"/>
      <x:c r="B804"/>
      <x:c r="C804"/>
      <x:c r="D804" t="str">
        <x:f>IFERROR(IF(802&lt;=$O$1,INDEX($A$3:$A$168,MATCH(802,$I$3:$I$168,0)),IF(802&lt;=$O$1+$O$2,INDEX($F$3:$F$1994,MATCH(802-$O$1,$G$3:$G$1994,0)),"")),"")</x:f>
      </x:c>
      <x:c r="E804" t="str">
        <x:f>IF(K804="","",IF(N804&lt;=M804,"",TRIM(CLEAN(MID(INDEX($B$3:$B$168,K804),M804,N804-M804)))))</x:f>
      </x:c>
      <x:c r="F804" t="str">
        <x:f>IF(E804="","",IF(E804=TRIM(INDEX($A$3:$A$168,K804)),"",IF(RIGHT(TRIM(INDEX($A$3:$A$168,K804)),1)="]",LEFT(TRIM(INDEX($A$3:$A$168,K804)),LEN(TRIM(INDEX($A$3:$A$168,K804)))-1)&amp;", "&amp;SUBSTITUTE(SUBSTITUTE(SUBSTITUTE(E804," [",", "),"[",", "),"]","")&amp;"]",TRIM(INDEX($A$3:$A$168,K804))&amp;" ["&amp;SUBSTITUTE(SUBSTITUTE(SUBSTITUTE(E804," [",", "),"[",", "),"]","")&amp;"]")))</x:f>
      </x:c>
      <x:c r="G804" t="str">
        <x:f>IF(F804&lt;&gt;"",ROWS($F$3:F804)-COUNTBLANK($F$3:F804),"")</x:f>
      </x:c>
      <x:c r="H804"/>
      <x:c r="I804"/>
      <x:c r="J804"/>
      <x:c r="K804" t="str">
        <x:f>IF(ROW()-ROW($K$2)&lt;=SUM($J$3:$J$168),COUNTIF($H$3:$H$168,"&lt;"&amp;(ROW()-ROW($K$2))),"")</x:f>
      </x:c>
      <x:c r="L804" t="str">
        <x:f>IF(K804="","",ROW()-ROW($L$2)-INDEX($H$3:$H$168,K804))</x:f>
      </x:c>
      <x:c r="M804" t="str">
        <x:f>IF(K804="","",IF(L804=1,1,FIND(CHAR(1),SUBSTITUTE(INDEX($B$3:$B$168,K804),CHAR(10),CHAR(1),L804-1))+1))</x:f>
      </x:c>
      <x:c r="N804" t="str">
        <x:f>IF(K804="","",IFERROR(FIND(CHAR(1),SUBSTITUTE(INDEX($B$3:$B$168,K804),CHAR(10),CHAR(1),L804)),LEN(INDEX($B$3:$B$168,K804))+1))</x:f>
      </x:c>
    </x:row>
    <x:row r="805">
      <x:c r="A805"/>
      <x:c r="B805"/>
      <x:c r="C805"/>
      <x:c r="D805" t="str">
        <x:f>IFERROR(IF(803&lt;=$O$1,INDEX($A$3:$A$168,MATCH(803,$I$3:$I$168,0)),IF(803&lt;=$O$1+$O$2,INDEX($F$3:$F$1994,MATCH(803-$O$1,$G$3:$G$1994,0)),"")),"")</x:f>
      </x:c>
      <x:c r="E805" t="str">
        <x:f>IF(K805="","",IF(N805&lt;=M805,"",TRIM(CLEAN(MID(INDEX($B$3:$B$168,K805),M805,N805-M805)))))</x:f>
      </x:c>
      <x:c r="F805" t="str">
        <x:f>IF(E805="","",IF(E805=TRIM(INDEX($A$3:$A$168,K805)),"",IF(RIGHT(TRIM(INDEX($A$3:$A$168,K805)),1)="]",LEFT(TRIM(INDEX($A$3:$A$168,K805)),LEN(TRIM(INDEX($A$3:$A$168,K805)))-1)&amp;", "&amp;SUBSTITUTE(SUBSTITUTE(SUBSTITUTE(E805," [",", "),"[",", "),"]","")&amp;"]",TRIM(INDEX($A$3:$A$168,K805))&amp;" ["&amp;SUBSTITUTE(SUBSTITUTE(SUBSTITUTE(E805," [",", "),"[",", "),"]","")&amp;"]")))</x:f>
      </x:c>
      <x:c r="G805" t="str">
        <x:f>IF(F805&lt;&gt;"",ROWS($F$3:F805)-COUNTBLANK($F$3:F805),"")</x:f>
      </x:c>
      <x:c r="H805"/>
      <x:c r="I805"/>
      <x:c r="J805"/>
      <x:c r="K805" t="str">
        <x:f>IF(ROW()-ROW($K$2)&lt;=SUM($J$3:$J$168),COUNTIF($H$3:$H$168,"&lt;"&amp;(ROW()-ROW($K$2))),"")</x:f>
      </x:c>
      <x:c r="L805" t="str">
        <x:f>IF(K805="","",ROW()-ROW($L$2)-INDEX($H$3:$H$168,K805))</x:f>
      </x:c>
      <x:c r="M805" t="str">
        <x:f>IF(K805="","",IF(L805=1,1,FIND(CHAR(1),SUBSTITUTE(INDEX($B$3:$B$168,K805),CHAR(10),CHAR(1),L805-1))+1))</x:f>
      </x:c>
      <x:c r="N805" t="str">
        <x:f>IF(K805="","",IFERROR(FIND(CHAR(1),SUBSTITUTE(INDEX($B$3:$B$168,K805),CHAR(10),CHAR(1),L805)),LEN(INDEX($B$3:$B$168,K805))+1))</x:f>
      </x:c>
    </x:row>
    <x:row r="806">
      <x:c r="A806"/>
      <x:c r="B806"/>
      <x:c r="C806"/>
      <x:c r="D806" t="str">
        <x:f>IFERROR(IF(804&lt;=$O$1,INDEX($A$3:$A$168,MATCH(804,$I$3:$I$168,0)),IF(804&lt;=$O$1+$O$2,INDEX($F$3:$F$1994,MATCH(804-$O$1,$G$3:$G$1994,0)),"")),"")</x:f>
      </x:c>
      <x:c r="E806" t="str">
        <x:f>IF(K806="","",IF(N806&lt;=M806,"",TRIM(CLEAN(MID(INDEX($B$3:$B$168,K806),M806,N806-M806)))))</x:f>
      </x:c>
      <x:c r="F806" t="str">
        <x:f>IF(E806="","",IF(E806=TRIM(INDEX($A$3:$A$168,K806)),"",IF(RIGHT(TRIM(INDEX($A$3:$A$168,K806)),1)="]",LEFT(TRIM(INDEX($A$3:$A$168,K806)),LEN(TRIM(INDEX($A$3:$A$168,K806)))-1)&amp;", "&amp;SUBSTITUTE(SUBSTITUTE(SUBSTITUTE(E806," [",", "),"[",", "),"]","")&amp;"]",TRIM(INDEX($A$3:$A$168,K806))&amp;" ["&amp;SUBSTITUTE(SUBSTITUTE(SUBSTITUTE(E806," [",", "),"[",", "),"]","")&amp;"]")))</x:f>
      </x:c>
      <x:c r="G806" t="str">
        <x:f>IF(F806&lt;&gt;"",ROWS($F$3:F806)-COUNTBLANK($F$3:F806),"")</x:f>
      </x:c>
      <x:c r="H806"/>
      <x:c r="I806"/>
      <x:c r="J806"/>
      <x:c r="K806" t="str">
        <x:f>IF(ROW()-ROW($K$2)&lt;=SUM($J$3:$J$168),COUNTIF($H$3:$H$168,"&lt;"&amp;(ROW()-ROW($K$2))),"")</x:f>
      </x:c>
      <x:c r="L806" t="str">
        <x:f>IF(K806="","",ROW()-ROW($L$2)-INDEX($H$3:$H$168,K806))</x:f>
      </x:c>
      <x:c r="M806" t="str">
        <x:f>IF(K806="","",IF(L806=1,1,FIND(CHAR(1),SUBSTITUTE(INDEX($B$3:$B$168,K806),CHAR(10),CHAR(1),L806-1))+1))</x:f>
      </x:c>
      <x:c r="N806" t="str">
        <x:f>IF(K806="","",IFERROR(FIND(CHAR(1),SUBSTITUTE(INDEX($B$3:$B$168,K806),CHAR(10),CHAR(1),L806)),LEN(INDEX($B$3:$B$168,K806))+1))</x:f>
      </x:c>
    </x:row>
    <x:row r="807">
      <x:c r="A807"/>
      <x:c r="B807"/>
      <x:c r="C807"/>
      <x:c r="D807" t="str">
        <x:f>IFERROR(IF(805&lt;=$O$1,INDEX($A$3:$A$168,MATCH(805,$I$3:$I$168,0)),IF(805&lt;=$O$1+$O$2,INDEX($F$3:$F$1994,MATCH(805-$O$1,$G$3:$G$1994,0)),"")),"")</x:f>
      </x:c>
      <x:c r="E807" t="str">
        <x:f>IF(K807="","",IF(N807&lt;=M807,"",TRIM(CLEAN(MID(INDEX($B$3:$B$168,K807),M807,N807-M807)))))</x:f>
      </x:c>
      <x:c r="F807" t="str">
        <x:f>IF(E807="","",IF(E807=TRIM(INDEX($A$3:$A$168,K807)),"",IF(RIGHT(TRIM(INDEX($A$3:$A$168,K807)),1)="]",LEFT(TRIM(INDEX($A$3:$A$168,K807)),LEN(TRIM(INDEX($A$3:$A$168,K807)))-1)&amp;", "&amp;SUBSTITUTE(SUBSTITUTE(SUBSTITUTE(E807," [",", "),"[",", "),"]","")&amp;"]",TRIM(INDEX($A$3:$A$168,K807))&amp;" ["&amp;SUBSTITUTE(SUBSTITUTE(SUBSTITUTE(E807," [",", "),"[",", "),"]","")&amp;"]")))</x:f>
      </x:c>
      <x:c r="G807" t="str">
        <x:f>IF(F807&lt;&gt;"",ROWS($F$3:F807)-COUNTBLANK($F$3:F807),"")</x:f>
      </x:c>
      <x:c r="H807"/>
      <x:c r="I807"/>
      <x:c r="J807"/>
      <x:c r="K807" t="str">
        <x:f>IF(ROW()-ROW($K$2)&lt;=SUM($J$3:$J$168),COUNTIF($H$3:$H$168,"&lt;"&amp;(ROW()-ROW($K$2))),"")</x:f>
      </x:c>
      <x:c r="L807" t="str">
        <x:f>IF(K807="","",ROW()-ROW($L$2)-INDEX($H$3:$H$168,K807))</x:f>
      </x:c>
      <x:c r="M807" t="str">
        <x:f>IF(K807="","",IF(L807=1,1,FIND(CHAR(1),SUBSTITUTE(INDEX($B$3:$B$168,K807),CHAR(10),CHAR(1),L807-1))+1))</x:f>
      </x:c>
      <x:c r="N807" t="str">
        <x:f>IF(K807="","",IFERROR(FIND(CHAR(1),SUBSTITUTE(INDEX($B$3:$B$168,K807),CHAR(10),CHAR(1),L807)),LEN(INDEX($B$3:$B$168,K807))+1))</x:f>
      </x:c>
    </x:row>
    <x:row r="808">
      <x:c r="A808"/>
      <x:c r="B808"/>
      <x:c r="C808"/>
      <x:c r="D808" t="str">
        <x:f>IFERROR(IF(806&lt;=$O$1,INDEX($A$3:$A$168,MATCH(806,$I$3:$I$168,0)),IF(806&lt;=$O$1+$O$2,INDEX($F$3:$F$1994,MATCH(806-$O$1,$G$3:$G$1994,0)),"")),"")</x:f>
      </x:c>
      <x:c r="E808" t="str">
        <x:f>IF(K808="","",IF(N808&lt;=M808,"",TRIM(CLEAN(MID(INDEX($B$3:$B$168,K808),M808,N808-M808)))))</x:f>
      </x:c>
      <x:c r="F808" t="str">
        <x:f>IF(E808="","",IF(E808=TRIM(INDEX($A$3:$A$168,K808)),"",IF(RIGHT(TRIM(INDEX($A$3:$A$168,K808)),1)="]",LEFT(TRIM(INDEX($A$3:$A$168,K808)),LEN(TRIM(INDEX($A$3:$A$168,K808)))-1)&amp;", "&amp;SUBSTITUTE(SUBSTITUTE(SUBSTITUTE(E808," [",", "),"[",", "),"]","")&amp;"]",TRIM(INDEX($A$3:$A$168,K808))&amp;" ["&amp;SUBSTITUTE(SUBSTITUTE(SUBSTITUTE(E808," [",", "),"[",", "),"]","")&amp;"]")))</x:f>
      </x:c>
      <x:c r="G808" t="str">
        <x:f>IF(F808&lt;&gt;"",ROWS($F$3:F808)-COUNTBLANK($F$3:F808),"")</x:f>
      </x:c>
      <x:c r="H808"/>
      <x:c r="I808"/>
      <x:c r="J808"/>
      <x:c r="K808" t="str">
        <x:f>IF(ROW()-ROW($K$2)&lt;=SUM($J$3:$J$168),COUNTIF($H$3:$H$168,"&lt;"&amp;(ROW()-ROW($K$2))),"")</x:f>
      </x:c>
      <x:c r="L808" t="str">
        <x:f>IF(K808="","",ROW()-ROW($L$2)-INDEX($H$3:$H$168,K808))</x:f>
      </x:c>
      <x:c r="M808" t="str">
        <x:f>IF(K808="","",IF(L808=1,1,FIND(CHAR(1),SUBSTITUTE(INDEX($B$3:$B$168,K808),CHAR(10),CHAR(1),L808-1))+1))</x:f>
      </x:c>
      <x:c r="N808" t="str">
        <x:f>IF(K808="","",IFERROR(FIND(CHAR(1),SUBSTITUTE(INDEX($B$3:$B$168,K808),CHAR(10),CHAR(1),L808)),LEN(INDEX($B$3:$B$168,K808))+1))</x:f>
      </x:c>
    </x:row>
    <x:row r="809">
      <x:c r="A809"/>
      <x:c r="B809"/>
      <x:c r="C809"/>
      <x:c r="D809" t="str">
        <x:f>IFERROR(IF(807&lt;=$O$1,INDEX($A$3:$A$168,MATCH(807,$I$3:$I$168,0)),IF(807&lt;=$O$1+$O$2,INDEX($F$3:$F$1994,MATCH(807-$O$1,$G$3:$G$1994,0)),"")),"")</x:f>
      </x:c>
      <x:c r="E809" t="str">
        <x:f>IF(K809="","",IF(N809&lt;=M809,"",TRIM(CLEAN(MID(INDEX($B$3:$B$168,K809),M809,N809-M809)))))</x:f>
      </x:c>
      <x:c r="F809" t="str">
        <x:f>IF(E809="","",IF(E809=TRIM(INDEX($A$3:$A$168,K809)),"",IF(RIGHT(TRIM(INDEX($A$3:$A$168,K809)),1)="]",LEFT(TRIM(INDEX($A$3:$A$168,K809)),LEN(TRIM(INDEX($A$3:$A$168,K809)))-1)&amp;", "&amp;SUBSTITUTE(SUBSTITUTE(SUBSTITUTE(E809," [",", "),"[",", "),"]","")&amp;"]",TRIM(INDEX($A$3:$A$168,K809))&amp;" ["&amp;SUBSTITUTE(SUBSTITUTE(SUBSTITUTE(E809," [",", "),"[",", "),"]","")&amp;"]")))</x:f>
      </x:c>
      <x:c r="G809" t="str">
        <x:f>IF(F809&lt;&gt;"",ROWS($F$3:F809)-COUNTBLANK($F$3:F809),"")</x:f>
      </x:c>
      <x:c r="H809"/>
      <x:c r="I809"/>
      <x:c r="J809"/>
      <x:c r="K809" t="str">
        <x:f>IF(ROW()-ROW($K$2)&lt;=SUM($J$3:$J$168),COUNTIF($H$3:$H$168,"&lt;"&amp;(ROW()-ROW($K$2))),"")</x:f>
      </x:c>
      <x:c r="L809" t="str">
        <x:f>IF(K809="","",ROW()-ROW($L$2)-INDEX($H$3:$H$168,K809))</x:f>
      </x:c>
      <x:c r="M809" t="str">
        <x:f>IF(K809="","",IF(L809=1,1,FIND(CHAR(1),SUBSTITUTE(INDEX($B$3:$B$168,K809),CHAR(10),CHAR(1),L809-1))+1))</x:f>
      </x:c>
      <x:c r="N809" t="str">
        <x:f>IF(K809="","",IFERROR(FIND(CHAR(1),SUBSTITUTE(INDEX($B$3:$B$168,K809),CHAR(10),CHAR(1),L809)),LEN(INDEX($B$3:$B$168,K809))+1))</x:f>
      </x:c>
    </x:row>
    <x:row r="810">
      <x:c r="A810"/>
      <x:c r="B810"/>
      <x:c r="C810"/>
      <x:c r="D810" t="str">
        <x:f>IFERROR(IF(808&lt;=$O$1,INDEX($A$3:$A$168,MATCH(808,$I$3:$I$168,0)),IF(808&lt;=$O$1+$O$2,INDEX($F$3:$F$1994,MATCH(808-$O$1,$G$3:$G$1994,0)),"")),"")</x:f>
      </x:c>
      <x:c r="E810" t="str">
        <x:f>IF(K810="","",IF(N810&lt;=M810,"",TRIM(CLEAN(MID(INDEX($B$3:$B$168,K810),M810,N810-M810)))))</x:f>
      </x:c>
      <x:c r="F810" t="str">
        <x:f>IF(E810="","",IF(E810=TRIM(INDEX($A$3:$A$168,K810)),"",IF(RIGHT(TRIM(INDEX($A$3:$A$168,K810)),1)="]",LEFT(TRIM(INDEX($A$3:$A$168,K810)),LEN(TRIM(INDEX($A$3:$A$168,K810)))-1)&amp;", "&amp;SUBSTITUTE(SUBSTITUTE(SUBSTITUTE(E810," [",", "),"[",", "),"]","")&amp;"]",TRIM(INDEX($A$3:$A$168,K810))&amp;" ["&amp;SUBSTITUTE(SUBSTITUTE(SUBSTITUTE(E810," [",", "),"[",", "),"]","")&amp;"]")))</x:f>
      </x:c>
      <x:c r="G810" t="str">
        <x:f>IF(F810&lt;&gt;"",ROWS($F$3:F810)-COUNTBLANK($F$3:F810),"")</x:f>
      </x:c>
      <x:c r="H810"/>
      <x:c r="I810"/>
      <x:c r="J810"/>
      <x:c r="K810" t="str">
        <x:f>IF(ROW()-ROW($K$2)&lt;=SUM($J$3:$J$168),COUNTIF($H$3:$H$168,"&lt;"&amp;(ROW()-ROW($K$2))),"")</x:f>
      </x:c>
      <x:c r="L810" t="str">
        <x:f>IF(K810="","",ROW()-ROW($L$2)-INDEX($H$3:$H$168,K810))</x:f>
      </x:c>
      <x:c r="M810" t="str">
        <x:f>IF(K810="","",IF(L810=1,1,FIND(CHAR(1),SUBSTITUTE(INDEX($B$3:$B$168,K810),CHAR(10),CHAR(1),L810-1))+1))</x:f>
      </x:c>
      <x:c r="N810" t="str">
        <x:f>IF(K810="","",IFERROR(FIND(CHAR(1),SUBSTITUTE(INDEX($B$3:$B$168,K810),CHAR(10),CHAR(1),L810)),LEN(INDEX($B$3:$B$168,K810))+1))</x:f>
      </x:c>
    </x:row>
    <x:row r="811">
      <x:c r="A811"/>
      <x:c r="B811"/>
      <x:c r="C811"/>
      <x:c r="D811" t="str">
        <x:f>IFERROR(IF(809&lt;=$O$1,INDEX($A$3:$A$168,MATCH(809,$I$3:$I$168,0)),IF(809&lt;=$O$1+$O$2,INDEX($F$3:$F$1994,MATCH(809-$O$1,$G$3:$G$1994,0)),"")),"")</x:f>
      </x:c>
      <x:c r="E811" t="str">
        <x:f>IF(K811="","",IF(N811&lt;=M811,"",TRIM(CLEAN(MID(INDEX($B$3:$B$168,K811),M811,N811-M811)))))</x:f>
      </x:c>
      <x:c r="F811" t="str">
        <x:f>IF(E811="","",IF(E811=TRIM(INDEX($A$3:$A$168,K811)),"",IF(RIGHT(TRIM(INDEX($A$3:$A$168,K811)),1)="]",LEFT(TRIM(INDEX($A$3:$A$168,K811)),LEN(TRIM(INDEX($A$3:$A$168,K811)))-1)&amp;", "&amp;SUBSTITUTE(SUBSTITUTE(SUBSTITUTE(E811," [",", "),"[",", "),"]","")&amp;"]",TRIM(INDEX($A$3:$A$168,K811))&amp;" ["&amp;SUBSTITUTE(SUBSTITUTE(SUBSTITUTE(E811," [",", "),"[",", "),"]","")&amp;"]")))</x:f>
      </x:c>
      <x:c r="G811" t="str">
        <x:f>IF(F811&lt;&gt;"",ROWS($F$3:F811)-COUNTBLANK($F$3:F811),"")</x:f>
      </x:c>
      <x:c r="H811"/>
      <x:c r="I811"/>
      <x:c r="J811"/>
      <x:c r="K811" t="str">
        <x:f>IF(ROW()-ROW($K$2)&lt;=SUM($J$3:$J$168),COUNTIF($H$3:$H$168,"&lt;"&amp;(ROW()-ROW($K$2))),"")</x:f>
      </x:c>
      <x:c r="L811" t="str">
        <x:f>IF(K811="","",ROW()-ROW($L$2)-INDEX($H$3:$H$168,K811))</x:f>
      </x:c>
      <x:c r="M811" t="str">
        <x:f>IF(K811="","",IF(L811=1,1,FIND(CHAR(1),SUBSTITUTE(INDEX($B$3:$B$168,K811),CHAR(10),CHAR(1),L811-1))+1))</x:f>
      </x:c>
      <x:c r="N811" t="str">
        <x:f>IF(K811="","",IFERROR(FIND(CHAR(1),SUBSTITUTE(INDEX($B$3:$B$168,K811),CHAR(10),CHAR(1),L811)),LEN(INDEX($B$3:$B$168,K811))+1))</x:f>
      </x:c>
    </x:row>
    <x:row r="812">
      <x:c r="A812"/>
      <x:c r="B812"/>
      <x:c r="C812"/>
      <x:c r="D812" t="str">
        <x:f>IFERROR(IF(810&lt;=$O$1,INDEX($A$3:$A$168,MATCH(810,$I$3:$I$168,0)),IF(810&lt;=$O$1+$O$2,INDEX($F$3:$F$1994,MATCH(810-$O$1,$G$3:$G$1994,0)),"")),"")</x:f>
      </x:c>
      <x:c r="E812" t="str">
        <x:f>IF(K812="","",IF(N812&lt;=M812,"",TRIM(CLEAN(MID(INDEX($B$3:$B$168,K812),M812,N812-M812)))))</x:f>
      </x:c>
      <x:c r="F812" t="str">
        <x:f>IF(E812="","",IF(E812=TRIM(INDEX($A$3:$A$168,K812)),"",IF(RIGHT(TRIM(INDEX($A$3:$A$168,K812)),1)="]",LEFT(TRIM(INDEX($A$3:$A$168,K812)),LEN(TRIM(INDEX($A$3:$A$168,K812)))-1)&amp;", "&amp;SUBSTITUTE(SUBSTITUTE(SUBSTITUTE(E812," [",", "),"[",", "),"]","")&amp;"]",TRIM(INDEX($A$3:$A$168,K812))&amp;" ["&amp;SUBSTITUTE(SUBSTITUTE(SUBSTITUTE(E812," [",", "),"[",", "),"]","")&amp;"]")))</x:f>
      </x:c>
      <x:c r="G812" t="str">
        <x:f>IF(F812&lt;&gt;"",ROWS($F$3:F812)-COUNTBLANK($F$3:F812),"")</x:f>
      </x:c>
      <x:c r="H812"/>
      <x:c r="I812"/>
      <x:c r="J812"/>
      <x:c r="K812" t="str">
        <x:f>IF(ROW()-ROW($K$2)&lt;=SUM($J$3:$J$168),COUNTIF($H$3:$H$168,"&lt;"&amp;(ROW()-ROW($K$2))),"")</x:f>
      </x:c>
      <x:c r="L812" t="str">
        <x:f>IF(K812="","",ROW()-ROW($L$2)-INDEX($H$3:$H$168,K812))</x:f>
      </x:c>
      <x:c r="M812" t="str">
        <x:f>IF(K812="","",IF(L812=1,1,FIND(CHAR(1),SUBSTITUTE(INDEX($B$3:$B$168,K812),CHAR(10),CHAR(1),L812-1))+1))</x:f>
      </x:c>
      <x:c r="N812" t="str">
        <x:f>IF(K812="","",IFERROR(FIND(CHAR(1),SUBSTITUTE(INDEX($B$3:$B$168,K812),CHAR(10),CHAR(1),L812)),LEN(INDEX($B$3:$B$168,K812))+1))</x:f>
      </x:c>
    </x:row>
    <x:row r="813">
      <x:c r="A813"/>
      <x:c r="B813"/>
      <x:c r="C813"/>
      <x:c r="D813" t="str">
        <x:f>IFERROR(IF(811&lt;=$O$1,INDEX($A$3:$A$168,MATCH(811,$I$3:$I$168,0)),IF(811&lt;=$O$1+$O$2,INDEX($F$3:$F$1994,MATCH(811-$O$1,$G$3:$G$1994,0)),"")),"")</x:f>
      </x:c>
      <x:c r="E813" t="str">
        <x:f>IF(K813="","",IF(N813&lt;=M813,"",TRIM(CLEAN(MID(INDEX($B$3:$B$168,K813),M813,N813-M813)))))</x:f>
      </x:c>
      <x:c r="F813" t="str">
        <x:f>IF(E813="","",IF(E813=TRIM(INDEX($A$3:$A$168,K813)),"",IF(RIGHT(TRIM(INDEX($A$3:$A$168,K813)),1)="]",LEFT(TRIM(INDEX($A$3:$A$168,K813)),LEN(TRIM(INDEX($A$3:$A$168,K813)))-1)&amp;", "&amp;SUBSTITUTE(SUBSTITUTE(SUBSTITUTE(E813," [",", "),"[",", "),"]","")&amp;"]",TRIM(INDEX($A$3:$A$168,K813))&amp;" ["&amp;SUBSTITUTE(SUBSTITUTE(SUBSTITUTE(E813," [",", "),"[",", "),"]","")&amp;"]")))</x:f>
      </x:c>
      <x:c r="G813" t="str">
        <x:f>IF(F813&lt;&gt;"",ROWS($F$3:F813)-COUNTBLANK($F$3:F813),"")</x:f>
      </x:c>
      <x:c r="H813"/>
      <x:c r="I813"/>
      <x:c r="J813"/>
      <x:c r="K813" t="str">
        <x:f>IF(ROW()-ROW($K$2)&lt;=SUM($J$3:$J$168),COUNTIF($H$3:$H$168,"&lt;"&amp;(ROW()-ROW($K$2))),"")</x:f>
      </x:c>
      <x:c r="L813" t="str">
        <x:f>IF(K813="","",ROW()-ROW($L$2)-INDEX($H$3:$H$168,K813))</x:f>
      </x:c>
      <x:c r="M813" t="str">
        <x:f>IF(K813="","",IF(L813=1,1,FIND(CHAR(1),SUBSTITUTE(INDEX($B$3:$B$168,K813),CHAR(10),CHAR(1),L813-1))+1))</x:f>
      </x:c>
      <x:c r="N813" t="str">
        <x:f>IF(K813="","",IFERROR(FIND(CHAR(1),SUBSTITUTE(INDEX($B$3:$B$168,K813),CHAR(10),CHAR(1),L813)),LEN(INDEX($B$3:$B$168,K813))+1))</x:f>
      </x:c>
    </x:row>
    <x:row r="814">
      <x:c r="A814"/>
      <x:c r="B814"/>
      <x:c r="C814"/>
      <x:c r="D814" t="str">
        <x:f>IFERROR(IF(812&lt;=$O$1,INDEX($A$3:$A$168,MATCH(812,$I$3:$I$168,0)),IF(812&lt;=$O$1+$O$2,INDEX($F$3:$F$1994,MATCH(812-$O$1,$G$3:$G$1994,0)),"")),"")</x:f>
      </x:c>
      <x:c r="E814" t="str">
        <x:f>IF(K814="","",IF(N814&lt;=M814,"",TRIM(CLEAN(MID(INDEX($B$3:$B$168,K814),M814,N814-M814)))))</x:f>
      </x:c>
      <x:c r="F814" t="str">
        <x:f>IF(E814="","",IF(E814=TRIM(INDEX($A$3:$A$168,K814)),"",IF(RIGHT(TRIM(INDEX($A$3:$A$168,K814)),1)="]",LEFT(TRIM(INDEX($A$3:$A$168,K814)),LEN(TRIM(INDEX($A$3:$A$168,K814)))-1)&amp;", "&amp;SUBSTITUTE(SUBSTITUTE(SUBSTITUTE(E814," [",", "),"[",", "),"]","")&amp;"]",TRIM(INDEX($A$3:$A$168,K814))&amp;" ["&amp;SUBSTITUTE(SUBSTITUTE(SUBSTITUTE(E814," [",", "),"[",", "),"]","")&amp;"]")))</x:f>
      </x:c>
      <x:c r="G814" t="str">
        <x:f>IF(F814&lt;&gt;"",ROWS($F$3:F814)-COUNTBLANK($F$3:F814),"")</x:f>
      </x:c>
      <x:c r="H814"/>
      <x:c r="I814"/>
      <x:c r="J814"/>
      <x:c r="K814" t="str">
        <x:f>IF(ROW()-ROW($K$2)&lt;=SUM($J$3:$J$168),COUNTIF($H$3:$H$168,"&lt;"&amp;(ROW()-ROW($K$2))),"")</x:f>
      </x:c>
      <x:c r="L814" t="str">
        <x:f>IF(K814="","",ROW()-ROW($L$2)-INDEX($H$3:$H$168,K814))</x:f>
      </x:c>
      <x:c r="M814" t="str">
        <x:f>IF(K814="","",IF(L814=1,1,FIND(CHAR(1),SUBSTITUTE(INDEX($B$3:$B$168,K814),CHAR(10),CHAR(1),L814-1))+1))</x:f>
      </x:c>
      <x:c r="N814" t="str">
        <x:f>IF(K814="","",IFERROR(FIND(CHAR(1),SUBSTITUTE(INDEX($B$3:$B$168,K814),CHAR(10),CHAR(1),L814)),LEN(INDEX($B$3:$B$168,K814))+1))</x:f>
      </x:c>
    </x:row>
    <x:row r="815">
      <x:c r="A815"/>
      <x:c r="B815"/>
      <x:c r="C815"/>
      <x:c r="D815" t="str">
        <x:f>IFERROR(IF(813&lt;=$O$1,INDEX($A$3:$A$168,MATCH(813,$I$3:$I$168,0)),IF(813&lt;=$O$1+$O$2,INDEX($F$3:$F$1994,MATCH(813-$O$1,$G$3:$G$1994,0)),"")),"")</x:f>
      </x:c>
      <x:c r="E815" t="str">
        <x:f>IF(K815="","",IF(N815&lt;=M815,"",TRIM(CLEAN(MID(INDEX($B$3:$B$168,K815),M815,N815-M815)))))</x:f>
      </x:c>
      <x:c r="F815" t="str">
        <x:f>IF(E815="","",IF(E815=TRIM(INDEX($A$3:$A$168,K815)),"",IF(RIGHT(TRIM(INDEX($A$3:$A$168,K815)),1)="]",LEFT(TRIM(INDEX($A$3:$A$168,K815)),LEN(TRIM(INDEX($A$3:$A$168,K815)))-1)&amp;", "&amp;SUBSTITUTE(SUBSTITUTE(SUBSTITUTE(E815," [",", "),"[",", "),"]","")&amp;"]",TRIM(INDEX($A$3:$A$168,K815))&amp;" ["&amp;SUBSTITUTE(SUBSTITUTE(SUBSTITUTE(E815," [",", "),"[",", "),"]","")&amp;"]")))</x:f>
      </x:c>
      <x:c r="G815" t="str">
        <x:f>IF(F815&lt;&gt;"",ROWS($F$3:F815)-COUNTBLANK($F$3:F815),"")</x:f>
      </x:c>
      <x:c r="H815"/>
      <x:c r="I815"/>
      <x:c r="J815"/>
      <x:c r="K815" t="str">
        <x:f>IF(ROW()-ROW($K$2)&lt;=SUM($J$3:$J$168),COUNTIF($H$3:$H$168,"&lt;"&amp;(ROW()-ROW($K$2))),"")</x:f>
      </x:c>
      <x:c r="L815" t="str">
        <x:f>IF(K815="","",ROW()-ROW($L$2)-INDEX($H$3:$H$168,K815))</x:f>
      </x:c>
      <x:c r="M815" t="str">
        <x:f>IF(K815="","",IF(L815=1,1,FIND(CHAR(1),SUBSTITUTE(INDEX($B$3:$B$168,K815),CHAR(10),CHAR(1),L815-1))+1))</x:f>
      </x:c>
      <x:c r="N815" t="str">
        <x:f>IF(K815="","",IFERROR(FIND(CHAR(1),SUBSTITUTE(INDEX($B$3:$B$168,K815),CHAR(10),CHAR(1),L815)),LEN(INDEX($B$3:$B$168,K815))+1))</x:f>
      </x:c>
    </x:row>
    <x:row r="816">
      <x:c r="A816"/>
      <x:c r="B816"/>
      <x:c r="C816"/>
      <x:c r="D816" t="str">
        <x:f>IFERROR(IF(814&lt;=$O$1,INDEX($A$3:$A$168,MATCH(814,$I$3:$I$168,0)),IF(814&lt;=$O$1+$O$2,INDEX($F$3:$F$1994,MATCH(814-$O$1,$G$3:$G$1994,0)),"")),"")</x:f>
      </x:c>
      <x:c r="E816" t="str">
        <x:f>IF(K816="","",IF(N816&lt;=M816,"",TRIM(CLEAN(MID(INDEX($B$3:$B$168,K816),M816,N816-M816)))))</x:f>
      </x:c>
      <x:c r="F816" t="str">
        <x:f>IF(E816="","",IF(E816=TRIM(INDEX($A$3:$A$168,K816)),"",IF(RIGHT(TRIM(INDEX($A$3:$A$168,K816)),1)="]",LEFT(TRIM(INDEX($A$3:$A$168,K816)),LEN(TRIM(INDEX($A$3:$A$168,K816)))-1)&amp;", "&amp;SUBSTITUTE(SUBSTITUTE(SUBSTITUTE(E816," [",", "),"[",", "),"]","")&amp;"]",TRIM(INDEX($A$3:$A$168,K816))&amp;" ["&amp;SUBSTITUTE(SUBSTITUTE(SUBSTITUTE(E816," [",", "),"[",", "),"]","")&amp;"]")))</x:f>
      </x:c>
      <x:c r="G816" t="str">
        <x:f>IF(F816&lt;&gt;"",ROWS($F$3:F816)-COUNTBLANK($F$3:F816),"")</x:f>
      </x:c>
      <x:c r="H816"/>
      <x:c r="I816"/>
      <x:c r="J816"/>
      <x:c r="K816" t="str">
        <x:f>IF(ROW()-ROW($K$2)&lt;=SUM($J$3:$J$168),COUNTIF($H$3:$H$168,"&lt;"&amp;(ROW()-ROW($K$2))),"")</x:f>
      </x:c>
      <x:c r="L816" t="str">
        <x:f>IF(K816="","",ROW()-ROW($L$2)-INDEX($H$3:$H$168,K816))</x:f>
      </x:c>
      <x:c r="M816" t="str">
        <x:f>IF(K816="","",IF(L816=1,1,FIND(CHAR(1),SUBSTITUTE(INDEX($B$3:$B$168,K816),CHAR(10),CHAR(1),L816-1))+1))</x:f>
      </x:c>
      <x:c r="N816" t="str">
        <x:f>IF(K816="","",IFERROR(FIND(CHAR(1),SUBSTITUTE(INDEX($B$3:$B$168,K816),CHAR(10),CHAR(1),L816)),LEN(INDEX($B$3:$B$168,K816))+1))</x:f>
      </x:c>
    </x:row>
    <x:row r="817">
      <x:c r="A817"/>
      <x:c r="B817"/>
      <x:c r="C817"/>
      <x:c r="D817" t="str">
        <x:f>IFERROR(IF(815&lt;=$O$1,INDEX($A$3:$A$168,MATCH(815,$I$3:$I$168,0)),IF(815&lt;=$O$1+$O$2,INDEX($F$3:$F$1994,MATCH(815-$O$1,$G$3:$G$1994,0)),"")),"")</x:f>
      </x:c>
      <x:c r="E817" t="str">
        <x:f>IF(K817="","",IF(N817&lt;=M817,"",TRIM(CLEAN(MID(INDEX($B$3:$B$168,K817),M817,N817-M817)))))</x:f>
      </x:c>
      <x:c r="F817" t="str">
        <x:f>IF(E817="","",IF(E817=TRIM(INDEX($A$3:$A$168,K817)),"",IF(RIGHT(TRIM(INDEX($A$3:$A$168,K817)),1)="]",LEFT(TRIM(INDEX($A$3:$A$168,K817)),LEN(TRIM(INDEX($A$3:$A$168,K817)))-1)&amp;", "&amp;SUBSTITUTE(SUBSTITUTE(SUBSTITUTE(E817," [",", "),"[",", "),"]","")&amp;"]",TRIM(INDEX($A$3:$A$168,K817))&amp;" ["&amp;SUBSTITUTE(SUBSTITUTE(SUBSTITUTE(E817," [",", "),"[",", "),"]","")&amp;"]")))</x:f>
      </x:c>
      <x:c r="G817" t="str">
        <x:f>IF(F817&lt;&gt;"",ROWS($F$3:F817)-COUNTBLANK($F$3:F817),"")</x:f>
      </x:c>
      <x:c r="H817"/>
      <x:c r="I817"/>
      <x:c r="J817"/>
      <x:c r="K817" t="str">
        <x:f>IF(ROW()-ROW($K$2)&lt;=SUM($J$3:$J$168),COUNTIF($H$3:$H$168,"&lt;"&amp;(ROW()-ROW($K$2))),"")</x:f>
      </x:c>
      <x:c r="L817" t="str">
        <x:f>IF(K817="","",ROW()-ROW($L$2)-INDEX($H$3:$H$168,K817))</x:f>
      </x:c>
      <x:c r="M817" t="str">
        <x:f>IF(K817="","",IF(L817=1,1,FIND(CHAR(1),SUBSTITUTE(INDEX($B$3:$B$168,K817),CHAR(10),CHAR(1),L817-1))+1))</x:f>
      </x:c>
      <x:c r="N817" t="str">
        <x:f>IF(K817="","",IFERROR(FIND(CHAR(1),SUBSTITUTE(INDEX($B$3:$B$168,K817),CHAR(10),CHAR(1),L817)),LEN(INDEX($B$3:$B$168,K817))+1))</x:f>
      </x:c>
    </x:row>
    <x:row r="818">
      <x:c r="A818"/>
      <x:c r="B818"/>
      <x:c r="C818"/>
      <x:c r="D818" t="str">
        <x:f>IFERROR(IF(816&lt;=$O$1,INDEX($A$3:$A$168,MATCH(816,$I$3:$I$168,0)),IF(816&lt;=$O$1+$O$2,INDEX($F$3:$F$1994,MATCH(816-$O$1,$G$3:$G$1994,0)),"")),"")</x:f>
      </x:c>
      <x:c r="E818" t="str">
        <x:f>IF(K818="","",IF(N818&lt;=M818,"",TRIM(CLEAN(MID(INDEX($B$3:$B$168,K818),M818,N818-M818)))))</x:f>
      </x:c>
      <x:c r="F818" t="str">
        <x:f>IF(E818="","",IF(E818=TRIM(INDEX($A$3:$A$168,K818)),"",IF(RIGHT(TRIM(INDEX($A$3:$A$168,K818)),1)="]",LEFT(TRIM(INDEX($A$3:$A$168,K818)),LEN(TRIM(INDEX($A$3:$A$168,K818)))-1)&amp;", "&amp;SUBSTITUTE(SUBSTITUTE(SUBSTITUTE(E818," [",", "),"[",", "),"]","")&amp;"]",TRIM(INDEX($A$3:$A$168,K818))&amp;" ["&amp;SUBSTITUTE(SUBSTITUTE(SUBSTITUTE(E818," [",", "),"[",", "),"]","")&amp;"]")))</x:f>
      </x:c>
      <x:c r="G818" t="str">
        <x:f>IF(F818&lt;&gt;"",ROWS($F$3:F818)-COUNTBLANK($F$3:F818),"")</x:f>
      </x:c>
      <x:c r="H818"/>
      <x:c r="I818"/>
      <x:c r="J818"/>
      <x:c r="K818" t="str">
        <x:f>IF(ROW()-ROW($K$2)&lt;=SUM($J$3:$J$168),COUNTIF($H$3:$H$168,"&lt;"&amp;(ROW()-ROW($K$2))),"")</x:f>
      </x:c>
      <x:c r="L818" t="str">
        <x:f>IF(K818="","",ROW()-ROW($L$2)-INDEX($H$3:$H$168,K818))</x:f>
      </x:c>
      <x:c r="M818" t="str">
        <x:f>IF(K818="","",IF(L818=1,1,FIND(CHAR(1),SUBSTITUTE(INDEX($B$3:$B$168,K818),CHAR(10),CHAR(1),L818-1))+1))</x:f>
      </x:c>
      <x:c r="N818" t="str">
        <x:f>IF(K818="","",IFERROR(FIND(CHAR(1),SUBSTITUTE(INDEX($B$3:$B$168,K818),CHAR(10),CHAR(1),L818)),LEN(INDEX($B$3:$B$168,K818))+1))</x:f>
      </x:c>
    </x:row>
    <x:row r="819">
      <x:c r="A819"/>
      <x:c r="B819"/>
      <x:c r="C819"/>
      <x:c r="D819" t="str">
        <x:f>IFERROR(IF(817&lt;=$O$1,INDEX($A$3:$A$168,MATCH(817,$I$3:$I$168,0)),IF(817&lt;=$O$1+$O$2,INDEX($F$3:$F$1994,MATCH(817-$O$1,$G$3:$G$1994,0)),"")),"")</x:f>
      </x:c>
      <x:c r="E819" t="str">
        <x:f>IF(K819="","",IF(N819&lt;=M819,"",TRIM(CLEAN(MID(INDEX($B$3:$B$168,K819),M819,N819-M819)))))</x:f>
      </x:c>
      <x:c r="F819" t="str">
        <x:f>IF(E819="","",IF(E819=TRIM(INDEX($A$3:$A$168,K819)),"",IF(RIGHT(TRIM(INDEX($A$3:$A$168,K819)),1)="]",LEFT(TRIM(INDEX($A$3:$A$168,K819)),LEN(TRIM(INDEX($A$3:$A$168,K819)))-1)&amp;", "&amp;SUBSTITUTE(SUBSTITUTE(SUBSTITUTE(E819," [",", "),"[",", "),"]","")&amp;"]",TRIM(INDEX($A$3:$A$168,K819))&amp;" ["&amp;SUBSTITUTE(SUBSTITUTE(SUBSTITUTE(E819," [",", "),"[",", "),"]","")&amp;"]")))</x:f>
      </x:c>
      <x:c r="G819" t="str">
        <x:f>IF(F819&lt;&gt;"",ROWS($F$3:F819)-COUNTBLANK($F$3:F819),"")</x:f>
      </x:c>
      <x:c r="H819"/>
      <x:c r="I819"/>
      <x:c r="J819"/>
      <x:c r="K819" t="str">
        <x:f>IF(ROW()-ROW($K$2)&lt;=SUM($J$3:$J$168),COUNTIF($H$3:$H$168,"&lt;"&amp;(ROW()-ROW($K$2))),"")</x:f>
      </x:c>
      <x:c r="L819" t="str">
        <x:f>IF(K819="","",ROW()-ROW($L$2)-INDEX($H$3:$H$168,K819))</x:f>
      </x:c>
      <x:c r="M819" t="str">
        <x:f>IF(K819="","",IF(L819=1,1,FIND(CHAR(1),SUBSTITUTE(INDEX($B$3:$B$168,K819),CHAR(10),CHAR(1),L819-1))+1))</x:f>
      </x:c>
      <x:c r="N819" t="str">
        <x:f>IF(K819="","",IFERROR(FIND(CHAR(1),SUBSTITUTE(INDEX($B$3:$B$168,K819),CHAR(10),CHAR(1),L819)),LEN(INDEX($B$3:$B$168,K819))+1))</x:f>
      </x:c>
    </x:row>
    <x:row r="820">
      <x:c r="A820"/>
      <x:c r="B820"/>
      <x:c r="C820"/>
      <x:c r="D820" t="str">
        <x:f>IFERROR(IF(818&lt;=$O$1,INDEX($A$3:$A$168,MATCH(818,$I$3:$I$168,0)),IF(818&lt;=$O$1+$O$2,INDEX($F$3:$F$1994,MATCH(818-$O$1,$G$3:$G$1994,0)),"")),"")</x:f>
      </x:c>
      <x:c r="E820" t="str">
        <x:f>IF(K820="","",IF(N820&lt;=M820,"",TRIM(CLEAN(MID(INDEX($B$3:$B$168,K820),M820,N820-M820)))))</x:f>
      </x:c>
      <x:c r="F820" t="str">
        <x:f>IF(E820="","",IF(E820=TRIM(INDEX($A$3:$A$168,K820)),"",IF(RIGHT(TRIM(INDEX($A$3:$A$168,K820)),1)="]",LEFT(TRIM(INDEX($A$3:$A$168,K820)),LEN(TRIM(INDEX($A$3:$A$168,K820)))-1)&amp;", "&amp;SUBSTITUTE(SUBSTITUTE(SUBSTITUTE(E820," [",", "),"[",", "),"]","")&amp;"]",TRIM(INDEX($A$3:$A$168,K820))&amp;" ["&amp;SUBSTITUTE(SUBSTITUTE(SUBSTITUTE(E820," [",", "),"[",", "),"]","")&amp;"]")))</x:f>
      </x:c>
      <x:c r="G820" t="str">
        <x:f>IF(F820&lt;&gt;"",ROWS($F$3:F820)-COUNTBLANK($F$3:F820),"")</x:f>
      </x:c>
      <x:c r="H820"/>
      <x:c r="I820"/>
      <x:c r="J820"/>
      <x:c r="K820" t="str">
        <x:f>IF(ROW()-ROW($K$2)&lt;=SUM($J$3:$J$168),COUNTIF($H$3:$H$168,"&lt;"&amp;(ROW()-ROW($K$2))),"")</x:f>
      </x:c>
      <x:c r="L820" t="str">
        <x:f>IF(K820="","",ROW()-ROW($L$2)-INDEX($H$3:$H$168,K820))</x:f>
      </x:c>
      <x:c r="M820" t="str">
        <x:f>IF(K820="","",IF(L820=1,1,FIND(CHAR(1),SUBSTITUTE(INDEX($B$3:$B$168,K820),CHAR(10),CHAR(1),L820-1))+1))</x:f>
      </x:c>
      <x:c r="N820" t="str">
        <x:f>IF(K820="","",IFERROR(FIND(CHAR(1),SUBSTITUTE(INDEX($B$3:$B$168,K820),CHAR(10),CHAR(1),L820)),LEN(INDEX($B$3:$B$168,K820))+1))</x:f>
      </x:c>
    </x:row>
    <x:row r="821">
      <x:c r="A821"/>
      <x:c r="B821"/>
      <x:c r="C821"/>
      <x:c r="D821" t="str">
        <x:f>IFERROR(IF(819&lt;=$O$1,INDEX($A$3:$A$168,MATCH(819,$I$3:$I$168,0)),IF(819&lt;=$O$1+$O$2,INDEX($F$3:$F$1994,MATCH(819-$O$1,$G$3:$G$1994,0)),"")),"")</x:f>
      </x:c>
      <x:c r="E821" t="str">
        <x:f>IF(K821="","",IF(N821&lt;=M821,"",TRIM(CLEAN(MID(INDEX($B$3:$B$168,K821),M821,N821-M821)))))</x:f>
      </x:c>
      <x:c r="F821" t="str">
        <x:f>IF(E821="","",IF(E821=TRIM(INDEX($A$3:$A$168,K821)),"",IF(RIGHT(TRIM(INDEX($A$3:$A$168,K821)),1)="]",LEFT(TRIM(INDEX($A$3:$A$168,K821)),LEN(TRIM(INDEX($A$3:$A$168,K821)))-1)&amp;", "&amp;SUBSTITUTE(SUBSTITUTE(SUBSTITUTE(E821," [",", "),"[",", "),"]","")&amp;"]",TRIM(INDEX($A$3:$A$168,K821))&amp;" ["&amp;SUBSTITUTE(SUBSTITUTE(SUBSTITUTE(E821," [",", "),"[",", "),"]","")&amp;"]")))</x:f>
      </x:c>
      <x:c r="G821" t="str">
        <x:f>IF(F821&lt;&gt;"",ROWS($F$3:F821)-COUNTBLANK($F$3:F821),"")</x:f>
      </x:c>
      <x:c r="H821"/>
      <x:c r="I821"/>
      <x:c r="J821"/>
      <x:c r="K821" t="str">
        <x:f>IF(ROW()-ROW($K$2)&lt;=SUM($J$3:$J$168),COUNTIF($H$3:$H$168,"&lt;"&amp;(ROW()-ROW($K$2))),"")</x:f>
      </x:c>
      <x:c r="L821" t="str">
        <x:f>IF(K821="","",ROW()-ROW($L$2)-INDEX($H$3:$H$168,K821))</x:f>
      </x:c>
      <x:c r="M821" t="str">
        <x:f>IF(K821="","",IF(L821=1,1,FIND(CHAR(1),SUBSTITUTE(INDEX($B$3:$B$168,K821),CHAR(10),CHAR(1),L821-1))+1))</x:f>
      </x:c>
      <x:c r="N821" t="str">
        <x:f>IF(K821="","",IFERROR(FIND(CHAR(1),SUBSTITUTE(INDEX($B$3:$B$168,K821),CHAR(10),CHAR(1),L821)),LEN(INDEX($B$3:$B$168,K821))+1))</x:f>
      </x:c>
    </x:row>
    <x:row r="822">
      <x:c r="A822"/>
      <x:c r="B822"/>
      <x:c r="C822"/>
      <x:c r="D822" t="str">
        <x:f>IFERROR(IF(820&lt;=$O$1,INDEX($A$3:$A$168,MATCH(820,$I$3:$I$168,0)),IF(820&lt;=$O$1+$O$2,INDEX($F$3:$F$1994,MATCH(820-$O$1,$G$3:$G$1994,0)),"")),"")</x:f>
      </x:c>
      <x:c r="E822" t="str">
        <x:f>IF(K822="","",IF(N822&lt;=M822,"",TRIM(CLEAN(MID(INDEX($B$3:$B$168,K822),M822,N822-M822)))))</x:f>
      </x:c>
      <x:c r="F822" t="str">
        <x:f>IF(E822="","",IF(E822=TRIM(INDEX($A$3:$A$168,K822)),"",IF(RIGHT(TRIM(INDEX($A$3:$A$168,K822)),1)="]",LEFT(TRIM(INDEX($A$3:$A$168,K822)),LEN(TRIM(INDEX($A$3:$A$168,K822)))-1)&amp;", "&amp;SUBSTITUTE(SUBSTITUTE(SUBSTITUTE(E822," [",", "),"[",", "),"]","")&amp;"]",TRIM(INDEX($A$3:$A$168,K822))&amp;" ["&amp;SUBSTITUTE(SUBSTITUTE(SUBSTITUTE(E822," [",", "),"[",", "),"]","")&amp;"]")))</x:f>
      </x:c>
      <x:c r="G822" t="str">
        <x:f>IF(F822&lt;&gt;"",ROWS($F$3:F822)-COUNTBLANK($F$3:F822),"")</x:f>
      </x:c>
      <x:c r="H822"/>
      <x:c r="I822"/>
      <x:c r="J822"/>
      <x:c r="K822" t="str">
        <x:f>IF(ROW()-ROW($K$2)&lt;=SUM($J$3:$J$168),COUNTIF($H$3:$H$168,"&lt;"&amp;(ROW()-ROW($K$2))),"")</x:f>
      </x:c>
      <x:c r="L822" t="str">
        <x:f>IF(K822="","",ROW()-ROW($L$2)-INDEX($H$3:$H$168,K822))</x:f>
      </x:c>
      <x:c r="M822" t="str">
        <x:f>IF(K822="","",IF(L822=1,1,FIND(CHAR(1),SUBSTITUTE(INDEX($B$3:$B$168,K822),CHAR(10),CHAR(1),L822-1))+1))</x:f>
      </x:c>
      <x:c r="N822" t="str">
        <x:f>IF(K822="","",IFERROR(FIND(CHAR(1),SUBSTITUTE(INDEX($B$3:$B$168,K822),CHAR(10),CHAR(1),L822)),LEN(INDEX($B$3:$B$168,K822))+1))</x:f>
      </x:c>
    </x:row>
    <x:row r="823">
      <x:c r="A823"/>
      <x:c r="B823"/>
      <x:c r="C823"/>
      <x:c r="D823" t="str">
        <x:f>IFERROR(IF(821&lt;=$O$1,INDEX($A$3:$A$168,MATCH(821,$I$3:$I$168,0)),IF(821&lt;=$O$1+$O$2,INDEX($F$3:$F$1994,MATCH(821-$O$1,$G$3:$G$1994,0)),"")),"")</x:f>
      </x:c>
      <x:c r="E823" t="str">
        <x:f>IF(K823="","",IF(N823&lt;=M823,"",TRIM(CLEAN(MID(INDEX($B$3:$B$168,K823),M823,N823-M823)))))</x:f>
      </x:c>
      <x:c r="F823" t="str">
        <x:f>IF(E823="","",IF(E823=TRIM(INDEX($A$3:$A$168,K823)),"",IF(RIGHT(TRIM(INDEX($A$3:$A$168,K823)),1)="]",LEFT(TRIM(INDEX($A$3:$A$168,K823)),LEN(TRIM(INDEX($A$3:$A$168,K823)))-1)&amp;", "&amp;SUBSTITUTE(SUBSTITUTE(SUBSTITUTE(E823," [",", "),"[",", "),"]","")&amp;"]",TRIM(INDEX($A$3:$A$168,K823))&amp;" ["&amp;SUBSTITUTE(SUBSTITUTE(SUBSTITUTE(E823," [",", "),"[",", "),"]","")&amp;"]")))</x:f>
      </x:c>
      <x:c r="G823" t="str">
        <x:f>IF(F823&lt;&gt;"",ROWS($F$3:F823)-COUNTBLANK($F$3:F823),"")</x:f>
      </x:c>
      <x:c r="H823"/>
      <x:c r="I823"/>
      <x:c r="J823"/>
      <x:c r="K823" t="str">
        <x:f>IF(ROW()-ROW($K$2)&lt;=SUM($J$3:$J$168),COUNTIF($H$3:$H$168,"&lt;"&amp;(ROW()-ROW($K$2))),"")</x:f>
      </x:c>
      <x:c r="L823" t="str">
        <x:f>IF(K823="","",ROW()-ROW($L$2)-INDEX($H$3:$H$168,K823))</x:f>
      </x:c>
      <x:c r="M823" t="str">
        <x:f>IF(K823="","",IF(L823=1,1,FIND(CHAR(1),SUBSTITUTE(INDEX($B$3:$B$168,K823),CHAR(10),CHAR(1),L823-1))+1))</x:f>
      </x:c>
      <x:c r="N823" t="str">
        <x:f>IF(K823="","",IFERROR(FIND(CHAR(1),SUBSTITUTE(INDEX($B$3:$B$168,K823),CHAR(10),CHAR(1),L823)),LEN(INDEX($B$3:$B$168,K823))+1))</x:f>
      </x:c>
    </x:row>
    <x:row r="824">
      <x:c r="A824"/>
      <x:c r="B824"/>
      <x:c r="C824"/>
      <x:c r="D824" t="str">
        <x:f>IFERROR(IF(822&lt;=$O$1,INDEX($A$3:$A$168,MATCH(822,$I$3:$I$168,0)),IF(822&lt;=$O$1+$O$2,INDEX($F$3:$F$1994,MATCH(822-$O$1,$G$3:$G$1994,0)),"")),"")</x:f>
      </x:c>
      <x:c r="E824" t="str">
        <x:f>IF(K824="","",IF(N824&lt;=M824,"",TRIM(CLEAN(MID(INDEX($B$3:$B$168,K824),M824,N824-M824)))))</x:f>
      </x:c>
      <x:c r="F824" t="str">
        <x:f>IF(E824="","",IF(E824=TRIM(INDEX($A$3:$A$168,K824)),"",IF(RIGHT(TRIM(INDEX($A$3:$A$168,K824)),1)="]",LEFT(TRIM(INDEX($A$3:$A$168,K824)),LEN(TRIM(INDEX($A$3:$A$168,K824)))-1)&amp;", "&amp;SUBSTITUTE(SUBSTITUTE(SUBSTITUTE(E824," [",", "),"[",", "),"]","")&amp;"]",TRIM(INDEX($A$3:$A$168,K824))&amp;" ["&amp;SUBSTITUTE(SUBSTITUTE(SUBSTITUTE(E824," [",", "),"[",", "),"]","")&amp;"]")))</x:f>
      </x:c>
      <x:c r="G824" t="str">
        <x:f>IF(F824&lt;&gt;"",ROWS($F$3:F824)-COUNTBLANK($F$3:F824),"")</x:f>
      </x:c>
      <x:c r="H824"/>
      <x:c r="I824"/>
      <x:c r="J824"/>
      <x:c r="K824" t="str">
        <x:f>IF(ROW()-ROW($K$2)&lt;=SUM($J$3:$J$168),COUNTIF($H$3:$H$168,"&lt;"&amp;(ROW()-ROW($K$2))),"")</x:f>
      </x:c>
      <x:c r="L824" t="str">
        <x:f>IF(K824="","",ROW()-ROW($L$2)-INDEX($H$3:$H$168,K824))</x:f>
      </x:c>
      <x:c r="M824" t="str">
        <x:f>IF(K824="","",IF(L824=1,1,FIND(CHAR(1),SUBSTITUTE(INDEX($B$3:$B$168,K824),CHAR(10),CHAR(1),L824-1))+1))</x:f>
      </x:c>
      <x:c r="N824" t="str">
        <x:f>IF(K824="","",IFERROR(FIND(CHAR(1),SUBSTITUTE(INDEX($B$3:$B$168,K824),CHAR(10),CHAR(1),L824)),LEN(INDEX($B$3:$B$168,K824))+1))</x:f>
      </x:c>
    </x:row>
    <x:row r="825">
      <x:c r="A825"/>
      <x:c r="B825"/>
      <x:c r="C825"/>
      <x:c r="D825" t="str">
        <x:f>IFERROR(IF(823&lt;=$O$1,INDEX($A$3:$A$168,MATCH(823,$I$3:$I$168,0)),IF(823&lt;=$O$1+$O$2,INDEX($F$3:$F$1994,MATCH(823-$O$1,$G$3:$G$1994,0)),"")),"")</x:f>
      </x:c>
      <x:c r="E825" t="str">
        <x:f>IF(K825="","",IF(N825&lt;=M825,"",TRIM(CLEAN(MID(INDEX($B$3:$B$168,K825),M825,N825-M825)))))</x:f>
      </x:c>
      <x:c r="F825" t="str">
        <x:f>IF(E825="","",IF(E825=TRIM(INDEX($A$3:$A$168,K825)),"",IF(RIGHT(TRIM(INDEX($A$3:$A$168,K825)),1)="]",LEFT(TRIM(INDEX($A$3:$A$168,K825)),LEN(TRIM(INDEX($A$3:$A$168,K825)))-1)&amp;", "&amp;SUBSTITUTE(SUBSTITUTE(SUBSTITUTE(E825," [",", "),"[",", "),"]","")&amp;"]",TRIM(INDEX($A$3:$A$168,K825))&amp;" ["&amp;SUBSTITUTE(SUBSTITUTE(SUBSTITUTE(E825," [",", "),"[",", "),"]","")&amp;"]")))</x:f>
      </x:c>
      <x:c r="G825" t="str">
        <x:f>IF(F825&lt;&gt;"",ROWS($F$3:F825)-COUNTBLANK($F$3:F825),"")</x:f>
      </x:c>
      <x:c r="H825"/>
      <x:c r="I825"/>
      <x:c r="J825"/>
      <x:c r="K825" t="str">
        <x:f>IF(ROW()-ROW($K$2)&lt;=SUM($J$3:$J$168),COUNTIF($H$3:$H$168,"&lt;"&amp;(ROW()-ROW($K$2))),"")</x:f>
      </x:c>
      <x:c r="L825" t="str">
        <x:f>IF(K825="","",ROW()-ROW($L$2)-INDEX($H$3:$H$168,K825))</x:f>
      </x:c>
      <x:c r="M825" t="str">
        <x:f>IF(K825="","",IF(L825=1,1,FIND(CHAR(1),SUBSTITUTE(INDEX($B$3:$B$168,K825),CHAR(10),CHAR(1),L825-1))+1))</x:f>
      </x:c>
      <x:c r="N825" t="str">
        <x:f>IF(K825="","",IFERROR(FIND(CHAR(1),SUBSTITUTE(INDEX($B$3:$B$168,K825),CHAR(10),CHAR(1),L825)),LEN(INDEX($B$3:$B$168,K825))+1))</x:f>
      </x:c>
    </x:row>
    <x:row r="826">
      <x:c r="A826"/>
      <x:c r="B826"/>
      <x:c r="C826"/>
      <x:c r="D826" t="str">
        <x:f>IFERROR(IF(824&lt;=$O$1,INDEX($A$3:$A$168,MATCH(824,$I$3:$I$168,0)),IF(824&lt;=$O$1+$O$2,INDEX($F$3:$F$1994,MATCH(824-$O$1,$G$3:$G$1994,0)),"")),"")</x:f>
      </x:c>
      <x:c r="E826" t="str">
        <x:f>IF(K826="","",IF(N826&lt;=M826,"",TRIM(CLEAN(MID(INDEX($B$3:$B$168,K826),M826,N826-M826)))))</x:f>
      </x:c>
      <x:c r="F826" t="str">
        <x:f>IF(E826="","",IF(E826=TRIM(INDEX($A$3:$A$168,K826)),"",IF(RIGHT(TRIM(INDEX($A$3:$A$168,K826)),1)="]",LEFT(TRIM(INDEX($A$3:$A$168,K826)),LEN(TRIM(INDEX($A$3:$A$168,K826)))-1)&amp;", "&amp;SUBSTITUTE(SUBSTITUTE(SUBSTITUTE(E826," [",", "),"[",", "),"]","")&amp;"]",TRIM(INDEX($A$3:$A$168,K826))&amp;" ["&amp;SUBSTITUTE(SUBSTITUTE(SUBSTITUTE(E826," [",", "),"[",", "),"]","")&amp;"]")))</x:f>
      </x:c>
      <x:c r="G826" t="str">
        <x:f>IF(F826&lt;&gt;"",ROWS($F$3:F826)-COUNTBLANK($F$3:F826),"")</x:f>
      </x:c>
      <x:c r="H826"/>
      <x:c r="I826"/>
      <x:c r="J826"/>
      <x:c r="K826" t="str">
        <x:f>IF(ROW()-ROW($K$2)&lt;=SUM($J$3:$J$168),COUNTIF($H$3:$H$168,"&lt;"&amp;(ROW()-ROW($K$2))),"")</x:f>
      </x:c>
      <x:c r="L826" t="str">
        <x:f>IF(K826="","",ROW()-ROW($L$2)-INDEX($H$3:$H$168,K826))</x:f>
      </x:c>
      <x:c r="M826" t="str">
        <x:f>IF(K826="","",IF(L826=1,1,FIND(CHAR(1),SUBSTITUTE(INDEX($B$3:$B$168,K826),CHAR(10),CHAR(1),L826-1))+1))</x:f>
      </x:c>
      <x:c r="N826" t="str">
        <x:f>IF(K826="","",IFERROR(FIND(CHAR(1),SUBSTITUTE(INDEX($B$3:$B$168,K826),CHAR(10),CHAR(1),L826)),LEN(INDEX($B$3:$B$168,K826))+1))</x:f>
      </x:c>
    </x:row>
    <x:row r="827">
      <x:c r="A827"/>
      <x:c r="B827"/>
      <x:c r="C827"/>
      <x:c r="D827" t="str">
        <x:f>IFERROR(IF(825&lt;=$O$1,INDEX($A$3:$A$168,MATCH(825,$I$3:$I$168,0)),IF(825&lt;=$O$1+$O$2,INDEX($F$3:$F$1994,MATCH(825-$O$1,$G$3:$G$1994,0)),"")),"")</x:f>
      </x:c>
      <x:c r="E827" t="str">
        <x:f>IF(K827="","",IF(N827&lt;=M827,"",TRIM(CLEAN(MID(INDEX($B$3:$B$168,K827),M827,N827-M827)))))</x:f>
      </x:c>
      <x:c r="F827" t="str">
        <x:f>IF(E827="","",IF(E827=TRIM(INDEX($A$3:$A$168,K827)),"",IF(RIGHT(TRIM(INDEX($A$3:$A$168,K827)),1)="]",LEFT(TRIM(INDEX($A$3:$A$168,K827)),LEN(TRIM(INDEX($A$3:$A$168,K827)))-1)&amp;", "&amp;SUBSTITUTE(SUBSTITUTE(SUBSTITUTE(E827," [",", "),"[",", "),"]","")&amp;"]",TRIM(INDEX($A$3:$A$168,K827))&amp;" ["&amp;SUBSTITUTE(SUBSTITUTE(SUBSTITUTE(E827," [",", "),"[",", "),"]","")&amp;"]")))</x:f>
      </x:c>
      <x:c r="G827" t="str">
        <x:f>IF(F827&lt;&gt;"",ROWS($F$3:F827)-COUNTBLANK($F$3:F827),"")</x:f>
      </x:c>
      <x:c r="H827"/>
      <x:c r="I827"/>
      <x:c r="J827"/>
      <x:c r="K827" t="str">
        <x:f>IF(ROW()-ROW($K$2)&lt;=SUM($J$3:$J$168),COUNTIF($H$3:$H$168,"&lt;"&amp;(ROW()-ROW($K$2))),"")</x:f>
      </x:c>
      <x:c r="L827" t="str">
        <x:f>IF(K827="","",ROW()-ROW($L$2)-INDEX($H$3:$H$168,K827))</x:f>
      </x:c>
      <x:c r="M827" t="str">
        <x:f>IF(K827="","",IF(L827=1,1,FIND(CHAR(1),SUBSTITUTE(INDEX($B$3:$B$168,K827),CHAR(10),CHAR(1),L827-1))+1))</x:f>
      </x:c>
      <x:c r="N827" t="str">
        <x:f>IF(K827="","",IFERROR(FIND(CHAR(1),SUBSTITUTE(INDEX($B$3:$B$168,K827),CHAR(10),CHAR(1),L827)),LEN(INDEX($B$3:$B$168,K827))+1))</x:f>
      </x:c>
    </x:row>
    <x:row r="828">
      <x:c r="A828"/>
      <x:c r="B828"/>
      <x:c r="C828"/>
      <x:c r="D828" t="str">
        <x:f>IFERROR(IF(826&lt;=$O$1,INDEX($A$3:$A$168,MATCH(826,$I$3:$I$168,0)),IF(826&lt;=$O$1+$O$2,INDEX($F$3:$F$1994,MATCH(826-$O$1,$G$3:$G$1994,0)),"")),"")</x:f>
      </x:c>
      <x:c r="E828" t="str">
        <x:f>IF(K828="","",IF(N828&lt;=M828,"",TRIM(CLEAN(MID(INDEX($B$3:$B$168,K828),M828,N828-M828)))))</x:f>
      </x:c>
      <x:c r="F828" t="str">
        <x:f>IF(E828="","",IF(E828=TRIM(INDEX($A$3:$A$168,K828)),"",IF(RIGHT(TRIM(INDEX($A$3:$A$168,K828)),1)="]",LEFT(TRIM(INDEX($A$3:$A$168,K828)),LEN(TRIM(INDEX($A$3:$A$168,K828)))-1)&amp;", "&amp;SUBSTITUTE(SUBSTITUTE(SUBSTITUTE(E828," [",", "),"[",", "),"]","")&amp;"]",TRIM(INDEX($A$3:$A$168,K828))&amp;" ["&amp;SUBSTITUTE(SUBSTITUTE(SUBSTITUTE(E828," [",", "),"[",", "),"]","")&amp;"]")))</x:f>
      </x:c>
      <x:c r="G828" t="str">
        <x:f>IF(F828&lt;&gt;"",ROWS($F$3:F828)-COUNTBLANK($F$3:F828),"")</x:f>
      </x:c>
      <x:c r="H828"/>
      <x:c r="I828"/>
      <x:c r="J828"/>
      <x:c r="K828" t="str">
        <x:f>IF(ROW()-ROW($K$2)&lt;=SUM($J$3:$J$168),COUNTIF($H$3:$H$168,"&lt;"&amp;(ROW()-ROW($K$2))),"")</x:f>
      </x:c>
      <x:c r="L828" t="str">
        <x:f>IF(K828="","",ROW()-ROW($L$2)-INDEX($H$3:$H$168,K828))</x:f>
      </x:c>
      <x:c r="M828" t="str">
        <x:f>IF(K828="","",IF(L828=1,1,FIND(CHAR(1),SUBSTITUTE(INDEX($B$3:$B$168,K828),CHAR(10),CHAR(1),L828-1))+1))</x:f>
      </x:c>
      <x:c r="N828" t="str">
        <x:f>IF(K828="","",IFERROR(FIND(CHAR(1),SUBSTITUTE(INDEX($B$3:$B$168,K828),CHAR(10),CHAR(1),L828)),LEN(INDEX($B$3:$B$168,K828))+1))</x:f>
      </x:c>
    </x:row>
    <x:row r="829">
      <x:c r="A829"/>
      <x:c r="B829"/>
      <x:c r="C829"/>
      <x:c r="D829" t="str">
        <x:f>IFERROR(IF(827&lt;=$O$1,INDEX($A$3:$A$168,MATCH(827,$I$3:$I$168,0)),IF(827&lt;=$O$1+$O$2,INDEX($F$3:$F$1994,MATCH(827-$O$1,$G$3:$G$1994,0)),"")),"")</x:f>
      </x:c>
      <x:c r="E829" t="str">
        <x:f>IF(K829="","",IF(N829&lt;=M829,"",TRIM(CLEAN(MID(INDEX($B$3:$B$168,K829),M829,N829-M829)))))</x:f>
      </x:c>
      <x:c r="F829" t="str">
        <x:f>IF(E829="","",IF(E829=TRIM(INDEX($A$3:$A$168,K829)),"",IF(RIGHT(TRIM(INDEX($A$3:$A$168,K829)),1)="]",LEFT(TRIM(INDEX($A$3:$A$168,K829)),LEN(TRIM(INDEX($A$3:$A$168,K829)))-1)&amp;", "&amp;SUBSTITUTE(SUBSTITUTE(SUBSTITUTE(E829," [",", "),"[",", "),"]","")&amp;"]",TRIM(INDEX($A$3:$A$168,K829))&amp;" ["&amp;SUBSTITUTE(SUBSTITUTE(SUBSTITUTE(E829," [",", "),"[",", "),"]","")&amp;"]")))</x:f>
      </x:c>
      <x:c r="G829" t="str">
        <x:f>IF(F829&lt;&gt;"",ROWS($F$3:F829)-COUNTBLANK($F$3:F829),"")</x:f>
      </x:c>
      <x:c r="H829"/>
      <x:c r="I829"/>
      <x:c r="J829"/>
      <x:c r="K829" t="str">
        <x:f>IF(ROW()-ROW($K$2)&lt;=SUM($J$3:$J$168),COUNTIF($H$3:$H$168,"&lt;"&amp;(ROW()-ROW($K$2))),"")</x:f>
      </x:c>
      <x:c r="L829" t="str">
        <x:f>IF(K829="","",ROW()-ROW($L$2)-INDEX($H$3:$H$168,K829))</x:f>
      </x:c>
      <x:c r="M829" t="str">
        <x:f>IF(K829="","",IF(L829=1,1,FIND(CHAR(1),SUBSTITUTE(INDEX($B$3:$B$168,K829),CHAR(10),CHAR(1),L829-1))+1))</x:f>
      </x:c>
      <x:c r="N829" t="str">
        <x:f>IF(K829="","",IFERROR(FIND(CHAR(1),SUBSTITUTE(INDEX($B$3:$B$168,K829),CHAR(10),CHAR(1),L829)),LEN(INDEX($B$3:$B$168,K829))+1))</x:f>
      </x:c>
    </x:row>
    <x:row r="830">
      <x:c r="A830"/>
      <x:c r="B830"/>
      <x:c r="C830"/>
      <x:c r="D830" t="str">
        <x:f>IFERROR(IF(828&lt;=$O$1,INDEX($A$3:$A$168,MATCH(828,$I$3:$I$168,0)),IF(828&lt;=$O$1+$O$2,INDEX($F$3:$F$1994,MATCH(828-$O$1,$G$3:$G$1994,0)),"")),"")</x:f>
      </x:c>
      <x:c r="E830" t="str">
        <x:f>IF(K830="","",IF(N830&lt;=M830,"",TRIM(CLEAN(MID(INDEX($B$3:$B$168,K830),M830,N830-M830)))))</x:f>
      </x:c>
      <x:c r="F830" t="str">
        <x:f>IF(E830="","",IF(E830=TRIM(INDEX($A$3:$A$168,K830)),"",IF(RIGHT(TRIM(INDEX($A$3:$A$168,K830)),1)="]",LEFT(TRIM(INDEX($A$3:$A$168,K830)),LEN(TRIM(INDEX($A$3:$A$168,K830)))-1)&amp;", "&amp;SUBSTITUTE(SUBSTITUTE(SUBSTITUTE(E830," [",", "),"[",", "),"]","")&amp;"]",TRIM(INDEX($A$3:$A$168,K830))&amp;" ["&amp;SUBSTITUTE(SUBSTITUTE(SUBSTITUTE(E830," [",", "),"[",", "),"]","")&amp;"]")))</x:f>
      </x:c>
      <x:c r="G830" t="str">
        <x:f>IF(F830&lt;&gt;"",ROWS($F$3:F830)-COUNTBLANK($F$3:F830),"")</x:f>
      </x:c>
      <x:c r="H830"/>
      <x:c r="I830"/>
      <x:c r="J830"/>
      <x:c r="K830" t="str">
        <x:f>IF(ROW()-ROW($K$2)&lt;=SUM($J$3:$J$168),COUNTIF($H$3:$H$168,"&lt;"&amp;(ROW()-ROW($K$2))),"")</x:f>
      </x:c>
      <x:c r="L830" t="str">
        <x:f>IF(K830="","",ROW()-ROW($L$2)-INDEX($H$3:$H$168,K830))</x:f>
      </x:c>
      <x:c r="M830" t="str">
        <x:f>IF(K830="","",IF(L830=1,1,FIND(CHAR(1),SUBSTITUTE(INDEX($B$3:$B$168,K830),CHAR(10),CHAR(1),L830-1))+1))</x:f>
      </x:c>
      <x:c r="N830" t="str">
        <x:f>IF(K830="","",IFERROR(FIND(CHAR(1),SUBSTITUTE(INDEX($B$3:$B$168,K830),CHAR(10),CHAR(1),L830)),LEN(INDEX($B$3:$B$168,K830))+1))</x:f>
      </x:c>
    </x:row>
    <x:row r="831">
      <x:c r="A831"/>
      <x:c r="B831"/>
      <x:c r="C831"/>
      <x:c r="D831" t="str">
        <x:f>IFERROR(IF(829&lt;=$O$1,INDEX($A$3:$A$168,MATCH(829,$I$3:$I$168,0)),IF(829&lt;=$O$1+$O$2,INDEX($F$3:$F$1994,MATCH(829-$O$1,$G$3:$G$1994,0)),"")),"")</x:f>
      </x:c>
      <x:c r="E831" t="str">
        <x:f>IF(K831="","",IF(N831&lt;=M831,"",TRIM(CLEAN(MID(INDEX($B$3:$B$168,K831),M831,N831-M831)))))</x:f>
      </x:c>
      <x:c r="F831" t="str">
        <x:f>IF(E831="","",IF(E831=TRIM(INDEX($A$3:$A$168,K831)),"",IF(RIGHT(TRIM(INDEX($A$3:$A$168,K831)),1)="]",LEFT(TRIM(INDEX($A$3:$A$168,K831)),LEN(TRIM(INDEX($A$3:$A$168,K831)))-1)&amp;", "&amp;SUBSTITUTE(SUBSTITUTE(SUBSTITUTE(E831," [",", "),"[",", "),"]","")&amp;"]",TRIM(INDEX($A$3:$A$168,K831))&amp;" ["&amp;SUBSTITUTE(SUBSTITUTE(SUBSTITUTE(E831," [",", "),"[",", "),"]","")&amp;"]")))</x:f>
      </x:c>
      <x:c r="G831" t="str">
        <x:f>IF(F831&lt;&gt;"",ROWS($F$3:F831)-COUNTBLANK($F$3:F831),"")</x:f>
      </x:c>
      <x:c r="H831"/>
      <x:c r="I831"/>
      <x:c r="J831"/>
      <x:c r="K831" t="str">
        <x:f>IF(ROW()-ROW($K$2)&lt;=SUM($J$3:$J$168),COUNTIF($H$3:$H$168,"&lt;"&amp;(ROW()-ROW($K$2))),"")</x:f>
      </x:c>
      <x:c r="L831" t="str">
        <x:f>IF(K831="","",ROW()-ROW($L$2)-INDEX($H$3:$H$168,K831))</x:f>
      </x:c>
      <x:c r="M831" t="str">
        <x:f>IF(K831="","",IF(L831=1,1,FIND(CHAR(1),SUBSTITUTE(INDEX($B$3:$B$168,K831),CHAR(10),CHAR(1),L831-1))+1))</x:f>
      </x:c>
      <x:c r="N831" t="str">
        <x:f>IF(K831="","",IFERROR(FIND(CHAR(1),SUBSTITUTE(INDEX($B$3:$B$168,K831),CHAR(10),CHAR(1),L831)),LEN(INDEX($B$3:$B$168,K831))+1))</x:f>
      </x:c>
    </x:row>
    <x:row r="832">
      <x:c r="A832"/>
      <x:c r="B832"/>
      <x:c r="C832"/>
      <x:c r="D832" t="str">
        <x:f>IFERROR(IF(830&lt;=$O$1,INDEX($A$3:$A$168,MATCH(830,$I$3:$I$168,0)),IF(830&lt;=$O$1+$O$2,INDEX($F$3:$F$1994,MATCH(830-$O$1,$G$3:$G$1994,0)),"")),"")</x:f>
      </x:c>
      <x:c r="E832" t="str">
        <x:f>IF(K832="","",IF(N832&lt;=M832,"",TRIM(CLEAN(MID(INDEX($B$3:$B$168,K832),M832,N832-M832)))))</x:f>
      </x:c>
      <x:c r="F832" t="str">
        <x:f>IF(E832="","",IF(E832=TRIM(INDEX($A$3:$A$168,K832)),"",IF(RIGHT(TRIM(INDEX($A$3:$A$168,K832)),1)="]",LEFT(TRIM(INDEX($A$3:$A$168,K832)),LEN(TRIM(INDEX($A$3:$A$168,K832)))-1)&amp;", "&amp;SUBSTITUTE(SUBSTITUTE(SUBSTITUTE(E832," [",", "),"[",", "),"]","")&amp;"]",TRIM(INDEX($A$3:$A$168,K832))&amp;" ["&amp;SUBSTITUTE(SUBSTITUTE(SUBSTITUTE(E832," [",", "),"[",", "),"]","")&amp;"]")))</x:f>
      </x:c>
      <x:c r="G832" t="str">
        <x:f>IF(F832&lt;&gt;"",ROWS($F$3:F832)-COUNTBLANK($F$3:F832),"")</x:f>
      </x:c>
      <x:c r="H832"/>
      <x:c r="I832"/>
      <x:c r="J832"/>
      <x:c r="K832" t="str">
        <x:f>IF(ROW()-ROW($K$2)&lt;=SUM($J$3:$J$168),COUNTIF($H$3:$H$168,"&lt;"&amp;(ROW()-ROW($K$2))),"")</x:f>
      </x:c>
      <x:c r="L832" t="str">
        <x:f>IF(K832="","",ROW()-ROW($L$2)-INDEX($H$3:$H$168,K832))</x:f>
      </x:c>
      <x:c r="M832" t="str">
        <x:f>IF(K832="","",IF(L832=1,1,FIND(CHAR(1),SUBSTITUTE(INDEX($B$3:$B$168,K832),CHAR(10),CHAR(1),L832-1))+1))</x:f>
      </x:c>
      <x:c r="N832" t="str">
        <x:f>IF(K832="","",IFERROR(FIND(CHAR(1),SUBSTITUTE(INDEX($B$3:$B$168,K832),CHAR(10),CHAR(1),L832)),LEN(INDEX($B$3:$B$168,K832))+1))</x:f>
      </x:c>
    </x:row>
    <x:row r="833">
      <x:c r="A833"/>
      <x:c r="B833"/>
      <x:c r="C833"/>
      <x:c r="D833" t="str">
        <x:f>IFERROR(IF(831&lt;=$O$1,INDEX($A$3:$A$168,MATCH(831,$I$3:$I$168,0)),IF(831&lt;=$O$1+$O$2,INDEX($F$3:$F$1994,MATCH(831-$O$1,$G$3:$G$1994,0)),"")),"")</x:f>
      </x:c>
      <x:c r="E833" t="str">
        <x:f>IF(K833="","",IF(N833&lt;=M833,"",TRIM(CLEAN(MID(INDEX($B$3:$B$168,K833),M833,N833-M833)))))</x:f>
      </x:c>
      <x:c r="F833" t="str">
        <x:f>IF(E833="","",IF(E833=TRIM(INDEX($A$3:$A$168,K833)),"",IF(RIGHT(TRIM(INDEX($A$3:$A$168,K833)),1)="]",LEFT(TRIM(INDEX($A$3:$A$168,K833)),LEN(TRIM(INDEX($A$3:$A$168,K833)))-1)&amp;", "&amp;SUBSTITUTE(SUBSTITUTE(SUBSTITUTE(E833," [",", "),"[",", "),"]","")&amp;"]",TRIM(INDEX($A$3:$A$168,K833))&amp;" ["&amp;SUBSTITUTE(SUBSTITUTE(SUBSTITUTE(E833," [",", "),"[",", "),"]","")&amp;"]")))</x:f>
      </x:c>
      <x:c r="G833" t="str">
        <x:f>IF(F833&lt;&gt;"",ROWS($F$3:F833)-COUNTBLANK($F$3:F833),"")</x:f>
      </x:c>
      <x:c r="H833"/>
      <x:c r="I833"/>
      <x:c r="J833"/>
      <x:c r="K833" t="str">
        <x:f>IF(ROW()-ROW($K$2)&lt;=SUM($J$3:$J$168),COUNTIF($H$3:$H$168,"&lt;"&amp;(ROW()-ROW($K$2))),"")</x:f>
      </x:c>
      <x:c r="L833" t="str">
        <x:f>IF(K833="","",ROW()-ROW($L$2)-INDEX($H$3:$H$168,K833))</x:f>
      </x:c>
      <x:c r="M833" t="str">
        <x:f>IF(K833="","",IF(L833=1,1,FIND(CHAR(1),SUBSTITUTE(INDEX($B$3:$B$168,K833),CHAR(10),CHAR(1),L833-1))+1))</x:f>
      </x:c>
      <x:c r="N833" t="str">
        <x:f>IF(K833="","",IFERROR(FIND(CHAR(1),SUBSTITUTE(INDEX($B$3:$B$168,K833),CHAR(10),CHAR(1),L833)),LEN(INDEX($B$3:$B$168,K833))+1))</x:f>
      </x:c>
    </x:row>
    <x:row r="834">
      <x:c r="A834"/>
      <x:c r="B834"/>
      <x:c r="C834"/>
      <x:c r="D834" t="str">
        <x:f>IFERROR(IF(832&lt;=$O$1,INDEX($A$3:$A$168,MATCH(832,$I$3:$I$168,0)),IF(832&lt;=$O$1+$O$2,INDEX($F$3:$F$1994,MATCH(832-$O$1,$G$3:$G$1994,0)),"")),"")</x:f>
      </x:c>
      <x:c r="E834" t="str">
        <x:f>IF(K834="","",IF(N834&lt;=M834,"",TRIM(CLEAN(MID(INDEX($B$3:$B$168,K834),M834,N834-M834)))))</x:f>
      </x:c>
      <x:c r="F834" t="str">
        <x:f>IF(E834="","",IF(E834=TRIM(INDEX($A$3:$A$168,K834)),"",IF(RIGHT(TRIM(INDEX($A$3:$A$168,K834)),1)="]",LEFT(TRIM(INDEX($A$3:$A$168,K834)),LEN(TRIM(INDEX($A$3:$A$168,K834)))-1)&amp;", "&amp;SUBSTITUTE(SUBSTITUTE(SUBSTITUTE(E834," [",", "),"[",", "),"]","")&amp;"]",TRIM(INDEX($A$3:$A$168,K834))&amp;" ["&amp;SUBSTITUTE(SUBSTITUTE(SUBSTITUTE(E834," [",", "),"[",", "),"]","")&amp;"]")))</x:f>
      </x:c>
      <x:c r="G834" t="str">
        <x:f>IF(F834&lt;&gt;"",ROWS($F$3:F834)-COUNTBLANK($F$3:F834),"")</x:f>
      </x:c>
      <x:c r="H834"/>
      <x:c r="I834"/>
      <x:c r="J834"/>
      <x:c r="K834" t="str">
        <x:f>IF(ROW()-ROW($K$2)&lt;=SUM($J$3:$J$168),COUNTIF($H$3:$H$168,"&lt;"&amp;(ROW()-ROW($K$2))),"")</x:f>
      </x:c>
      <x:c r="L834" t="str">
        <x:f>IF(K834="","",ROW()-ROW($L$2)-INDEX($H$3:$H$168,K834))</x:f>
      </x:c>
      <x:c r="M834" t="str">
        <x:f>IF(K834="","",IF(L834=1,1,FIND(CHAR(1),SUBSTITUTE(INDEX($B$3:$B$168,K834),CHAR(10),CHAR(1),L834-1))+1))</x:f>
      </x:c>
      <x:c r="N834" t="str">
        <x:f>IF(K834="","",IFERROR(FIND(CHAR(1),SUBSTITUTE(INDEX($B$3:$B$168,K834),CHAR(10),CHAR(1),L834)),LEN(INDEX($B$3:$B$168,K834))+1))</x:f>
      </x:c>
    </x:row>
    <x:row r="835">
      <x:c r="A835"/>
      <x:c r="B835"/>
      <x:c r="C835"/>
      <x:c r="D835" t="str">
        <x:f>IFERROR(IF(833&lt;=$O$1,INDEX($A$3:$A$168,MATCH(833,$I$3:$I$168,0)),IF(833&lt;=$O$1+$O$2,INDEX($F$3:$F$1994,MATCH(833-$O$1,$G$3:$G$1994,0)),"")),"")</x:f>
      </x:c>
      <x:c r="E835" t="str">
        <x:f>IF(K835="","",IF(N835&lt;=M835,"",TRIM(CLEAN(MID(INDEX($B$3:$B$168,K835),M835,N835-M835)))))</x:f>
      </x:c>
      <x:c r="F835" t="str">
        <x:f>IF(E835="","",IF(E835=TRIM(INDEX($A$3:$A$168,K835)),"",IF(RIGHT(TRIM(INDEX($A$3:$A$168,K835)),1)="]",LEFT(TRIM(INDEX($A$3:$A$168,K835)),LEN(TRIM(INDEX($A$3:$A$168,K835)))-1)&amp;", "&amp;SUBSTITUTE(SUBSTITUTE(SUBSTITUTE(E835," [",", "),"[",", "),"]","")&amp;"]",TRIM(INDEX($A$3:$A$168,K835))&amp;" ["&amp;SUBSTITUTE(SUBSTITUTE(SUBSTITUTE(E835," [",", "),"[",", "),"]","")&amp;"]")))</x:f>
      </x:c>
      <x:c r="G835" t="str">
        <x:f>IF(F835&lt;&gt;"",ROWS($F$3:F835)-COUNTBLANK($F$3:F835),"")</x:f>
      </x:c>
      <x:c r="H835"/>
      <x:c r="I835"/>
      <x:c r="J835"/>
      <x:c r="K835" t="str">
        <x:f>IF(ROW()-ROW($K$2)&lt;=SUM($J$3:$J$168),COUNTIF($H$3:$H$168,"&lt;"&amp;(ROW()-ROW($K$2))),"")</x:f>
      </x:c>
      <x:c r="L835" t="str">
        <x:f>IF(K835="","",ROW()-ROW($L$2)-INDEX($H$3:$H$168,K835))</x:f>
      </x:c>
      <x:c r="M835" t="str">
        <x:f>IF(K835="","",IF(L835=1,1,FIND(CHAR(1),SUBSTITUTE(INDEX($B$3:$B$168,K835),CHAR(10),CHAR(1),L835-1))+1))</x:f>
      </x:c>
      <x:c r="N835" t="str">
        <x:f>IF(K835="","",IFERROR(FIND(CHAR(1),SUBSTITUTE(INDEX($B$3:$B$168,K835),CHAR(10),CHAR(1),L835)),LEN(INDEX($B$3:$B$168,K835))+1))</x:f>
      </x:c>
    </x:row>
    <x:row r="836">
      <x:c r="A836"/>
      <x:c r="B836"/>
      <x:c r="C836"/>
      <x:c r="D836" t="str">
        <x:f>IFERROR(IF(834&lt;=$O$1,INDEX($A$3:$A$168,MATCH(834,$I$3:$I$168,0)),IF(834&lt;=$O$1+$O$2,INDEX($F$3:$F$1994,MATCH(834-$O$1,$G$3:$G$1994,0)),"")),"")</x:f>
      </x:c>
      <x:c r="E836" t="str">
        <x:f>IF(K836="","",IF(N836&lt;=M836,"",TRIM(CLEAN(MID(INDEX($B$3:$B$168,K836),M836,N836-M836)))))</x:f>
      </x:c>
      <x:c r="F836" t="str">
        <x:f>IF(E836="","",IF(E836=TRIM(INDEX($A$3:$A$168,K836)),"",IF(RIGHT(TRIM(INDEX($A$3:$A$168,K836)),1)="]",LEFT(TRIM(INDEX($A$3:$A$168,K836)),LEN(TRIM(INDEX($A$3:$A$168,K836)))-1)&amp;", "&amp;SUBSTITUTE(SUBSTITUTE(SUBSTITUTE(E836," [",", "),"[",", "),"]","")&amp;"]",TRIM(INDEX($A$3:$A$168,K836))&amp;" ["&amp;SUBSTITUTE(SUBSTITUTE(SUBSTITUTE(E836," [",", "),"[",", "),"]","")&amp;"]")))</x:f>
      </x:c>
      <x:c r="G836" t="str">
        <x:f>IF(F836&lt;&gt;"",ROWS($F$3:F836)-COUNTBLANK($F$3:F836),"")</x:f>
      </x:c>
      <x:c r="H836"/>
      <x:c r="I836"/>
      <x:c r="J836"/>
      <x:c r="K836" t="str">
        <x:f>IF(ROW()-ROW($K$2)&lt;=SUM($J$3:$J$168),COUNTIF($H$3:$H$168,"&lt;"&amp;(ROW()-ROW($K$2))),"")</x:f>
      </x:c>
      <x:c r="L836" t="str">
        <x:f>IF(K836="","",ROW()-ROW($L$2)-INDEX($H$3:$H$168,K836))</x:f>
      </x:c>
      <x:c r="M836" t="str">
        <x:f>IF(K836="","",IF(L836=1,1,FIND(CHAR(1),SUBSTITUTE(INDEX($B$3:$B$168,K836),CHAR(10),CHAR(1),L836-1))+1))</x:f>
      </x:c>
      <x:c r="N836" t="str">
        <x:f>IF(K836="","",IFERROR(FIND(CHAR(1),SUBSTITUTE(INDEX($B$3:$B$168,K836),CHAR(10),CHAR(1),L836)),LEN(INDEX($B$3:$B$168,K836))+1))</x:f>
      </x:c>
    </x:row>
    <x:row r="837">
      <x:c r="A837"/>
      <x:c r="B837"/>
      <x:c r="C837"/>
      <x:c r="D837" t="str">
        <x:f>IFERROR(IF(835&lt;=$O$1,INDEX($A$3:$A$168,MATCH(835,$I$3:$I$168,0)),IF(835&lt;=$O$1+$O$2,INDEX($F$3:$F$1994,MATCH(835-$O$1,$G$3:$G$1994,0)),"")),"")</x:f>
      </x:c>
      <x:c r="E837" t="str">
        <x:f>IF(K837="","",IF(N837&lt;=M837,"",TRIM(CLEAN(MID(INDEX($B$3:$B$168,K837),M837,N837-M837)))))</x:f>
      </x:c>
      <x:c r="F837" t="str">
        <x:f>IF(E837="","",IF(E837=TRIM(INDEX($A$3:$A$168,K837)),"",IF(RIGHT(TRIM(INDEX($A$3:$A$168,K837)),1)="]",LEFT(TRIM(INDEX($A$3:$A$168,K837)),LEN(TRIM(INDEX($A$3:$A$168,K837)))-1)&amp;", "&amp;SUBSTITUTE(SUBSTITUTE(SUBSTITUTE(E837," [",", "),"[",", "),"]","")&amp;"]",TRIM(INDEX($A$3:$A$168,K837))&amp;" ["&amp;SUBSTITUTE(SUBSTITUTE(SUBSTITUTE(E837," [",", "),"[",", "),"]","")&amp;"]")))</x:f>
      </x:c>
      <x:c r="G837" t="str">
        <x:f>IF(F837&lt;&gt;"",ROWS($F$3:F837)-COUNTBLANK($F$3:F837),"")</x:f>
      </x:c>
      <x:c r="H837"/>
      <x:c r="I837"/>
      <x:c r="J837"/>
      <x:c r="K837" t="str">
        <x:f>IF(ROW()-ROW($K$2)&lt;=SUM($J$3:$J$168),COUNTIF($H$3:$H$168,"&lt;"&amp;(ROW()-ROW($K$2))),"")</x:f>
      </x:c>
      <x:c r="L837" t="str">
        <x:f>IF(K837="","",ROW()-ROW($L$2)-INDEX($H$3:$H$168,K837))</x:f>
      </x:c>
      <x:c r="M837" t="str">
        <x:f>IF(K837="","",IF(L837=1,1,FIND(CHAR(1),SUBSTITUTE(INDEX($B$3:$B$168,K837),CHAR(10),CHAR(1),L837-1))+1))</x:f>
      </x:c>
      <x:c r="N837" t="str">
        <x:f>IF(K837="","",IFERROR(FIND(CHAR(1),SUBSTITUTE(INDEX($B$3:$B$168,K837),CHAR(10),CHAR(1),L837)),LEN(INDEX($B$3:$B$168,K837))+1))</x:f>
      </x:c>
    </x:row>
    <x:row r="838">
      <x:c r="A838"/>
      <x:c r="B838"/>
      <x:c r="C838"/>
      <x:c r="D838" t="str">
        <x:f>IFERROR(IF(836&lt;=$O$1,INDEX($A$3:$A$168,MATCH(836,$I$3:$I$168,0)),IF(836&lt;=$O$1+$O$2,INDEX($F$3:$F$1994,MATCH(836-$O$1,$G$3:$G$1994,0)),"")),"")</x:f>
      </x:c>
      <x:c r="E838" t="str">
        <x:f>IF(K838="","",IF(N838&lt;=M838,"",TRIM(CLEAN(MID(INDEX($B$3:$B$168,K838),M838,N838-M838)))))</x:f>
      </x:c>
      <x:c r="F838" t="str">
        <x:f>IF(E838="","",IF(E838=TRIM(INDEX($A$3:$A$168,K838)),"",IF(RIGHT(TRIM(INDEX($A$3:$A$168,K838)),1)="]",LEFT(TRIM(INDEX($A$3:$A$168,K838)),LEN(TRIM(INDEX($A$3:$A$168,K838)))-1)&amp;", "&amp;SUBSTITUTE(SUBSTITUTE(SUBSTITUTE(E838," [",", "),"[",", "),"]","")&amp;"]",TRIM(INDEX($A$3:$A$168,K838))&amp;" ["&amp;SUBSTITUTE(SUBSTITUTE(SUBSTITUTE(E838," [",", "),"[",", "),"]","")&amp;"]")))</x:f>
      </x:c>
      <x:c r="G838" t="str">
        <x:f>IF(F838&lt;&gt;"",ROWS($F$3:F838)-COUNTBLANK($F$3:F838),"")</x:f>
      </x:c>
      <x:c r="H838"/>
      <x:c r="I838"/>
      <x:c r="J838"/>
      <x:c r="K838" t="str">
        <x:f>IF(ROW()-ROW($K$2)&lt;=SUM($J$3:$J$168),COUNTIF($H$3:$H$168,"&lt;"&amp;(ROW()-ROW($K$2))),"")</x:f>
      </x:c>
      <x:c r="L838" t="str">
        <x:f>IF(K838="","",ROW()-ROW($L$2)-INDEX($H$3:$H$168,K838))</x:f>
      </x:c>
      <x:c r="M838" t="str">
        <x:f>IF(K838="","",IF(L838=1,1,FIND(CHAR(1),SUBSTITUTE(INDEX($B$3:$B$168,K838),CHAR(10),CHAR(1),L838-1))+1))</x:f>
      </x:c>
      <x:c r="N838" t="str">
        <x:f>IF(K838="","",IFERROR(FIND(CHAR(1),SUBSTITUTE(INDEX($B$3:$B$168,K838),CHAR(10),CHAR(1),L838)),LEN(INDEX($B$3:$B$168,K838))+1))</x:f>
      </x:c>
    </x:row>
    <x:row r="839">
      <x:c r="A839"/>
      <x:c r="B839"/>
      <x:c r="C839"/>
      <x:c r="D839" t="str">
        <x:f>IFERROR(IF(837&lt;=$O$1,INDEX($A$3:$A$168,MATCH(837,$I$3:$I$168,0)),IF(837&lt;=$O$1+$O$2,INDEX($F$3:$F$1994,MATCH(837-$O$1,$G$3:$G$1994,0)),"")),"")</x:f>
      </x:c>
      <x:c r="E839" t="str">
        <x:f>IF(K839="","",IF(N839&lt;=M839,"",TRIM(CLEAN(MID(INDEX($B$3:$B$168,K839),M839,N839-M839)))))</x:f>
      </x:c>
      <x:c r="F839" t="str">
        <x:f>IF(E839="","",IF(E839=TRIM(INDEX($A$3:$A$168,K839)),"",IF(RIGHT(TRIM(INDEX($A$3:$A$168,K839)),1)="]",LEFT(TRIM(INDEX($A$3:$A$168,K839)),LEN(TRIM(INDEX($A$3:$A$168,K839)))-1)&amp;", "&amp;SUBSTITUTE(SUBSTITUTE(SUBSTITUTE(E839," [",", "),"[",", "),"]","")&amp;"]",TRIM(INDEX($A$3:$A$168,K839))&amp;" ["&amp;SUBSTITUTE(SUBSTITUTE(SUBSTITUTE(E839," [",", "),"[",", "),"]","")&amp;"]")))</x:f>
      </x:c>
      <x:c r="G839" t="str">
        <x:f>IF(F839&lt;&gt;"",ROWS($F$3:F839)-COUNTBLANK($F$3:F839),"")</x:f>
      </x:c>
      <x:c r="H839"/>
      <x:c r="I839"/>
      <x:c r="J839"/>
      <x:c r="K839" t="str">
        <x:f>IF(ROW()-ROW($K$2)&lt;=SUM($J$3:$J$168),COUNTIF($H$3:$H$168,"&lt;"&amp;(ROW()-ROW($K$2))),"")</x:f>
      </x:c>
      <x:c r="L839" t="str">
        <x:f>IF(K839="","",ROW()-ROW($L$2)-INDEX($H$3:$H$168,K839))</x:f>
      </x:c>
      <x:c r="M839" t="str">
        <x:f>IF(K839="","",IF(L839=1,1,FIND(CHAR(1),SUBSTITUTE(INDEX($B$3:$B$168,K839),CHAR(10),CHAR(1),L839-1))+1))</x:f>
      </x:c>
      <x:c r="N839" t="str">
        <x:f>IF(K839="","",IFERROR(FIND(CHAR(1),SUBSTITUTE(INDEX($B$3:$B$168,K839),CHAR(10),CHAR(1),L839)),LEN(INDEX($B$3:$B$168,K839))+1))</x:f>
      </x:c>
    </x:row>
    <x:row r="840">
      <x:c r="A840"/>
      <x:c r="B840"/>
      <x:c r="C840"/>
      <x:c r="D840" t="str">
        <x:f>IFERROR(IF(838&lt;=$O$1,INDEX($A$3:$A$168,MATCH(838,$I$3:$I$168,0)),IF(838&lt;=$O$1+$O$2,INDEX($F$3:$F$1994,MATCH(838-$O$1,$G$3:$G$1994,0)),"")),"")</x:f>
      </x:c>
      <x:c r="E840" t="str">
        <x:f>IF(K840="","",IF(N840&lt;=M840,"",TRIM(CLEAN(MID(INDEX($B$3:$B$168,K840),M840,N840-M840)))))</x:f>
      </x:c>
      <x:c r="F840" t="str">
        <x:f>IF(E840="","",IF(E840=TRIM(INDEX($A$3:$A$168,K840)),"",IF(RIGHT(TRIM(INDEX($A$3:$A$168,K840)),1)="]",LEFT(TRIM(INDEX($A$3:$A$168,K840)),LEN(TRIM(INDEX($A$3:$A$168,K840)))-1)&amp;", "&amp;SUBSTITUTE(SUBSTITUTE(SUBSTITUTE(E840," [",", "),"[",", "),"]","")&amp;"]",TRIM(INDEX($A$3:$A$168,K840))&amp;" ["&amp;SUBSTITUTE(SUBSTITUTE(SUBSTITUTE(E840," [",", "),"[",", "),"]","")&amp;"]")))</x:f>
      </x:c>
      <x:c r="G840" t="str">
        <x:f>IF(F840&lt;&gt;"",ROWS($F$3:F840)-COUNTBLANK($F$3:F840),"")</x:f>
      </x:c>
      <x:c r="H840"/>
      <x:c r="I840"/>
      <x:c r="J840"/>
      <x:c r="K840" t="str">
        <x:f>IF(ROW()-ROW($K$2)&lt;=SUM($J$3:$J$168),COUNTIF($H$3:$H$168,"&lt;"&amp;(ROW()-ROW($K$2))),"")</x:f>
      </x:c>
      <x:c r="L840" t="str">
        <x:f>IF(K840="","",ROW()-ROW($L$2)-INDEX($H$3:$H$168,K840))</x:f>
      </x:c>
      <x:c r="M840" t="str">
        <x:f>IF(K840="","",IF(L840=1,1,FIND(CHAR(1),SUBSTITUTE(INDEX($B$3:$B$168,K840),CHAR(10),CHAR(1),L840-1))+1))</x:f>
      </x:c>
      <x:c r="N840" t="str">
        <x:f>IF(K840="","",IFERROR(FIND(CHAR(1),SUBSTITUTE(INDEX($B$3:$B$168,K840),CHAR(10),CHAR(1),L840)),LEN(INDEX($B$3:$B$168,K840))+1))</x:f>
      </x:c>
    </x:row>
    <x:row r="841">
      <x:c r="A841"/>
      <x:c r="B841"/>
      <x:c r="C841"/>
      <x:c r="D841" t="str">
        <x:f>IFERROR(IF(839&lt;=$O$1,INDEX($A$3:$A$168,MATCH(839,$I$3:$I$168,0)),IF(839&lt;=$O$1+$O$2,INDEX($F$3:$F$1994,MATCH(839-$O$1,$G$3:$G$1994,0)),"")),"")</x:f>
      </x:c>
      <x:c r="E841" t="str">
        <x:f>IF(K841="","",IF(N841&lt;=M841,"",TRIM(CLEAN(MID(INDEX($B$3:$B$168,K841),M841,N841-M841)))))</x:f>
      </x:c>
      <x:c r="F841" t="str">
        <x:f>IF(E841="","",IF(E841=TRIM(INDEX($A$3:$A$168,K841)),"",IF(RIGHT(TRIM(INDEX($A$3:$A$168,K841)),1)="]",LEFT(TRIM(INDEX($A$3:$A$168,K841)),LEN(TRIM(INDEX($A$3:$A$168,K841)))-1)&amp;", "&amp;SUBSTITUTE(SUBSTITUTE(SUBSTITUTE(E841," [",", "),"[",", "),"]","")&amp;"]",TRIM(INDEX($A$3:$A$168,K841))&amp;" ["&amp;SUBSTITUTE(SUBSTITUTE(SUBSTITUTE(E841," [",", "),"[",", "),"]","")&amp;"]")))</x:f>
      </x:c>
      <x:c r="G841" t="str">
        <x:f>IF(F841&lt;&gt;"",ROWS($F$3:F841)-COUNTBLANK($F$3:F841),"")</x:f>
      </x:c>
      <x:c r="H841"/>
      <x:c r="I841"/>
      <x:c r="J841"/>
      <x:c r="K841" t="str">
        <x:f>IF(ROW()-ROW($K$2)&lt;=SUM($J$3:$J$168),COUNTIF($H$3:$H$168,"&lt;"&amp;(ROW()-ROW($K$2))),"")</x:f>
      </x:c>
      <x:c r="L841" t="str">
        <x:f>IF(K841="","",ROW()-ROW($L$2)-INDEX($H$3:$H$168,K841))</x:f>
      </x:c>
      <x:c r="M841" t="str">
        <x:f>IF(K841="","",IF(L841=1,1,FIND(CHAR(1),SUBSTITUTE(INDEX($B$3:$B$168,K841),CHAR(10),CHAR(1),L841-1))+1))</x:f>
      </x:c>
      <x:c r="N841" t="str">
        <x:f>IF(K841="","",IFERROR(FIND(CHAR(1),SUBSTITUTE(INDEX($B$3:$B$168,K841),CHAR(10),CHAR(1),L841)),LEN(INDEX($B$3:$B$168,K841))+1))</x:f>
      </x:c>
    </x:row>
    <x:row r="842">
      <x:c r="A842"/>
      <x:c r="B842"/>
      <x:c r="C842"/>
      <x:c r="D842" t="str">
        <x:f>IFERROR(IF(840&lt;=$O$1,INDEX($A$3:$A$168,MATCH(840,$I$3:$I$168,0)),IF(840&lt;=$O$1+$O$2,INDEX($F$3:$F$1994,MATCH(840-$O$1,$G$3:$G$1994,0)),"")),"")</x:f>
      </x:c>
      <x:c r="E842" t="str">
        <x:f>IF(K842="","",IF(N842&lt;=M842,"",TRIM(CLEAN(MID(INDEX($B$3:$B$168,K842),M842,N842-M842)))))</x:f>
      </x:c>
      <x:c r="F842" t="str">
        <x:f>IF(E842="","",IF(E842=TRIM(INDEX($A$3:$A$168,K842)),"",IF(RIGHT(TRIM(INDEX($A$3:$A$168,K842)),1)="]",LEFT(TRIM(INDEX($A$3:$A$168,K842)),LEN(TRIM(INDEX($A$3:$A$168,K842)))-1)&amp;", "&amp;SUBSTITUTE(SUBSTITUTE(SUBSTITUTE(E842," [",", "),"[",", "),"]","")&amp;"]",TRIM(INDEX($A$3:$A$168,K842))&amp;" ["&amp;SUBSTITUTE(SUBSTITUTE(SUBSTITUTE(E842," [",", "),"[",", "),"]","")&amp;"]")))</x:f>
      </x:c>
      <x:c r="G842" t="str">
        <x:f>IF(F842&lt;&gt;"",ROWS($F$3:F842)-COUNTBLANK($F$3:F842),"")</x:f>
      </x:c>
      <x:c r="H842"/>
      <x:c r="I842"/>
      <x:c r="J842"/>
      <x:c r="K842" t="str">
        <x:f>IF(ROW()-ROW($K$2)&lt;=SUM($J$3:$J$168),COUNTIF($H$3:$H$168,"&lt;"&amp;(ROW()-ROW($K$2))),"")</x:f>
      </x:c>
      <x:c r="L842" t="str">
        <x:f>IF(K842="","",ROW()-ROW($L$2)-INDEX($H$3:$H$168,K842))</x:f>
      </x:c>
      <x:c r="M842" t="str">
        <x:f>IF(K842="","",IF(L842=1,1,FIND(CHAR(1),SUBSTITUTE(INDEX($B$3:$B$168,K842),CHAR(10),CHAR(1),L842-1))+1))</x:f>
      </x:c>
      <x:c r="N842" t="str">
        <x:f>IF(K842="","",IFERROR(FIND(CHAR(1),SUBSTITUTE(INDEX($B$3:$B$168,K842),CHAR(10),CHAR(1),L842)),LEN(INDEX($B$3:$B$168,K842))+1))</x:f>
      </x:c>
    </x:row>
    <x:row r="843">
      <x:c r="A843"/>
      <x:c r="B843"/>
      <x:c r="C843"/>
      <x:c r="D843" t="str">
        <x:f>IFERROR(IF(841&lt;=$O$1,INDEX($A$3:$A$168,MATCH(841,$I$3:$I$168,0)),IF(841&lt;=$O$1+$O$2,INDEX($F$3:$F$1994,MATCH(841-$O$1,$G$3:$G$1994,0)),"")),"")</x:f>
      </x:c>
      <x:c r="E843" t="str">
        <x:f>IF(K843="","",IF(N843&lt;=M843,"",TRIM(CLEAN(MID(INDEX($B$3:$B$168,K843),M843,N843-M843)))))</x:f>
      </x:c>
      <x:c r="F843" t="str">
        <x:f>IF(E843="","",IF(E843=TRIM(INDEX($A$3:$A$168,K843)),"",IF(RIGHT(TRIM(INDEX($A$3:$A$168,K843)),1)="]",LEFT(TRIM(INDEX($A$3:$A$168,K843)),LEN(TRIM(INDEX($A$3:$A$168,K843)))-1)&amp;", "&amp;SUBSTITUTE(SUBSTITUTE(SUBSTITUTE(E843," [",", "),"[",", "),"]","")&amp;"]",TRIM(INDEX($A$3:$A$168,K843))&amp;" ["&amp;SUBSTITUTE(SUBSTITUTE(SUBSTITUTE(E843," [",", "),"[",", "),"]","")&amp;"]")))</x:f>
      </x:c>
      <x:c r="G843" t="str">
        <x:f>IF(F843&lt;&gt;"",ROWS($F$3:F843)-COUNTBLANK($F$3:F843),"")</x:f>
      </x:c>
      <x:c r="H843"/>
      <x:c r="I843"/>
      <x:c r="J843"/>
      <x:c r="K843" t="str">
        <x:f>IF(ROW()-ROW($K$2)&lt;=SUM($J$3:$J$168),COUNTIF($H$3:$H$168,"&lt;"&amp;(ROW()-ROW($K$2))),"")</x:f>
      </x:c>
      <x:c r="L843" t="str">
        <x:f>IF(K843="","",ROW()-ROW($L$2)-INDEX($H$3:$H$168,K843))</x:f>
      </x:c>
      <x:c r="M843" t="str">
        <x:f>IF(K843="","",IF(L843=1,1,FIND(CHAR(1),SUBSTITUTE(INDEX($B$3:$B$168,K843),CHAR(10),CHAR(1),L843-1))+1))</x:f>
      </x:c>
      <x:c r="N843" t="str">
        <x:f>IF(K843="","",IFERROR(FIND(CHAR(1),SUBSTITUTE(INDEX($B$3:$B$168,K843),CHAR(10),CHAR(1),L843)),LEN(INDEX($B$3:$B$168,K843))+1))</x:f>
      </x:c>
    </x:row>
    <x:row r="844">
      <x:c r="A844"/>
      <x:c r="B844"/>
      <x:c r="C844"/>
      <x:c r="D844" t="str">
        <x:f>IFERROR(IF(842&lt;=$O$1,INDEX($A$3:$A$168,MATCH(842,$I$3:$I$168,0)),IF(842&lt;=$O$1+$O$2,INDEX($F$3:$F$1994,MATCH(842-$O$1,$G$3:$G$1994,0)),"")),"")</x:f>
      </x:c>
      <x:c r="E844" t="str">
        <x:f>IF(K844="","",IF(N844&lt;=M844,"",TRIM(CLEAN(MID(INDEX($B$3:$B$168,K844),M844,N844-M844)))))</x:f>
      </x:c>
      <x:c r="F844" t="str">
        <x:f>IF(E844="","",IF(E844=TRIM(INDEX($A$3:$A$168,K844)),"",IF(RIGHT(TRIM(INDEX($A$3:$A$168,K844)),1)="]",LEFT(TRIM(INDEX($A$3:$A$168,K844)),LEN(TRIM(INDEX($A$3:$A$168,K844)))-1)&amp;", "&amp;SUBSTITUTE(SUBSTITUTE(SUBSTITUTE(E844," [",", "),"[",", "),"]","")&amp;"]",TRIM(INDEX($A$3:$A$168,K844))&amp;" ["&amp;SUBSTITUTE(SUBSTITUTE(SUBSTITUTE(E844," [",", "),"[",", "),"]","")&amp;"]")))</x:f>
      </x:c>
      <x:c r="G844" t="str">
        <x:f>IF(F844&lt;&gt;"",ROWS($F$3:F844)-COUNTBLANK($F$3:F844),"")</x:f>
      </x:c>
      <x:c r="H844"/>
      <x:c r="I844"/>
      <x:c r="J844"/>
      <x:c r="K844" t="str">
        <x:f>IF(ROW()-ROW($K$2)&lt;=SUM($J$3:$J$168),COUNTIF($H$3:$H$168,"&lt;"&amp;(ROW()-ROW($K$2))),"")</x:f>
      </x:c>
      <x:c r="L844" t="str">
        <x:f>IF(K844="","",ROW()-ROW($L$2)-INDEX($H$3:$H$168,K844))</x:f>
      </x:c>
      <x:c r="M844" t="str">
        <x:f>IF(K844="","",IF(L844=1,1,FIND(CHAR(1),SUBSTITUTE(INDEX($B$3:$B$168,K844),CHAR(10),CHAR(1),L844-1))+1))</x:f>
      </x:c>
      <x:c r="N844" t="str">
        <x:f>IF(K844="","",IFERROR(FIND(CHAR(1),SUBSTITUTE(INDEX($B$3:$B$168,K844),CHAR(10),CHAR(1),L844)),LEN(INDEX($B$3:$B$168,K844))+1))</x:f>
      </x:c>
    </x:row>
    <x:row r="845">
      <x:c r="A845"/>
      <x:c r="B845"/>
      <x:c r="C845"/>
      <x:c r="D845" t="str">
        <x:f>IFERROR(IF(843&lt;=$O$1,INDEX($A$3:$A$168,MATCH(843,$I$3:$I$168,0)),IF(843&lt;=$O$1+$O$2,INDEX($F$3:$F$1994,MATCH(843-$O$1,$G$3:$G$1994,0)),"")),"")</x:f>
      </x:c>
      <x:c r="E845" t="str">
        <x:f>IF(K845="","",IF(N845&lt;=M845,"",TRIM(CLEAN(MID(INDEX($B$3:$B$168,K845),M845,N845-M845)))))</x:f>
      </x:c>
      <x:c r="F845" t="str">
        <x:f>IF(E845="","",IF(E845=TRIM(INDEX($A$3:$A$168,K845)),"",IF(RIGHT(TRIM(INDEX($A$3:$A$168,K845)),1)="]",LEFT(TRIM(INDEX($A$3:$A$168,K845)),LEN(TRIM(INDEX($A$3:$A$168,K845)))-1)&amp;", "&amp;SUBSTITUTE(SUBSTITUTE(SUBSTITUTE(E845," [",", "),"[",", "),"]","")&amp;"]",TRIM(INDEX($A$3:$A$168,K845))&amp;" ["&amp;SUBSTITUTE(SUBSTITUTE(SUBSTITUTE(E845," [",", "),"[",", "),"]","")&amp;"]")))</x:f>
      </x:c>
      <x:c r="G845" t="str">
        <x:f>IF(F845&lt;&gt;"",ROWS($F$3:F845)-COUNTBLANK($F$3:F845),"")</x:f>
      </x:c>
      <x:c r="H845"/>
      <x:c r="I845"/>
      <x:c r="J845"/>
      <x:c r="K845" t="str">
        <x:f>IF(ROW()-ROW($K$2)&lt;=SUM($J$3:$J$168),COUNTIF($H$3:$H$168,"&lt;"&amp;(ROW()-ROW($K$2))),"")</x:f>
      </x:c>
      <x:c r="L845" t="str">
        <x:f>IF(K845="","",ROW()-ROW($L$2)-INDEX($H$3:$H$168,K845))</x:f>
      </x:c>
      <x:c r="M845" t="str">
        <x:f>IF(K845="","",IF(L845=1,1,FIND(CHAR(1),SUBSTITUTE(INDEX($B$3:$B$168,K845),CHAR(10),CHAR(1),L845-1))+1))</x:f>
      </x:c>
      <x:c r="N845" t="str">
        <x:f>IF(K845="","",IFERROR(FIND(CHAR(1),SUBSTITUTE(INDEX($B$3:$B$168,K845),CHAR(10),CHAR(1),L845)),LEN(INDEX($B$3:$B$168,K845))+1))</x:f>
      </x:c>
    </x:row>
    <x:row r="846">
      <x:c r="A846"/>
      <x:c r="B846"/>
      <x:c r="C846"/>
      <x:c r="D846" t="str">
        <x:f>IFERROR(IF(844&lt;=$O$1,INDEX($A$3:$A$168,MATCH(844,$I$3:$I$168,0)),IF(844&lt;=$O$1+$O$2,INDEX($F$3:$F$1994,MATCH(844-$O$1,$G$3:$G$1994,0)),"")),"")</x:f>
      </x:c>
      <x:c r="E846" t="str">
        <x:f>IF(K846="","",IF(N846&lt;=M846,"",TRIM(CLEAN(MID(INDEX($B$3:$B$168,K846),M846,N846-M846)))))</x:f>
      </x:c>
      <x:c r="F846" t="str">
        <x:f>IF(E846="","",IF(E846=TRIM(INDEX($A$3:$A$168,K846)),"",IF(RIGHT(TRIM(INDEX($A$3:$A$168,K846)),1)="]",LEFT(TRIM(INDEX($A$3:$A$168,K846)),LEN(TRIM(INDEX($A$3:$A$168,K846)))-1)&amp;", "&amp;SUBSTITUTE(SUBSTITUTE(SUBSTITUTE(E846," [",", "),"[",", "),"]","")&amp;"]",TRIM(INDEX($A$3:$A$168,K846))&amp;" ["&amp;SUBSTITUTE(SUBSTITUTE(SUBSTITUTE(E846," [",", "),"[",", "),"]","")&amp;"]")))</x:f>
      </x:c>
      <x:c r="G846" t="str">
        <x:f>IF(F846&lt;&gt;"",ROWS($F$3:F846)-COUNTBLANK($F$3:F846),"")</x:f>
      </x:c>
      <x:c r="H846"/>
      <x:c r="I846"/>
      <x:c r="J846"/>
      <x:c r="K846" t="str">
        <x:f>IF(ROW()-ROW($K$2)&lt;=SUM($J$3:$J$168),COUNTIF($H$3:$H$168,"&lt;"&amp;(ROW()-ROW($K$2))),"")</x:f>
      </x:c>
      <x:c r="L846" t="str">
        <x:f>IF(K846="","",ROW()-ROW($L$2)-INDEX($H$3:$H$168,K846))</x:f>
      </x:c>
      <x:c r="M846" t="str">
        <x:f>IF(K846="","",IF(L846=1,1,FIND(CHAR(1),SUBSTITUTE(INDEX($B$3:$B$168,K846),CHAR(10),CHAR(1),L846-1))+1))</x:f>
      </x:c>
      <x:c r="N846" t="str">
        <x:f>IF(K846="","",IFERROR(FIND(CHAR(1),SUBSTITUTE(INDEX($B$3:$B$168,K846),CHAR(10),CHAR(1),L846)),LEN(INDEX($B$3:$B$168,K846))+1))</x:f>
      </x:c>
    </x:row>
    <x:row r="847">
      <x:c r="A847"/>
      <x:c r="B847"/>
      <x:c r="C847"/>
      <x:c r="D847" t="str">
        <x:f>IFERROR(IF(845&lt;=$O$1,INDEX($A$3:$A$168,MATCH(845,$I$3:$I$168,0)),IF(845&lt;=$O$1+$O$2,INDEX($F$3:$F$1994,MATCH(845-$O$1,$G$3:$G$1994,0)),"")),"")</x:f>
      </x:c>
      <x:c r="E847" t="str">
        <x:f>IF(K847="","",IF(N847&lt;=M847,"",TRIM(CLEAN(MID(INDEX($B$3:$B$168,K847),M847,N847-M847)))))</x:f>
      </x:c>
      <x:c r="F847" t="str">
        <x:f>IF(E847="","",IF(E847=TRIM(INDEX($A$3:$A$168,K847)),"",IF(RIGHT(TRIM(INDEX($A$3:$A$168,K847)),1)="]",LEFT(TRIM(INDEX($A$3:$A$168,K847)),LEN(TRIM(INDEX($A$3:$A$168,K847)))-1)&amp;", "&amp;SUBSTITUTE(SUBSTITUTE(SUBSTITUTE(E847," [",", "),"[",", "),"]","")&amp;"]",TRIM(INDEX($A$3:$A$168,K847))&amp;" ["&amp;SUBSTITUTE(SUBSTITUTE(SUBSTITUTE(E847," [",", "),"[",", "),"]","")&amp;"]")))</x:f>
      </x:c>
      <x:c r="G847" t="str">
        <x:f>IF(F847&lt;&gt;"",ROWS($F$3:F847)-COUNTBLANK($F$3:F847),"")</x:f>
      </x:c>
      <x:c r="H847"/>
      <x:c r="I847"/>
      <x:c r="J847"/>
      <x:c r="K847" t="str">
        <x:f>IF(ROW()-ROW($K$2)&lt;=SUM($J$3:$J$168),COUNTIF($H$3:$H$168,"&lt;"&amp;(ROW()-ROW($K$2))),"")</x:f>
      </x:c>
      <x:c r="L847" t="str">
        <x:f>IF(K847="","",ROW()-ROW($L$2)-INDEX($H$3:$H$168,K847))</x:f>
      </x:c>
      <x:c r="M847" t="str">
        <x:f>IF(K847="","",IF(L847=1,1,FIND(CHAR(1),SUBSTITUTE(INDEX($B$3:$B$168,K847),CHAR(10),CHAR(1),L847-1))+1))</x:f>
      </x:c>
      <x:c r="N847" t="str">
        <x:f>IF(K847="","",IFERROR(FIND(CHAR(1),SUBSTITUTE(INDEX($B$3:$B$168,K847),CHAR(10),CHAR(1),L847)),LEN(INDEX($B$3:$B$168,K847))+1))</x:f>
      </x:c>
    </x:row>
    <x:row r="848">
      <x:c r="A848"/>
      <x:c r="B848"/>
      <x:c r="C848"/>
      <x:c r="D848" t="str">
        <x:f>IFERROR(IF(846&lt;=$O$1,INDEX($A$3:$A$168,MATCH(846,$I$3:$I$168,0)),IF(846&lt;=$O$1+$O$2,INDEX($F$3:$F$1994,MATCH(846-$O$1,$G$3:$G$1994,0)),"")),"")</x:f>
      </x:c>
      <x:c r="E848" t="str">
        <x:f>IF(K848="","",IF(N848&lt;=M848,"",TRIM(CLEAN(MID(INDEX($B$3:$B$168,K848),M848,N848-M848)))))</x:f>
      </x:c>
      <x:c r="F848" t="str">
        <x:f>IF(E848="","",IF(E848=TRIM(INDEX($A$3:$A$168,K848)),"",IF(RIGHT(TRIM(INDEX($A$3:$A$168,K848)),1)="]",LEFT(TRIM(INDEX($A$3:$A$168,K848)),LEN(TRIM(INDEX($A$3:$A$168,K848)))-1)&amp;", "&amp;SUBSTITUTE(SUBSTITUTE(SUBSTITUTE(E848," [",", "),"[",", "),"]","")&amp;"]",TRIM(INDEX($A$3:$A$168,K848))&amp;" ["&amp;SUBSTITUTE(SUBSTITUTE(SUBSTITUTE(E848," [",", "),"[",", "),"]","")&amp;"]")))</x:f>
      </x:c>
      <x:c r="G848" t="str">
        <x:f>IF(F848&lt;&gt;"",ROWS($F$3:F848)-COUNTBLANK($F$3:F848),"")</x:f>
      </x:c>
      <x:c r="H848"/>
      <x:c r="I848"/>
      <x:c r="J848"/>
      <x:c r="K848" t="str">
        <x:f>IF(ROW()-ROW($K$2)&lt;=SUM($J$3:$J$168),COUNTIF($H$3:$H$168,"&lt;"&amp;(ROW()-ROW($K$2))),"")</x:f>
      </x:c>
      <x:c r="L848" t="str">
        <x:f>IF(K848="","",ROW()-ROW($L$2)-INDEX($H$3:$H$168,K848))</x:f>
      </x:c>
      <x:c r="M848" t="str">
        <x:f>IF(K848="","",IF(L848=1,1,FIND(CHAR(1),SUBSTITUTE(INDEX($B$3:$B$168,K848),CHAR(10),CHAR(1),L848-1))+1))</x:f>
      </x:c>
      <x:c r="N848" t="str">
        <x:f>IF(K848="","",IFERROR(FIND(CHAR(1),SUBSTITUTE(INDEX($B$3:$B$168,K848),CHAR(10),CHAR(1),L848)),LEN(INDEX($B$3:$B$168,K848))+1))</x:f>
      </x:c>
    </x:row>
    <x:row r="849">
      <x:c r="A849"/>
      <x:c r="B849"/>
      <x:c r="C849"/>
      <x:c r="D849" t="str">
        <x:f>IFERROR(IF(847&lt;=$O$1,INDEX($A$3:$A$168,MATCH(847,$I$3:$I$168,0)),IF(847&lt;=$O$1+$O$2,INDEX($F$3:$F$1994,MATCH(847-$O$1,$G$3:$G$1994,0)),"")),"")</x:f>
      </x:c>
      <x:c r="E849" t="str">
        <x:f>IF(K849="","",IF(N849&lt;=M849,"",TRIM(CLEAN(MID(INDEX($B$3:$B$168,K849),M849,N849-M849)))))</x:f>
      </x:c>
      <x:c r="F849" t="str">
        <x:f>IF(E849="","",IF(E849=TRIM(INDEX($A$3:$A$168,K849)),"",IF(RIGHT(TRIM(INDEX($A$3:$A$168,K849)),1)="]",LEFT(TRIM(INDEX($A$3:$A$168,K849)),LEN(TRIM(INDEX($A$3:$A$168,K849)))-1)&amp;", "&amp;SUBSTITUTE(SUBSTITUTE(SUBSTITUTE(E849," [",", "),"[",", "),"]","")&amp;"]",TRIM(INDEX($A$3:$A$168,K849))&amp;" ["&amp;SUBSTITUTE(SUBSTITUTE(SUBSTITUTE(E849," [",", "),"[",", "),"]","")&amp;"]")))</x:f>
      </x:c>
      <x:c r="G849" t="str">
        <x:f>IF(F849&lt;&gt;"",ROWS($F$3:F849)-COUNTBLANK($F$3:F849),"")</x:f>
      </x:c>
      <x:c r="H849"/>
      <x:c r="I849"/>
      <x:c r="J849"/>
      <x:c r="K849" t="str">
        <x:f>IF(ROW()-ROW($K$2)&lt;=SUM($J$3:$J$168),COUNTIF($H$3:$H$168,"&lt;"&amp;(ROW()-ROW($K$2))),"")</x:f>
      </x:c>
      <x:c r="L849" t="str">
        <x:f>IF(K849="","",ROW()-ROW($L$2)-INDEX($H$3:$H$168,K849))</x:f>
      </x:c>
      <x:c r="M849" t="str">
        <x:f>IF(K849="","",IF(L849=1,1,FIND(CHAR(1),SUBSTITUTE(INDEX($B$3:$B$168,K849),CHAR(10),CHAR(1),L849-1))+1))</x:f>
      </x:c>
      <x:c r="N849" t="str">
        <x:f>IF(K849="","",IFERROR(FIND(CHAR(1),SUBSTITUTE(INDEX($B$3:$B$168,K849),CHAR(10),CHAR(1),L849)),LEN(INDEX($B$3:$B$168,K849))+1))</x:f>
      </x:c>
    </x:row>
    <x:row r="850">
      <x:c r="A850"/>
      <x:c r="B850"/>
      <x:c r="C850"/>
      <x:c r="D850" t="str">
        <x:f>IFERROR(IF(848&lt;=$O$1,INDEX($A$3:$A$168,MATCH(848,$I$3:$I$168,0)),IF(848&lt;=$O$1+$O$2,INDEX($F$3:$F$1994,MATCH(848-$O$1,$G$3:$G$1994,0)),"")),"")</x:f>
      </x:c>
      <x:c r="E850" t="str">
        <x:f>IF(K850="","",IF(N850&lt;=M850,"",TRIM(CLEAN(MID(INDEX($B$3:$B$168,K850),M850,N850-M850)))))</x:f>
      </x:c>
      <x:c r="F850" t="str">
        <x:f>IF(E850="","",IF(E850=TRIM(INDEX($A$3:$A$168,K850)),"",IF(RIGHT(TRIM(INDEX($A$3:$A$168,K850)),1)="]",LEFT(TRIM(INDEX($A$3:$A$168,K850)),LEN(TRIM(INDEX($A$3:$A$168,K850)))-1)&amp;", "&amp;SUBSTITUTE(SUBSTITUTE(SUBSTITUTE(E850," [",", "),"[",", "),"]","")&amp;"]",TRIM(INDEX($A$3:$A$168,K850))&amp;" ["&amp;SUBSTITUTE(SUBSTITUTE(SUBSTITUTE(E850," [",", "),"[",", "),"]","")&amp;"]")))</x:f>
      </x:c>
      <x:c r="G850" t="str">
        <x:f>IF(F850&lt;&gt;"",ROWS($F$3:F850)-COUNTBLANK($F$3:F850),"")</x:f>
      </x:c>
      <x:c r="H850"/>
      <x:c r="I850"/>
      <x:c r="J850"/>
      <x:c r="K850" t="str">
        <x:f>IF(ROW()-ROW($K$2)&lt;=SUM($J$3:$J$168),COUNTIF($H$3:$H$168,"&lt;"&amp;(ROW()-ROW($K$2))),"")</x:f>
      </x:c>
      <x:c r="L850" t="str">
        <x:f>IF(K850="","",ROW()-ROW($L$2)-INDEX($H$3:$H$168,K850))</x:f>
      </x:c>
      <x:c r="M850" t="str">
        <x:f>IF(K850="","",IF(L850=1,1,FIND(CHAR(1),SUBSTITUTE(INDEX($B$3:$B$168,K850),CHAR(10),CHAR(1),L850-1))+1))</x:f>
      </x:c>
      <x:c r="N850" t="str">
        <x:f>IF(K850="","",IFERROR(FIND(CHAR(1),SUBSTITUTE(INDEX($B$3:$B$168,K850),CHAR(10),CHAR(1),L850)),LEN(INDEX($B$3:$B$168,K850))+1))</x:f>
      </x:c>
    </x:row>
    <x:row r="851">
      <x:c r="A851"/>
      <x:c r="B851"/>
      <x:c r="C851"/>
      <x:c r="D851" t="str">
        <x:f>IFERROR(IF(849&lt;=$O$1,INDEX($A$3:$A$168,MATCH(849,$I$3:$I$168,0)),IF(849&lt;=$O$1+$O$2,INDEX($F$3:$F$1994,MATCH(849-$O$1,$G$3:$G$1994,0)),"")),"")</x:f>
      </x:c>
      <x:c r="E851" t="str">
        <x:f>IF(K851="","",IF(N851&lt;=M851,"",TRIM(CLEAN(MID(INDEX($B$3:$B$168,K851),M851,N851-M851)))))</x:f>
      </x:c>
      <x:c r="F851" t="str">
        <x:f>IF(E851="","",IF(E851=TRIM(INDEX($A$3:$A$168,K851)),"",IF(RIGHT(TRIM(INDEX($A$3:$A$168,K851)),1)="]",LEFT(TRIM(INDEX($A$3:$A$168,K851)),LEN(TRIM(INDEX($A$3:$A$168,K851)))-1)&amp;", "&amp;SUBSTITUTE(SUBSTITUTE(SUBSTITUTE(E851," [",", "),"[",", "),"]","")&amp;"]",TRIM(INDEX($A$3:$A$168,K851))&amp;" ["&amp;SUBSTITUTE(SUBSTITUTE(SUBSTITUTE(E851," [",", "),"[",", "),"]","")&amp;"]")))</x:f>
      </x:c>
      <x:c r="G851" t="str">
        <x:f>IF(F851&lt;&gt;"",ROWS($F$3:F851)-COUNTBLANK($F$3:F851),"")</x:f>
      </x:c>
      <x:c r="H851"/>
      <x:c r="I851"/>
      <x:c r="J851"/>
      <x:c r="K851" t="str">
        <x:f>IF(ROW()-ROW($K$2)&lt;=SUM($J$3:$J$168),COUNTIF($H$3:$H$168,"&lt;"&amp;(ROW()-ROW($K$2))),"")</x:f>
      </x:c>
      <x:c r="L851" t="str">
        <x:f>IF(K851="","",ROW()-ROW($L$2)-INDEX($H$3:$H$168,K851))</x:f>
      </x:c>
      <x:c r="M851" t="str">
        <x:f>IF(K851="","",IF(L851=1,1,FIND(CHAR(1),SUBSTITUTE(INDEX($B$3:$B$168,K851),CHAR(10),CHAR(1),L851-1))+1))</x:f>
      </x:c>
      <x:c r="N851" t="str">
        <x:f>IF(K851="","",IFERROR(FIND(CHAR(1),SUBSTITUTE(INDEX($B$3:$B$168,K851),CHAR(10),CHAR(1),L851)),LEN(INDEX($B$3:$B$168,K851))+1))</x:f>
      </x:c>
    </x:row>
    <x:row r="852">
      <x:c r="A852"/>
      <x:c r="B852"/>
      <x:c r="C852"/>
      <x:c r="D852" t="str">
        <x:f>IFERROR(IF(850&lt;=$O$1,INDEX($A$3:$A$168,MATCH(850,$I$3:$I$168,0)),IF(850&lt;=$O$1+$O$2,INDEX($F$3:$F$1994,MATCH(850-$O$1,$G$3:$G$1994,0)),"")),"")</x:f>
      </x:c>
      <x:c r="E852" t="str">
        <x:f>IF(K852="","",IF(N852&lt;=M852,"",TRIM(CLEAN(MID(INDEX($B$3:$B$168,K852),M852,N852-M852)))))</x:f>
      </x:c>
      <x:c r="F852" t="str">
        <x:f>IF(E852="","",IF(E852=TRIM(INDEX($A$3:$A$168,K852)),"",IF(RIGHT(TRIM(INDEX($A$3:$A$168,K852)),1)="]",LEFT(TRIM(INDEX($A$3:$A$168,K852)),LEN(TRIM(INDEX($A$3:$A$168,K852)))-1)&amp;", "&amp;SUBSTITUTE(SUBSTITUTE(SUBSTITUTE(E852," [",", "),"[",", "),"]","")&amp;"]",TRIM(INDEX($A$3:$A$168,K852))&amp;" ["&amp;SUBSTITUTE(SUBSTITUTE(SUBSTITUTE(E852," [",", "),"[",", "),"]","")&amp;"]")))</x:f>
      </x:c>
      <x:c r="G852" t="str">
        <x:f>IF(F852&lt;&gt;"",ROWS($F$3:F852)-COUNTBLANK($F$3:F852),"")</x:f>
      </x:c>
      <x:c r="H852"/>
      <x:c r="I852"/>
      <x:c r="J852"/>
      <x:c r="K852" t="str">
        <x:f>IF(ROW()-ROW($K$2)&lt;=SUM($J$3:$J$168),COUNTIF($H$3:$H$168,"&lt;"&amp;(ROW()-ROW($K$2))),"")</x:f>
      </x:c>
      <x:c r="L852" t="str">
        <x:f>IF(K852="","",ROW()-ROW($L$2)-INDEX($H$3:$H$168,K852))</x:f>
      </x:c>
      <x:c r="M852" t="str">
        <x:f>IF(K852="","",IF(L852=1,1,FIND(CHAR(1),SUBSTITUTE(INDEX($B$3:$B$168,K852),CHAR(10),CHAR(1),L852-1))+1))</x:f>
      </x:c>
      <x:c r="N852" t="str">
        <x:f>IF(K852="","",IFERROR(FIND(CHAR(1),SUBSTITUTE(INDEX($B$3:$B$168,K852),CHAR(10),CHAR(1),L852)),LEN(INDEX($B$3:$B$168,K852))+1))</x:f>
      </x:c>
    </x:row>
    <x:row r="853">
      <x:c r="A853"/>
      <x:c r="B853"/>
      <x:c r="C853"/>
      <x:c r="D853" t="str">
        <x:f>IFERROR(IF(851&lt;=$O$1,INDEX($A$3:$A$168,MATCH(851,$I$3:$I$168,0)),IF(851&lt;=$O$1+$O$2,INDEX($F$3:$F$1994,MATCH(851-$O$1,$G$3:$G$1994,0)),"")),"")</x:f>
      </x:c>
      <x:c r="E853" t="str">
        <x:f>IF(K853="","",IF(N853&lt;=M853,"",TRIM(CLEAN(MID(INDEX($B$3:$B$168,K853),M853,N853-M853)))))</x:f>
      </x:c>
      <x:c r="F853" t="str">
        <x:f>IF(E853="","",IF(E853=TRIM(INDEX($A$3:$A$168,K853)),"",IF(RIGHT(TRIM(INDEX($A$3:$A$168,K853)),1)="]",LEFT(TRIM(INDEX($A$3:$A$168,K853)),LEN(TRIM(INDEX($A$3:$A$168,K853)))-1)&amp;", "&amp;SUBSTITUTE(SUBSTITUTE(SUBSTITUTE(E853," [",", "),"[",", "),"]","")&amp;"]",TRIM(INDEX($A$3:$A$168,K853))&amp;" ["&amp;SUBSTITUTE(SUBSTITUTE(SUBSTITUTE(E853," [",", "),"[",", "),"]","")&amp;"]")))</x:f>
      </x:c>
      <x:c r="G853" t="str">
        <x:f>IF(F853&lt;&gt;"",ROWS($F$3:F853)-COUNTBLANK($F$3:F853),"")</x:f>
      </x:c>
      <x:c r="H853"/>
      <x:c r="I853"/>
      <x:c r="J853"/>
      <x:c r="K853" t="str">
        <x:f>IF(ROW()-ROW($K$2)&lt;=SUM($J$3:$J$168),COUNTIF($H$3:$H$168,"&lt;"&amp;(ROW()-ROW($K$2))),"")</x:f>
      </x:c>
      <x:c r="L853" t="str">
        <x:f>IF(K853="","",ROW()-ROW($L$2)-INDEX($H$3:$H$168,K853))</x:f>
      </x:c>
      <x:c r="M853" t="str">
        <x:f>IF(K853="","",IF(L853=1,1,FIND(CHAR(1),SUBSTITUTE(INDEX($B$3:$B$168,K853),CHAR(10),CHAR(1),L853-1))+1))</x:f>
      </x:c>
      <x:c r="N853" t="str">
        <x:f>IF(K853="","",IFERROR(FIND(CHAR(1),SUBSTITUTE(INDEX($B$3:$B$168,K853),CHAR(10),CHAR(1),L853)),LEN(INDEX($B$3:$B$168,K853))+1))</x:f>
      </x:c>
    </x:row>
    <x:row r="854">
      <x:c r="A854"/>
      <x:c r="B854"/>
      <x:c r="C854"/>
      <x:c r="D854" t="str">
        <x:f>IFERROR(IF(852&lt;=$O$1,INDEX($A$3:$A$168,MATCH(852,$I$3:$I$168,0)),IF(852&lt;=$O$1+$O$2,INDEX($F$3:$F$1994,MATCH(852-$O$1,$G$3:$G$1994,0)),"")),"")</x:f>
      </x:c>
      <x:c r="E854" t="str">
        <x:f>IF(K854="","",IF(N854&lt;=M854,"",TRIM(CLEAN(MID(INDEX($B$3:$B$168,K854),M854,N854-M854)))))</x:f>
      </x:c>
      <x:c r="F854" t="str">
        <x:f>IF(E854="","",IF(E854=TRIM(INDEX($A$3:$A$168,K854)),"",IF(RIGHT(TRIM(INDEX($A$3:$A$168,K854)),1)="]",LEFT(TRIM(INDEX($A$3:$A$168,K854)),LEN(TRIM(INDEX($A$3:$A$168,K854)))-1)&amp;", "&amp;SUBSTITUTE(SUBSTITUTE(SUBSTITUTE(E854," [",", "),"[",", "),"]","")&amp;"]",TRIM(INDEX($A$3:$A$168,K854))&amp;" ["&amp;SUBSTITUTE(SUBSTITUTE(SUBSTITUTE(E854," [",", "),"[",", "),"]","")&amp;"]")))</x:f>
      </x:c>
      <x:c r="G854" t="str">
        <x:f>IF(F854&lt;&gt;"",ROWS($F$3:F854)-COUNTBLANK($F$3:F854),"")</x:f>
      </x:c>
      <x:c r="H854"/>
      <x:c r="I854"/>
      <x:c r="J854"/>
      <x:c r="K854" t="str">
        <x:f>IF(ROW()-ROW($K$2)&lt;=SUM($J$3:$J$168),COUNTIF($H$3:$H$168,"&lt;"&amp;(ROW()-ROW($K$2))),"")</x:f>
      </x:c>
      <x:c r="L854" t="str">
        <x:f>IF(K854="","",ROW()-ROW($L$2)-INDEX($H$3:$H$168,K854))</x:f>
      </x:c>
      <x:c r="M854" t="str">
        <x:f>IF(K854="","",IF(L854=1,1,FIND(CHAR(1),SUBSTITUTE(INDEX($B$3:$B$168,K854),CHAR(10),CHAR(1),L854-1))+1))</x:f>
      </x:c>
      <x:c r="N854" t="str">
        <x:f>IF(K854="","",IFERROR(FIND(CHAR(1),SUBSTITUTE(INDEX($B$3:$B$168,K854),CHAR(10),CHAR(1),L854)),LEN(INDEX($B$3:$B$168,K854))+1))</x:f>
      </x:c>
    </x:row>
    <x:row r="855">
      <x:c r="A855"/>
      <x:c r="B855"/>
      <x:c r="C855"/>
      <x:c r="D855" t="str">
        <x:f>IFERROR(IF(853&lt;=$O$1,INDEX($A$3:$A$168,MATCH(853,$I$3:$I$168,0)),IF(853&lt;=$O$1+$O$2,INDEX($F$3:$F$1994,MATCH(853-$O$1,$G$3:$G$1994,0)),"")),"")</x:f>
      </x:c>
      <x:c r="E855" t="str">
        <x:f>IF(K855="","",IF(N855&lt;=M855,"",TRIM(CLEAN(MID(INDEX($B$3:$B$168,K855),M855,N855-M855)))))</x:f>
      </x:c>
      <x:c r="F855" t="str">
        <x:f>IF(E855="","",IF(E855=TRIM(INDEX($A$3:$A$168,K855)),"",IF(RIGHT(TRIM(INDEX($A$3:$A$168,K855)),1)="]",LEFT(TRIM(INDEX($A$3:$A$168,K855)),LEN(TRIM(INDEX($A$3:$A$168,K855)))-1)&amp;", "&amp;SUBSTITUTE(SUBSTITUTE(SUBSTITUTE(E855," [",", "),"[",", "),"]","")&amp;"]",TRIM(INDEX($A$3:$A$168,K855))&amp;" ["&amp;SUBSTITUTE(SUBSTITUTE(SUBSTITUTE(E855," [",", "),"[",", "),"]","")&amp;"]")))</x:f>
      </x:c>
      <x:c r="G855" t="str">
        <x:f>IF(F855&lt;&gt;"",ROWS($F$3:F855)-COUNTBLANK($F$3:F855),"")</x:f>
      </x:c>
      <x:c r="H855"/>
      <x:c r="I855"/>
      <x:c r="J855"/>
      <x:c r="K855" t="str">
        <x:f>IF(ROW()-ROW($K$2)&lt;=SUM($J$3:$J$168),COUNTIF($H$3:$H$168,"&lt;"&amp;(ROW()-ROW($K$2))),"")</x:f>
      </x:c>
      <x:c r="L855" t="str">
        <x:f>IF(K855="","",ROW()-ROW($L$2)-INDEX($H$3:$H$168,K855))</x:f>
      </x:c>
      <x:c r="M855" t="str">
        <x:f>IF(K855="","",IF(L855=1,1,FIND(CHAR(1),SUBSTITUTE(INDEX($B$3:$B$168,K855),CHAR(10),CHAR(1),L855-1))+1))</x:f>
      </x:c>
      <x:c r="N855" t="str">
        <x:f>IF(K855="","",IFERROR(FIND(CHAR(1),SUBSTITUTE(INDEX($B$3:$B$168,K855),CHAR(10),CHAR(1),L855)),LEN(INDEX($B$3:$B$168,K855))+1))</x:f>
      </x:c>
    </x:row>
    <x:row r="856">
      <x:c r="A856"/>
      <x:c r="B856"/>
      <x:c r="C856"/>
      <x:c r="D856" t="str">
        <x:f>IFERROR(IF(854&lt;=$O$1,INDEX($A$3:$A$168,MATCH(854,$I$3:$I$168,0)),IF(854&lt;=$O$1+$O$2,INDEX($F$3:$F$1994,MATCH(854-$O$1,$G$3:$G$1994,0)),"")),"")</x:f>
      </x:c>
      <x:c r="E856" t="str">
        <x:f>IF(K856="","",IF(N856&lt;=M856,"",TRIM(CLEAN(MID(INDEX($B$3:$B$168,K856),M856,N856-M856)))))</x:f>
      </x:c>
      <x:c r="F856" t="str">
        <x:f>IF(E856="","",IF(E856=TRIM(INDEX($A$3:$A$168,K856)),"",IF(RIGHT(TRIM(INDEX($A$3:$A$168,K856)),1)="]",LEFT(TRIM(INDEX($A$3:$A$168,K856)),LEN(TRIM(INDEX($A$3:$A$168,K856)))-1)&amp;", "&amp;SUBSTITUTE(SUBSTITUTE(SUBSTITUTE(E856," [",", "),"[",", "),"]","")&amp;"]",TRIM(INDEX($A$3:$A$168,K856))&amp;" ["&amp;SUBSTITUTE(SUBSTITUTE(SUBSTITUTE(E856," [",", "),"[",", "),"]","")&amp;"]")))</x:f>
      </x:c>
      <x:c r="G856" t="str">
        <x:f>IF(F856&lt;&gt;"",ROWS($F$3:F856)-COUNTBLANK($F$3:F856),"")</x:f>
      </x:c>
      <x:c r="H856"/>
      <x:c r="I856"/>
      <x:c r="J856"/>
      <x:c r="K856" t="str">
        <x:f>IF(ROW()-ROW($K$2)&lt;=SUM($J$3:$J$168),COUNTIF($H$3:$H$168,"&lt;"&amp;(ROW()-ROW($K$2))),"")</x:f>
      </x:c>
      <x:c r="L856" t="str">
        <x:f>IF(K856="","",ROW()-ROW($L$2)-INDEX($H$3:$H$168,K856))</x:f>
      </x:c>
      <x:c r="M856" t="str">
        <x:f>IF(K856="","",IF(L856=1,1,FIND(CHAR(1),SUBSTITUTE(INDEX($B$3:$B$168,K856),CHAR(10),CHAR(1),L856-1))+1))</x:f>
      </x:c>
      <x:c r="N856" t="str">
        <x:f>IF(K856="","",IFERROR(FIND(CHAR(1),SUBSTITUTE(INDEX($B$3:$B$168,K856),CHAR(10),CHAR(1),L856)),LEN(INDEX($B$3:$B$168,K856))+1))</x:f>
      </x:c>
    </x:row>
    <x:row r="857">
      <x:c r="A857"/>
      <x:c r="B857"/>
      <x:c r="C857"/>
      <x:c r="D857" t="str">
        <x:f>IFERROR(IF(855&lt;=$O$1,INDEX($A$3:$A$168,MATCH(855,$I$3:$I$168,0)),IF(855&lt;=$O$1+$O$2,INDEX($F$3:$F$1994,MATCH(855-$O$1,$G$3:$G$1994,0)),"")),"")</x:f>
      </x:c>
      <x:c r="E857" t="str">
        <x:f>IF(K857="","",IF(N857&lt;=M857,"",TRIM(CLEAN(MID(INDEX($B$3:$B$168,K857),M857,N857-M857)))))</x:f>
      </x:c>
      <x:c r="F857" t="str">
        <x:f>IF(E857="","",IF(E857=TRIM(INDEX($A$3:$A$168,K857)),"",IF(RIGHT(TRIM(INDEX($A$3:$A$168,K857)),1)="]",LEFT(TRIM(INDEX($A$3:$A$168,K857)),LEN(TRIM(INDEX($A$3:$A$168,K857)))-1)&amp;", "&amp;SUBSTITUTE(SUBSTITUTE(SUBSTITUTE(E857," [",", "),"[",", "),"]","")&amp;"]",TRIM(INDEX($A$3:$A$168,K857))&amp;" ["&amp;SUBSTITUTE(SUBSTITUTE(SUBSTITUTE(E857," [",", "),"[",", "),"]","")&amp;"]")))</x:f>
      </x:c>
      <x:c r="G857" t="str">
        <x:f>IF(F857&lt;&gt;"",ROWS($F$3:F857)-COUNTBLANK($F$3:F857),"")</x:f>
      </x:c>
      <x:c r="H857"/>
      <x:c r="I857"/>
      <x:c r="J857"/>
      <x:c r="K857" t="str">
        <x:f>IF(ROW()-ROW($K$2)&lt;=SUM($J$3:$J$168),COUNTIF($H$3:$H$168,"&lt;"&amp;(ROW()-ROW($K$2))),"")</x:f>
      </x:c>
      <x:c r="L857" t="str">
        <x:f>IF(K857="","",ROW()-ROW($L$2)-INDEX($H$3:$H$168,K857))</x:f>
      </x:c>
      <x:c r="M857" t="str">
        <x:f>IF(K857="","",IF(L857=1,1,FIND(CHAR(1),SUBSTITUTE(INDEX($B$3:$B$168,K857),CHAR(10),CHAR(1),L857-1))+1))</x:f>
      </x:c>
      <x:c r="N857" t="str">
        <x:f>IF(K857="","",IFERROR(FIND(CHAR(1),SUBSTITUTE(INDEX($B$3:$B$168,K857),CHAR(10),CHAR(1),L857)),LEN(INDEX($B$3:$B$168,K857))+1))</x:f>
      </x:c>
    </x:row>
    <x:row r="858">
      <x:c r="A858"/>
      <x:c r="B858"/>
      <x:c r="C858"/>
      <x:c r="D858" t="str">
        <x:f>IFERROR(IF(856&lt;=$O$1,INDEX($A$3:$A$168,MATCH(856,$I$3:$I$168,0)),IF(856&lt;=$O$1+$O$2,INDEX($F$3:$F$1994,MATCH(856-$O$1,$G$3:$G$1994,0)),"")),"")</x:f>
      </x:c>
      <x:c r="E858" t="str">
        <x:f>IF(K858="","",IF(N858&lt;=M858,"",TRIM(CLEAN(MID(INDEX($B$3:$B$168,K858),M858,N858-M858)))))</x:f>
      </x:c>
      <x:c r="F858" t="str">
        <x:f>IF(E858="","",IF(E858=TRIM(INDEX($A$3:$A$168,K858)),"",IF(RIGHT(TRIM(INDEX($A$3:$A$168,K858)),1)="]",LEFT(TRIM(INDEX($A$3:$A$168,K858)),LEN(TRIM(INDEX($A$3:$A$168,K858)))-1)&amp;", "&amp;SUBSTITUTE(SUBSTITUTE(SUBSTITUTE(E858," [",", "),"[",", "),"]","")&amp;"]",TRIM(INDEX($A$3:$A$168,K858))&amp;" ["&amp;SUBSTITUTE(SUBSTITUTE(SUBSTITUTE(E858," [",", "),"[",", "),"]","")&amp;"]")))</x:f>
      </x:c>
      <x:c r="G858" t="str">
        <x:f>IF(F858&lt;&gt;"",ROWS($F$3:F858)-COUNTBLANK($F$3:F858),"")</x:f>
      </x:c>
      <x:c r="H858"/>
      <x:c r="I858"/>
      <x:c r="J858"/>
      <x:c r="K858" t="str">
        <x:f>IF(ROW()-ROW($K$2)&lt;=SUM($J$3:$J$168),COUNTIF($H$3:$H$168,"&lt;"&amp;(ROW()-ROW($K$2))),"")</x:f>
      </x:c>
      <x:c r="L858" t="str">
        <x:f>IF(K858="","",ROW()-ROW($L$2)-INDEX($H$3:$H$168,K858))</x:f>
      </x:c>
      <x:c r="M858" t="str">
        <x:f>IF(K858="","",IF(L858=1,1,FIND(CHAR(1),SUBSTITUTE(INDEX($B$3:$B$168,K858),CHAR(10),CHAR(1),L858-1))+1))</x:f>
      </x:c>
      <x:c r="N858" t="str">
        <x:f>IF(K858="","",IFERROR(FIND(CHAR(1),SUBSTITUTE(INDEX($B$3:$B$168,K858),CHAR(10),CHAR(1),L858)),LEN(INDEX($B$3:$B$168,K858))+1))</x:f>
      </x:c>
    </x:row>
    <x:row r="859">
      <x:c r="A859"/>
      <x:c r="B859"/>
      <x:c r="C859"/>
      <x:c r="D859" t="str">
        <x:f>IFERROR(IF(857&lt;=$O$1,INDEX($A$3:$A$168,MATCH(857,$I$3:$I$168,0)),IF(857&lt;=$O$1+$O$2,INDEX($F$3:$F$1994,MATCH(857-$O$1,$G$3:$G$1994,0)),"")),"")</x:f>
      </x:c>
      <x:c r="E859" t="str">
        <x:f>IF(K859="","",IF(N859&lt;=M859,"",TRIM(CLEAN(MID(INDEX($B$3:$B$168,K859),M859,N859-M859)))))</x:f>
      </x:c>
      <x:c r="F859" t="str">
        <x:f>IF(E859="","",IF(E859=TRIM(INDEX($A$3:$A$168,K859)),"",IF(RIGHT(TRIM(INDEX($A$3:$A$168,K859)),1)="]",LEFT(TRIM(INDEX($A$3:$A$168,K859)),LEN(TRIM(INDEX($A$3:$A$168,K859)))-1)&amp;", "&amp;SUBSTITUTE(SUBSTITUTE(SUBSTITUTE(E859," [",", "),"[",", "),"]","")&amp;"]",TRIM(INDEX($A$3:$A$168,K859))&amp;" ["&amp;SUBSTITUTE(SUBSTITUTE(SUBSTITUTE(E859," [",", "),"[",", "),"]","")&amp;"]")))</x:f>
      </x:c>
      <x:c r="G859" t="str">
        <x:f>IF(F859&lt;&gt;"",ROWS($F$3:F859)-COUNTBLANK($F$3:F859),"")</x:f>
      </x:c>
      <x:c r="H859"/>
      <x:c r="I859"/>
      <x:c r="J859"/>
      <x:c r="K859" t="str">
        <x:f>IF(ROW()-ROW($K$2)&lt;=SUM($J$3:$J$168),COUNTIF($H$3:$H$168,"&lt;"&amp;(ROW()-ROW($K$2))),"")</x:f>
      </x:c>
      <x:c r="L859" t="str">
        <x:f>IF(K859="","",ROW()-ROW($L$2)-INDEX($H$3:$H$168,K859))</x:f>
      </x:c>
      <x:c r="M859" t="str">
        <x:f>IF(K859="","",IF(L859=1,1,FIND(CHAR(1),SUBSTITUTE(INDEX($B$3:$B$168,K859),CHAR(10),CHAR(1),L859-1))+1))</x:f>
      </x:c>
      <x:c r="N859" t="str">
        <x:f>IF(K859="","",IFERROR(FIND(CHAR(1),SUBSTITUTE(INDEX($B$3:$B$168,K859),CHAR(10),CHAR(1),L859)),LEN(INDEX($B$3:$B$168,K859))+1))</x:f>
      </x:c>
    </x:row>
    <x:row r="860">
      <x:c r="A860"/>
      <x:c r="B860"/>
      <x:c r="C860"/>
      <x:c r="D860" t="str">
        <x:f>IFERROR(IF(858&lt;=$O$1,INDEX($A$3:$A$168,MATCH(858,$I$3:$I$168,0)),IF(858&lt;=$O$1+$O$2,INDEX($F$3:$F$1994,MATCH(858-$O$1,$G$3:$G$1994,0)),"")),"")</x:f>
      </x:c>
      <x:c r="E860" t="str">
        <x:f>IF(K860="","",IF(N860&lt;=M860,"",TRIM(CLEAN(MID(INDEX($B$3:$B$168,K860),M860,N860-M860)))))</x:f>
      </x:c>
      <x:c r="F860" t="str">
        <x:f>IF(E860="","",IF(E860=TRIM(INDEX($A$3:$A$168,K860)),"",IF(RIGHT(TRIM(INDEX($A$3:$A$168,K860)),1)="]",LEFT(TRIM(INDEX($A$3:$A$168,K860)),LEN(TRIM(INDEX($A$3:$A$168,K860)))-1)&amp;", "&amp;SUBSTITUTE(SUBSTITUTE(SUBSTITUTE(E860," [",", "),"[",", "),"]","")&amp;"]",TRIM(INDEX($A$3:$A$168,K860))&amp;" ["&amp;SUBSTITUTE(SUBSTITUTE(SUBSTITUTE(E860," [",", "),"[",", "),"]","")&amp;"]")))</x:f>
      </x:c>
      <x:c r="G860" t="str">
        <x:f>IF(F860&lt;&gt;"",ROWS($F$3:F860)-COUNTBLANK($F$3:F860),"")</x:f>
      </x:c>
      <x:c r="H860"/>
      <x:c r="I860"/>
      <x:c r="J860"/>
      <x:c r="K860" t="str">
        <x:f>IF(ROW()-ROW($K$2)&lt;=SUM($J$3:$J$168),COUNTIF($H$3:$H$168,"&lt;"&amp;(ROW()-ROW($K$2))),"")</x:f>
      </x:c>
      <x:c r="L860" t="str">
        <x:f>IF(K860="","",ROW()-ROW($L$2)-INDEX($H$3:$H$168,K860))</x:f>
      </x:c>
      <x:c r="M860" t="str">
        <x:f>IF(K860="","",IF(L860=1,1,FIND(CHAR(1),SUBSTITUTE(INDEX($B$3:$B$168,K860),CHAR(10),CHAR(1),L860-1))+1))</x:f>
      </x:c>
      <x:c r="N860" t="str">
        <x:f>IF(K860="","",IFERROR(FIND(CHAR(1),SUBSTITUTE(INDEX($B$3:$B$168,K860),CHAR(10),CHAR(1),L860)),LEN(INDEX($B$3:$B$168,K860))+1))</x:f>
      </x:c>
    </x:row>
    <x:row r="861">
      <x:c r="A861"/>
      <x:c r="B861"/>
      <x:c r="C861"/>
      <x:c r="D861" t="str">
        <x:f>IFERROR(IF(859&lt;=$O$1,INDEX($A$3:$A$168,MATCH(859,$I$3:$I$168,0)),IF(859&lt;=$O$1+$O$2,INDEX($F$3:$F$1994,MATCH(859-$O$1,$G$3:$G$1994,0)),"")),"")</x:f>
      </x:c>
      <x:c r="E861" t="str">
        <x:f>IF(K861="","",IF(N861&lt;=M861,"",TRIM(CLEAN(MID(INDEX($B$3:$B$168,K861),M861,N861-M861)))))</x:f>
      </x:c>
      <x:c r="F861" t="str">
        <x:f>IF(E861="","",IF(E861=TRIM(INDEX($A$3:$A$168,K861)),"",IF(RIGHT(TRIM(INDEX($A$3:$A$168,K861)),1)="]",LEFT(TRIM(INDEX($A$3:$A$168,K861)),LEN(TRIM(INDEX($A$3:$A$168,K861)))-1)&amp;", "&amp;SUBSTITUTE(SUBSTITUTE(SUBSTITUTE(E861," [",", "),"[",", "),"]","")&amp;"]",TRIM(INDEX($A$3:$A$168,K861))&amp;" ["&amp;SUBSTITUTE(SUBSTITUTE(SUBSTITUTE(E861," [",", "),"[",", "),"]","")&amp;"]")))</x:f>
      </x:c>
      <x:c r="G861" t="str">
        <x:f>IF(F861&lt;&gt;"",ROWS($F$3:F861)-COUNTBLANK($F$3:F861),"")</x:f>
      </x:c>
      <x:c r="H861"/>
      <x:c r="I861"/>
      <x:c r="J861"/>
      <x:c r="K861" t="str">
        <x:f>IF(ROW()-ROW($K$2)&lt;=SUM($J$3:$J$168),COUNTIF($H$3:$H$168,"&lt;"&amp;(ROW()-ROW($K$2))),"")</x:f>
      </x:c>
      <x:c r="L861" t="str">
        <x:f>IF(K861="","",ROW()-ROW($L$2)-INDEX($H$3:$H$168,K861))</x:f>
      </x:c>
      <x:c r="M861" t="str">
        <x:f>IF(K861="","",IF(L861=1,1,FIND(CHAR(1),SUBSTITUTE(INDEX($B$3:$B$168,K861),CHAR(10),CHAR(1),L861-1))+1))</x:f>
      </x:c>
      <x:c r="N861" t="str">
        <x:f>IF(K861="","",IFERROR(FIND(CHAR(1),SUBSTITUTE(INDEX($B$3:$B$168,K861),CHAR(10),CHAR(1),L861)),LEN(INDEX($B$3:$B$168,K861))+1))</x:f>
      </x:c>
    </x:row>
    <x:row r="862">
      <x:c r="A862"/>
      <x:c r="B862"/>
      <x:c r="C862"/>
      <x:c r="D862" t="str">
        <x:f>IFERROR(IF(860&lt;=$O$1,INDEX($A$3:$A$168,MATCH(860,$I$3:$I$168,0)),IF(860&lt;=$O$1+$O$2,INDEX($F$3:$F$1994,MATCH(860-$O$1,$G$3:$G$1994,0)),"")),"")</x:f>
      </x:c>
      <x:c r="E862" t="str">
        <x:f>IF(K862="","",IF(N862&lt;=M862,"",TRIM(CLEAN(MID(INDEX($B$3:$B$168,K862),M862,N862-M862)))))</x:f>
      </x:c>
      <x:c r="F862" t="str">
        <x:f>IF(E862="","",IF(E862=TRIM(INDEX($A$3:$A$168,K862)),"",IF(RIGHT(TRIM(INDEX($A$3:$A$168,K862)),1)="]",LEFT(TRIM(INDEX($A$3:$A$168,K862)),LEN(TRIM(INDEX($A$3:$A$168,K862)))-1)&amp;", "&amp;SUBSTITUTE(SUBSTITUTE(SUBSTITUTE(E862," [",", "),"[",", "),"]","")&amp;"]",TRIM(INDEX($A$3:$A$168,K862))&amp;" ["&amp;SUBSTITUTE(SUBSTITUTE(SUBSTITUTE(E862," [",", "),"[",", "),"]","")&amp;"]")))</x:f>
      </x:c>
      <x:c r="G862" t="str">
        <x:f>IF(F862&lt;&gt;"",ROWS($F$3:F862)-COUNTBLANK($F$3:F862),"")</x:f>
      </x:c>
      <x:c r="H862"/>
      <x:c r="I862"/>
      <x:c r="J862"/>
      <x:c r="K862" t="str">
        <x:f>IF(ROW()-ROW($K$2)&lt;=SUM($J$3:$J$168),COUNTIF($H$3:$H$168,"&lt;"&amp;(ROW()-ROW($K$2))),"")</x:f>
      </x:c>
      <x:c r="L862" t="str">
        <x:f>IF(K862="","",ROW()-ROW($L$2)-INDEX($H$3:$H$168,K862))</x:f>
      </x:c>
      <x:c r="M862" t="str">
        <x:f>IF(K862="","",IF(L862=1,1,FIND(CHAR(1),SUBSTITUTE(INDEX($B$3:$B$168,K862),CHAR(10),CHAR(1),L862-1))+1))</x:f>
      </x:c>
      <x:c r="N862" t="str">
        <x:f>IF(K862="","",IFERROR(FIND(CHAR(1),SUBSTITUTE(INDEX($B$3:$B$168,K862),CHAR(10),CHAR(1),L862)),LEN(INDEX($B$3:$B$168,K862))+1))</x:f>
      </x:c>
    </x:row>
    <x:row r="863">
      <x:c r="A863"/>
      <x:c r="B863"/>
      <x:c r="C863"/>
      <x:c r="D863" t="str">
        <x:f>IFERROR(IF(861&lt;=$O$1,INDEX($A$3:$A$168,MATCH(861,$I$3:$I$168,0)),IF(861&lt;=$O$1+$O$2,INDEX($F$3:$F$1994,MATCH(861-$O$1,$G$3:$G$1994,0)),"")),"")</x:f>
      </x:c>
      <x:c r="E863" t="str">
        <x:f>IF(K863="","",IF(N863&lt;=M863,"",TRIM(CLEAN(MID(INDEX($B$3:$B$168,K863),M863,N863-M863)))))</x:f>
      </x:c>
      <x:c r="F863" t="str">
        <x:f>IF(E863="","",IF(E863=TRIM(INDEX($A$3:$A$168,K863)),"",IF(RIGHT(TRIM(INDEX($A$3:$A$168,K863)),1)="]",LEFT(TRIM(INDEX($A$3:$A$168,K863)),LEN(TRIM(INDEX($A$3:$A$168,K863)))-1)&amp;", "&amp;SUBSTITUTE(SUBSTITUTE(SUBSTITUTE(E863," [",", "),"[",", "),"]","")&amp;"]",TRIM(INDEX($A$3:$A$168,K863))&amp;" ["&amp;SUBSTITUTE(SUBSTITUTE(SUBSTITUTE(E863," [",", "),"[",", "),"]","")&amp;"]")))</x:f>
      </x:c>
      <x:c r="G863" t="str">
        <x:f>IF(F863&lt;&gt;"",ROWS($F$3:F863)-COUNTBLANK($F$3:F863),"")</x:f>
      </x:c>
      <x:c r="H863"/>
      <x:c r="I863"/>
      <x:c r="J863"/>
      <x:c r="K863" t="str">
        <x:f>IF(ROW()-ROW($K$2)&lt;=SUM($J$3:$J$168),COUNTIF($H$3:$H$168,"&lt;"&amp;(ROW()-ROW($K$2))),"")</x:f>
      </x:c>
      <x:c r="L863" t="str">
        <x:f>IF(K863="","",ROW()-ROW($L$2)-INDEX($H$3:$H$168,K863))</x:f>
      </x:c>
      <x:c r="M863" t="str">
        <x:f>IF(K863="","",IF(L863=1,1,FIND(CHAR(1),SUBSTITUTE(INDEX($B$3:$B$168,K863),CHAR(10),CHAR(1),L863-1))+1))</x:f>
      </x:c>
      <x:c r="N863" t="str">
        <x:f>IF(K863="","",IFERROR(FIND(CHAR(1),SUBSTITUTE(INDEX($B$3:$B$168,K863),CHAR(10),CHAR(1),L863)),LEN(INDEX($B$3:$B$168,K863))+1))</x:f>
      </x:c>
    </x:row>
    <x:row r="864">
      <x:c r="A864"/>
      <x:c r="B864"/>
      <x:c r="C864"/>
      <x:c r="D864" t="str">
        <x:f>IFERROR(IF(862&lt;=$O$1,INDEX($A$3:$A$168,MATCH(862,$I$3:$I$168,0)),IF(862&lt;=$O$1+$O$2,INDEX($F$3:$F$1994,MATCH(862-$O$1,$G$3:$G$1994,0)),"")),"")</x:f>
      </x:c>
      <x:c r="E864" t="str">
        <x:f>IF(K864="","",IF(N864&lt;=M864,"",TRIM(CLEAN(MID(INDEX($B$3:$B$168,K864),M864,N864-M864)))))</x:f>
      </x:c>
      <x:c r="F864" t="str">
        <x:f>IF(E864="","",IF(E864=TRIM(INDEX($A$3:$A$168,K864)),"",IF(RIGHT(TRIM(INDEX($A$3:$A$168,K864)),1)="]",LEFT(TRIM(INDEX($A$3:$A$168,K864)),LEN(TRIM(INDEX($A$3:$A$168,K864)))-1)&amp;", "&amp;SUBSTITUTE(SUBSTITUTE(SUBSTITUTE(E864," [",", "),"[",", "),"]","")&amp;"]",TRIM(INDEX($A$3:$A$168,K864))&amp;" ["&amp;SUBSTITUTE(SUBSTITUTE(SUBSTITUTE(E864," [",", "),"[",", "),"]","")&amp;"]")))</x:f>
      </x:c>
      <x:c r="G864" t="str">
        <x:f>IF(F864&lt;&gt;"",ROWS($F$3:F864)-COUNTBLANK($F$3:F864),"")</x:f>
      </x:c>
      <x:c r="H864"/>
      <x:c r="I864"/>
      <x:c r="J864"/>
      <x:c r="K864" t="str">
        <x:f>IF(ROW()-ROW($K$2)&lt;=SUM($J$3:$J$168),COUNTIF($H$3:$H$168,"&lt;"&amp;(ROW()-ROW($K$2))),"")</x:f>
      </x:c>
      <x:c r="L864" t="str">
        <x:f>IF(K864="","",ROW()-ROW($L$2)-INDEX($H$3:$H$168,K864))</x:f>
      </x:c>
      <x:c r="M864" t="str">
        <x:f>IF(K864="","",IF(L864=1,1,FIND(CHAR(1),SUBSTITUTE(INDEX($B$3:$B$168,K864),CHAR(10),CHAR(1),L864-1))+1))</x:f>
      </x:c>
      <x:c r="N864" t="str">
        <x:f>IF(K864="","",IFERROR(FIND(CHAR(1),SUBSTITUTE(INDEX($B$3:$B$168,K864),CHAR(10),CHAR(1),L864)),LEN(INDEX($B$3:$B$168,K864))+1))</x:f>
      </x:c>
    </x:row>
    <x:row r="865">
      <x:c r="A865"/>
      <x:c r="B865"/>
      <x:c r="C865"/>
      <x:c r="D865" t="str">
        <x:f>IFERROR(IF(863&lt;=$O$1,INDEX($A$3:$A$168,MATCH(863,$I$3:$I$168,0)),IF(863&lt;=$O$1+$O$2,INDEX($F$3:$F$1994,MATCH(863-$O$1,$G$3:$G$1994,0)),"")),"")</x:f>
      </x:c>
      <x:c r="E865" t="str">
        <x:f>IF(K865="","",IF(N865&lt;=M865,"",TRIM(CLEAN(MID(INDEX($B$3:$B$168,K865),M865,N865-M865)))))</x:f>
      </x:c>
      <x:c r="F865" t="str">
        <x:f>IF(E865="","",IF(E865=TRIM(INDEX($A$3:$A$168,K865)),"",IF(RIGHT(TRIM(INDEX($A$3:$A$168,K865)),1)="]",LEFT(TRIM(INDEX($A$3:$A$168,K865)),LEN(TRIM(INDEX($A$3:$A$168,K865)))-1)&amp;", "&amp;SUBSTITUTE(SUBSTITUTE(SUBSTITUTE(E865," [",", "),"[",", "),"]","")&amp;"]",TRIM(INDEX($A$3:$A$168,K865))&amp;" ["&amp;SUBSTITUTE(SUBSTITUTE(SUBSTITUTE(E865," [",", "),"[",", "),"]","")&amp;"]")))</x:f>
      </x:c>
      <x:c r="G865" t="str">
        <x:f>IF(F865&lt;&gt;"",ROWS($F$3:F865)-COUNTBLANK($F$3:F865),"")</x:f>
      </x:c>
      <x:c r="H865"/>
      <x:c r="I865"/>
      <x:c r="J865"/>
      <x:c r="K865" t="str">
        <x:f>IF(ROW()-ROW($K$2)&lt;=SUM($J$3:$J$168),COUNTIF($H$3:$H$168,"&lt;"&amp;(ROW()-ROW($K$2))),"")</x:f>
      </x:c>
      <x:c r="L865" t="str">
        <x:f>IF(K865="","",ROW()-ROW($L$2)-INDEX($H$3:$H$168,K865))</x:f>
      </x:c>
      <x:c r="M865" t="str">
        <x:f>IF(K865="","",IF(L865=1,1,FIND(CHAR(1),SUBSTITUTE(INDEX($B$3:$B$168,K865),CHAR(10),CHAR(1),L865-1))+1))</x:f>
      </x:c>
      <x:c r="N865" t="str">
        <x:f>IF(K865="","",IFERROR(FIND(CHAR(1),SUBSTITUTE(INDEX($B$3:$B$168,K865),CHAR(10),CHAR(1),L865)),LEN(INDEX($B$3:$B$168,K865))+1))</x:f>
      </x:c>
    </x:row>
    <x:row r="866">
      <x:c r="A866"/>
      <x:c r="B866"/>
      <x:c r="C866"/>
      <x:c r="D866" t="str">
        <x:f>IFERROR(IF(864&lt;=$O$1,INDEX($A$3:$A$168,MATCH(864,$I$3:$I$168,0)),IF(864&lt;=$O$1+$O$2,INDEX($F$3:$F$1994,MATCH(864-$O$1,$G$3:$G$1994,0)),"")),"")</x:f>
      </x:c>
      <x:c r="E866" t="str">
        <x:f>IF(K866="","",IF(N866&lt;=M866,"",TRIM(CLEAN(MID(INDEX($B$3:$B$168,K866),M866,N866-M866)))))</x:f>
      </x:c>
      <x:c r="F866" t="str">
        <x:f>IF(E866="","",IF(E866=TRIM(INDEX($A$3:$A$168,K866)),"",IF(RIGHT(TRIM(INDEX($A$3:$A$168,K866)),1)="]",LEFT(TRIM(INDEX($A$3:$A$168,K866)),LEN(TRIM(INDEX($A$3:$A$168,K866)))-1)&amp;", "&amp;SUBSTITUTE(SUBSTITUTE(SUBSTITUTE(E866," [",", "),"[",", "),"]","")&amp;"]",TRIM(INDEX($A$3:$A$168,K866))&amp;" ["&amp;SUBSTITUTE(SUBSTITUTE(SUBSTITUTE(E866," [",", "),"[",", "),"]","")&amp;"]")))</x:f>
      </x:c>
      <x:c r="G866" t="str">
        <x:f>IF(F866&lt;&gt;"",ROWS($F$3:F866)-COUNTBLANK($F$3:F866),"")</x:f>
      </x:c>
      <x:c r="H866"/>
      <x:c r="I866"/>
      <x:c r="J866"/>
      <x:c r="K866" t="str">
        <x:f>IF(ROW()-ROW($K$2)&lt;=SUM($J$3:$J$168),COUNTIF($H$3:$H$168,"&lt;"&amp;(ROW()-ROW($K$2))),"")</x:f>
      </x:c>
      <x:c r="L866" t="str">
        <x:f>IF(K866="","",ROW()-ROW($L$2)-INDEX($H$3:$H$168,K866))</x:f>
      </x:c>
      <x:c r="M866" t="str">
        <x:f>IF(K866="","",IF(L866=1,1,FIND(CHAR(1),SUBSTITUTE(INDEX($B$3:$B$168,K866),CHAR(10),CHAR(1),L866-1))+1))</x:f>
      </x:c>
      <x:c r="N866" t="str">
        <x:f>IF(K866="","",IFERROR(FIND(CHAR(1),SUBSTITUTE(INDEX($B$3:$B$168,K866),CHAR(10),CHAR(1),L866)),LEN(INDEX($B$3:$B$168,K866))+1))</x:f>
      </x:c>
    </x:row>
    <x:row r="867">
      <x:c r="A867"/>
      <x:c r="B867"/>
      <x:c r="C867"/>
      <x:c r="D867" t="str">
        <x:f>IFERROR(IF(865&lt;=$O$1,INDEX($A$3:$A$168,MATCH(865,$I$3:$I$168,0)),IF(865&lt;=$O$1+$O$2,INDEX($F$3:$F$1994,MATCH(865-$O$1,$G$3:$G$1994,0)),"")),"")</x:f>
      </x:c>
      <x:c r="E867" t="str">
        <x:f>IF(K867="","",IF(N867&lt;=M867,"",TRIM(CLEAN(MID(INDEX($B$3:$B$168,K867),M867,N867-M867)))))</x:f>
      </x:c>
      <x:c r="F867" t="str">
        <x:f>IF(E867="","",IF(E867=TRIM(INDEX($A$3:$A$168,K867)),"",IF(RIGHT(TRIM(INDEX($A$3:$A$168,K867)),1)="]",LEFT(TRIM(INDEX($A$3:$A$168,K867)),LEN(TRIM(INDEX($A$3:$A$168,K867)))-1)&amp;", "&amp;SUBSTITUTE(SUBSTITUTE(SUBSTITUTE(E867," [",", "),"[",", "),"]","")&amp;"]",TRIM(INDEX($A$3:$A$168,K867))&amp;" ["&amp;SUBSTITUTE(SUBSTITUTE(SUBSTITUTE(E867," [",", "),"[",", "),"]","")&amp;"]")))</x:f>
      </x:c>
      <x:c r="G867" t="str">
        <x:f>IF(F867&lt;&gt;"",ROWS($F$3:F867)-COUNTBLANK($F$3:F867),"")</x:f>
      </x:c>
      <x:c r="H867"/>
      <x:c r="I867"/>
      <x:c r="J867"/>
      <x:c r="K867" t="str">
        <x:f>IF(ROW()-ROW($K$2)&lt;=SUM($J$3:$J$168),COUNTIF($H$3:$H$168,"&lt;"&amp;(ROW()-ROW($K$2))),"")</x:f>
      </x:c>
      <x:c r="L867" t="str">
        <x:f>IF(K867="","",ROW()-ROW($L$2)-INDEX($H$3:$H$168,K867))</x:f>
      </x:c>
      <x:c r="M867" t="str">
        <x:f>IF(K867="","",IF(L867=1,1,FIND(CHAR(1),SUBSTITUTE(INDEX($B$3:$B$168,K867),CHAR(10),CHAR(1),L867-1))+1))</x:f>
      </x:c>
      <x:c r="N867" t="str">
        <x:f>IF(K867="","",IFERROR(FIND(CHAR(1),SUBSTITUTE(INDEX($B$3:$B$168,K867),CHAR(10),CHAR(1),L867)),LEN(INDEX($B$3:$B$168,K867))+1))</x:f>
      </x:c>
    </x:row>
    <x:row r="868">
      <x:c r="A868"/>
      <x:c r="B868"/>
      <x:c r="C868"/>
      <x:c r="D868" t="str">
        <x:f>IFERROR(IF(866&lt;=$O$1,INDEX($A$3:$A$168,MATCH(866,$I$3:$I$168,0)),IF(866&lt;=$O$1+$O$2,INDEX($F$3:$F$1994,MATCH(866-$O$1,$G$3:$G$1994,0)),"")),"")</x:f>
      </x:c>
      <x:c r="E868" t="str">
        <x:f>IF(K868="","",IF(N868&lt;=M868,"",TRIM(CLEAN(MID(INDEX($B$3:$B$168,K868),M868,N868-M868)))))</x:f>
      </x:c>
      <x:c r="F868" t="str">
        <x:f>IF(E868="","",IF(E868=TRIM(INDEX($A$3:$A$168,K868)),"",IF(RIGHT(TRIM(INDEX($A$3:$A$168,K868)),1)="]",LEFT(TRIM(INDEX($A$3:$A$168,K868)),LEN(TRIM(INDEX($A$3:$A$168,K868)))-1)&amp;", "&amp;SUBSTITUTE(SUBSTITUTE(SUBSTITUTE(E868," [",", "),"[",", "),"]","")&amp;"]",TRIM(INDEX($A$3:$A$168,K868))&amp;" ["&amp;SUBSTITUTE(SUBSTITUTE(SUBSTITUTE(E868," [",", "),"[",", "),"]","")&amp;"]")))</x:f>
      </x:c>
      <x:c r="G868" t="str">
        <x:f>IF(F868&lt;&gt;"",ROWS($F$3:F868)-COUNTBLANK($F$3:F868),"")</x:f>
      </x:c>
      <x:c r="H868"/>
      <x:c r="I868"/>
      <x:c r="J868"/>
      <x:c r="K868" t="str">
        <x:f>IF(ROW()-ROW($K$2)&lt;=SUM($J$3:$J$168),COUNTIF($H$3:$H$168,"&lt;"&amp;(ROW()-ROW($K$2))),"")</x:f>
      </x:c>
      <x:c r="L868" t="str">
        <x:f>IF(K868="","",ROW()-ROW($L$2)-INDEX($H$3:$H$168,K868))</x:f>
      </x:c>
      <x:c r="M868" t="str">
        <x:f>IF(K868="","",IF(L868=1,1,FIND(CHAR(1),SUBSTITUTE(INDEX($B$3:$B$168,K868),CHAR(10),CHAR(1),L868-1))+1))</x:f>
      </x:c>
      <x:c r="N868" t="str">
        <x:f>IF(K868="","",IFERROR(FIND(CHAR(1),SUBSTITUTE(INDEX($B$3:$B$168,K868),CHAR(10),CHAR(1),L868)),LEN(INDEX($B$3:$B$168,K868))+1))</x:f>
      </x:c>
    </x:row>
    <x:row r="869">
      <x:c r="A869"/>
      <x:c r="B869"/>
      <x:c r="C869"/>
      <x:c r="D869" t="str">
        <x:f>IFERROR(IF(867&lt;=$O$1,INDEX($A$3:$A$168,MATCH(867,$I$3:$I$168,0)),IF(867&lt;=$O$1+$O$2,INDEX($F$3:$F$1994,MATCH(867-$O$1,$G$3:$G$1994,0)),"")),"")</x:f>
      </x:c>
      <x:c r="E869" t="str">
        <x:f>IF(K869="","",IF(N869&lt;=M869,"",TRIM(CLEAN(MID(INDEX($B$3:$B$168,K869),M869,N869-M869)))))</x:f>
      </x:c>
      <x:c r="F869" t="str">
        <x:f>IF(E869="","",IF(E869=TRIM(INDEX($A$3:$A$168,K869)),"",IF(RIGHT(TRIM(INDEX($A$3:$A$168,K869)),1)="]",LEFT(TRIM(INDEX($A$3:$A$168,K869)),LEN(TRIM(INDEX($A$3:$A$168,K869)))-1)&amp;", "&amp;SUBSTITUTE(SUBSTITUTE(SUBSTITUTE(E869," [",", "),"[",", "),"]","")&amp;"]",TRIM(INDEX($A$3:$A$168,K869))&amp;" ["&amp;SUBSTITUTE(SUBSTITUTE(SUBSTITUTE(E869," [",", "),"[",", "),"]","")&amp;"]")))</x:f>
      </x:c>
      <x:c r="G869" t="str">
        <x:f>IF(F869&lt;&gt;"",ROWS($F$3:F869)-COUNTBLANK($F$3:F869),"")</x:f>
      </x:c>
      <x:c r="H869"/>
      <x:c r="I869"/>
      <x:c r="J869"/>
      <x:c r="K869" t="str">
        <x:f>IF(ROW()-ROW($K$2)&lt;=SUM($J$3:$J$168),COUNTIF($H$3:$H$168,"&lt;"&amp;(ROW()-ROW($K$2))),"")</x:f>
      </x:c>
      <x:c r="L869" t="str">
        <x:f>IF(K869="","",ROW()-ROW($L$2)-INDEX($H$3:$H$168,K869))</x:f>
      </x:c>
      <x:c r="M869" t="str">
        <x:f>IF(K869="","",IF(L869=1,1,FIND(CHAR(1),SUBSTITUTE(INDEX($B$3:$B$168,K869),CHAR(10),CHAR(1),L869-1))+1))</x:f>
      </x:c>
      <x:c r="N869" t="str">
        <x:f>IF(K869="","",IFERROR(FIND(CHAR(1),SUBSTITUTE(INDEX($B$3:$B$168,K869),CHAR(10),CHAR(1),L869)),LEN(INDEX($B$3:$B$168,K869))+1))</x:f>
      </x:c>
    </x:row>
    <x:row r="870">
      <x:c r="A870"/>
      <x:c r="B870"/>
      <x:c r="C870"/>
      <x:c r="D870" t="str">
        <x:f>IFERROR(IF(868&lt;=$O$1,INDEX($A$3:$A$168,MATCH(868,$I$3:$I$168,0)),IF(868&lt;=$O$1+$O$2,INDEX($F$3:$F$1994,MATCH(868-$O$1,$G$3:$G$1994,0)),"")),"")</x:f>
      </x:c>
      <x:c r="E870" t="str">
        <x:f>IF(K870="","",IF(N870&lt;=M870,"",TRIM(CLEAN(MID(INDEX($B$3:$B$168,K870),M870,N870-M870)))))</x:f>
      </x:c>
      <x:c r="F870" t="str">
        <x:f>IF(E870="","",IF(E870=TRIM(INDEX($A$3:$A$168,K870)),"",IF(RIGHT(TRIM(INDEX($A$3:$A$168,K870)),1)="]",LEFT(TRIM(INDEX($A$3:$A$168,K870)),LEN(TRIM(INDEX($A$3:$A$168,K870)))-1)&amp;", "&amp;SUBSTITUTE(SUBSTITUTE(SUBSTITUTE(E870," [",", "),"[",", "),"]","")&amp;"]",TRIM(INDEX($A$3:$A$168,K870))&amp;" ["&amp;SUBSTITUTE(SUBSTITUTE(SUBSTITUTE(E870," [",", "),"[",", "),"]","")&amp;"]")))</x:f>
      </x:c>
      <x:c r="G870" t="str">
        <x:f>IF(F870&lt;&gt;"",ROWS($F$3:F870)-COUNTBLANK($F$3:F870),"")</x:f>
      </x:c>
      <x:c r="H870"/>
      <x:c r="I870"/>
      <x:c r="J870"/>
      <x:c r="K870" t="str">
        <x:f>IF(ROW()-ROW($K$2)&lt;=SUM($J$3:$J$168),COUNTIF($H$3:$H$168,"&lt;"&amp;(ROW()-ROW($K$2))),"")</x:f>
      </x:c>
      <x:c r="L870" t="str">
        <x:f>IF(K870="","",ROW()-ROW($L$2)-INDEX($H$3:$H$168,K870))</x:f>
      </x:c>
      <x:c r="M870" t="str">
        <x:f>IF(K870="","",IF(L870=1,1,FIND(CHAR(1),SUBSTITUTE(INDEX($B$3:$B$168,K870),CHAR(10),CHAR(1),L870-1))+1))</x:f>
      </x:c>
      <x:c r="N870" t="str">
        <x:f>IF(K870="","",IFERROR(FIND(CHAR(1),SUBSTITUTE(INDEX($B$3:$B$168,K870),CHAR(10),CHAR(1),L870)),LEN(INDEX($B$3:$B$168,K870))+1))</x:f>
      </x:c>
    </x:row>
    <x:row r="871">
      <x:c r="A871"/>
      <x:c r="B871"/>
      <x:c r="C871"/>
      <x:c r="D871" t="str">
        <x:f>IFERROR(IF(869&lt;=$O$1,INDEX($A$3:$A$168,MATCH(869,$I$3:$I$168,0)),IF(869&lt;=$O$1+$O$2,INDEX($F$3:$F$1994,MATCH(869-$O$1,$G$3:$G$1994,0)),"")),"")</x:f>
      </x:c>
      <x:c r="E871" t="str">
        <x:f>IF(K871="","",IF(N871&lt;=M871,"",TRIM(CLEAN(MID(INDEX($B$3:$B$168,K871),M871,N871-M871)))))</x:f>
      </x:c>
      <x:c r="F871" t="str">
        <x:f>IF(E871="","",IF(E871=TRIM(INDEX($A$3:$A$168,K871)),"",IF(RIGHT(TRIM(INDEX($A$3:$A$168,K871)),1)="]",LEFT(TRIM(INDEX($A$3:$A$168,K871)),LEN(TRIM(INDEX($A$3:$A$168,K871)))-1)&amp;", "&amp;SUBSTITUTE(SUBSTITUTE(SUBSTITUTE(E871," [",", "),"[",", "),"]","")&amp;"]",TRIM(INDEX($A$3:$A$168,K871))&amp;" ["&amp;SUBSTITUTE(SUBSTITUTE(SUBSTITUTE(E871," [",", "),"[",", "),"]","")&amp;"]")))</x:f>
      </x:c>
      <x:c r="G871" t="str">
        <x:f>IF(F871&lt;&gt;"",ROWS($F$3:F871)-COUNTBLANK($F$3:F871),"")</x:f>
      </x:c>
      <x:c r="H871"/>
      <x:c r="I871"/>
      <x:c r="J871"/>
      <x:c r="K871" t="str">
        <x:f>IF(ROW()-ROW($K$2)&lt;=SUM($J$3:$J$168),COUNTIF($H$3:$H$168,"&lt;"&amp;(ROW()-ROW($K$2))),"")</x:f>
      </x:c>
      <x:c r="L871" t="str">
        <x:f>IF(K871="","",ROW()-ROW($L$2)-INDEX($H$3:$H$168,K871))</x:f>
      </x:c>
      <x:c r="M871" t="str">
        <x:f>IF(K871="","",IF(L871=1,1,FIND(CHAR(1),SUBSTITUTE(INDEX($B$3:$B$168,K871),CHAR(10),CHAR(1),L871-1))+1))</x:f>
      </x:c>
      <x:c r="N871" t="str">
        <x:f>IF(K871="","",IFERROR(FIND(CHAR(1),SUBSTITUTE(INDEX($B$3:$B$168,K871),CHAR(10),CHAR(1),L871)),LEN(INDEX($B$3:$B$168,K871))+1))</x:f>
      </x:c>
    </x:row>
    <x:row r="872">
      <x:c r="A872"/>
      <x:c r="B872"/>
      <x:c r="C872"/>
      <x:c r="D872" t="str">
        <x:f>IFERROR(IF(870&lt;=$O$1,INDEX($A$3:$A$168,MATCH(870,$I$3:$I$168,0)),IF(870&lt;=$O$1+$O$2,INDEX($F$3:$F$1994,MATCH(870-$O$1,$G$3:$G$1994,0)),"")),"")</x:f>
      </x:c>
      <x:c r="E872" t="str">
        <x:f>IF(K872="","",IF(N872&lt;=M872,"",TRIM(CLEAN(MID(INDEX($B$3:$B$168,K872),M872,N872-M872)))))</x:f>
      </x:c>
      <x:c r="F872" t="str">
        <x:f>IF(E872="","",IF(E872=TRIM(INDEX($A$3:$A$168,K872)),"",IF(RIGHT(TRIM(INDEX($A$3:$A$168,K872)),1)="]",LEFT(TRIM(INDEX($A$3:$A$168,K872)),LEN(TRIM(INDEX($A$3:$A$168,K872)))-1)&amp;", "&amp;SUBSTITUTE(SUBSTITUTE(SUBSTITUTE(E872," [",", "),"[",", "),"]","")&amp;"]",TRIM(INDEX($A$3:$A$168,K872))&amp;" ["&amp;SUBSTITUTE(SUBSTITUTE(SUBSTITUTE(E872," [",", "),"[",", "),"]","")&amp;"]")))</x:f>
      </x:c>
      <x:c r="G872" t="str">
        <x:f>IF(F872&lt;&gt;"",ROWS($F$3:F872)-COUNTBLANK($F$3:F872),"")</x:f>
      </x:c>
      <x:c r="H872"/>
      <x:c r="I872"/>
      <x:c r="J872"/>
      <x:c r="K872" t="str">
        <x:f>IF(ROW()-ROW($K$2)&lt;=SUM($J$3:$J$168),COUNTIF($H$3:$H$168,"&lt;"&amp;(ROW()-ROW($K$2))),"")</x:f>
      </x:c>
      <x:c r="L872" t="str">
        <x:f>IF(K872="","",ROW()-ROW($L$2)-INDEX($H$3:$H$168,K872))</x:f>
      </x:c>
      <x:c r="M872" t="str">
        <x:f>IF(K872="","",IF(L872=1,1,FIND(CHAR(1),SUBSTITUTE(INDEX($B$3:$B$168,K872),CHAR(10),CHAR(1),L872-1))+1))</x:f>
      </x:c>
      <x:c r="N872" t="str">
        <x:f>IF(K872="","",IFERROR(FIND(CHAR(1),SUBSTITUTE(INDEX($B$3:$B$168,K872),CHAR(10),CHAR(1),L872)),LEN(INDEX($B$3:$B$168,K872))+1))</x:f>
      </x:c>
    </x:row>
    <x:row r="873">
      <x:c r="A873"/>
      <x:c r="B873"/>
      <x:c r="C873"/>
      <x:c r="D873" t="str">
        <x:f>IFERROR(IF(871&lt;=$O$1,INDEX($A$3:$A$168,MATCH(871,$I$3:$I$168,0)),IF(871&lt;=$O$1+$O$2,INDEX($F$3:$F$1994,MATCH(871-$O$1,$G$3:$G$1994,0)),"")),"")</x:f>
      </x:c>
      <x:c r="E873" t="str">
        <x:f>IF(K873="","",IF(N873&lt;=M873,"",TRIM(CLEAN(MID(INDEX($B$3:$B$168,K873),M873,N873-M873)))))</x:f>
      </x:c>
      <x:c r="F873" t="str">
        <x:f>IF(E873="","",IF(E873=TRIM(INDEX($A$3:$A$168,K873)),"",IF(RIGHT(TRIM(INDEX($A$3:$A$168,K873)),1)="]",LEFT(TRIM(INDEX($A$3:$A$168,K873)),LEN(TRIM(INDEX($A$3:$A$168,K873)))-1)&amp;", "&amp;SUBSTITUTE(SUBSTITUTE(SUBSTITUTE(E873," [",", "),"[",", "),"]","")&amp;"]",TRIM(INDEX($A$3:$A$168,K873))&amp;" ["&amp;SUBSTITUTE(SUBSTITUTE(SUBSTITUTE(E873," [",", "),"[",", "),"]","")&amp;"]")))</x:f>
      </x:c>
      <x:c r="G873" t="str">
        <x:f>IF(F873&lt;&gt;"",ROWS($F$3:F873)-COUNTBLANK($F$3:F873),"")</x:f>
      </x:c>
      <x:c r="H873"/>
      <x:c r="I873"/>
      <x:c r="J873"/>
      <x:c r="K873" t="str">
        <x:f>IF(ROW()-ROW($K$2)&lt;=SUM($J$3:$J$168),COUNTIF($H$3:$H$168,"&lt;"&amp;(ROW()-ROW($K$2))),"")</x:f>
      </x:c>
      <x:c r="L873" t="str">
        <x:f>IF(K873="","",ROW()-ROW($L$2)-INDEX($H$3:$H$168,K873))</x:f>
      </x:c>
      <x:c r="M873" t="str">
        <x:f>IF(K873="","",IF(L873=1,1,FIND(CHAR(1),SUBSTITUTE(INDEX($B$3:$B$168,K873),CHAR(10),CHAR(1),L873-1))+1))</x:f>
      </x:c>
      <x:c r="N873" t="str">
        <x:f>IF(K873="","",IFERROR(FIND(CHAR(1),SUBSTITUTE(INDEX($B$3:$B$168,K873),CHAR(10),CHAR(1),L873)),LEN(INDEX($B$3:$B$168,K873))+1))</x:f>
      </x:c>
    </x:row>
    <x:row r="874">
      <x:c r="A874"/>
      <x:c r="B874"/>
      <x:c r="C874"/>
      <x:c r="D874" t="str">
        <x:f>IFERROR(IF(872&lt;=$O$1,INDEX($A$3:$A$168,MATCH(872,$I$3:$I$168,0)),IF(872&lt;=$O$1+$O$2,INDEX($F$3:$F$1994,MATCH(872-$O$1,$G$3:$G$1994,0)),"")),"")</x:f>
      </x:c>
      <x:c r="E874" t="str">
        <x:f>IF(K874="","",IF(N874&lt;=M874,"",TRIM(CLEAN(MID(INDEX($B$3:$B$168,K874),M874,N874-M874)))))</x:f>
      </x:c>
      <x:c r="F874" t="str">
        <x:f>IF(E874="","",IF(E874=TRIM(INDEX($A$3:$A$168,K874)),"",IF(RIGHT(TRIM(INDEX($A$3:$A$168,K874)),1)="]",LEFT(TRIM(INDEX($A$3:$A$168,K874)),LEN(TRIM(INDEX($A$3:$A$168,K874)))-1)&amp;", "&amp;SUBSTITUTE(SUBSTITUTE(SUBSTITUTE(E874," [",", "),"[",", "),"]","")&amp;"]",TRIM(INDEX($A$3:$A$168,K874))&amp;" ["&amp;SUBSTITUTE(SUBSTITUTE(SUBSTITUTE(E874," [",", "),"[",", "),"]","")&amp;"]")))</x:f>
      </x:c>
      <x:c r="G874" t="str">
        <x:f>IF(F874&lt;&gt;"",ROWS($F$3:F874)-COUNTBLANK($F$3:F874),"")</x:f>
      </x:c>
      <x:c r="H874"/>
      <x:c r="I874"/>
      <x:c r="J874"/>
      <x:c r="K874" t="str">
        <x:f>IF(ROW()-ROW($K$2)&lt;=SUM($J$3:$J$168),COUNTIF($H$3:$H$168,"&lt;"&amp;(ROW()-ROW($K$2))),"")</x:f>
      </x:c>
      <x:c r="L874" t="str">
        <x:f>IF(K874="","",ROW()-ROW($L$2)-INDEX($H$3:$H$168,K874))</x:f>
      </x:c>
      <x:c r="M874" t="str">
        <x:f>IF(K874="","",IF(L874=1,1,FIND(CHAR(1),SUBSTITUTE(INDEX($B$3:$B$168,K874),CHAR(10),CHAR(1),L874-1))+1))</x:f>
      </x:c>
      <x:c r="N874" t="str">
        <x:f>IF(K874="","",IFERROR(FIND(CHAR(1),SUBSTITUTE(INDEX($B$3:$B$168,K874),CHAR(10),CHAR(1),L874)),LEN(INDEX($B$3:$B$168,K874))+1))</x:f>
      </x:c>
    </x:row>
    <x:row r="875">
      <x:c r="A875"/>
      <x:c r="B875"/>
      <x:c r="C875"/>
      <x:c r="D875" t="str">
        <x:f>IFERROR(IF(873&lt;=$O$1,INDEX($A$3:$A$168,MATCH(873,$I$3:$I$168,0)),IF(873&lt;=$O$1+$O$2,INDEX($F$3:$F$1994,MATCH(873-$O$1,$G$3:$G$1994,0)),"")),"")</x:f>
      </x:c>
      <x:c r="E875" t="str">
        <x:f>IF(K875="","",IF(N875&lt;=M875,"",TRIM(CLEAN(MID(INDEX($B$3:$B$168,K875),M875,N875-M875)))))</x:f>
      </x:c>
      <x:c r="F875" t="str">
        <x:f>IF(E875="","",IF(E875=TRIM(INDEX($A$3:$A$168,K875)),"",IF(RIGHT(TRIM(INDEX($A$3:$A$168,K875)),1)="]",LEFT(TRIM(INDEX($A$3:$A$168,K875)),LEN(TRIM(INDEX($A$3:$A$168,K875)))-1)&amp;", "&amp;SUBSTITUTE(SUBSTITUTE(SUBSTITUTE(E875," [",", "),"[",", "),"]","")&amp;"]",TRIM(INDEX($A$3:$A$168,K875))&amp;" ["&amp;SUBSTITUTE(SUBSTITUTE(SUBSTITUTE(E875," [",", "),"[",", "),"]","")&amp;"]")))</x:f>
      </x:c>
      <x:c r="G875" t="str">
        <x:f>IF(F875&lt;&gt;"",ROWS($F$3:F875)-COUNTBLANK($F$3:F875),"")</x:f>
      </x:c>
      <x:c r="H875"/>
      <x:c r="I875"/>
      <x:c r="J875"/>
      <x:c r="K875" t="str">
        <x:f>IF(ROW()-ROW($K$2)&lt;=SUM($J$3:$J$168),COUNTIF($H$3:$H$168,"&lt;"&amp;(ROW()-ROW($K$2))),"")</x:f>
      </x:c>
      <x:c r="L875" t="str">
        <x:f>IF(K875="","",ROW()-ROW($L$2)-INDEX($H$3:$H$168,K875))</x:f>
      </x:c>
      <x:c r="M875" t="str">
        <x:f>IF(K875="","",IF(L875=1,1,FIND(CHAR(1),SUBSTITUTE(INDEX($B$3:$B$168,K875),CHAR(10),CHAR(1),L875-1))+1))</x:f>
      </x:c>
      <x:c r="N875" t="str">
        <x:f>IF(K875="","",IFERROR(FIND(CHAR(1),SUBSTITUTE(INDEX($B$3:$B$168,K875),CHAR(10),CHAR(1),L875)),LEN(INDEX($B$3:$B$168,K875))+1))</x:f>
      </x:c>
    </x:row>
    <x:row r="876">
      <x:c r="A876"/>
      <x:c r="B876"/>
      <x:c r="C876"/>
      <x:c r="D876" t="str">
        <x:f>IFERROR(IF(874&lt;=$O$1,INDEX($A$3:$A$168,MATCH(874,$I$3:$I$168,0)),IF(874&lt;=$O$1+$O$2,INDEX($F$3:$F$1994,MATCH(874-$O$1,$G$3:$G$1994,0)),"")),"")</x:f>
      </x:c>
      <x:c r="E876" t="str">
        <x:f>IF(K876="","",IF(N876&lt;=M876,"",TRIM(CLEAN(MID(INDEX($B$3:$B$168,K876),M876,N876-M876)))))</x:f>
      </x:c>
      <x:c r="F876" t="str">
        <x:f>IF(E876="","",IF(E876=TRIM(INDEX($A$3:$A$168,K876)),"",IF(RIGHT(TRIM(INDEX($A$3:$A$168,K876)),1)="]",LEFT(TRIM(INDEX($A$3:$A$168,K876)),LEN(TRIM(INDEX($A$3:$A$168,K876)))-1)&amp;", "&amp;SUBSTITUTE(SUBSTITUTE(SUBSTITUTE(E876," [",", "),"[",", "),"]","")&amp;"]",TRIM(INDEX($A$3:$A$168,K876))&amp;" ["&amp;SUBSTITUTE(SUBSTITUTE(SUBSTITUTE(E876," [",", "),"[",", "),"]","")&amp;"]")))</x:f>
      </x:c>
      <x:c r="G876" t="str">
        <x:f>IF(F876&lt;&gt;"",ROWS($F$3:F876)-COUNTBLANK($F$3:F876),"")</x:f>
      </x:c>
      <x:c r="H876"/>
      <x:c r="I876"/>
      <x:c r="J876"/>
      <x:c r="K876" t="str">
        <x:f>IF(ROW()-ROW($K$2)&lt;=SUM($J$3:$J$168),COUNTIF($H$3:$H$168,"&lt;"&amp;(ROW()-ROW($K$2))),"")</x:f>
      </x:c>
      <x:c r="L876" t="str">
        <x:f>IF(K876="","",ROW()-ROW($L$2)-INDEX($H$3:$H$168,K876))</x:f>
      </x:c>
      <x:c r="M876" t="str">
        <x:f>IF(K876="","",IF(L876=1,1,FIND(CHAR(1),SUBSTITUTE(INDEX($B$3:$B$168,K876),CHAR(10),CHAR(1),L876-1))+1))</x:f>
      </x:c>
      <x:c r="N876" t="str">
        <x:f>IF(K876="","",IFERROR(FIND(CHAR(1),SUBSTITUTE(INDEX($B$3:$B$168,K876),CHAR(10),CHAR(1),L876)),LEN(INDEX($B$3:$B$168,K876))+1))</x:f>
      </x:c>
    </x:row>
    <x:row r="877">
      <x:c r="A877"/>
      <x:c r="B877"/>
      <x:c r="C877"/>
      <x:c r="D877" t="str">
        <x:f>IFERROR(IF(875&lt;=$O$1,INDEX($A$3:$A$168,MATCH(875,$I$3:$I$168,0)),IF(875&lt;=$O$1+$O$2,INDEX($F$3:$F$1994,MATCH(875-$O$1,$G$3:$G$1994,0)),"")),"")</x:f>
      </x:c>
      <x:c r="E877" t="str">
        <x:f>IF(K877="","",IF(N877&lt;=M877,"",TRIM(CLEAN(MID(INDEX($B$3:$B$168,K877),M877,N877-M877)))))</x:f>
      </x:c>
      <x:c r="F877" t="str">
        <x:f>IF(E877="","",IF(E877=TRIM(INDEX($A$3:$A$168,K877)),"",IF(RIGHT(TRIM(INDEX($A$3:$A$168,K877)),1)="]",LEFT(TRIM(INDEX($A$3:$A$168,K877)),LEN(TRIM(INDEX($A$3:$A$168,K877)))-1)&amp;", "&amp;SUBSTITUTE(SUBSTITUTE(SUBSTITUTE(E877," [",", "),"[",", "),"]","")&amp;"]",TRIM(INDEX($A$3:$A$168,K877))&amp;" ["&amp;SUBSTITUTE(SUBSTITUTE(SUBSTITUTE(E877," [",", "),"[",", "),"]","")&amp;"]")))</x:f>
      </x:c>
      <x:c r="G877" t="str">
        <x:f>IF(F877&lt;&gt;"",ROWS($F$3:F877)-COUNTBLANK($F$3:F877),"")</x:f>
      </x:c>
      <x:c r="H877"/>
      <x:c r="I877"/>
      <x:c r="J877"/>
      <x:c r="K877" t="str">
        <x:f>IF(ROW()-ROW($K$2)&lt;=SUM($J$3:$J$168),COUNTIF($H$3:$H$168,"&lt;"&amp;(ROW()-ROW($K$2))),"")</x:f>
      </x:c>
      <x:c r="L877" t="str">
        <x:f>IF(K877="","",ROW()-ROW($L$2)-INDEX($H$3:$H$168,K877))</x:f>
      </x:c>
      <x:c r="M877" t="str">
        <x:f>IF(K877="","",IF(L877=1,1,FIND(CHAR(1),SUBSTITUTE(INDEX($B$3:$B$168,K877),CHAR(10),CHAR(1),L877-1))+1))</x:f>
      </x:c>
      <x:c r="N877" t="str">
        <x:f>IF(K877="","",IFERROR(FIND(CHAR(1),SUBSTITUTE(INDEX($B$3:$B$168,K877),CHAR(10),CHAR(1),L877)),LEN(INDEX($B$3:$B$168,K877))+1))</x:f>
      </x:c>
    </x:row>
    <x:row r="878">
      <x:c r="A878"/>
      <x:c r="B878"/>
      <x:c r="C878"/>
      <x:c r="D878" t="str">
        <x:f>IFERROR(IF(876&lt;=$O$1,INDEX($A$3:$A$168,MATCH(876,$I$3:$I$168,0)),IF(876&lt;=$O$1+$O$2,INDEX($F$3:$F$1994,MATCH(876-$O$1,$G$3:$G$1994,0)),"")),"")</x:f>
      </x:c>
      <x:c r="E878" t="str">
        <x:f>IF(K878="","",IF(N878&lt;=M878,"",TRIM(CLEAN(MID(INDEX($B$3:$B$168,K878),M878,N878-M878)))))</x:f>
      </x:c>
      <x:c r="F878" t="str">
        <x:f>IF(E878="","",IF(E878=TRIM(INDEX($A$3:$A$168,K878)),"",IF(RIGHT(TRIM(INDEX($A$3:$A$168,K878)),1)="]",LEFT(TRIM(INDEX($A$3:$A$168,K878)),LEN(TRIM(INDEX($A$3:$A$168,K878)))-1)&amp;", "&amp;SUBSTITUTE(SUBSTITUTE(SUBSTITUTE(E878," [",", "),"[",", "),"]","")&amp;"]",TRIM(INDEX($A$3:$A$168,K878))&amp;" ["&amp;SUBSTITUTE(SUBSTITUTE(SUBSTITUTE(E878," [",", "),"[",", "),"]","")&amp;"]")))</x:f>
      </x:c>
      <x:c r="G878" t="str">
        <x:f>IF(F878&lt;&gt;"",ROWS($F$3:F878)-COUNTBLANK($F$3:F878),"")</x:f>
      </x:c>
      <x:c r="H878"/>
      <x:c r="I878"/>
      <x:c r="J878"/>
      <x:c r="K878" t="str">
        <x:f>IF(ROW()-ROW($K$2)&lt;=SUM($J$3:$J$168),COUNTIF($H$3:$H$168,"&lt;"&amp;(ROW()-ROW($K$2))),"")</x:f>
      </x:c>
      <x:c r="L878" t="str">
        <x:f>IF(K878="","",ROW()-ROW($L$2)-INDEX($H$3:$H$168,K878))</x:f>
      </x:c>
      <x:c r="M878" t="str">
        <x:f>IF(K878="","",IF(L878=1,1,FIND(CHAR(1),SUBSTITUTE(INDEX($B$3:$B$168,K878),CHAR(10),CHAR(1),L878-1))+1))</x:f>
      </x:c>
      <x:c r="N878" t="str">
        <x:f>IF(K878="","",IFERROR(FIND(CHAR(1),SUBSTITUTE(INDEX($B$3:$B$168,K878),CHAR(10),CHAR(1),L878)),LEN(INDEX($B$3:$B$168,K878))+1))</x:f>
      </x:c>
    </x:row>
    <x:row r="879">
      <x:c r="A879"/>
      <x:c r="B879"/>
      <x:c r="C879"/>
      <x:c r="D879" t="str">
        <x:f>IFERROR(IF(877&lt;=$O$1,INDEX($A$3:$A$168,MATCH(877,$I$3:$I$168,0)),IF(877&lt;=$O$1+$O$2,INDEX($F$3:$F$1994,MATCH(877-$O$1,$G$3:$G$1994,0)),"")),"")</x:f>
      </x:c>
      <x:c r="E879" t="str">
        <x:f>IF(K879="","",IF(N879&lt;=M879,"",TRIM(CLEAN(MID(INDEX($B$3:$B$168,K879),M879,N879-M879)))))</x:f>
      </x:c>
      <x:c r="F879" t="str">
        <x:f>IF(E879="","",IF(E879=TRIM(INDEX($A$3:$A$168,K879)),"",IF(RIGHT(TRIM(INDEX($A$3:$A$168,K879)),1)="]",LEFT(TRIM(INDEX($A$3:$A$168,K879)),LEN(TRIM(INDEX($A$3:$A$168,K879)))-1)&amp;", "&amp;SUBSTITUTE(SUBSTITUTE(SUBSTITUTE(E879," [",", "),"[",", "),"]","")&amp;"]",TRIM(INDEX($A$3:$A$168,K879))&amp;" ["&amp;SUBSTITUTE(SUBSTITUTE(SUBSTITUTE(E879," [",", "),"[",", "),"]","")&amp;"]")))</x:f>
      </x:c>
      <x:c r="G879" t="str">
        <x:f>IF(F879&lt;&gt;"",ROWS($F$3:F879)-COUNTBLANK($F$3:F879),"")</x:f>
      </x:c>
      <x:c r="H879"/>
      <x:c r="I879"/>
      <x:c r="J879"/>
      <x:c r="K879" t="str">
        <x:f>IF(ROW()-ROW($K$2)&lt;=SUM($J$3:$J$168),COUNTIF($H$3:$H$168,"&lt;"&amp;(ROW()-ROW($K$2))),"")</x:f>
      </x:c>
      <x:c r="L879" t="str">
        <x:f>IF(K879="","",ROW()-ROW($L$2)-INDEX($H$3:$H$168,K879))</x:f>
      </x:c>
      <x:c r="M879" t="str">
        <x:f>IF(K879="","",IF(L879=1,1,FIND(CHAR(1),SUBSTITUTE(INDEX($B$3:$B$168,K879),CHAR(10),CHAR(1),L879-1))+1))</x:f>
      </x:c>
      <x:c r="N879" t="str">
        <x:f>IF(K879="","",IFERROR(FIND(CHAR(1),SUBSTITUTE(INDEX($B$3:$B$168,K879),CHAR(10),CHAR(1),L879)),LEN(INDEX($B$3:$B$168,K879))+1))</x:f>
      </x:c>
    </x:row>
    <x:row r="880">
      <x:c r="A880"/>
      <x:c r="B880"/>
      <x:c r="C880"/>
      <x:c r="D880" t="str">
        <x:f>IFERROR(IF(878&lt;=$O$1,INDEX($A$3:$A$168,MATCH(878,$I$3:$I$168,0)),IF(878&lt;=$O$1+$O$2,INDEX($F$3:$F$1994,MATCH(878-$O$1,$G$3:$G$1994,0)),"")),"")</x:f>
      </x:c>
      <x:c r="E880" t="str">
        <x:f>IF(K880="","",IF(N880&lt;=M880,"",TRIM(CLEAN(MID(INDEX($B$3:$B$168,K880),M880,N880-M880)))))</x:f>
      </x:c>
      <x:c r="F880" t="str">
        <x:f>IF(E880="","",IF(E880=TRIM(INDEX($A$3:$A$168,K880)),"",IF(RIGHT(TRIM(INDEX($A$3:$A$168,K880)),1)="]",LEFT(TRIM(INDEX($A$3:$A$168,K880)),LEN(TRIM(INDEX($A$3:$A$168,K880)))-1)&amp;", "&amp;SUBSTITUTE(SUBSTITUTE(SUBSTITUTE(E880," [",", "),"[",", "),"]","")&amp;"]",TRIM(INDEX($A$3:$A$168,K880))&amp;" ["&amp;SUBSTITUTE(SUBSTITUTE(SUBSTITUTE(E880," [",", "),"[",", "),"]","")&amp;"]")))</x:f>
      </x:c>
      <x:c r="G880" t="str">
        <x:f>IF(F880&lt;&gt;"",ROWS($F$3:F880)-COUNTBLANK($F$3:F880),"")</x:f>
      </x:c>
      <x:c r="H880"/>
      <x:c r="I880"/>
      <x:c r="J880"/>
      <x:c r="K880" t="str">
        <x:f>IF(ROW()-ROW($K$2)&lt;=SUM($J$3:$J$168),COUNTIF($H$3:$H$168,"&lt;"&amp;(ROW()-ROW($K$2))),"")</x:f>
      </x:c>
      <x:c r="L880" t="str">
        <x:f>IF(K880="","",ROW()-ROW($L$2)-INDEX($H$3:$H$168,K880))</x:f>
      </x:c>
      <x:c r="M880" t="str">
        <x:f>IF(K880="","",IF(L880=1,1,FIND(CHAR(1),SUBSTITUTE(INDEX($B$3:$B$168,K880),CHAR(10),CHAR(1),L880-1))+1))</x:f>
      </x:c>
      <x:c r="N880" t="str">
        <x:f>IF(K880="","",IFERROR(FIND(CHAR(1),SUBSTITUTE(INDEX($B$3:$B$168,K880),CHAR(10),CHAR(1),L880)),LEN(INDEX($B$3:$B$168,K880))+1))</x:f>
      </x:c>
    </x:row>
    <x:row r="881">
      <x:c r="A881"/>
      <x:c r="B881"/>
      <x:c r="C881"/>
      <x:c r="D881" t="str">
        <x:f>IFERROR(IF(879&lt;=$O$1,INDEX($A$3:$A$168,MATCH(879,$I$3:$I$168,0)),IF(879&lt;=$O$1+$O$2,INDEX($F$3:$F$1994,MATCH(879-$O$1,$G$3:$G$1994,0)),"")),"")</x:f>
      </x:c>
      <x:c r="E881" t="str">
        <x:f>IF(K881="","",IF(N881&lt;=M881,"",TRIM(CLEAN(MID(INDEX($B$3:$B$168,K881),M881,N881-M881)))))</x:f>
      </x:c>
      <x:c r="F881" t="str">
        <x:f>IF(E881="","",IF(E881=TRIM(INDEX($A$3:$A$168,K881)),"",IF(RIGHT(TRIM(INDEX($A$3:$A$168,K881)),1)="]",LEFT(TRIM(INDEX($A$3:$A$168,K881)),LEN(TRIM(INDEX($A$3:$A$168,K881)))-1)&amp;", "&amp;SUBSTITUTE(SUBSTITUTE(SUBSTITUTE(E881," [",", "),"[",", "),"]","")&amp;"]",TRIM(INDEX($A$3:$A$168,K881))&amp;" ["&amp;SUBSTITUTE(SUBSTITUTE(SUBSTITUTE(E881," [",", "),"[",", "),"]","")&amp;"]")))</x:f>
      </x:c>
      <x:c r="G881" t="str">
        <x:f>IF(F881&lt;&gt;"",ROWS($F$3:F881)-COUNTBLANK($F$3:F881),"")</x:f>
      </x:c>
      <x:c r="H881"/>
      <x:c r="I881"/>
      <x:c r="J881"/>
      <x:c r="K881" t="str">
        <x:f>IF(ROW()-ROW($K$2)&lt;=SUM($J$3:$J$168),COUNTIF($H$3:$H$168,"&lt;"&amp;(ROW()-ROW($K$2))),"")</x:f>
      </x:c>
      <x:c r="L881" t="str">
        <x:f>IF(K881="","",ROW()-ROW($L$2)-INDEX($H$3:$H$168,K881))</x:f>
      </x:c>
      <x:c r="M881" t="str">
        <x:f>IF(K881="","",IF(L881=1,1,FIND(CHAR(1),SUBSTITUTE(INDEX($B$3:$B$168,K881),CHAR(10),CHAR(1),L881-1))+1))</x:f>
      </x:c>
      <x:c r="N881" t="str">
        <x:f>IF(K881="","",IFERROR(FIND(CHAR(1),SUBSTITUTE(INDEX($B$3:$B$168,K881),CHAR(10),CHAR(1),L881)),LEN(INDEX($B$3:$B$168,K881))+1))</x:f>
      </x:c>
    </x:row>
    <x:row r="882">
      <x:c r="A882"/>
      <x:c r="B882"/>
      <x:c r="C882"/>
      <x:c r="D882" t="str">
        <x:f>IFERROR(IF(880&lt;=$O$1,INDEX($A$3:$A$168,MATCH(880,$I$3:$I$168,0)),IF(880&lt;=$O$1+$O$2,INDEX($F$3:$F$1994,MATCH(880-$O$1,$G$3:$G$1994,0)),"")),"")</x:f>
      </x:c>
      <x:c r="E882" t="str">
        <x:f>IF(K882="","",IF(N882&lt;=M882,"",TRIM(CLEAN(MID(INDEX($B$3:$B$168,K882),M882,N882-M882)))))</x:f>
      </x:c>
      <x:c r="F882" t="str">
        <x:f>IF(E882="","",IF(E882=TRIM(INDEX($A$3:$A$168,K882)),"",IF(RIGHT(TRIM(INDEX($A$3:$A$168,K882)),1)="]",LEFT(TRIM(INDEX($A$3:$A$168,K882)),LEN(TRIM(INDEX($A$3:$A$168,K882)))-1)&amp;", "&amp;SUBSTITUTE(SUBSTITUTE(SUBSTITUTE(E882," [",", "),"[",", "),"]","")&amp;"]",TRIM(INDEX($A$3:$A$168,K882))&amp;" ["&amp;SUBSTITUTE(SUBSTITUTE(SUBSTITUTE(E882," [",", "),"[",", "),"]","")&amp;"]")))</x:f>
      </x:c>
      <x:c r="G882" t="str">
        <x:f>IF(F882&lt;&gt;"",ROWS($F$3:F882)-COUNTBLANK($F$3:F882),"")</x:f>
      </x:c>
      <x:c r="H882"/>
      <x:c r="I882"/>
      <x:c r="J882"/>
      <x:c r="K882" t="str">
        <x:f>IF(ROW()-ROW($K$2)&lt;=SUM($J$3:$J$168),COUNTIF($H$3:$H$168,"&lt;"&amp;(ROW()-ROW($K$2))),"")</x:f>
      </x:c>
      <x:c r="L882" t="str">
        <x:f>IF(K882="","",ROW()-ROW($L$2)-INDEX($H$3:$H$168,K882))</x:f>
      </x:c>
      <x:c r="M882" t="str">
        <x:f>IF(K882="","",IF(L882=1,1,FIND(CHAR(1),SUBSTITUTE(INDEX($B$3:$B$168,K882),CHAR(10),CHAR(1),L882-1))+1))</x:f>
      </x:c>
      <x:c r="N882" t="str">
        <x:f>IF(K882="","",IFERROR(FIND(CHAR(1),SUBSTITUTE(INDEX($B$3:$B$168,K882),CHAR(10),CHAR(1),L882)),LEN(INDEX($B$3:$B$168,K882))+1))</x:f>
      </x:c>
    </x:row>
    <x:row r="883">
      <x:c r="A883"/>
      <x:c r="B883"/>
      <x:c r="C883"/>
      <x:c r="D883" t="str">
        <x:f>IFERROR(IF(881&lt;=$O$1,INDEX($A$3:$A$168,MATCH(881,$I$3:$I$168,0)),IF(881&lt;=$O$1+$O$2,INDEX($F$3:$F$1994,MATCH(881-$O$1,$G$3:$G$1994,0)),"")),"")</x:f>
      </x:c>
      <x:c r="E883" t="str">
        <x:f>IF(K883="","",IF(N883&lt;=M883,"",TRIM(CLEAN(MID(INDEX($B$3:$B$168,K883),M883,N883-M883)))))</x:f>
      </x:c>
      <x:c r="F883" t="str">
        <x:f>IF(E883="","",IF(E883=TRIM(INDEX($A$3:$A$168,K883)),"",IF(RIGHT(TRIM(INDEX($A$3:$A$168,K883)),1)="]",LEFT(TRIM(INDEX($A$3:$A$168,K883)),LEN(TRIM(INDEX($A$3:$A$168,K883)))-1)&amp;", "&amp;SUBSTITUTE(SUBSTITUTE(SUBSTITUTE(E883," [",", "),"[",", "),"]","")&amp;"]",TRIM(INDEX($A$3:$A$168,K883))&amp;" ["&amp;SUBSTITUTE(SUBSTITUTE(SUBSTITUTE(E883," [",", "),"[",", "),"]","")&amp;"]")))</x:f>
      </x:c>
      <x:c r="G883" t="str">
        <x:f>IF(F883&lt;&gt;"",ROWS($F$3:F883)-COUNTBLANK($F$3:F883),"")</x:f>
      </x:c>
      <x:c r="H883"/>
      <x:c r="I883"/>
      <x:c r="J883"/>
      <x:c r="K883" t="str">
        <x:f>IF(ROW()-ROW($K$2)&lt;=SUM($J$3:$J$168),COUNTIF($H$3:$H$168,"&lt;"&amp;(ROW()-ROW($K$2))),"")</x:f>
      </x:c>
      <x:c r="L883" t="str">
        <x:f>IF(K883="","",ROW()-ROW($L$2)-INDEX($H$3:$H$168,K883))</x:f>
      </x:c>
      <x:c r="M883" t="str">
        <x:f>IF(K883="","",IF(L883=1,1,FIND(CHAR(1),SUBSTITUTE(INDEX($B$3:$B$168,K883),CHAR(10),CHAR(1),L883-1))+1))</x:f>
      </x:c>
      <x:c r="N883" t="str">
        <x:f>IF(K883="","",IFERROR(FIND(CHAR(1),SUBSTITUTE(INDEX($B$3:$B$168,K883),CHAR(10),CHAR(1),L883)),LEN(INDEX($B$3:$B$168,K883))+1))</x:f>
      </x:c>
    </x:row>
    <x:row r="884">
      <x:c r="A884"/>
      <x:c r="B884"/>
      <x:c r="C884"/>
      <x:c r="D884" t="str">
        <x:f>IFERROR(IF(882&lt;=$O$1,INDEX($A$3:$A$168,MATCH(882,$I$3:$I$168,0)),IF(882&lt;=$O$1+$O$2,INDEX($F$3:$F$1994,MATCH(882-$O$1,$G$3:$G$1994,0)),"")),"")</x:f>
      </x:c>
      <x:c r="E884" t="str">
        <x:f>IF(K884="","",IF(N884&lt;=M884,"",TRIM(CLEAN(MID(INDEX($B$3:$B$168,K884),M884,N884-M884)))))</x:f>
      </x:c>
      <x:c r="F884" t="str">
        <x:f>IF(E884="","",IF(E884=TRIM(INDEX($A$3:$A$168,K884)),"",IF(RIGHT(TRIM(INDEX($A$3:$A$168,K884)),1)="]",LEFT(TRIM(INDEX($A$3:$A$168,K884)),LEN(TRIM(INDEX($A$3:$A$168,K884)))-1)&amp;", "&amp;SUBSTITUTE(SUBSTITUTE(SUBSTITUTE(E884," [",", "),"[",", "),"]","")&amp;"]",TRIM(INDEX($A$3:$A$168,K884))&amp;" ["&amp;SUBSTITUTE(SUBSTITUTE(SUBSTITUTE(E884," [",", "),"[",", "),"]","")&amp;"]")))</x:f>
      </x:c>
      <x:c r="G884" t="str">
        <x:f>IF(F884&lt;&gt;"",ROWS($F$3:F884)-COUNTBLANK($F$3:F884),"")</x:f>
      </x:c>
      <x:c r="H884"/>
      <x:c r="I884"/>
      <x:c r="J884"/>
      <x:c r="K884" t="str">
        <x:f>IF(ROW()-ROW($K$2)&lt;=SUM($J$3:$J$168),COUNTIF($H$3:$H$168,"&lt;"&amp;(ROW()-ROW($K$2))),"")</x:f>
      </x:c>
      <x:c r="L884" t="str">
        <x:f>IF(K884="","",ROW()-ROW($L$2)-INDEX($H$3:$H$168,K884))</x:f>
      </x:c>
      <x:c r="M884" t="str">
        <x:f>IF(K884="","",IF(L884=1,1,FIND(CHAR(1),SUBSTITUTE(INDEX($B$3:$B$168,K884),CHAR(10),CHAR(1),L884-1))+1))</x:f>
      </x:c>
      <x:c r="N884" t="str">
        <x:f>IF(K884="","",IFERROR(FIND(CHAR(1),SUBSTITUTE(INDEX($B$3:$B$168,K884),CHAR(10),CHAR(1),L884)),LEN(INDEX($B$3:$B$168,K884))+1))</x:f>
      </x:c>
    </x:row>
    <x:row r="885">
      <x:c r="A885"/>
      <x:c r="B885"/>
      <x:c r="C885"/>
      <x:c r="D885" t="str">
        <x:f>IFERROR(IF(883&lt;=$O$1,INDEX($A$3:$A$168,MATCH(883,$I$3:$I$168,0)),IF(883&lt;=$O$1+$O$2,INDEX($F$3:$F$1994,MATCH(883-$O$1,$G$3:$G$1994,0)),"")),"")</x:f>
      </x:c>
      <x:c r="E885" t="str">
        <x:f>IF(K885="","",IF(N885&lt;=M885,"",TRIM(CLEAN(MID(INDEX($B$3:$B$168,K885),M885,N885-M885)))))</x:f>
      </x:c>
      <x:c r="F885" t="str">
        <x:f>IF(E885="","",IF(E885=TRIM(INDEX($A$3:$A$168,K885)),"",IF(RIGHT(TRIM(INDEX($A$3:$A$168,K885)),1)="]",LEFT(TRIM(INDEX($A$3:$A$168,K885)),LEN(TRIM(INDEX($A$3:$A$168,K885)))-1)&amp;", "&amp;SUBSTITUTE(SUBSTITUTE(SUBSTITUTE(E885," [",", "),"[",", "),"]","")&amp;"]",TRIM(INDEX($A$3:$A$168,K885))&amp;" ["&amp;SUBSTITUTE(SUBSTITUTE(SUBSTITUTE(E885," [",", "),"[",", "),"]","")&amp;"]")))</x:f>
      </x:c>
      <x:c r="G885" t="str">
        <x:f>IF(F885&lt;&gt;"",ROWS($F$3:F885)-COUNTBLANK($F$3:F885),"")</x:f>
      </x:c>
      <x:c r="H885"/>
      <x:c r="I885"/>
      <x:c r="J885"/>
      <x:c r="K885" t="str">
        <x:f>IF(ROW()-ROW($K$2)&lt;=SUM($J$3:$J$168),COUNTIF($H$3:$H$168,"&lt;"&amp;(ROW()-ROW($K$2))),"")</x:f>
      </x:c>
      <x:c r="L885" t="str">
        <x:f>IF(K885="","",ROW()-ROW($L$2)-INDEX($H$3:$H$168,K885))</x:f>
      </x:c>
      <x:c r="M885" t="str">
        <x:f>IF(K885="","",IF(L885=1,1,FIND(CHAR(1),SUBSTITUTE(INDEX($B$3:$B$168,K885),CHAR(10),CHAR(1),L885-1))+1))</x:f>
      </x:c>
      <x:c r="N885" t="str">
        <x:f>IF(K885="","",IFERROR(FIND(CHAR(1),SUBSTITUTE(INDEX($B$3:$B$168,K885),CHAR(10),CHAR(1),L885)),LEN(INDEX($B$3:$B$168,K885))+1))</x:f>
      </x:c>
    </x:row>
    <x:row r="886">
      <x:c r="A886"/>
      <x:c r="B886"/>
      <x:c r="C886"/>
      <x:c r="D886" t="str">
        <x:f>IFERROR(IF(884&lt;=$O$1,INDEX($A$3:$A$168,MATCH(884,$I$3:$I$168,0)),IF(884&lt;=$O$1+$O$2,INDEX($F$3:$F$1994,MATCH(884-$O$1,$G$3:$G$1994,0)),"")),"")</x:f>
      </x:c>
      <x:c r="E886" t="str">
        <x:f>IF(K886="","",IF(N886&lt;=M886,"",TRIM(CLEAN(MID(INDEX($B$3:$B$168,K886),M886,N886-M886)))))</x:f>
      </x:c>
      <x:c r="F886" t="str">
        <x:f>IF(E886="","",IF(E886=TRIM(INDEX($A$3:$A$168,K886)),"",IF(RIGHT(TRIM(INDEX($A$3:$A$168,K886)),1)="]",LEFT(TRIM(INDEX($A$3:$A$168,K886)),LEN(TRIM(INDEX($A$3:$A$168,K886)))-1)&amp;", "&amp;SUBSTITUTE(SUBSTITUTE(SUBSTITUTE(E886," [",", "),"[",", "),"]","")&amp;"]",TRIM(INDEX($A$3:$A$168,K886))&amp;" ["&amp;SUBSTITUTE(SUBSTITUTE(SUBSTITUTE(E886," [",", "),"[",", "),"]","")&amp;"]")))</x:f>
      </x:c>
      <x:c r="G886" t="str">
        <x:f>IF(F886&lt;&gt;"",ROWS($F$3:F886)-COUNTBLANK($F$3:F886),"")</x:f>
      </x:c>
      <x:c r="H886"/>
      <x:c r="I886"/>
      <x:c r="J886"/>
      <x:c r="K886" t="str">
        <x:f>IF(ROW()-ROW($K$2)&lt;=SUM($J$3:$J$168),COUNTIF($H$3:$H$168,"&lt;"&amp;(ROW()-ROW($K$2))),"")</x:f>
      </x:c>
      <x:c r="L886" t="str">
        <x:f>IF(K886="","",ROW()-ROW($L$2)-INDEX($H$3:$H$168,K886))</x:f>
      </x:c>
      <x:c r="M886" t="str">
        <x:f>IF(K886="","",IF(L886=1,1,FIND(CHAR(1),SUBSTITUTE(INDEX($B$3:$B$168,K886),CHAR(10),CHAR(1),L886-1))+1))</x:f>
      </x:c>
      <x:c r="N886" t="str">
        <x:f>IF(K886="","",IFERROR(FIND(CHAR(1),SUBSTITUTE(INDEX($B$3:$B$168,K886),CHAR(10),CHAR(1),L886)),LEN(INDEX($B$3:$B$168,K886))+1))</x:f>
      </x:c>
    </x:row>
    <x:row r="887">
      <x:c r="A887"/>
      <x:c r="B887"/>
      <x:c r="C887"/>
      <x:c r="D887" t="str">
        <x:f>IFERROR(IF(885&lt;=$O$1,INDEX($A$3:$A$168,MATCH(885,$I$3:$I$168,0)),IF(885&lt;=$O$1+$O$2,INDEX($F$3:$F$1994,MATCH(885-$O$1,$G$3:$G$1994,0)),"")),"")</x:f>
      </x:c>
      <x:c r="E887" t="str">
        <x:f>IF(K887="","",IF(N887&lt;=M887,"",TRIM(CLEAN(MID(INDEX($B$3:$B$168,K887),M887,N887-M887)))))</x:f>
      </x:c>
      <x:c r="F887" t="str">
        <x:f>IF(E887="","",IF(E887=TRIM(INDEX($A$3:$A$168,K887)),"",IF(RIGHT(TRIM(INDEX($A$3:$A$168,K887)),1)="]",LEFT(TRIM(INDEX($A$3:$A$168,K887)),LEN(TRIM(INDEX($A$3:$A$168,K887)))-1)&amp;", "&amp;SUBSTITUTE(SUBSTITUTE(SUBSTITUTE(E887," [",", "),"[",", "),"]","")&amp;"]",TRIM(INDEX($A$3:$A$168,K887))&amp;" ["&amp;SUBSTITUTE(SUBSTITUTE(SUBSTITUTE(E887," [",", "),"[",", "),"]","")&amp;"]")))</x:f>
      </x:c>
      <x:c r="G887" t="str">
        <x:f>IF(F887&lt;&gt;"",ROWS($F$3:F887)-COUNTBLANK($F$3:F887),"")</x:f>
      </x:c>
      <x:c r="H887"/>
      <x:c r="I887"/>
      <x:c r="J887"/>
      <x:c r="K887" t="str">
        <x:f>IF(ROW()-ROW($K$2)&lt;=SUM($J$3:$J$168),COUNTIF($H$3:$H$168,"&lt;"&amp;(ROW()-ROW($K$2))),"")</x:f>
      </x:c>
      <x:c r="L887" t="str">
        <x:f>IF(K887="","",ROW()-ROW($L$2)-INDEX($H$3:$H$168,K887))</x:f>
      </x:c>
      <x:c r="M887" t="str">
        <x:f>IF(K887="","",IF(L887=1,1,FIND(CHAR(1),SUBSTITUTE(INDEX($B$3:$B$168,K887),CHAR(10),CHAR(1),L887-1))+1))</x:f>
      </x:c>
      <x:c r="N887" t="str">
        <x:f>IF(K887="","",IFERROR(FIND(CHAR(1),SUBSTITUTE(INDEX($B$3:$B$168,K887),CHAR(10),CHAR(1),L887)),LEN(INDEX($B$3:$B$168,K887))+1))</x:f>
      </x:c>
    </x:row>
    <x:row r="888">
      <x:c r="A888"/>
      <x:c r="B888"/>
      <x:c r="C888"/>
      <x:c r="D888" t="str">
        <x:f>IFERROR(IF(886&lt;=$O$1,INDEX($A$3:$A$168,MATCH(886,$I$3:$I$168,0)),IF(886&lt;=$O$1+$O$2,INDEX($F$3:$F$1994,MATCH(886-$O$1,$G$3:$G$1994,0)),"")),"")</x:f>
      </x:c>
      <x:c r="E888" t="str">
        <x:f>IF(K888="","",IF(N888&lt;=M888,"",TRIM(CLEAN(MID(INDEX($B$3:$B$168,K888),M888,N888-M888)))))</x:f>
      </x:c>
      <x:c r="F888" t="str">
        <x:f>IF(E888="","",IF(E888=TRIM(INDEX($A$3:$A$168,K888)),"",IF(RIGHT(TRIM(INDEX($A$3:$A$168,K888)),1)="]",LEFT(TRIM(INDEX($A$3:$A$168,K888)),LEN(TRIM(INDEX($A$3:$A$168,K888)))-1)&amp;", "&amp;SUBSTITUTE(SUBSTITUTE(SUBSTITUTE(E888," [",", "),"[",", "),"]","")&amp;"]",TRIM(INDEX($A$3:$A$168,K888))&amp;" ["&amp;SUBSTITUTE(SUBSTITUTE(SUBSTITUTE(E888," [",", "),"[",", "),"]","")&amp;"]")))</x:f>
      </x:c>
      <x:c r="G888" t="str">
        <x:f>IF(F888&lt;&gt;"",ROWS($F$3:F888)-COUNTBLANK($F$3:F888),"")</x:f>
      </x:c>
      <x:c r="H888"/>
      <x:c r="I888"/>
      <x:c r="J888"/>
      <x:c r="K888" t="str">
        <x:f>IF(ROW()-ROW($K$2)&lt;=SUM($J$3:$J$168),COUNTIF($H$3:$H$168,"&lt;"&amp;(ROW()-ROW($K$2))),"")</x:f>
      </x:c>
      <x:c r="L888" t="str">
        <x:f>IF(K888="","",ROW()-ROW($L$2)-INDEX($H$3:$H$168,K888))</x:f>
      </x:c>
      <x:c r="M888" t="str">
        <x:f>IF(K888="","",IF(L888=1,1,FIND(CHAR(1),SUBSTITUTE(INDEX($B$3:$B$168,K888),CHAR(10),CHAR(1),L888-1))+1))</x:f>
      </x:c>
      <x:c r="N888" t="str">
        <x:f>IF(K888="","",IFERROR(FIND(CHAR(1),SUBSTITUTE(INDEX($B$3:$B$168,K888),CHAR(10),CHAR(1),L888)),LEN(INDEX($B$3:$B$168,K888))+1))</x:f>
      </x:c>
    </x:row>
    <x:row r="889">
      <x:c r="A889"/>
      <x:c r="B889"/>
      <x:c r="C889"/>
      <x:c r="D889" t="str">
        <x:f>IFERROR(IF(887&lt;=$O$1,INDEX($A$3:$A$168,MATCH(887,$I$3:$I$168,0)),IF(887&lt;=$O$1+$O$2,INDEX($F$3:$F$1994,MATCH(887-$O$1,$G$3:$G$1994,0)),"")),"")</x:f>
      </x:c>
      <x:c r="E889" t="str">
        <x:f>IF(K889="","",IF(N889&lt;=M889,"",TRIM(CLEAN(MID(INDEX($B$3:$B$168,K889),M889,N889-M889)))))</x:f>
      </x:c>
      <x:c r="F889" t="str">
        <x:f>IF(E889="","",IF(E889=TRIM(INDEX($A$3:$A$168,K889)),"",IF(RIGHT(TRIM(INDEX($A$3:$A$168,K889)),1)="]",LEFT(TRIM(INDEX($A$3:$A$168,K889)),LEN(TRIM(INDEX($A$3:$A$168,K889)))-1)&amp;", "&amp;SUBSTITUTE(SUBSTITUTE(SUBSTITUTE(E889," [",", "),"[",", "),"]","")&amp;"]",TRIM(INDEX($A$3:$A$168,K889))&amp;" ["&amp;SUBSTITUTE(SUBSTITUTE(SUBSTITUTE(E889," [",", "),"[",", "),"]","")&amp;"]")))</x:f>
      </x:c>
      <x:c r="G889" t="str">
        <x:f>IF(F889&lt;&gt;"",ROWS($F$3:F889)-COUNTBLANK($F$3:F889),"")</x:f>
      </x:c>
      <x:c r="H889"/>
      <x:c r="I889"/>
      <x:c r="J889"/>
      <x:c r="K889" t="str">
        <x:f>IF(ROW()-ROW($K$2)&lt;=SUM($J$3:$J$168),COUNTIF($H$3:$H$168,"&lt;"&amp;(ROW()-ROW($K$2))),"")</x:f>
      </x:c>
      <x:c r="L889" t="str">
        <x:f>IF(K889="","",ROW()-ROW($L$2)-INDEX($H$3:$H$168,K889))</x:f>
      </x:c>
      <x:c r="M889" t="str">
        <x:f>IF(K889="","",IF(L889=1,1,FIND(CHAR(1),SUBSTITUTE(INDEX($B$3:$B$168,K889),CHAR(10),CHAR(1),L889-1))+1))</x:f>
      </x:c>
      <x:c r="N889" t="str">
        <x:f>IF(K889="","",IFERROR(FIND(CHAR(1),SUBSTITUTE(INDEX($B$3:$B$168,K889),CHAR(10),CHAR(1),L889)),LEN(INDEX($B$3:$B$168,K889))+1))</x:f>
      </x:c>
    </x:row>
    <x:row r="890">
      <x:c r="A890"/>
      <x:c r="B890"/>
      <x:c r="C890"/>
      <x:c r="D890" t="str">
        <x:f>IFERROR(IF(888&lt;=$O$1,INDEX($A$3:$A$168,MATCH(888,$I$3:$I$168,0)),IF(888&lt;=$O$1+$O$2,INDEX($F$3:$F$1994,MATCH(888-$O$1,$G$3:$G$1994,0)),"")),"")</x:f>
      </x:c>
      <x:c r="E890" t="str">
        <x:f>IF(K890="","",IF(N890&lt;=M890,"",TRIM(CLEAN(MID(INDEX($B$3:$B$168,K890),M890,N890-M890)))))</x:f>
      </x:c>
      <x:c r="F890" t="str">
        <x:f>IF(E890="","",IF(E890=TRIM(INDEX($A$3:$A$168,K890)),"",IF(RIGHT(TRIM(INDEX($A$3:$A$168,K890)),1)="]",LEFT(TRIM(INDEX($A$3:$A$168,K890)),LEN(TRIM(INDEX($A$3:$A$168,K890)))-1)&amp;", "&amp;SUBSTITUTE(SUBSTITUTE(SUBSTITUTE(E890," [",", "),"[",", "),"]","")&amp;"]",TRIM(INDEX($A$3:$A$168,K890))&amp;" ["&amp;SUBSTITUTE(SUBSTITUTE(SUBSTITUTE(E890," [",", "),"[",", "),"]","")&amp;"]")))</x:f>
      </x:c>
      <x:c r="G890" t="str">
        <x:f>IF(F890&lt;&gt;"",ROWS($F$3:F890)-COUNTBLANK($F$3:F890),"")</x:f>
      </x:c>
      <x:c r="H890"/>
      <x:c r="I890"/>
      <x:c r="J890"/>
      <x:c r="K890" t="str">
        <x:f>IF(ROW()-ROW($K$2)&lt;=SUM($J$3:$J$168),COUNTIF($H$3:$H$168,"&lt;"&amp;(ROW()-ROW($K$2))),"")</x:f>
      </x:c>
      <x:c r="L890" t="str">
        <x:f>IF(K890="","",ROW()-ROW($L$2)-INDEX($H$3:$H$168,K890))</x:f>
      </x:c>
      <x:c r="M890" t="str">
        <x:f>IF(K890="","",IF(L890=1,1,FIND(CHAR(1),SUBSTITUTE(INDEX($B$3:$B$168,K890),CHAR(10),CHAR(1),L890-1))+1))</x:f>
      </x:c>
      <x:c r="N890" t="str">
        <x:f>IF(K890="","",IFERROR(FIND(CHAR(1),SUBSTITUTE(INDEX($B$3:$B$168,K890),CHAR(10),CHAR(1),L890)),LEN(INDEX($B$3:$B$168,K890))+1))</x:f>
      </x:c>
    </x:row>
    <x:row r="891">
      <x:c r="A891"/>
      <x:c r="B891"/>
      <x:c r="C891"/>
      <x:c r="D891" t="str">
        <x:f>IFERROR(IF(889&lt;=$O$1,INDEX($A$3:$A$168,MATCH(889,$I$3:$I$168,0)),IF(889&lt;=$O$1+$O$2,INDEX($F$3:$F$1994,MATCH(889-$O$1,$G$3:$G$1994,0)),"")),"")</x:f>
      </x:c>
      <x:c r="E891" t="str">
        <x:f>IF(K891="","",IF(N891&lt;=M891,"",TRIM(CLEAN(MID(INDEX($B$3:$B$168,K891),M891,N891-M891)))))</x:f>
      </x:c>
      <x:c r="F891" t="str">
        <x:f>IF(E891="","",IF(E891=TRIM(INDEX($A$3:$A$168,K891)),"",IF(RIGHT(TRIM(INDEX($A$3:$A$168,K891)),1)="]",LEFT(TRIM(INDEX($A$3:$A$168,K891)),LEN(TRIM(INDEX($A$3:$A$168,K891)))-1)&amp;", "&amp;SUBSTITUTE(SUBSTITUTE(SUBSTITUTE(E891," [",", "),"[",", "),"]","")&amp;"]",TRIM(INDEX($A$3:$A$168,K891))&amp;" ["&amp;SUBSTITUTE(SUBSTITUTE(SUBSTITUTE(E891," [",", "),"[",", "),"]","")&amp;"]")))</x:f>
      </x:c>
      <x:c r="G891" t="str">
        <x:f>IF(F891&lt;&gt;"",ROWS($F$3:F891)-COUNTBLANK($F$3:F891),"")</x:f>
      </x:c>
      <x:c r="H891"/>
      <x:c r="I891"/>
      <x:c r="J891"/>
      <x:c r="K891" t="str">
        <x:f>IF(ROW()-ROW($K$2)&lt;=SUM($J$3:$J$168),COUNTIF($H$3:$H$168,"&lt;"&amp;(ROW()-ROW($K$2))),"")</x:f>
      </x:c>
      <x:c r="L891" t="str">
        <x:f>IF(K891="","",ROW()-ROW($L$2)-INDEX($H$3:$H$168,K891))</x:f>
      </x:c>
      <x:c r="M891" t="str">
        <x:f>IF(K891="","",IF(L891=1,1,FIND(CHAR(1),SUBSTITUTE(INDEX($B$3:$B$168,K891),CHAR(10),CHAR(1),L891-1))+1))</x:f>
      </x:c>
      <x:c r="N891" t="str">
        <x:f>IF(K891="","",IFERROR(FIND(CHAR(1),SUBSTITUTE(INDEX($B$3:$B$168,K891),CHAR(10),CHAR(1),L891)),LEN(INDEX($B$3:$B$168,K891))+1))</x:f>
      </x:c>
    </x:row>
    <x:row r="892">
      <x:c r="A892"/>
      <x:c r="B892"/>
      <x:c r="C892"/>
      <x:c r="D892" t="str">
        <x:f>IFERROR(IF(890&lt;=$O$1,INDEX($A$3:$A$168,MATCH(890,$I$3:$I$168,0)),IF(890&lt;=$O$1+$O$2,INDEX($F$3:$F$1994,MATCH(890-$O$1,$G$3:$G$1994,0)),"")),"")</x:f>
      </x:c>
      <x:c r="E892" t="str">
        <x:f>IF(K892="","",IF(N892&lt;=M892,"",TRIM(CLEAN(MID(INDEX($B$3:$B$168,K892),M892,N892-M892)))))</x:f>
      </x:c>
      <x:c r="F892" t="str">
        <x:f>IF(E892="","",IF(E892=TRIM(INDEX($A$3:$A$168,K892)),"",IF(RIGHT(TRIM(INDEX($A$3:$A$168,K892)),1)="]",LEFT(TRIM(INDEX($A$3:$A$168,K892)),LEN(TRIM(INDEX($A$3:$A$168,K892)))-1)&amp;", "&amp;SUBSTITUTE(SUBSTITUTE(SUBSTITUTE(E892," [",", "),"[",", "),"]","")&amp;"]",TRIM(INDEX($A$3:$A$168,K892))&amp;" ["&amp;SUBSTITUTE(SUBSTITUTE(SUBSTITUTE(E892," [",", "),"[",", "),"]","")&amp;"]")))</x:f>
      </x:c>
      <x:c r="G892" t="str">
        <x:f>IF(F892&lt;&gt;"",ROWS($F$3:F892)-COUNTBLANK($F$3:F892),"")</x:f>
      </x:c>
      <x:c r="H892"/>
      <x:c r="I892"/>
      <x:c r="J892"/>
      <x:c r="K892" t="str">
        <x:f>IF(ROW()-ROW($K$2)&lt;=SUM($J$3:$J$168),COUNTIF($H$3:$H$168,"&lt;"&amp;(ROW()-ROW($K$2))),"")</x:f>
      </x:c>
      <x:c r="L892" t="str">
        <x:f>IF(K892="","",ROW()-ROW($L$2)-INDEX($H$3:$H$168,K892))</x:f>
      </x:c>
      <x:c r="M892" t="str">
        <x:f>IF(K892="","",IF(L892=1,1,FIND(CHAR(1),SUBSTITUTE(INDEX($B$3:$B$168,K892),CHAR(10),CHAR(1),L892-1))+1))</x:f>
      </x:c>
      <x:c r="N892" t="str">
        <x:f>IF(K892="","",IFERROR(FIND(CHAR(1),SUBSTITUTE(INDEX($B$3:$B$168,K892),CHAR(10),CHAR(1),L892)),LEN(INDEX($B$3:$B$168,K892))+1))</x:f>
      </x:c>
    </x:row>
    <x:row r="893">
      <x:c r="A893"/>
      <x:c r="B893"/>
      <x:c r="C893"/>
      <x:c r="D893" t="str">
        <x:f>IFERROR(IF(891&lt;=$O$1,INDEX($A$3:$A$168,MATCH(891,$I$3:$I$168,0)),IF(891&lt;=$O$1+$O$2,INDEX($F$3:$F$1994,MATCH(891-$O$1,$G$3:$G$1994,0)),"")),"")</x:f>
      </x:c>
      <x:c r="E893" t="str">
        <x:f>IF(K893="","",IF(N893&lt;=M893,"",TRIM(CLEAN(MID(INDEX($B$3:$B$168,K893),M893,N893-M893)))))</x:f>
      </x:c>
      <x:c r="F893" t="str">
        <x:f>IF(E893="","",IF(E893=TRIM(INDEX($A$3:$A$168,K893)),"",IF(RIGHT(TRIM(INDEX($A$3:$A$168,K893)),1)="]",LEFT(TRIM(INDEX($A$3:$A$168,K893)),LEN(TRIM(INDEX($A$3:$A$168,K893)))-1)&amp;", "&amp;SUBSTITUTE(SUBSTITUTE(SUBSTITUTE(E893," [",", "),"[",", "),"]","")&amp;"]",TRIM(INDEX($A$3:$A$168,K893))&amp;" ["&amp;SUBSTITUTE(SUBSTITUTE(SUBSTITUTE(E893," [",", "),"[",", "),"]","")&amp;"]")))</x:f>
      </x:c>
      <x:c r="G893" t="str">
        <x:f>IF(F893&lt;&gt;"",ROWS($F$3:F893)-COUNTBLANK($F$3:F893),"")</x:f>
      </x:c>
      <x:c r="H893"/>
      <x:c r="I893"/>
      <x:c r="J893"/>
      <x:c r="K893" t="str">
        <x:f>IF(ROW()-ROW($K$2)&lt;=SUM($J$3:$J$168),COUNTIF($H$3:$H$168,"&lt;"&amp;(ROW()-ROW($K$2))),"")</x:f>
      </x:c>
      <x:c r="L893" t="str">
        <x:f>IF(K893="","",ROW()-ROW($L$2)-INDEX($H$3:$H$168,K893))</x:f>
      </x:c>
      <x:c r="M893" t="str">
        <x:f>IF(K893="","",IF(L893=1,1,FIND(CHAR(1),SUBSTITUTE(INDEX($B$3:$B$168,K893),CHAR(10),CHAR(1),L893-1))+1))</x:f>
      </x:c>
      <x:c r="N893" t="str">
        <x:f>IF(K893="","",IFERROR(FIND(CHAR(1),SUBSTITUTE(INDEX($B$3:$B$168,K893),CHAR(10),CHAR(1),L893)),LEN(INDEX($B$3:$B$168,K893))+1))</x:f>
      </x:c>
    </x:row>
    <x:row r="894">
      <x:c r="A894"/>
      <x:c r="B894"/>
      <x:c r="C894"/>
      <x:c r="D894" t="str">
        <x:f>IFERROR(IF(892&lt;=$O$1,INDEX($A$3:$A$168,MATCH(892,$I$3:$I$168,0)),IF(892&lt;=$O$1+$O$2,INDEX($F$3:$F$1994,MATCH(892-$O$1,$G$3:$G$1994,0)),"")),"")</x:f>
      </x:c>
      <x:c r="E894" t="str">
        <x:f>IF(K894="","",IF(N894&lt;=M894,"",TRIM(CLEAN(MID(INDEX($B$3:$B$168,K894),M894,N894-M894)))))</x:f>
      </x:c>
      <x:c r="F894" t="str">
        <x:f>IF(E894="","",IF(E894=TRIM(INDEX($A$3:$A$168,K894)),"",IF(RIGHT(TRIM(INDEX($A$3:$A$168,K894)),1)="]",LEFT(TRIM(INDEX($A$3:$A$168,K894)),LEN(TRIM(INDEX($A$3:$A$168,K894)))-1)&amp;", "&amp;SUBSTITUTE(SUBSTITUTE(SUBSTITUTE(E894," [",", "),"[",", "),"]","")&amp;"]",TRIM(INDEX($A$3:$A$168,K894))&amp;" ["&amp;SUBSTITUTE(SUBSTITUTE(SUBSTITUTE(E894," [",", "),"[",", "),"]","")&amp;"]")))</x:f>
      </x:c>
      <x:c r="G894" t="str">
        <x:f>IF(F894&lt;&gt;"",ROWS($F$3:F894)-COUNTBLANK($F$3:F894),"")</x:f>
      </x:c>
      <x:c r="H894"/>
      <x:c r="I894"/>
      <x:c r="J894"/>
      <x:c r="K894" t="str">
        <x:f>IF(ROW()-ROW($K$2)&lt;=SUM($J$3:$J$168),COUNTIF($H$3:$H$168,"&lt;"&amp;(ROW()-ROW($K$2))),"")</x:f>
      </x:c>
      <x:c r="L894" t="str">
        <x:f>IF(K894="","",ROW()-ROW($L$2)-INDEX($H$3:$H$168,K894))</x:f>
      </x:c>
      <x:c r="M894" t="str">
        <x:f>IF(K894="","",IF(L894=1,1,FIND(CHAR(1),SUBSTITUTE(INDEX($B$3:$B$168,K894),CHAR(10),CHAR(1),L894-1))+1))</x:f>
      </x:c>
      <x:c r="N894" t="str">
        <x:f>IF(K894="","",IFERROR(FIND(CHAR(1),SUBSTITUTE(INDEX($B$3:$B$168,K894),CHAR(10),CHAR(1),L894)),LEN(INDEX($B$3:$B$168,K894))+1))</x:f>
      </x:c>
    </x:row>
    <x:row r="895">
      <x:c r="A895"/>
      <x:c r="B895"/>
      <x:c r="C895"/>
      <x:c r="D895" t="str">
        <x:f>IFERROR(IF(893&lt;=$O$1,INDEX($A$3:$A$168,MATCH(893,$I$3:$I$168,0)),IF(893&lt;=$O$1+$O$2,INDEX($F$3:$F$1994,MATCH(893-$O$1,$G$3:$G$1994,0)),"")),"")</x:f>
      </x:c>
      <x:c r="E895" t="str">
        <x:f>IF(K895="","",IF(N895&lt;=M895,"",TRIM(CLEAN(MID(INDEX($B$3:$B$168,K895),M895,N895-M895)))))</x:f>
      </x:c>
      <x:c r="F895" t="str">
        <x:f>IF(E895="","",IF(E895=TRIM(INDEX($A$3:$A$168,K895)),"",IF(RIGHT(TRIM(INDEX($A$3:$A$168,K895)),1)="]",LEFT(TRIM(INDEX($A$3:$A$168,K895)),LEN(TRIM(INDEX($A$3:$A$168,K895)))-1)&amp;", "&amp;SUBSTITUTE(SUBSTITUTE(SUBSTITUTE(E895," [",", "),"[",", "),"]","")&amp;"]",TRIM(INDEX($A$3:$A$168,K895))&amp;" ["&amp;SUBSTITUTE(SUBSTITUTE(SUBSTITUTE(E895," [",", "),"[",", "),"]","")&amp;"]")))</x:f>
      </x:c>
      <x:c r="G895" t="str">
        <x:f>IF(F895&lt;&gt;"",ROWS($F$3:F895)-COUNTBLANK($F$3:F895),"")</x:f>
      </x:c>
      <x:c r="H895"/>
      <x:c r="I895"/>
      <x:c r="J895"/>
      <x:c r="K895" t="str">
        <x:f>IF(ROW()-ROW($K$2)&lt;=SUM($J$3:$J$168),COUNTIF($H$3:$H$168,"&lt;"&amp;(ROW()-ROW($K$2))),"")</x:f>
      </x:c>
      <x:c r="L895" t="str">
        <x:f>IF(K895="","",ROW()-ROW($L$2)-INDEX($H$3:$H$168,K895))</x:f>
      </x:c>
      <x:c r="M895" t="str">
        <x:f>IF(K895="","",IF(L895=1,1,FIND(CHAR(1),SUBSTITUTE(INDEX($B$3:$B$168,K895),CHAR(10),CHAR(1),L895-1))+1))</x:f>
      </x:c>
      <x:c r="N895" t="str">
        <x:f>IF(K895="","",IFERROR(FIND(CHAR(1),SUBSTITUTE(INDEX($B$3:$B$168,K895),CHAR(10),CHAR(1),L895)),LEN(INDEX($B$3:$B$168,K895))+1))</x:f>
      </x:c>
    </x:row>
    <x:row r="896">
      <x:c r="A896"/>
      <x:c r="B896"/>
      <x:c r="C896"/>
      <x:c r="D896" t="str">
        <x:f>IFERROR(IF(894&lt;=$O$1,INDEX($A$3:$A$168,MATCH(894,$I$3:$I$168,0)),IF(894&lt;=$O$1+$O$2,INDEX($F$3:$F$1994,MATCH(894-$O$1,$G$3:$G$1994,0)),"")),"")</x:f>
      </x:c>
      <x:c r="E896" t="str">
        <x:f>IF(K896="","",IF(N896&lt;=M896,"",TRIM(CLEAN(MID(INDEX($B$3:$B$168,K896),M896,N896-M896)))))</x:f>
      </x:c>
      <x:c r="F896" t="str">
        <x:f>IF(E896="","",IF(E896=TRIM(INDEX($A$3:$A$168,K896)),"",IF(RIGHT(TRIM(INDEX($A$3:$A$168,K896)),1)="]",LEFT(TRIM(INDEX($A$3:$A$168,K896)),LEN(TRIM(INDEX($A$3:$A$168,K896)))-1)&amp;", "&amp;SUBSTITUTE(SUBSTITUTE(SUBSTITUTE(E896," [",", "),"[",", "),"]","")&amp;"]",TRIM(INDEX($A$3:$A$168,K896))&amp;" ["&amp;SUBSTITUTE(SUBSTITUTE(SUBSTITUTE(E896," [",", "),"[",", "),"]","")&amp;"]")))</x:f>
      </x:c>
      <x:c r="G896" t="str">
        <x:f>IF(F896&lt;&gt;"",ROWS($F$3:F896)-COUNTBLANK($F$3:F896),"")</x:f>
      </x:c>
      <x:c r="H896"/>
      <x:c r="I896"/>
      <x:c r="J896"/>
      <x:c r="K896" t="str">
        <x:f>IF(ROW()-ROW($K$2)&lt;=SUM($J$3:$J$168),COUNTIF($H$3:$H$168,"&lt;"&amp;(ROW()-ROW($K$2))),"")</x:f>
      </x:c>
      <x:c r="L896" t="str">
        <x:f>IF(K896="","",ROW()-ROW($L$2)-INDEX($H$3:$H$168,K896))</x:f>
      </x:c>
      <x:c r="M896" t="str">
        <x:f>IF(K896="","",IF(L896=1,1,FIND(CHAR(1),SUBSTITUTE(INDEX($B$3:$B$168,K896),CHAR(10),CHAR(1),L896-1))+1))</x:f>
      </x:c>
      <x:c r="N896" t="str">
        <x:f>IF(K896="","",IFERROR(FIND(CHAR(1),SUBSTITUTE(INDEX($B$3:$B$168,K896),CHAR(10),CHAR(1),L896)),LEN(INDEX($B$3:$B$168,K896))+1))</x:f>
      </x:c>
    </x:row>
    <x:row r="897">
      <x:c r="A897"/>
      <x:c r="B897"/>
      <x:c r="C897"/>
      <x:c r="D897" t="str">
        <x:f>IFERROR(IF(895&lt;=$O$1,INDEX($A$3:$A$168,MATCH(895,$I$3:$I$168,0)),IF(895&lt;=$O$1+$O$2,INDEX($F$3:$F$1994,MATCH(895-$O$1,$G$3:$G$1994,0)),"")),"")</x:f>
      </x:c>
      <x:c r="E897" t="str">
        <x:f>IF(K897="","",IF(N897&lt;=M897,"",TRIM(CLEAN(MID(INDEX($B$3:$B$168,K897),M897,N897-M897)))))</x:f>
      </x:c>
      <x:c r="F897" t="str">
        <x:f>IF(E897="","",IF(E897=TRIM(INDEX($A$3:$A$168,K897)),"",IF(RIGHT(TRIM(INDEX($A$3:$A$168,K897)),1)="]",LEFT(TRIM(INDEX($A$3:$A$168,K897)),LEN(TRIM(INDEX($A$3:$A$168,K897)))-1)&amp;", "&amp;SUBSTITUTE(SUBSTITUTE(SUBSTITUTE(E897," [",", "),"[",", "),"]","")&amp;"]",TRIM(INDEX($A$3:$A$168,K897))&amp;" ["&amp;SUBSTITUTE(SUBSTITUTE(SUBSTITUTE(E897," [",", "),"[",", "),"]","")&amp;"]")))</x:f>
      </x:c>
      <x:c r="G897" t="str">
        <x:f>IF(F897&lt;&gt;"",ROWS($F$3:F897)-COUNTBLANK($F$3:F897),"")</x:f>
      </x:c>
      <x:c r="H897"/>
      <x:c r="I897"/>
      <x:c r="J897"/>
      <x:c r="K897" t="str">
        <x:f>IF(ROW()-ROW($K$2)&lt;=SUM($J$3:$J$168),COUNTIF($H$3:$H$168,"&lt;"&amp;(ROW()-ROW($K$2))),"")</x:f>
      </x:c>
      <x:c r="L897" t="str">
        <x:f>IF(K897="","",ROW()-ROW($L$2)-INDEX($H$3:$H$168,K897))</x:f>
      </x:c>
      <x:c r="M897" t="str">
        <x:f>IF(K897="","",IF(L897=1,1,FIND(CHAR(1),SUBSTITUTE(INDEX($B$3:$B$168,K897),CHAR(10),CHAR(1),L897-1))+1))</x:f>
      </x:c>
      <x:c r="N897" t="str">
        <x:f>IF(K897="","",IFERROR(FIND(CHAR(1),SUBSTITUTE(INDEX($B$3:$B$168,K897),CHAR(10),CHAR(1),L897)),LEN(INDEX($B$3:$B$168,K897))+1))</x:f>
      </x:c>
    </x:row>
    <x:row r="898">
      <x:c r="A898"/>
      <x:c r="B898"/>
      <x:c r="C898"/>
      <x:c r="D898" t="str">
        <x:f>IFERROR(IF(896&lt;=$O$1,INDEX($A$3:$A$168,MATCH(896,$I$3:$I$168,0)),IF(896&lt;=$O$1+$O$2,INDEX($F$3:$F$1994,MATCH(896-$O$1,$G$3:$G$1994,0)),"")),"")</x:f>
      </x:c>
      <x:c r="E898" t="str">
        <x:f>IF(K898="","",IF(N898&lt;=M898,"",TRIM(CLEAN(MID(INDEX($B$3:$B$168,K898),M898,N898-M898)))))</x:f>
      </x:c>
      <x:c r="F898" t="str">
        <x:f>IF(E898="","",IF(E898=TRIM(INDEX($A$3:$A$168,K898)),"",IF(RIGHT(TRIM(INDEX($A$3:$A$168,K898)),1)="]",LEFT(TRIM(INDEX($A$3:$A$168,K898)),LEN(TRIM(INDEX($A$3:$A$168,K898)))-1)&amp;", "&amp;SUBSTITUTE(SUBSTITUTE(SUBSTITUTE(E898," [",", "),"[",", "),"]","")&amp;"]",TRIM(INDEX($A$3:$A$168,K898))&amp;" ["&amp;SUBSTITUTE(SUBSTITUTE(SUBSTITUTE(E898," [",", "),"[",", "),"]","")&amp;"]")))</x:f>
      </x:c>
      <x:c r="G898" t="str">
        <x:f>IF(F898&lt;&gt;"",ROWS($F$3:F898)-COUNTBLANK($F$3:F898),"")</x:f>
      </x:c>
      <x:c r="H898"/>
      <x:c r="I898"/>
      <x:c r="J898"/>
      <x:c r="K898" t="str">
        <x:f>IF(ROW()-ROW($K$2)&lt;=SUM($J$3:$J$168),COUNTIF($H$3:$H$168,"&lt;"&amp;(ROW()-ROW($K$2))),"")</x:f>
      </x:c>
      <x:c r="L898" t="str">
        <x:f>IF(K898="","",ROW()-ROW($L$2)-INDEX($H$3:$H$168,K898))</x:f>
      </x:c>
      <x:c r="M898" t="str">
        <x:f>IF(K898="","",IF(L898=1,1,FIND(CHAR(1),SUBSTITUTE(INDEX($B$3:$B$168,K898),CHAR(10),CHAR(1),L898-1))+1))</x:f>
      </x:c>
      <x:c r="N898" t="str">
        <x:f>IF(K898="","",IFERROR(FIND(CHAR(1),SUBSTITUTE(INDEX($B$3:$B$168,K898),CHAR(10),CHAR(1),L898)),LEN(INDEX($B$3:$B$168,K898))+1))</x:f>
      </x:c>
    </x:row>
    <x:row r="899">
      <x:c r="A899"/>
      <x:c r="B899"/>
      <x:c r="C899"/>
      <x:c r="D899" t="str">
        <x:f>IFERROR(IF(897&lt;=$O$1,INDEX($A$3:$A$168,MATCH(897,$I$3:$I$168,0)),IF(897&lt;=$O$1+$O$2,INDEX($F$3:$F$1994,MATCH(897-$O$1,$G$3:$G$1994,0)),"")),"")</x:f>
      </x:c>
      <x:c r="E899" t="str">
        <x:f>IF(K899="","",IF(N899&lt;=M899,"",TRIM(CLEAN(MID(INDEX($B$3:$B$168,K899),M899,N899-M899)))))</x:f>
      </x:c>
      <x:c r="F899" t="str">
        <x:f>IF(E899="","",IF(E899=TRIM(INDEX($A$3:$A$168,K899)),"",IF(RIGHT(TRIM(INDEX($A$3:$A$168,K899)),1)="]",LEFT(TRIM(INDEX($A$3:$A$168,K899)),LEN(TRIM(INDEX($A$3:$A$168,K899)))-1)&amp;", "&amp;SUBSTITUTE(SUBSTITUTE(SUBSTITUTE(E899," [",", "),"[",", "),"]","")&amp;"]",TRIM(INDEX($A$3:$A$168,K899))&amp;" ["&amp;SUBSTITUTE(SUBSTITUTE(SUBSTITUTE(E899," [",", "),"[",", "),"]","")&amp;"]")))</x:f>
      </x:c>
      <x:c r="G899" t="str">
        <x:f>IF(F899&lt;&gt;"",ROWS($F$3:F899)-COUNTBLANK($F$3:F899),"")</x:f>
      </x:c>
      <x:c r="H899"/>
      <x:c r="I899"/>
      <x:c r="J899"/>
      <x:c r="K899" t="str">
        <x:f>IF(ROW()-ROW($K$2)&lt;=SUM($J$3:$J$168),COUNTIF($H$3:$H$168,"&lt;"&amp;(ROW()-ROW($K$2))),"")</x:f>
      </x:c>
      <x:c r="L899" t="str">
        <x:f>IF(K899="","",ROW()-ROW($L$2)-INDEX($H$3:$H$168,K899))</x:f>
      </x:c>
      <x:c r="M899" t="str">
        <x:f>IF(K899="","",IF(L899=1,1,FIND(CHAR(1),SUBSTITUTE(INDEX($B$3:$B$168,K899),CHAR(10),CHAR(1),L899-1))+1))</x:f>
      </x:c>
      <x:c r="N899" t="str">
        <x:f>IF(K899="","",IFERROR(FIND(CHAR(1),SUBSTITUTE(INDEX($B$3:$B$168,K899),CHAR(10),CHAR(1),L899)),LEN(INDEX($B$3:$B$168,K899))+1))</x:f>
      </x:c>
    </x:row>
    <x:row r="900">
      <x:c r="A900"/>
      <x:c r="B900"/>
      <x:c r="C900"/>
      <x:c r="D900" t="str">
        <x:f>IFERROR(IF(898&lt;=$O$1,INDEX($A$3:$A$168,MATCH(898,$I$3:$I$168,0)),IF(898&lt;=$O$1+$O$2,INDEX($F$3:$F$1994,MATCH(898-$O$1,$G$3:$G$1994,0)),"")),"")</x:f>
      </x:c>
      <x:c r="E900" t="str">
        <x:f>IF(K900="","",IF(N900&lt;=M900,"",TRIM(CLEAN(MID(INDEX($B$3:$B$168,K900),M900,N900-M900)))))</x:f>
      </x:c>
      <x:c r="F900" t="str">
        <x:f>IF(E900="","",IF(E900=TRIM(INDEX($A$3:$A$168,K900)),"",IF(RIGHT(TRIM(INDEX($A$3:$A$168,K900)),1)="]",LEFT(TRIM(INDEX($A$3:$A$168,K900)),LEN(TRIM(INDEX($A$3:$A$168,K900)))-1)&amp;", "&amp;SUBSTITUTE(SUBSTITUTE(SUBSTITUTE(E900," [",", "),"[",", "),"]","")&amp;"]",TRIM(INDEX($A$3:$A$168,K900))&amp;" ["&amp;SUBSTITUTE(SUBSTITUTE(SUBSTITUTE(E900," [",", "),"[",", "),"]","")&amp;"]")))</x:f>
      </x:c>
      <x:c r="G900" t="str">
        <x:f>IF(F900&lt;&gt;"",ROWS($F$3:F900)-COUNTBLANK($F$3:F900),"")</x:f>
      </x:c>
      <x:c r="H900"/>
      <x:c r="I900"/>
      <x:c r="J900"/>
      <x:c r="K900" t="str">
        <x:f>IF(ROW()-ROW($K$2)&lt;=SUM($J$3:$J$168),COUNTIF($H$3:$H$168,"&lt;"&amp;(ROW()-ROW($K$2))),"")</x:f>
      </x:c>
      <x:c r="L900" t="str">
        <x:f>IF(K900="","",ROW()-ROW($L$2)-INDEX($H$3:$H$168,K900))</x:f>
      </x:c>
      <x:c r="M900" t="str">
        <x:f>IF(K900="","",IF(L900=1,1,FIND(CHAR(1),SUBSTITUTE(INDEX($B$3:$B$168,K900),CHAR(10),CHAR(1),L900-1))+1))</x:f>
      </x:c>
      <x:c r="N900" t="str">
        <x:f>IF(K900="","",IFERROR(FIND(CHAR(1),SUBSTITUTE(INDEX($B$3:$B$168,K900),CHAR(10),CHAR(1),L900)),LEN(INDEX($B$3:$B$168,K900))+1))</x:f>
      </x:c>
    </x:row>
    <x:row r="901">
      <x:c r="A901"/>
      <x:c r="B901"/>
      <x:c r="C901"/>
      <x:c r="D901" t="str">
        <x:f>IFERROR(IF(899&lt;=$O$1,INDEX($A$3:$A$168,MATCH(899,$I$3:$I$168,0)),IF(899&lt;=$O$1+$O$2,INDEX($F$3:$F$1994,MATCH(899-$O$1,$G$3:$G$1994,0)),"")),"")</x:f>
      </x:c>
      <x:c r="E901" t="str">
        <x:f>IF(K901="","",IF(N901&lt;=M901,"",TRIM(CLEAN(MID(INDEX($B$3:$B$168,K901),M901,N901-M901)))))</x:f>
      </x:c>
      <x:c r="F901" t="str">
        <x:f>IF(E901="","",IF(E901=TRIM(INDEX($A$3:$A$168,K901)),"",IF(RIGHT(TRIM(INDEX($A$3:$A$168,K901)),1)="]",LEFT(TRIM(INDEX($A$3:$A$168,K901)),LEN(TRIM(INDEX($A$3:$A$168,K901)))-1)&amp;", "&amp;SUBSTITUTE(SUBSTITUTE(SUBSTITUTE(E901," [",", "),"[",", "),"]","")&amp;"]",TRIM(INDEX($A$3:$A$168,K901))&amp;" ["&amp;SUBSTITUTE(SUBSTITUTE(SUBSTITUTE(E901," [",", "),"[",", "),"]","")&amp;"]")))</x:f>
      </x:c>
      <x:c r="G901" t="str">
        <x:f>IF(F901&lt;&gt;"",ROWS($F$3:F901)-COUNTBLANK($F$3:F901),"")</x:f>
      </x:c>
      <x:c r="H901"/>
      <x:c r="I901"/>
      <x:c r="J901"/>
      <x:c r="K901" t="str">
        <x:f>IF(ROW()-ROW($K$2)&lt;=SUM($J$3:$J$168),COUNTIF($H$3:$H$168,"&lt;"&amp;(ROW()-ROW($K$2))),"")</x:f>
      </x:c>
      <x:c r="L901" t="str">
        <x:f>IF(K901="","",ROW()-ROW($L$2)-INDEX($H$3:$H$168,K901))</x:f>
      </x:c>
      <x:c r="M901" t="str">
        <x:f>IF(K901="","",IF(L901=1,1,FIND(CHAR(1),SUBSTITUTE(INDEX($B$3:$B$168,K901),CHAR(10),CHAR(1),L901-1))+1))</x:f>
      </x:c>
      <x:c r="N901" t="str">
        <x:f>IF(K901="","",IFERROR(FIND(CHAR(1),SUBSTITUTE(INDEX($B$3:$B$168,K901),CHAR(10),CHAR(1),L901)),LEN(INDEX($B$3:$B$168,K901))+1))</x:f>
      </x:c>
    </x:row>
    <x:row r="902">
      <x:c r="A902"/>
      <x:c r="B902"/>
      <x:c r="C902"/>
      <x:c r="D902" t="str">
        <x:f>IFERROR(IF(900&lt;=$O$1,INDEX($A$3:$A$168,MATCH(900,$I$3:$I$168,0)),IF(900&lt;=$O$1+$O$2,INDEX($F$3:$F$1994,MATCH(900-$O$1,$G$3:$G$1994,0)),"")),"")</x:f>
      </x:c>
      <x:c r="E902" t="str">
        <x:f>IF(K902="","",IF(N902&lt;=M902,"",TRIM(CLEAN(MID(INDEX($B$3:$B$168,K902),M902,N902-M902)))))</x:f>
      </x:c>
      <x:c r="F902" t="str">
        <x:f>IF(E902="","",IF(E902=TRIM(INDEX($A$3:$A$168,K902)),"",IF(RIGHT(TRIM(INDEX($A$3:$A$168,K902)),1)="]",LEFT(TRIM(INDEX($A$3:$A$168,K902)),LEN(TRIM(INDEX($A$3:$A$168,K902)))-1)&amp;", "&amp;SUBSTITUTE(SUBSTITUTE(SUBSTITUTE(E902," [",", "),"[",", "),"]","")&amp;"]",TRIM(INDEX($A$3:$A$168,K902))&amp;" ["&amp;SUBSTITUTE(SUBSTITUTE(SUBSTITUTE(E902," [",", "),"[",", "),"]","")&amp;"]")))</x:f>
      </x:c>
      <x:c r="G902" t="str">
        <x:f>IF(F902&lt;&gt;"",ROWS($F$3:F902)-COUNTBLANK($F$3:F902),"")</x:f>
      </x:c>
      <x:c r="H902"/>
      <x:c r="I902"/>
      <x:c r="J902"/>
      <x:c r="K902" t="str">
        <x:f>IF(ROW()-ROW($K$2)&lt;=SUM($J$3:$J$168),COUNTIF($H$3:$H$168,"&lt;"&amp;(ROW()-ROW($K$2))),"")</x:f>
      </x:c>
      <x:c r="L902" t="str">
        <x:f>IF(K902="","",ROW()-ROW($L$2)-INDEX($H$3:$H$168,K902))</x:f>
      </x:c>
      <x:c r="M902" t="str">
        <x:f>IF(K902="","",IF(L902=1,1,FIND(CHAR(1),SUBSTITUTE(INDEX($B$3:$B$168,K902),CHAR(10),CHAR(1),L902-1))+1))</x:f>
      </x:c>
      <x:c r="N902" t="str">
        <x:f>IF(K902="","",IFERROR(FIND(CHAR(1),SUBSTITUTE(INDEX($B$3:$B$168,K902),CHAR(10),CHAR(1),L902)),LEN(INDEX($B$3:$B$168,K902))+1))</x:f>
      </x:c>
    </x:row>
    <x:row r="903">
      <x:c r="A903"/>
      <x:c r="B903"/>
      <x:c r="C903"/>
      <x:c r="D903" t="str">
        <x:f>IFERROR(IF(901&lt;=$O$1,INDEX($A$3:$A$168,MATCH(901,$I$3:$I$168,0)),IF(901&lt;=$O$1+$O$2,INDEX($F$3:$F$1994,MATCH(901-$O$1,$G$3:$G$1994,0)),"")),"")</x:f>
      </x:c>
      <x:c r="E903" t="str">
        <x:f>IF(K903="","",IF(N903&lt;=M903,"",TRIM(CLEAN(MID(INDEX($B$3:$B$168,K903),M903,N903-M903)))))</x:f>
      </x:c>
      <x:c r="F903" t="str">
        <x:f>IF(E903="","",IF(E903=TRIM(INDEX($A$3:$A$168,K903)),"",IF(RIGHT(TRIM(INDEX($A$3:$A$168,K903)),1)="]",LEFT(TRIM(INDEX($A$3:$A$168,K903)),LEN(TRIM(INDEX($A$3:$A$168,K903)))-1)&amp;", "&amp;SUBSTITUTE(SUBSTITUTE(SUBSTITUTE(E903," [",", "),"[",", "),"]","")&amp;"]",TRIM(INDEX($A$3:$A$168,K903))&amp;" ["&amp;SUBSTITUTE(SUBSTITUTE(SUBSTITUTE(E903," [",", "),"[",", "),"]","")&amp;"]")))</x:f>
      </x:c>
      <x:c r="G903" t="str">
        <x:f>IF(F903&lt;&gt;"",ROWS($F$3:F903)-COUNTBLANK($F$3:F903),"")</x:f>
      </x:c>
      <x:c r="H903"/>
      <x:c r="I903"/>
      <x:c r="J903"/>
      <x:c r="K903" t="str">
        <x:f>IF(ROW()-ROW($K$2)&lt;=SUM($J$3:$J$168),COUNTIF($H$3:$H$168,"&lt;"&amp;(ROW()-ROW($K$2))),"")</x:f>
      </x:c>
      <x:c r="L903" t="str">
        <x:f>IF(K903="","",ROW()-ROW($L$2)-INDEX($H$3:$H$168,K903))</x:f>
      </x:c>
      <x:c r="M903" t="str">
        <x:f>IF(K903="","",IF(L903=1,1,FIND(CHAR(1),SUBSTITUTE(INDEX($B$3:$B$168,K903),CHAR(10),CHAR(1),L903-1))+1))</x:f>
      </x:c>
      <x:c r="N903" t="str">
        <x:f>IF(K903="","",IFERROR(FIND(CHAR(1),SUBSTITUTE(INDEX($B$3:$B$168,K903),CHAR(10),CHAR(1),L903)),LEN(INDEX($B$3:$B$168,K903))+1))</x:f>
      </x:c>
    </x:row>
    <x:row r="904">
      <x:c r="A904"/>
      <x:c r="B904"/>
      <x:c r="C904"/>
      <x:c r="D904" t="str">
        <x:f>IFERROR(IF(902&lt;=$O$1,INDEX($A$3:$A$168,MATCH(902,$I$3:$I$168,0)),IF(902&lt;=$O$1+$O$2,INDEX($F$3:$F$1994,MATCH(902-$O$1,$G$3:$G$1994,0)),"")),"")</x:f>
      </x:c>
      <x:c r="E904" t="str">
        <x:f>IF(K904="","",IF(N904&lt;=M904,"",TRIM(CLEAN(MID(INDEX($B$3:$B$168,K904),M904,N904-M904)))))</x:f>
      </x:c>
      <x:c r="F904" t="str">
        <x:f>IF(E904="","",IF(E904=TRIM(INDEX($A$3:$A$168,K904)),"",IF(RIGHT(TRIM(INDEX($A$3:$A$168,K904)),1)="]",LEFT(TRIM(INDEX($A$3:$A$168,K904)),LEN(TRIM(INDEX($A$3:$A$168,K904)))-1)&amp;", "&amp;SUBSTITUTE(SUBSTITUTE(SUBSTITUTE(E904," [",", "),"[",", "),"]","")&amp;"]",TRIM(INDEX($A$3:$A$168,K904))&amp;" ["&amp;SUBSTITUTE(SUBSTITUTE(SUBSTITUTE(E904," [",", "),"[",", "),"]","")&amp;"]")))</x:f>
      </x:c>
      <x:c r="G904" t="str">
        <x:f>IF(F904&lt;&gt;"",ROWS($F$3:F904)-COUNTBLANK($F$3:F904),"")</x:f>
      </x:c>
      <x:c r="H904"/>
      <x:c r="I904"/>
      <x:c r="J904"/>
      <x:c r="K904" t="str">
        <x:f>IF(ROW()-ROW($K$2)&lt;=SUM($J$3:$J$168),COUNTIF($H$3:$H$168,"&lt;"&amp;(ROW()-ROW($K$2))),"")</x:f>
      </x:c>
      <x:c r="L904" t="str">
        <x:f>IF(K904="","",ROW()-ROW($L$2)-INDEX($H$3:$H$168,K904))</x:f>
      </x:c>
      <x:c r="M904" t="str">
        <x:f>IF(K904="","",IF(L904=1,1,FIND(CHAR(1),SUBSTITUTE(INDEX($B$3:$B$168,K904),CHAR(10),CHAR(1),L904-1))+1))</x:f>
      </x:c>
      <x:c r="N904" t="str">
        <x:f>IF(K904="","",IFERROR(FIND(CHAR(1),SUBSTITUTE(INDEX($B$3:$B$168,K904),CHAR(10),CHAR(1),L904)),LEN(INDEX($B$3:$B$168,K904))+1))</x:f>
      </x:c>
    </x:row>
    <x:row r="905">
      <x:c r="A905"/>
      <x:c r="B905"/>
      <x:c r="C905"/>
      <x:c r="D905" t="str">
        <x:f>IFERROR(IF(903&lt;=$O$1,INDEX($A$3:$A$168,MATCH(903,$I$3:$I$168,0)),IF(903&lt;=$O$1+$O$2,INDEX($F$3:$F$1994,MATCH(903-$O$1,$G$3:$G$1994,0)),"")),"")</x:f>
      </x:c>
      <x:c r="E905" t="str">
        <x:f>IF(K905="","",IF(N905&lt;=M905,"",TRIM(CLEAN(MID(INDEX($B$3:$B$168,K905),M905,N905-M905)))))</x:f>
      </x:c>
      <x:c r="F905" t="str">
        <x:f>IF(E905="","",IF(E905=TRIM(INDEX($A$3:$A$168,K905)),"",IF(RIGHT(TRIM(INDEX($A$3:$A$168,K905)),1)="]",LEFT(TRIM(INDEX($A$3:$A$168,K905)),LEN(TRIM(INDEX($A$3:$A$168,K905)))-1)&amp;", "&amp;SUBSTITUTE(SUBSTITUTE(SUBSTITUTE(E905," [",", "),"[",", "),"]","")&amp;"]",TRIM(INDEX($A$3:$A$168,K905))&amp;" ["&amp;SUBSTITUTE(SUBSTITUTE(SUBSTITUTE(E905," [",", "),"[",", "),"]","")&amp;"]")))</x:f>
      </x:c>
      <x:c r="G905" t="str">
        <x:f>IF(F905&lt;&gt;"",ROWS($F$3:F905)-COUNTBLANK($F$3:F905),"")</x:f>
      </x:c>
      <x:c r="H905"/>
      <x:c r="I905"/>
      <x:c r="J905"/>
      <x:c r="K905" t="str">
        <x:f>IF(ROW()-ROW($K$2)&lt;=SUM($J$3:$J$168),COUNTIF($H$3:$H$168,"&lt;"&amp;(ROW()-ROW($K$2))),"")</x:f>
      </x:c>
      <x:c r="L905" t="str">
        <x:f>IF(K905="","",ROW()-ROW($L$2)-INDEX($H$3:$H$168,K905))</x:f>
      </x:c>
      <x:c r="M905" t="str">
        <x:f>IF(K905="","",IF(L905=1,1,FIND(CHAR(1),SUBSTITUTE(INDEX($B$3:$B$168,K905),CHAR(10),CHAR(1),L905-1))+1))</x:f>
      </x:c>
      <x:c r="N905" t="str">
        <x:f>IF(K905="","",IFERROR(FIND(CHAR(1),SUBSTITUTE(INDEX($B$3:$B$168,K905),CHAR(10),CHAR(1),L905)),LEN(INDEX($B$3:$B$168,K905))+1))</x:f>
      </x:c>
    </x:row>
    <x:row r="906">
      <x:c r="A906"/>
      <x:c r="B906"/>
      <x:c r="C906"/>
      <x:c r="D906" t="str">
        <x:f>IFERROR(IF(904&lt;=$O$1,INDEX($A$3:$A$168,MATCH(904,$I$3:$I$168,0)),IF(904&lt;=$O$1+$O$2,INDEX($F$3:$F$1994,MATCH(904-$O$1,$G$3:$G$1994,0)),"")),"")</x:f>
      </x:c>
      <x:c r="E906" t="str">
        <x:f>IF(K906="","",IF(N906&lt;=M906,"",TRIM(CLEAN(MID(INDEX($B$3:$B$168,K906),M906,N906-M906)))))</x:f>
      </x:c>
      <x:c r="F906" t="str">
        <x:f>IF(E906="","",IF(E906=TRIM(INDEX($A$3:$A$168,K906)),"",IF(RIGHT(TRIM(INDEX($A$3:$A$168,K906)),1)="]",LEFT(TRIM(INDEX($A$3:$A$168,K906)),LEN(TRIM(INDEX($A$3:$A$168,K906)))-1)&amp;", "&amp;SUBSTITUTE(SUBSTITUTE(SUBSTITUTE(E906," [",", "),"[",", "),"]","")&amp;"]",TRIM(INDEX($A$3:$A$168,K906))&amp;" ["&amp;SUBSTITUTE(SUBSTITUTE(SUBSTITUTE(E906," [",", "),"[",", "),"]","")&amp;"]")))</x:f>
      </x:c>
      <x:c r="G906" t="str">
        <x:f>IF(F906&lt;&gt;"",ROWS($F$3:F906)-COUNTBLANK($F$3:F906),"")</x:f>
      </x:c>
      <x:c r="H906"/>
      <x:c r="I906"/>
      <x:c r="J906"/>
      <x:c r="K906" t="str">
        <x:f>IF(ROW()-ROW($K$2)&lt;=SUM($J$3:$J$168),COUNTIF($H$3:$H$168,"&lt;"&amp;(ROW()-ROW($K$2))),"")</x:f>
      </x:c>
      <x:c r="L906" t="str">
        <x:f>IF(K906="","",ROW()-ROW($L$2)-INDEX($H$3:$H$168,K906))</x:f>
      </x:c>
      <x:c r="M906" t="str">
        <x:f>IF(K906="","",IF(L906=1,1,FIND(CHAR(1),SUBSTITUTE(INDEX($B$3:$B$168,K906),CHAR(10),CHAR(1),L906-1))+1))</x:f>
      </x:c>
      <x:c r="N906" t="str">
        <x:f>IF(K906="","",IFERROR(FIND(CHAR(1),SUBSTITUTE(INDEX($B$3:$B$168,K906),CHAR(10),CHAR(1),L906)),LEN(INDEX($B$3:$B$168,K906))+1))</x:f>
      </x:c>
    </x:row>
    <x:row r="907">
      <x:c r="A907"/>
      <x:c r="B907"/>
      <x:c r="C907"/>
      <x:c r="D907" t="str">
        <x:f>IFERROR(IF(905&lt;=$O$1,INDEX($A$3:$A$168,MATCH(905,$I$3:$I$168,0)),IF(905&lt;=$O$1+$O$2,INDEX($F$3:$F$1994,MATCH(905-$O$1,$G$3:$G$1994,0)),"")),"")</x:f>
      </x:c>
      <x:c r="E907" t="str">
        <x:f>IF(K907="","",IF(N907&lt;=M907,"",TRIM(CLEAN(MID(INDEX($B$3:$B$168,K907),M907,N907-M907)))))</x:f>
      </x:c>
      <x:c r="F907" t="str">
        <x:f>IF(E907="","",IF(E907=TRIM(INDEX($A$3:$A$168,K907)),"",IF(RIGHT(TRIM(INDEX($A$3:$A$168,K907)),1)="]",LEFT(TRIM(INDEX($A$3:$A$168,K907)),LEN(TRIM(INDEX($A$3:$A$168,K907)))-1)&amp;", "&amp;SUBSTITUTE(SUBSTITUTE(SUBSTITUTE(E907," [",", "),"[",", "),"]","")&amp;"]",TRIM(INDEX($A$3:$A$168,K907))&amp;" ["&amp;SUBSTITUTE(SUBSTITUTE(SUBSTITUTE(E907," [",", "),"[",", "),"]","")&amp;"]")))</x:f>
      </x:c>
      <x:c r="G907" t="str">
        <x:f>IF(F907&lt;&gt;"",ROWS($F$3:F907)-COUNTBLANK($F$3:F907),"")</x:f>
      </x:c>
      <x:c r="H907"/>
      <x:c r="I907"/>
      <x:c r="J907"/>
      <x:c r="K907" t="str">
        <x:f>IF(ROW()-ROW($K$2)&lt;=SUM($J$3:$J$168),COUNTIF($H$3:$H$168,"&lt;"&amp;(ROW()-ROW($K$2))),"")</x:f>
      </x:c>
      <x:c r="L907" t="str">
        <x:f>IF(K907="","",ROW()-ROW($L$2)-INDEX($H$3:$H$168,K907))</x:f>
      </x:c>
      <x:c r="M907" t="str">
        <x:f>IF(K907="","",IF(L907=1,1,FIND(CHAR(1),SUBSTITUTE(INDEX($B$3:$B$168,K907),CHAR(10),CHAR(1),L907-1))+1))</x:f>
      </x:c>
      <x:c r="N907" t="str">
        <x:f>IF(K907="","",IFERROR(FIND(CHAR(1),SUBSTITUTE(INDEX($B$3:$B$168,K907),CHAR(10),CHAR(1),L907)),LEN(INDEX($B$3:$B$168,K907))+1))</x:f>
      </x:c>
    </x:row>
    <x:row r="908">
      <x:c r="A908"/>
      <x:c r="B908"/>
      <x:c r="C908"/>
      <x:c r="D908" t="str">
        <x:f>IFERROR(IF(906&lt;=$O$1,INDEX($A$3:$A$168,MATCH(906,$I$3:$I$168,0)),IF(906&lt;=$O$1+$O$2,INDEX($F$3:$F$1994,MATCH(906-$O$1,$G$3:$G$1994,0)),"")),"")</x:f>
      </x:c>
      <x:c r="E908" t="str">
        <x:f>IF(K908="","",IF(N908&lt;=M908,"",TRIM(CLEAN(MID(INDEX($B$3:$B$168,K908),M908,N908-M908)))))</x:f>
      </x:c>
      <x:c r="F908" t="str">
        <x:f>IF(E908="","",IF(E908=TRIM(INDEX($A$3:$A$168,K908)),"",IF(RIGHT(TRIM(INDEX($A$3:$A$168,K908)),1)="]",LEFT(TRIM(INDEX($A$3:$A$168,K908)),LEN(TRIM(INDEX($A$3:$A$168,K908)))-1)&amp;", "&amp;SUBSTITUTE(SUBSTITUTE(SUBSTITUTE(E908," [",", "),"[",", "),"]","")&amp;"]",TRIM(INDEX($A$3:$A$168,K908))&amp;" ["&amp;SUBSTITUTE(SUBSTITUTE(SUBSTITUTE(E908," [",", "),"[",", "),"]","")&amp;"]")))</x:f>
      </x:c>
      <x:c r="G908" t="str">
        <x:f>IF(F908&lt;&gt;"",ROWS($F$3:F908)-COUNTBLANK($F$3:F908),"")</x:f>
      </x:c>
      <x:c r="H908"/>
      <x:c r="I908"/>
      <x:c r="J908"/>
      <x:c r="K908" t="str">
        <x:f>IF(ROW()-ROW($K$2)&lt;=SUM($J$3:$J$168),COUNTIF($H$3:$H$168,"&lt;"&amp;(ROW()-ROW($K$2))),"")</x:f>
      </x:c>
      <x:c r="L908" t="str">
        <x:f>IF(K908="","",ROW()-ROW($L$2)-INDEX($H$3:$H$168,K908))</x:f>
      </x:c>
      <x:c r="M908" t="str">
        <x:f>IF(K908="","",IF(L908=1,1,FIND(CHAR(1),SUBSTITUTE(INDEX($B$3:$B$168,K908),CHAR(10),CHAR(1),L908-1))+1))</x:f>
      </x:c>
      <x:c r="N908" t="str">
        <x:f>IF(K908="","",IFERROR(FIND(CHAR(1),SUBSTITUTE(INDEX($B$3:$B$168,K908),CHAR(10),CHAR(1),L908)),LEN(INDEX($B$3:$B$168,K908))+1))</x:f>
      </x:c>
    </x:row>
    <x:row r="909">
      <x:c r="A909"/>
      <x:c r="B909"/>
      <x:c r="C909"/>
      <x:c r="D909" t="str">
        <x:f>IFERROR(IF(907&lt;=$O$1,INDEX($A$3:$A$168,MATCH(907,$I$3:$I$168,0)),IF(907&lt;=$O$1+$O$2,INDEX($F$3:$F$1994,MATCH(907-$O$1,$G$3:$G$1994,0)),"")),"")</x:f>
      </x:c>
      <x:c r="E909" t="str">
        <x:f>IF(K909="","",IF(N909&lt;=M909,"",TRIM(CLEAN(MID(INDEX($B$3:$B$168,K909),M909,N909-M909)))))</x:f>
      </x:c>
      <x:c r="F909" t="str">
        <x:f>IF(E909="","",IF(E909=TRIM(INDEX($A$3:$A$168,K909)),"",IF(RIGHT(TRIM(INDEX($A$3:$A$168,K909)),1)="]",LEFT(TRIM(INDEX($A$3:$A$168,K909)),LEN(TRIM(INDEX($A$3:$A$168,K909)))-1)&amp;", "&amp;SUBSTITUTE(SUBSTITUTE(SUBSTITUTE(E909," [",", "),"[",", "),"]","")&amp;"]",TRIM(INDEX($A$3:$A$168,K909))&amp;" ["&amp;SUBSTITUTE(SUBSTITUTE(SUBSTITUTE(E909," [",", "),"[",", "),"]","")&amp;"]")))</x:f>
      </x:c>
      <x:c r="G909" t="str">
        <x:f>IF(F909&lt;&gt;"",ROWS($F$3:F909)-COUNTBLANK($F$3:F909),"")</x:f>
      </x:c>
      <x:c r="H909"/>
      <x:c r="I909"/>
      <x:c r="J909"/>
      <x:c r="K909" t="str">
        <x:f>IF(ROW()-ROW($K$2)&lt;=SUM($J$3:$J$168),COUNTIF($H$3:$H$168,"&lt;"&amp;(ROW()-ROW($K$2))),"")</x:f>
      </x:c>
      <x:c r="L909" t="str">
        <x:f>IF(K909="","",ROW()-ROW($L$2)-INDEX($H$3:$H$168,K909))</x:f>
      </x:c>
      <x:c r="M909" t="str">
        <x:f>IF(K909="","",IF(L909=1,1,FIND(CHAR(1),SUBSTITUTE(INDEX($B$3:$B$168,K909),CHAR(10),CHAR(1),L909-1))+1))</x:f>
      </x:c>
      <x:c r="N909" t="str">
        <x:f>IF(K909="","",IFERROR(FIND(CHAR(1),SUBSTITUTE(INDEX($B$3:$B$168,K909),CHAR(10),CHAR(1),L909)),LEN(INDEX($B$3:$B$168,K909))+1))</x:f>
      </x:c>
    </x:row>
    <x:row r="910">
      <x:c r="A910"/>
      <x:c r="B910"/>
      <x:c r="C910"/>
      <x:c r="D910" t="str">
        <x:f>IFERROR(IF(908&lt;=$O$1,INDEX($A$3:$A$168,MATCH(908,$I$3:$I$168,0)),IF(908&lt;=$O$1+$O$2,INDEX($F$3:$F$1994,MATCH(908-$O$1,$G$3:$G$1994,0)),"")),"")</x:f>
      </x:c>
      <x:c r="E910" t="str">
        <x:f>IF(K910="","",IF(N910&lt;=M910,"",TRIM(CLEAN(MID(INDEX($B$3:$B$168,K910),M910,N910-M910)))))</x:f>
      </x:c>
      <x:c r="F910" t="str">
        <x:f>IF(E910="","",IF(E910=TRIM(INDEX($A$3:$A$168,K910)),"",IF(RIGHT(TRIM(INDEX($A$3:$A$168,K910)),1)="]",LEFT(TRIM(INDEX($A$3:$A$168,K910)),LEN(TRIM(INDEX($A$3:$A$168,K910)))-1)&amp;", "&amp;SUBSTITUTE(SUBSTITUTE(SUBSTITUTE(E910," [",", "),"[",", "),"]","")&amp;"]",TRIM(INDEX($A$3:$A$168,K910))&amp;" ["&amp;SUBSTITUTE(SUBSTITUTE(SUBSTITUTE(E910," [",", "),"[",", "),"]","")&amp;"]")))</x:f>
      </x:c>
      <x:c r="G910" t="str">
        <x:f>IF(F910&lt;&gt;"",ROWS($F$3:F910)-COUNTBLANK($F$3:F910),"")</x:f>
      </x:c>
      <x:c r="H910"/>
      <x:c r="I910"/>
      <x:c r="J910"/>
      <x:c r="K910" t="str">
        <x:f>IF(ROW()-ROW($K$2)&lt;=SUM($J$3:$J$168),COUNTIF($H$3:$H$168,"&lt;"&amp;(ROW()-ROW($K$2))),"")</x:f>
      </x:c>
      <x:c r="L910" t="str">
        <x:f>IF(K910="","",ROW()-ROW($L$2)-INDEX($H$3:$H$168,K910))</x:f>
      </x:c>
      <x:c r="M910" t="str">
        <x:f>IF(K910="","",IF(L910=1,1,FIND(CHAR(1),SUBSTITUTE(INDEX($B$3:$B$168,K910),CHAR(10),CHAR(1),L910-1))+1))</x:f>
      </x:c>
      <x:c r="N910" t="str">
        <x:f>IF(K910="","",IFERROR(FIND(CHAR(1),SUBSTITUTE(INDEX($B$3:$B$168,K910),CHAR(10),CHAR(1),L910)),LEN(INDEX($B$3:$B$168,K910))+1))</x:f>
      </x:c>
    </x:row>
    <x:row r="911">
      <x:c r="A911"/>
      <x:c r="B911"/>
      <x:c r="C911"/>
      <x:c r="D911" t="str">
        <x:f>IFERROR(IF(909&lt;=$O$1,INDEX($A$3:$A$168,MATCH(909,$I$3:$I$168,0)),IF(909&lt;=$O$1+$O$2,INDEX($F$3:$F$1994,MATCH(909-$O$1,$G$3:$G$1994,0)),"")),"")</x:f>
      </x:c>
      <x:c r="E911" t="str">
        <x:f>IF(K911="","",IF(N911&lt;=M911,"",TRIM(CLEAN(MID(INDEX($B$3:$B$168,K911),M911,N911-M911)))))</x:f>
      </x:c>
      <x:c r="F911" t="str">
        <x:f>IF(E911="","",IF(E911=TRIM(INDEX($A$3:$A$168,K911)),"",IF(RIGHT(TRIM(INDEX($A$3:$A$168,K911)),1)="]",LEFT(TRIM(INDEX($A$3:$A$168,K911)),LEN(TRIM(INDEX($A$3:$A$168,K911)))-1)&amp;", "&amp;SUBSTITUTE(SUBSTITUTE(SUBSTITUTE(E911," [",", "),"[",", "),"]","")&amp;"]",TRIM(INDEX($A$3:$A$168,K911))&amp;" ["&amp;SUBSTITUTE(SUBSTITUTE(SUBSTITUTE(E911," [",", "),"[",", "),"]","")&amp;"]")))</x:f>
      </x:c>
      <x:c r="G911" t="str">
        <x:f>IF(F911&lt;&gt;"",ROWS($F$3:F911)-COUNTBLANK($F$3:F911),"")</x:f>
      </x:c>
      <x:c r="H911"/>
      <x:c r="I911"/>
      <x:c r="J911"/>
      <x:c r="K911" t="str">
        <x:f>IF(ROW()-ROW($K$2)&lt;=SUM($J$3:$J$168),COUNTIF($H$3:$H$168,"&lt;"&amp;(ROW()-ROW($K$2))),"")</x:f>
      </x:c>
      <x:c r="L911" t="str">
        <x:f>IF(K911="","",ROW()-ROW($L$2)-INDEX($H$3:$H$168,K911))</x:f>
      </x:c>
      <x:c r="M911" t="str">
        <x:f>IF(K911="","",IF(L911=1,1,FIND(CHAR(1),SUBSTITUTE(INDEX($B$3:$B$168,K911),CHAR(10),CHAR(1),L911-1))+1))</x:f>
      </x:c>
      <x:c r="N911" t="str">
        <x:f>IF(K911="","",IFERROR(FIND(CHAR(1),SUBSTITUTE(INDEX($B$3:$B$168,K911),CHAR(10),CHAR(1),L911)),LEN(INDEX($B$3:$B$168,K911))+1))</x:f>
      </x:c>
    </x:row>
    <x:row r="912">
      <x:c r="A912"/>
      <x:c r="B912"/>
      <x:c r="C912"/>
      <x:c r="D912" t="str">
        <x:f>IFERROR(IF(910&lt;=$O$1,INDEX($A$3:$A$168,MATCH(910,$I$3:$I$168,0)),IF(910&lt;=$O$1+$O$2,INDEX($F$3:$F$1994,MATCH(910-$O$1,$G$3:$G$1994,0)),"")),"")</x:f>
      </x:c>
      <x:c r="E912" t="str">
        <x:f>IF(K912="","",IF(N912&lt;=M912,"",TRIM(CLEAN(MID(INDEX($B$3:$B$168,K912),M912,N912-M912)))))</x:f>
      </x:c>
      <x:c r="F912" t="str">
        <x:f>IF(E912="","",IF(E912=TRIM(INDEX($A$3:$A$168,K912)),"",IF(RIGHT(TRIM(INDEX($A$3:$A$168,K912)),1)="]",LEFT(TRIM(INDEX($A$3:$A$168,K912)),LEN(TRIM(INDEX($A$3:$A$168,K912)))-1)&amp;", "&amp;SUBSTITUTE(SUBSTITUTE(SUBSTITUTE(E912," [",", "),"[",", "),"]","")&amp;"]",TRIM(INDEX($A$3:$A$168,K912))&amp;" ["&amp;SUBSTITUTE(SUBSTITUTE(SUBSTITUTE(E912," [",", "),"[",", "),"]","")&amp;"]")))</x:f>
      </x:c>
      <x:c r="G912" t="str">
        <x:f>IF(F912&lt;&gt;"",ROWS($F$3:F912)-COUNTBLANK($F$3:F912),"")</x:f>
      </x:c>
      <x:c r="H912"/>
      <x:c r="I912"/>
      <x:c r="J912"/>
      <x:c r="K912" t="str">
        <x:f>IF(ROW()-ROW($K$2)&lt;=SUM($J$3:$J$168),COUNTIF($H$3:$H$168,"&lt;"&amp;(ROW()-ROW($K$2))),"")</x:f>
      </x:c>
      <x:c r="L912" t="str">
        <x:f>IF(K912="","",ROW()-ROW($L$2)-INDEX($H$3:$H$168,K912))</x:f>
      </x:c>
      <x:c r="M912" t="str">
        <x:f>IF(K912="","",IF(L912=1,1,FIND(CHAR(1),SUBSTITUTE(INDEX($B$3:$B$168,K912),CHAR(10),CHAR(1),L912-1))+1))</x:f>
      </x:c>
      <x:c r="N912" t="str">
        <x:f>IF(K912="","",IFERROR(FIND(CHAR(1),SUBSTITUTE(INDEX($B$3:$B$168,K912),CHAR(10),CHAR(1),L912)),LEN(INDEX($B$3:$B$168,K912))+1))</x:f>
      </x:c>
    </x:row>
    <x:row r="913">
      <x:c r="A913"/>
      <x:c r="B913"/>
      <x:c r="C913"/>
      <x:c r="D913" t="str">
        <x:f>IFERROR(IF(911&lt;=$O$1,INDEX($A$3:$A$168,MATCH(911,$I$3:$I$168,0)),IF(911&lt;=$O$1+$O$2,INDEX($F$3:$F$1994,MATCH(911-$O$1,$G$3:$G$1994,0)),"")),"")</x:f>
      </x:c>
      <x:c r="E913" t="str">
        <x:f>IF(K913="","",IF(N913&lt;=M913,"",TRIM(CLEAN(MID(INDEX($B$3:$B$168,K913),M913,N913-M913)))))</x:f>
      </x:c>
      <x:c r="F913" t="str">
        <x:f>IF(E913="","",IF(E913=TRIM(INDEX($A$3:$A$168,K913)),"",IF(RIGHT(TRIM(INDEX($A$3:$A$168,K913)),1)="]",LEFT(TRIM(INDEX($A$3:$A$168,K913)),LEN(TRIM(INDEX($A$3:$A$168,K913)))-1)&amp;", "&amp;SUBSTITUTE(SUBSTITUTE(SUBSTITUTE(E913," [",", "),"[",", "),"]","")&amp;"]",TRIM(INDEX($A$3:$A$168,K913))&amp;" ["&amp;SUBSTITUTE(SUBSTITUTE(SUBSTITUTE(E913," [",", "),"[",", "),"]","")&amp;"]")))</x:f>
      </x:c>
      <x:c r="G913" t="str">
        <x:f>IF(F913&lt;&gt;"",ROWS($F$3:F913)-COUNTBLANK($F$3:F913),"")</x:f>
      </x:c>
      <x:c r="H913"/>
      <x:c r="I913"/>
      <x:c r="J913"/>
      <x:c r="K913" t="str">
        <x:f>IF(ROW()-ROW($K$2)&lt;=SUM($J$3:$J$168),COUNTIF($H$3:$H$168,"&lt;"&amp;(ROW()-ROW($K$2))),"")</x:f>
      </x:c>
      <x:c r="L913" t="str">
        <x:f>IF(K913="","",ROW()-ROW($L$2)-INDEX($H$3:$H$168,K913))</x:f>
      </x:c>
      <x:c r="M913" t="str">
        <x:f>IF(K913="","",IF(L913=1,1,FIND(CHAR(1),SUBSTITUTE(INDEX($B$3:$B$168,K913),CHAR(10),CHAR(1),L913-1))+1))</x:f>
      </x:c>
      <x:c r="N913" t="str">
        <x:f>IF(K913="","",IFERROR(FIND(CHAR(1),SUBSTITUTE(INDEX($B$3:$B$168,K913),CHAR(10),CHAR(1),L913)),LEN(INDEX($B$3:$B$168,K913))+1))</x:f>
      </x:c>
    </x:row>
    <x:row r="914">
      <x:c r="A914"/>
      <x:c r="B914"/>
      <x:c r="C914"/>
      <x:c r="D914" t="str">
        <x:f>IFERROR(IF(912&lt;=$O$1,INDEX($A$3:$A$168,MATCH(912,$I$3:$I$168,0)),IF(912&lt;=$O$1+$O$2,INDEX($F$3:$F$1994,MATCH(912-$O$1,$G$3:$G$1994,0)),"")),"")</x:f>
      </x:c>
      <x:c r="E914" t="str">
        <x:f>IF(K914="","",IF(N914&lt;=M914,"",TRIM(CLEAN(MID(INDEX($B$3:$B$168,K914),M914,N914-M914)))))</x:f>
      </x:c>
      <x:c r="F914" t="str">
        <x:f>IF(E914="","",IF(E914=TRIM(INDEX($A$3:$A$168,K914)),"",IF(RIGHT(TRIM(INDEX($A$3:$A$168,K914)),1)="]",LEFT(TRIM(INDEX($A$3:$A$168,K914)),LEN(TRIM(INDEX($A$3:$A$168,K914)))-1)&amp;", "&amp;SUBSTITUTE(SUBSTITUTE(SUBSTITUTE(E914," [",", "),"[",", "),"]","")&amp;"]",TRIM(INDEX($A$3:$A$168,K914))&amp;" ["&amp;SUBSTITUTE(SUBSTITUTE(SUBSTITUTE(E914," [",", "),"[",", "),"]","")&amp;"]")))</x:f>
      </x:c>
      <x:c r="G914" t="str">
        <x:f>IF(F914&lt;&gt;"",ROWS($F$3:F914)-COUNTBLANK($F$3:F914),"")</x:f>
      </x:c>
      <x:c r="H914"/>
      <x:c r="I914"/>
      <x:c r="J914"/>
      <x:c r="K914" t="str">
        <x:f>IF(ROW()-ROW($K$2)&lt;=SUM($J$3:$J$168),COUNTIF($H$3:$H$168,"&lt;"&amp;(ROW()-ROW($K$2))),"")</x:f>
      </x:c>
      <x:c r="L914" t="str">
        <x:f>IF(K914="","",ROW()-ROW($L$2)-INDEX($H$3:$H$168,K914))</x:f>
      </x:c>
      <x:c r="M914" t="str">
        <x:f>IF(K914="","",IF(L914=1,1,FIND(CHAR(1),SUBSTITUTE(INDEX($B$3:$B$168,K914),CHAR(10),CHAR(1),L914-1))+1))</x:f>
      </x:c>
      <x:c r="N914" t="str">
        <x:f>IF(K914="","",IFERROR(FIND(CHAR(1),SUBSTITUTE(INDEX($B$3:$B$168,K914),CHAR(10),CHAR(1),L914)),LEN(INDEX($B$3:$B$168,K914))+1))</x:f>
      </x:c>
    </x:row>
    <x:row r="915">
      <x:c r="A915"/>
      <x:c r="B915"/>
      <x:c r="C915"/>
      <x:c r="D915" t="str">
        <x:f>IFERROR(IF(913&lt;=$O$1,INDEX($A$3:$A$168,MATCH(913,$I$3:$I$168,0)),IF(913&lt;=$O$1+$O$2,INDEX($F$3:$F$1994,MATCH(913-$O$1,$G$3:$G$1994,0)),"")),"")</x:f>
      </x:c>
      <x:c r="E915" t="str">
        <x:f>IF(K915="","",IF(N915&lt;=M915,"",TRIM(CLEAN(MID(INDEX($B$3:$B$168,K915),M915,N915-M915)))))</x:f>
      </x:c>
      <x:c r="F915" t="str">
        <x:f>IF(E915="","",IF(E915=TRIM(INDEX($A$3:$A$168,K915)),"",IF(RIGHT(TRIM(INDEX($A$3:$A$168,K915)),1)="]",LEFT(TRIM(INDEX($A$3:$A$168,K915)),LEN(TRIM(INDEX($A$3:$A$168,K915)))-1)&amp;", "&amp;SUBSTITUTE(SUBSTITUTE(SUBSTITUTE(E915," [",", "),"[",", "),"]","")&amp;"]",TRIM(INDEX($A$3:$A$168,K915))&amp;" ["&amp;SUBSTITUTE(SUBSTITUTE(SUBSTITUTE(E915," [",", "),"[",", "),"]","")&amp;"]")))</x:f>
      </x:c>
      <x:c r="G915" t="str">
        <x:f>IF(F915&lt;&gt;"",ROWS($F$3:F915)-COUNTBLANK($F$3:F915),"")</x:f>
      </x:c>
      <x:c r="H915"/>
      <x:c r="I915"/>
      <x:c r="J915"/>
      <x:c r="K915" t="str">
        <x:f>IF(ROW()-ROW($K$2)&lt;=SUM($J$3:$J$168),COUNTIF($H$3:$H$168,"&lt;"&amp;(ROW()-ROW($K$2))),"")</x:f>
      </x:c>
      <x:c r="L915" t="str">
        <x:f>IF(K915="","",ROW()-ROW($L$2)-INDEX($H$3:$H$168,K915))</x:f>
      </x:c>
      <x:c r="M915" t="str">
        <x:f>IF(K915="","",IF(L915=1,1,FIND(CHAR(1),SUBSTITUTE(INDEX($B$3:$B$168,K915),CHAR(10),CHAR(1),L915-1))+1))</x:f>
      </x:c>
      <x:c r="N915" t="str">
        <x:f>IF(K915="","",IFERROR(FIND(CHAR(1),SUBSTITUTE(INDEX($B$3:$B$168,K915),CHAR(10),CHAR(1),L915)),LEN(INDEX($B$3:$B$168,K915))+1))</x:f>
      </x:c>
    </x:row>
    <x:row r="916">
      <x:c r="A916"/>
      <x:c r="B916"/>
      <x:c r="C916"/>
      <x:c r="D916" t="str">
        <x:f>IFERROR(IF(914&lt;=$O$1,INDEX($A$3:$A$168,MATCH(914,$I$3:$I$168,0)),IF(914&lt;=$O$1+$O$2,INDEX($F$3:$F$1994,MATCH(914-$O$1,$G$3:$G$1994,0)),"")),"")</x:f>
      </x:c>
      <x:c r="E916" t="str">
        <x:f>IF(K916="","",IF(N916&lt;=M916,"",TRIM(CLEAN(MID(INDEX($B$3:$B$168,K916),M916,N916-M916)))))</x:f>
      </x:c>
      <x:c r="F916" t="str">
        <x:f>IF(E916="","",IF(E916=TRIM(INDEX($A$3:$A$168,K916)),"",IF(RIGHT(TRIM(INDEX($A$3:$A$168,K916)),1)="]",LEFT(TRIM(INDEX($A$3:$A$168,K916)),LEN(TRIM(INDEX($A$3:$A$168,K916)))-1)&amp;", "&amp;SUBSTITUTE(SUBSTITUTE(SUBSTITUTE(E916," [",", "),"[",", "),"]","")&amp;"]",TRIM(INDEX($A$3:$A$168,K916))&amp;" ["&amp;SUBSTITUTE(SUBSTITUTE(SUBSTITUTE(E916," [",", "),"[",", "),"]","")&amp;"]")))</x:f>
      </x:c>
      <x:c r="G916" t="str">
        <x:f>IF(F916&lt;&gt;"",ROWS($F$3:F916)-COUNTBLANK($F$3:F916),"")</x:f>
      </x:c>
      <x:c r="H916"/>
      <x:c r="I916"/>
      <x:c r="J916"/>
      <x:c r="K916" t="str">
        <x:f>IF(ROW()-ROW($K$2)&lt;=SUM($J$3:$J$168),COUNTIF($H$3:$H$168,"&lt;"&amp;(ROW()-ROW($K$2))),"")</x:f>
      </x:c>
      <x:c r="L916" t="str">
        <x:f>IF(K916="","",ROW()-ROW($L$2)-INDEX($H$3:$H$168,K916))</x:f>
      </x:c>
      <x:c r="M916" t="str">
        <x:f>IF(K916="","",IF(L916=1,1,FIND(CHAR(1),SUBSTITUTE(INDEX($B$3:$B$168,K916),CHAR(10),CHAR(1),L916-1))+1))</x:f>
      </x:c>
      <x:c r="N916" t="str">
        <x:f>IF(K916="","",IFERROR(FIND(CHAR(1),SUBSTITUTE(INDEX($B$3:$B$168,K916),CHAR(10),CHAR(1),L916)),LEN(INDEX($B$3:$B$168,K916))+1))</x:f>
      </x:c>
    </x:row>
    <x:row r="917">
      <x:c r="A917"/>
      <x:c r="B917"/>
      <x:c r="C917"/>
      <x:c r="D917" t="str">
        <x:f>IFERROR(IF(915&lt;=$O$1,INDEX($A$3:$A$168,MATCH(915,$I$3:$I$168,0)),IF(915&lt;=$O$1+$O$2,INDEX($F$3:$F$1994,MATCH(915-$O$1,$G$3:$G$1994,0)),"")),"")</x:f>
      </x:c>
      <x:c r="E917" t="str">
        <x:f>IF(K917="","",IF(N917&lt;=M917,"",TRIM(CLEAN(MID(INDEX($B$3:$B$168,K917),M917,N917-M917)))))</x:f>
      </x:c>
      <x:c r="F917" t="str">
        <x:f>IF(E917="","",IF(E917=TRIM(INDEX($A$3:$A$168,K917)),"",IF(RIGHT(TRIM(INDEX($A$3:$A$168,K917)),1)="]",LEFT(TRIM(INDEX($A$3:$A$168,K917)),LEN(TRIM(INDEX($A$3:$A$168,K917)))-1)&amp;", "&amp;SUBSTITUTE(SUBSTITUTE(SUBSTITUTE(E917," [",", "),"[",", "),"]","")&amp;"]",TRIM(INDEX($A$3:$A$168,K917))&amp;" ["&amp;SUBSTITUTE(SUBSTITUTE(SUBSTITUTE(E917," [",", "),"[",", "),"]","")&amp;"]")))</x:f>
      </x:c>
      <x:c r="G917" t="str">
        <x:f>IF(F917&lt;&gt;"",ROWS($F$3:F917)-COUNTBLANK($F$3:F917),"")</x:f>
      </x:c>
      <x:c r="H917"/>
      <x:c r="I917"/>
      <x:c r="J917"/>
      <x:c r="K917" t="str">
        <x:f>IF(ROW()-ROW($K$2)&lt;=SUM($J$3:$J$168),COUNTIF($H$3:$H$168,"&lt;"&amp;(ROW()-ROW($K$2))),"")</x:f>
      </x:c>
      <x:c r="L917" t="str">
        <x:f>IF(K917="","",ROW()-ROW($L$2)-INDEX($H$3:$H$168,K917))</x:f>
      </x:c>
      <x:c r="M917" t="str">
        <x:f>IF(K917="","",IF(L917=1,1,FIND(CHAR(1),SUBSTITUTE(INDEX($B$3:$B$168,K917),CHAR(10),CHAR(1),L917-1))+1))</x:f>
      </x:c>
      <x:c r="N917" t="str">
        <x:f>IF(K917="","",IFERROR(FIND(CHAR(1),SUBSTITUTE(INDEX($B$3:$B$168,K917),CHAR(10),CHAR(1),L917)),LEN(INDEX($B$3:$B$168,K917))+1))</x:f>
      </x:c>
    </x:row>
    <x:row r="918">
      <x:c r="A918"/>
      <x:c r="B918"/>
      <x:c r="C918"/>
      <x:c r="D918" t="str">
        <x:f>IFERROR(IF(916&lt;=$O$1,INDEX($A$3:$A$168,MATCH(916,$I$3:$I$168,0)),IF(916&lt;=$O$1+$O$2,INDEX($F$3:$F$1994,MATCH(916-$O$1,$G$3:$G$1994,0)),"")),"")</x:f>
      </x:c>
      <x:c r="E918" t="str">
        <x:f>IF(K918="","",IF(N918&lt;=M918,"",TRIM(CLEAN(MID(INDEX($B$3:$B$168,K918),M918,N918-M918)))))</x:f>
      </x:c>
      <x:c r="F918" t="str">
        <x:f>IF(E918="","",IF(E918=TRIM(INDEX($A$3:$A$168,K918)),"",IF(RIGHT(TRIM(INDEX($A$3:$A$168,K918)),1)="]",LEFT(TRIM(INDEX($A$3:$A$168,K918)),LEN(TRIM(INDEX($A$3:$A$168,K918)))-1)&amp;", "&amp;SUBSTITUTE(SUBSTITUTE(SUBSTITUTE(E918," [",", "),"[",", "),"]","")&amp;"]",TRIM(INDEX($A$3:$A$168,K918))&amp;" ["&amp;SUBSTITUTE(SUBSTITUTE(SUBSTITUTE(E918," [",", "),"[",", "),"]","")&amp;"]")))</x:f>
      </x:c>
      <x:c r="G918" t="str">
        <x:f>IF(F918&lt;&gt;"",ROWS($F$3:F918)-COUNTBLANK($F$3:F918),"")</x:f>
      </x:c>
      <x:c r="H918"/>
      <x:c r="I918"/>
      <x:c r="J918"/>
      <x:c r="K918" t="str">
        <x:f>IF(ROW()-ROW($K$2)&lt;=SUM($J$3:$J$168),COUNTIF($H$3:$H$168,"&lt;"&amp;(ROW()-ROW($K$2))),"")</x:f>
      </x:c>
      <x:c r="L918" t="str">
        <x:f>IF(K918="","",ROW()-ROW($L$2)-INDEX($H$3:$H$168,K918))</x:f>
      </x:c>
      <x:c r="M918" t="str">
        <x:f>IF(K918="","",IF(L918=1,1,FIND(CHAR(1),SUBSTITUTE(INDEX($B$3:$B$168,K918),CHAR(10),CHAR(1),L918-1))+1))</x:f>
      </x:c>
      <x:c r="N918" t="str">
        <x:f>IF(K918="","",IFERROR(FIND(CHAR(1),SUBSTITUTE(INDEX($B$3:$B$168,K918),CHAR(10),CHAR(1),L918)),LEN(INDEX($B$3:$B$168,K918))+1))</x:f>
      </x:c>
    </x:row>
    <x:row r="919">
      <x:c r="A919"/>
      <x:c r="B919"/>
      <x:c r="C919"/>
      <x:c r="D919" t="str">
        <x:f>IFERROR(IF(917&lt;=$O$1,INDEX($A$3:$A$168,MATCH(917,$I$3:$I$168,0)),IF(917&lt;=$O$1+$O$2,INDEX($F$3:$F$1994,MATCH(917-$O$1,$G$3:$G$1994,0)),"")),"")</x:f>
      </x:c>
      <x:c r="E919" t="str">
        <x:f>IF(K919="","",IF(N919&lt;=M919,"",TRIM(CLEAN(MID(INDEX($B$3:$B$168,K919),M919,N919-M919)))))</x:f>
      </x:c>
      <x:c r="F919" t="str">
        <x:f>IF(E919="","",IF(E919=TRIM(INDEX($A$3:$A$168,K919)),"",IF(RIGHT(TRIM(INDEX($A$3:$A$168,K919)),1)="]",LEFT(TRIM(INDEX($A$3:$A$168,K919)),LEN(TRIM(INDEX($A$3:$A$168,K919)))-1)&amp;", "&amp;SUBSTITUTE(SUBSTITUTE(SUBSTITUTE(E919," [",", "),"[",", "),"]","")&amp;"]",TRIM(INDEX($A$3:$A$168,K919))&amp;" ["&amp;SUBSTITUTE(SUBSTITUTE(SUBSTITUTE(E919," [",", "),"[",", "),"]","")&amp;"]")))</x:f>
      </x:c>
      <x:c r="G919" t="str">
        <x:f>IF(F919&lt;&gt;"",ROWS($F$3:F919)-COUNTBLANK($F$3:F919),"")</x:f>
      </x:c>
      <x:c r="H919"/>
      <x:c r="I919"/>
      <x:c r="J919"/>
      <x:c r="K919" t="str">
        <x:f>IF(ROW()-ROW($K$2)&lt;=SUM($J$3:$J$168),COUNTIF($H$3:$H$168,"&lt;"&amp;(ROW()-ROW($K$2))),"")</x:f>
      </x:c>
      <x:c r="L919" t="str">
        <x:f>IF(K919="","",ROW()-ROW($L$2)-INDEX($H$3:$H$168,K919))</x:f>
      </x:c>
      <x:c r="M919" t="str">
        <x:f>IF(K919="","",IF(L919=1,1,FIND(CHAR(1),SUBSTITUTE(INDEX($B$3:$B$168,K919),CHAR(10),CHAR(1),L919-1))+1))</x:f>
      </x:c>
      <x:c r="N919" t="str">
        <x:f>IF(K919="","",IFERROR(FIND(CHAR(1),SUBSTITUTE(INDEX($B$3:$B$168,K919),CHAR(10),CHAR(1),L919)),LEN(INDEX($B$3:$B$168,K919))+1))</x:f>
      </x:c>
    </x:row>
    <x:row r="920">
      <x:c r="A920"/>
      <x:c r="B920"/>
      <x:c r="C920"/>
      <x:c r="D920" t="str">
        <x:f>IFERROR(IF(918&lt;=$O$1,INDEX($A$3:$A$168,MATCH(918,$I$3:$I$168,0)),IF(918&lt;=$O$1+$O$2,INDEX($F$3:$F$1994,MATCH(918-$O$1,$G$3:$G$1994,0)),"")),"")</x:f>
      </x:c>
      <x:c r="E920" t="str">
        <x:f>IF(K920="","",IF(N920&lt;=M920,"",TRIM(CLEAN(MID(INDEX($B$3:$B$168,K920),M920,N920-M920)))))</x:f>
      </x:c>
      <x:c r="F920" t="str">
        <x:f>IF(E920="","",IF(E920=TRIM(INDEX($A$3:$A$168,K920)),"",IF(RIGHT(TRIM(INDEX($A$3:$A$168,K920)),1)="]",LEFT(TRIM(INDEX($A$3:$A$168,K920)),LEN(TRIM(INDEX($A$3:$A$168,K920)))-1)&amp;", "&amp;SUBSTITUTE(SUBSTITUTE(SUBSTITUTE(E920," [",", "),"[",", "),"]","")&amp;"]",TRIM(INDEX($A$3:$A$168,K920))&amp;" ["&amp;SUBSTITUTE(SUBSTITUTE(SUBSTITUTE(E920," [",", "),"[",", "),"]","")&amp;"]")))</x:f>
      </x:c>
      <x:c r="G920" t="str">
        <x:f>IF(F920&lt;&gt;"",ROWS($F$3:F920)-COUNTBLANK($F$3:F920),"")</x:f>
      </x:c>
      <x:c r="H920"/>
      <x:c r="I920"/>
      <x:c r="J920"/>
      <x:c r="K920" t="str">
        <x:f>IF(ROW()-ROW($K$2)&lt;=SUM($J$3:$J$168),COUNTIF($H$3:$H$168,"&lt;"&amp;(ROW()-ROW($K$2))),"")</x:f>
      </x:c>
      <x:c r="L920" t="str">
        <x:f>IF(K920="","",ROW()-ROW($L$2)-INDEX($H$3:$H$168,K920))</x:f>
      </x:c>
      <x:c r="M920" t="str">
        <x:f>IF(K920="","",IF(L920=1,1,FIND(CHAR(1),SUBSTITUTE(INDEX($B$3:$B$168,K920),CHAR(10),CHAR(1),L920-1))+1))</x:f>
      </x:c>
      <x:c r="N920" t="str">
        <x:f>IF(K920="","",IFERROR(FIND(CHAR(1),SUBSTITUTE(INDEX($B$3:$B$168,K920),CHAR(10),CHAR(1),L920)),LEN(INDEX($B$3:$B$168,K920))+1))</x:f>
      </x:c>
    </x:row>
    <x:row r="921">
      <x:c r="A921"/>
      <x:c r="B921"/>
      <x:c r="C921"/>
      <x:c r="D921" t="str">
        <x:f>IFERROR(IF(919&lt;=$O$1,INDEX($A$3:$A$168,MATCH(919,$I$3:$I$168,0)),IF(919&lt;=$O$1+$O$2,INDEX($F$3:$F$1994,MATCH(919-$O$1,$G$3:$G$1994,0)),"")),"")</x:f>
      </x:c>
      <x:c r="E921" t="str">
        <x:f>IF(K921="","",IF(N921&lt;=M921,"",TRIM(CLEAN(MID(INDEX($B$3:$B$168,K921),M921,N921-M921)))))</x:f>
      </x:c>
      <x:c r="F921" t="str">
        <x:f>IF(E921="","",IF(E921=TRIM(INDEX($A$3:$A$168,K921)),"",IF(RIGHT(TRIM(INDEX($A$3:$A$168,K921)),1)="]",LEFT(TRIM(INDEX($A$3:$A$168,K921)),LEN(TRIM(INDEX($A$3:$A$168,K921)))-1)&amp;", "&amp;SUBSTITUTE(SUBSTITUTE(SUBSTITUTE(E921," [",", "),"[",", "),"]","")&amp;"]",TRIM(INDEX($A$3:$A$168,K921))&amp;" ["&amp;SUBSTITUTE(SUBSTITUTE(SUBSTITUTE(E921," [",", "),"[",", "),"]","")&amp;"]")))</x:f>
      </x:c>
      <x:c r="G921" t="str">
        <x:f>IF(F921&lt;&gt;"",ROWS($F$3:F921)-COUNTBLANK($F$3:F921),"")</x:f>
      </x:c>
      <x:c r="H921"/>
      <x:c r="I921"/>
      <x:c r="J921"/>
      <x:c r="K921" t="str">
        <x:f>IF(ROW()-ROW($K$2)&lt;=SUM($J$3:$J$168),COUNTIF($H$3:$H$168,"&lt;"&amp;(ROW()-ROW($K$2))),"")</x:f>
      </x:c>
      <x:c r="L921" t="str">
        <x:f>IF(K921="","",ROW()-ROW($L$2)-INDEX($H$3:$H$168,K921))</x:f>
      </x:c>
      <x:c r="M921" t="str">
        <x:f>IF(K921="","",IF(L921=1,1,FIND(CHAR(1),SUBSTITUTE(INDEX($B$3:$B$168,K921),CHAR(10),CHAR(1),L921-1))+1))</x:f>
      </x:c>
      <x:c r="N921" t="str">
        <x:f>IF(K921="","",IFERROR(FIND(CHAR(1),SUBSTITUTE(INDEX($B$3:$B$168,K921),CHAR(10),CHAR(1),L921)),LEN(INDEX($B$3:$B$168,K921))+1))</x:f>
      </x:c>
    </x:row>
    <x:row r="922">
      <x:c r="A922"/>
      <x:c r="B922"/>
      <x:c r="C922"/>
      <x:c r="D922" t="str">
        <x:f>IFERROR(IF(920&lt;=$O$1,INDEX($A$3:$A$168,MATCH(920,$I$3:$I$168,0)),IF(920&lt;=$O$1+$O$2,INDEX($F$3:$F$1994,MATCH(920-$O$1,$G$3:$G$1994,0)),"")),"")</x:f>
      </x:c>
      <x:c r="E922" t="str">
        <x:f>IF(K922="","",IF(N922&lt;=M922,"",TRIM(CLEAN(MID(INDEX($B$3:$B$168,K922),M922,N922-M922)))))</x:f>
      </x:c>
      <x:c r="F922" t="str">
        <x:f>IF(E922="","",IF(E922=TRIM(INDEX($A$3:$A$168,K922)),"",IF(RIGHT(TRIM(INDEX($A$3:$A$168,K922)),1)="]",LEFT(TRIM(INDEX($A$3:$A$168,K922)),LEN(TRIM(INDEX($A$3:$A$168,K922)))-1)&amp;", "&amp;SUBSTITUTE(SUBSTITUTE(SUBSTITUTE(E922," [",", "),"[",", "),"]","")&amp;"]",TRIM(INDEX($A$3:$A$168,K922))&amp;" ["&amp;SUBSTITUTE(SUBSTITUTE(SUBSTITUTE(E922," [",", "),"[",", "),"]","")&amp;"]")))</x:f>
      </x:c>
      <x:c r="G922" t="str">
        <x:f>IF(F922&lt;&gt;"",ROWS($F$3:F922)-COUNTBLANK($F$3:F922),"")</x:f>
      </x:c>
      <x:c r="H922"/>
      <x:c r="I922"/>
      <x:c r="J922"/>
      <x:c r="K922" t="str">
        <x:f>IF(ROW()-ROW($K$2)&lt;=SUM($J$3:$J$168),COUNTIF($H$3:$H$168,"&lt;"&amp;(ROW()-ROW($K$2))),"")</x:f>
      </x:c>
      <x:c r="L922" t="str">
        <x:f>IF(K922="","",ROW()-ROW($L$2)-INDEX($H$3:$H$168,K922))</x:f>
      </x:c>
      <x:c r="M922" t="str">
        <x:f>IF(K922="","",IF(L922=1,1,FIND(CHAR(1),SUBSTITUTE(INDEX($B$3:$B$168,K922),CHAR(10),CHAR(1),L922-1))+1))</x:f>
      </x:c>
      <x:c r="N922" t="str">
        <x:f>IF(K922="","",IFERROR(FIND(CHAR(1),SUBSTITUTE(INDEX($B$3:$B$168,K922),CHAR(10),CHAR(1),L922)),LEN(INDEX($B$3:$B$168,K922))+1))</x:f>
      </x:c>
    </x:row>
    <x:row r="923">
      <x:c r="A923"/>
      <x:c r="B923"/>
      <x:c r="C923"/>
      <x:c r="D923" t="str">
        <x:f>IFERROR(IF(921&lt;=$O$1,INDEX($A$3:$A$168,MATCH(921,$I$3:$I$168,0)),IF(921&lt;=$O$1+$O$2,INDEX($F$3:$F$1994,MATCH(921-$O$1,$G$3:$G$1994,0)),"")),"")</x:f>
      </x:c>
      <x:c r="E923" t="str">
        <x:f>IF(K923="","",IF(N923&lt;=M923,"",TRIM(CLEAN(MID(INDEX($B$3:$B$168,K923),M923,N923-M923)))))</x:f>
      </x:c>
      <x:c r="F923" t="str">
        <x:f>IF(E923="","",IF(E923=TRIM(INDEX($A$3:$A$168,K923)),"",IF(RIGHT(TRIM(INDEX($A$3:$A$168,K923)),1)="]",LEFT(TRIM(INDEX($A$3:$A$168,K923)),LEN(TRIM(INDEX($A$3:$A$168,K923)))-1)&amp;", "&amp;SUBSTITUTE(SUBSTITUTE(SUBSTITUTE(E923," [",", "),"[",", "),"]","")&amp;"]",TRIM(INDEX($A$3:$A$168,K923))&amp;" ["&amp;SUBSTITUTE(SUBSTITUTE(SUBSTITUTE(E923," [",", "),"[",", "),"]","")&amp;"]")))</x:f>
      </x:c>
      <x:c r="G923" t="str">
        <x:f>IF(F923&lt;&gt;"",ROWS($F$3:F923)-COUNTBLANK($F$3:F923),"")</x:f>
      </x:c>
      <x:c r="H923"/>
      <x:c r="I923"/>
      <x:c r="J923"/>
      <x:c r="K923" t="str">
        <x:f>IF(ROW()-ROW($K$2)&lt;=SUM($J$3:$J$168),COUNTIF($H$3:$H$168,"&lt;"&amp;(ROW()-ROW($K$2))),"")</x:f>
      </x:c>
      <x:c r="L923" t="str">
        <x:f>IF(K923="","",ROW()-ROW($L$2)-INDEX($H$3:$H$168,K923))</x:f>
      </x:c>
      <x:c r="M923" t="str">
        <x:f>IF(K923="","",IF(L923=1,1,FIND(CHAR(1),SUBSTITUTE(INDEX($B$3:$B$168,K923),CHAR(10),CHAR(1),L923-1))+1))</x:f>
      </x:c>
      <x:c r="N923" t="str">
        <x:f>IF(K923="","",IFERROR(FIND(CHAR(1),SUBSTITUTE(INDEX($B$3:$B$168,K923),CHAR(10),CHAR(1),L923)),LEN(INDEX($B$3:$B$168,K923))+1))</x:f>
      </x:c>
    </x:row>
    <x:row r="924">
      <x:c r="A924"/>
      <x:c r="B924"/>
      <x:c r="C924"/>
      <x:c r="D924" t="str">
        <x:f>IFERROR(IF(922&lt;=$O$1,INDEX($A$3:$A$168,MATCH(922,$I$3:$I$168,0)),IF(922&lt;=$O$1+$O$2,INDEX($F$3:$F$1994,MATCH(922-$O$1,$G$3:$G$1994,0)),"")),"")</x:f>
      </x:c>
      <x:c r="E924" t="str">
        <x:f>IF(K924="","",IF(N924&lt;=M924,"",TRIM(CLEAN(MID(INDEX($B$3:$B$168,K924),M924,N924-M924)))))</x:f>
      </x:c>
      <x:c r="F924" t="str">
        <x:f>IF(E924="","",IF(E924=TRIM(INDEX($A$3:$A$168,K924)),"",IF(RIGHT(TRIM(INDEX($A$3:$A$168,K924)),1)="]",LEFT(TRIM(INDEX($A$3:$A$168,K924)),LEN(TRIM(INDEX($A$3:$A$168,K924)))-1)&amp;", "&amp;SUBSTITUTE(SUBSTITUTE(SUBSTITUTE(E924," [",", "),"[",", "),"]","")&amp;"]",TRIM(INDEX($A$3:$A$168,K924))&amp;" ["&amp;SUBSTITUTE(SUBSTITUTE(SUBSTITUTE(E924," [",", "),"[",", "),"]","")&amp;"]")))</x:f>
      </x:c>
      <x:c r="G924" t="str">
        <x:f>IF(F924&lt;&gt;"",ROWS($F$3:F924)-COUNTBLANK($F$3:F924),"")</x:f>
      </x:c>
      <x:c r="H924"/>
      <x:c r="I924"/>
      <x:c r="J924"/>
      <x:c r="K924" t="str">
        <x:f>IF(ROW()-ROW($K$2)&lt;=SUM($J$3:$J$168),COUNTIF($H$3:$H$168,"&lt;"&amp;(ROW()-ROW($K$2))),"")</x:f>
      </x:c>
      <x:c r="L924" t="str">
        <x:f>IF(K924="","",ROW()-ROW($L$2)-INDEX($H$3:$H$168,K924))</x:f>
      </x:c>
      <x:c r="M924" t="str">
        <x:f>IF(K924="","",IF(L924=1,1,FIND(CHAR(1),SUBSTITUTE(INDEX($B$3:$B$168,K924),CHAR(10),CHAR(1),L924-1))+1))</x:f>
      </x:c>
      <x:c r="N924" t="str">
        <x:f>IF(K924="","",IFERROR(FIND(CHAR(1),SUBSTITUTE(INDEX($B$3:$B$168,K924),CHAR(10),CHAR(1),L924)),LEN(INDEX($B$3:$B$168,K924))+1))</x:f>
      </x:c>
    </x:row>
    <x:row r="925">
      <x:c r="A925"/>
      <x:c r="B925"/>
      <x:c r="C925"/>
      <x:c r="D925" t="str">
        <x:f>IFERROR(IF(923&lt;=$O$1,INDEX($A$3:$A$168,MATCH(923,$I$3:$I$168,0)),IF(923&lt;=$O$1+$O$2,INDEX($F$3:$F$1994,MATCH(923-$O$1,$G$3:$G$1994,0)),"")),"")</x:f>
      </x:c>
      <x:c r="E925" t="str">
        <x:f>IF(K925="","",IF(N925&lt;=M925,"",TRIM(CLEAN(MID(INDEX($B$3:$B$168,K925),M925,N925-M925)))))</x:f>
      </x:c>
      <x:c r="F925" t="str">
        <x:f>IF(E925="","",IF(E925=TRIM(INDEX($A$3:$A$168,K925)),"",IF(RIGHT(TRIM(INDEX($A$3:$A$168,K925)),1)="]",LEFT(TRIM(INDEX($A$3:$A$168,K925)),LEN(TRIM(INDEX($A$3:$A$168,K925)))-1)&amp;", "&amp;SUBSTITUTE(SUBSTITUTE(SUBSTITUTE(E925," [",", "),"[",", "),"]","")&amp;"]",TRIM(INDEX($A$3:$A$168,K925))&amp;" ["&amp;SUBSTITUTE(SUBSTITUTE(SUBSTITUTE(E925," [",", "),"[",", "),"]","")&amp;"]")))</x:f>
      </x:c>
      <x:c r="G925" t="str">
        <x:f>IF(F925&lt;&gt;"",ROWS($F$3:F925)-COUNTBLANK($F$3:F925),"")</x:f>
      </x:c>
      <x:c r="H925"/>
      <x:c r="I925"/>
      <x:c r="J925"/>
      <x:c r="K925" t="str">
        <x:f>IF(ROW()-ROW($K$2)&lt;=SUM($J$3:$J$168),COUNTIF($H$3:$H$168,"&lt;"&amp;(ROW()-ROW($K$2))),"")</x:f>
      </x:c>
      <x:c r="L925" t="str">
        <x:f>IF(K925="","",ROW()-ROW($L$2)-INDEX($H$3:$H$168,K925))</x:f>
      </x:c>
      <x:c r="M925" t="str">
        <x:f>IF(K925="","",IF(L925=1,1,FIND(CHAR(1),SUBSTITUTE(INDEX($B$3:$B$168,K925),CHAR(10),CHAR(1),L925-1))+1))</x:f>
      </x:c>
      <x:c r="N925" t="str">
        <x:f>IF(K925="","",IFERROR(FIND(CHAR(1),SUBSTITUTE(INDEX($B$3:$B$168,K925),CHAR(10),CHAR(1),L925)),LEN(INDEX($B$3:$B$168,K925))+1))</x:f>
      </x:c>
    </x:row>
    <x:row r="926">
      <x:c r="A926"/>
      <x:c r="B926"/>
      <x:c r="C926"/>
      <x:c r="D926" t="str">
        <x:f>IFERROR(IF(924&lt;=$O$1,INDEX($A$3:$A$168,MATCH(924,$I$3:$I$168,0)),IF(924&lt;=$O$1+$O$2,INDEX($F$3:$F$1994,MATCH(924-$O$1,$G$3:$G$1994,0)),"")),"")</x:f>
      </x:c>
      <x:c r="E926" t="str">
        <x:f>IF(K926="","",IF(N926&lt;=M926,"",TRIM(CLEAN(MID(INDEX($B$3:$B$168,K926),M926,N926-M926)))))</x:f>
      </x:c>
      <x:c r="F926" t="str">
        <x:f>IF(E926="","",IF(E926=TRIM(INDEX($A$3:$A$168,K926)),"",IF(RIGHT(TRIM(INDEX($A$3:$A$168,K926)),1)="]",LEFT(TRIM(INDEX($A$3:$A$168,K926)),LEN(TRIM(INDEX($A$3:$A$168,K926)))-1)&amp;", "&amp;SUBSTITUTE(SUBSTITUTE(SUBSTITUTE(E926," [",", "),"[",", "),"]","")&amp;"]",TRIM(INDEX($A$3:$A$168,K926))&amp;" ["&amp;SUBSTITUTE(SUBSTITUTE(SUBSTITUTE(E926," [",", "),"[",", "),"]","")&amp;"]")))</x:f>
      </x:c>
      <x:c r="G926" t="str">
        <x:f>IF(F926&lt;&gt;"",ROWS($F$3:F926)-COUNTBLANK($F$3:F926),"")</x:f>
      </x:c>
      <x:c r="H926"/>
      <x:c r="I926"/>
      <x:c r="J926"/>
      <x:c r="K926" t="str">
        <x:f>IF(ROW()-ROW($K$2)&lt;=SUM($J$3:$J$168),COUNTIF($H$3:$H$168,"&lt;"&amp;(ROW()-ROW($K$2))),"")</x:f>
      </x:c>
      <x:c r="L926" t="str">
        <x:f>IF(K926="","",ROW()-ROW($L$2)-INDEX($H$3:$H$168,K926))</x:f>
      </x:c>
      <x:c r="M926" t="str">
        <x:f>IF(K926="","",IF(L926=1,1,FIND(CHAR(1),SUBSTITUTE(INDEX($B$3:$B$168,K926),CHAR(10),CHAR(1),L926-1))+1))</x:f>
      </x:c>
      <x:c r="N926" t="str">
        <x:f>IF(K926="","",IFERROR(FIND(CHAR(1),SUBSTITUTE(INDEX($B$3:$B$168,K926),CHAR(10),CHAR(1),L926)),LEN(INDEX($B$3:$B$168,K926))+1))</x:f>
      </x:c>
    </x:row>
    <x:row r="927">
      <x:c r="A927"/>
      <x:c r="B927"/>
      <x:c r="C927"/>
      <x:c r="D927" t="str">
        <x:f>IFERROR(IF(925&lt;=$O$1,INDEX($A$3:$A$168,MATCH(925,$I$3:$I$168,0)),IF(925&lt;=$O$1+$O$2,INDEX($F$3:$F$1994,MATCH(925-$O$1,$G$3:$G$1994,0)),"")),"")</x:f>
      </x:c>
      <x:c r="E927" t="str">
        <x:f>IF(K927="","",IF(N927&lt;=M927,"",TRIM(CLEAN(MID(INDEX($B$3:$B$168,K927),M927,N927-M927)))))</x:f>
      </x:c>
      <x:c r="F927" t="str">
        <x:f>IF(E927="","",IF(E927=TRIM(INDEX($A$3:$A$168,K927)),"",IF(RIGHT(TRIM(INDEX($A$3:$A$168,K927)),1)="]",LEFT(TRIM(INDEX($A$3:$A$168,K927)),LEN(TRIM(INDEX($A$3:$A$168,K927)))-1)&amp;", "&amp;SUBSTITUTE(SUBSTITUTE(SUBSTITUTE(E927," [",", "),"[",", "),"]","")&amp;"]",TRIM(INDEX($A$3:$A$168,K927))&amp;" ["&amp;SUBSTITUTE(SUBSTITUTE(SUBSTITUTE(E927," [",", "),"[",", "),"]","")&amp;"]")))</x:f>
      </x:c>
      <x:c r="G927" t="str">
        <x:f>IF(F927&lt;&gt;"",ROWS($F$3:F927)-COUNTBLANK($F$3:F927),"")</x:f>
      </x:c>
      <x:c r="H927"/>
      <x:c r="I927"/>
      <x:c r="J927"/>
      <x:c r="K927" t="str">
        <x:f>IF(ROW()-ROW($K$2)&lt;=SUM($J$3:$J$168),COUNTIF($H$3:$H$168,"&lt;"&amp;(ROW()-ROW($K$2))),"")</x:f>
      </x:c>
      <x:c r="L927" t="str">
        <x:f>IF(K927="","",ROW()-ROW($L$2)-INDEX($H$3:$H$168,K927))</x:f>
      </x:c>
      <x:c r="M927" t="str">
        <x:f>IF(K927="","",IF(L927=1,1,FIND(CHAR(1),SUBSTITUTE(INDEX($B$3:$B$168,K927),CHAR(10),CHAR(1),L927-1))+1))</x:f>
      </x:c>
      <x:c r="N927" t="str">
        <x:f>IF(K927="","",IFERROR(FIND(CHAR(1),SUBSTITUTE(INDEX($B$3:$B$168,K927),CHAR(10),CHAR(1),L927)),LEN(INDEX($B$3:$B$168,K927))+1))</x:f>
      </x:c>
    </x:row>
    <x:row r="928">
      <x:c r="A928"/>
      <x:c r="B928"/>
      <x:c r="C928"/>
      <x:c r="D928" t="str">
        <x:f>IFERROR(IF(926&lt;=$O$1,INDEX($A$3:$A$168,MATCH(926,$I$3:$I$168,0)),IF(926&lt;=$O$1+$O$2,INDEX($F$3:$F$1994,MATCH(926-$O$1,$G$3:$G$1994,0)),"")),"")</x:f>
      </x:c>
      <x:c r="E928" t="str">
        <x:f>IF(K928="","",IF(N928&lt;=M928,"",TRIM(CLEAN(MID(INDEX($B$3:$B$168,K928),M928,N928-M928)))))</x:f>
      </x:c>
      <x:c r="F928" t="str">
        <x:f>IF(E928="","",IF(E928=TRIM(INDEX($A$3:$A$168,K928)),"",IF(RIGHT(TRIM(INDEX($A$3:$A$168,K928)),1)="]",LEFT(TRIM(INDEX($A$3:$A$168,K928)),LEN(TRIM(INDEX($A$3:$A$168,K928)))-1)&amp;", "&amp;SUBSTITUTE(SUBSTITUTE(SUBSTITUTE(E928," [",", "),"[",", "),"]","")&amp;"]",TRIM(INDEX($A$3:$A$168,K928))&amp;" ["&amp;SUBSTITUTE(SUBSTITUTE(SUBSTITUTE(E928," [",", "),"[",", "),"]","")&amp;"]")))</x:f>
      </x:c>
      <x:c r="G928" t="str">
        <x:f>IF(F928&lt;&gt;"",ROWS($F$3:F928)-COUNTBLANK($F$3:F928),"")</x:f>
      </x:c>
      <x:c r="H928"/>
      <x:c r="I928"/>
      <x:c r="J928"/>
      <x:c r="K928" t="str">
        <x:f>IF(ROW()-ROW($K$2)&lt;=SUM($J$3:$J$168),COUNTIF($H$3:$H$168,"&lt;"&amp;(ROW()-ROW($K$2))),"")</x:f>
      </x:c>
      <x:c r="L928" t="str">
        <x:f>IF(K928="","",ROW()-ROW($L$2)-INDEX($H$3:$H$168,K928))</x:f>
      </x:c>
      <x:c r="M928" t="str">
        <x:f>IF(K928="","",IF(L928=1,1,FIND(CHAR(1),SUBSTITUTE(INDEX($B$3:$B$168,K928),CHAR(10),CHAR(1),L928-1))+1))</x:f>
      </x:c>
      <x:c r="N928" t="str">
        <x:f>IF(K928="","",IFERROR(FIND(CHAR(1),SUBSTITUTE(INDEX($B$3:$B$168,K928),CHAR(10),CHAR(1),L928)),LEN(INDEX($B$3:$B$168,K928))+1))</x:f>
      </x:c>
    </x:row>
    <x:row r="929">
      <x:c r="A929"/>
      <x:c r="B929"/>
      <x:c r="C929"/>
      <x:c r="D929" t="str">
        <x:f>IFERROR(IF(927&lt;=$O$1,INDEX($A$3:$A$168,MATCH(927,$I$3:$I$168,0)),IF(927&lt;=$O$1+$O$2,INDEX($F$3:$F$1994,MATCH(927-$O$1,$G$3:$G$1994,0)),"")),"")</x:f>
      </x:c>
      <x:c r="E929" t="str">
        <x:f>IF(K929="","",IF(N929&lt;=M929,"",TRIM(CLEAN(MID(INDEX($B$3:$B$168,K929),M929,N929-M929)))))</x:f>
      </x:c>
      <x:c r="F929" t="str">
        <x:f>IF(E929="","",IF(E929=TRIM(INDEX($A$3:$A$168,K929)),"",IF(RIGHT(TRIM(INDEX($A$3:$A$168,K929)),1)="]",LEFT(TRIM(INDEX($A$3:$A$168,K929)),LEN(TRIM(INDEX($A$3:$A$168,K929)))-1)&amp;", "&amp;SUBSTITUTE(SUBSTITUTE(SUBSTITUTE(E929," [",", "),"[",", "),"]","")&amp;"]",TRIM(INDEX($A$3:$A$168,K929))&amp;" ["&amp;SUBSTITUTE(SUBSTITUTE(SUBSTITUTE(E929," [",", "),"[",", "),"]","")&amp;"]")))</x:f>
      </x:c>
      <x:c r="G929" t="str">
        <x:f>IF(F929&lt;&gt;"",ROWS($F$3:F929)-COUNTBLANK($F$3:F929),"")</x:f>
      </x:c>
      <x:c r="H929"/>
      <x:c r="I929"/>
      <x:c r="J929"/>
      <x:c r="K929" t="str">
        <x:f>IF(ROW()-ROW($K$2)&lt;=SUM($J$3:$J$168),COUNTIF($H$3:$H$168,"&lt;"&amp;(ROW()-ROW($K$2))),"")</x:f>
      </x:c>
      <x:c r="L929" t="str">
        <x:f>IF(K929="","",ROW()-ROW($L$2)-INDEX($H$3:$H$168,K929))</x:f>
      </x:c>
      <x:c r="M929" t="str">
        <x:f>IF(K929="","",IF(L929=1,1,FIND(CHAR(1),SUBSTITUTE(INDEX($B$3:$B$168,K929),CHAR(10),CHAR(1),L929-1))+1))</x:f>
      </x:c>
      <x:c r="N929" t="str">
        <x:f>IF(K929="","",IFERROR(FIND(CHAR(1),SUBSTITUTE(INDEX($B$3:$B$168,K929),CHAR(10),CHAR(1),L929)),LEN(INDEX($B$3:$B$168,K929))+1))</x:f>
      </x:c>
    </x:row>
    <x:row r="930">
      <x:c r="A930"/>
      <x:c r="B930"/>
      <x:c r="C930"/>
      <x:c r="D930" t="str">
        <x:f>IFERROR(IF(928&lt;=$O$1,INDEX($A$3:$A$168,MATCH(928,$I$3:$I$168,0)),IF(928&lt;=$O$1+$O$2,INDEX($F$3:$F$1994,MATCH(928-$O$1,$G$3:$G$1994,0)),"")),"")</x:f>
      </x:c>
      <x:c r="E930" t="str">
        <x:f>IF(K930="","",IF(N930&lt;=M930,"",TRIM(CLEAN(MID(INDEX($B$3:$B$168,K930),M930,N930-M930)))))</x:f>
      </x:c>
      <x:c r="F930" t="str">
        <x:f>IF(E930="","",IF(E930=TRIM(INDEX($A$3:$A$168,K930)),"",IF(RIGHT(TRIM(INDEX($A$3:$A$168,K930)),1)="]",LEFT(TRIM(INDEX($A$3:$A$168,K930)),LEN(TRIM(INDEX($A$3:$A$168,K930)))-1)&amp;", "&amp;SUBSTITUTE(SUBSTITUTE(SUBSTITUTE(E930," [",", "),"[",", "),"]","")&amp;"]",TRIM(INDEX($A$3:$A$168,K930))&amp;" ["&amp;SUBSTITUTE(SUBSTITUTE(SUBSTITUTE(E930," [",", "),"[",", "),"]","")&amp;"]")))</x:f>
      </x:c>
      <x:c r="G930" t="str">
        <x:f>IF(F930&lt;&gt;"",ROWS($F$3:F930)-COUNTBLANK($F$3:F930),"")</x:f>
      </x:c>
      <x:c r="H930"/>
      <x:c r="I930"/>
      <x:c r="J930"/>
      <x:c r="K930" t="str">
        <x:f>IF(ROW()-ROW($K$2)&lt;=SUM($J$3:$J$168),COUNTIF($H$3:$H$168,"&lt;"&amp;(ROW()-ROW($K$2))),"")</x:f>
      </x:c>
      <x:c r="L930" t="str">
        <x:f>IF(K930="","",ROW()-ROW($L$2)-INDEX($H$3:$H$168,K930))</x:f>
      </x:c>
      <x:c r="M930" t="str">
        <x:f>IF(K930="","",IF(L930=1,1,FIND(CHAR(1),SUBSTITUTE(INDEX($B$3:$B$168,K930),CHAR(10),CHAR(1),L930-1))+1))</x:f>
      </x:c>
      <x:c r="N930" t="str">
        <x:f>IF(K930="","",IFERROR(FIND(CHAR(1),SUBSTITUTE(INDEX($B$3:$B$168,K930),CHAR(10),CHAR(1),L930)),LEN(INDEX($B$3:$B$168,K930))+1))</x:f>
      </x:c>
    </x:row>
    <x:row r="931">
      <x:c r="A931"/>
      <x:c r="B931"/>
      <x:c r="C931"/>
      <x:c r="D931" t="str">
        <x:f>IFERROR(IF(929&lt;=$O$1,INDEX($A$3:$A$168,MATCH(929,$I$3:$I$168,0)),IF(929&lt;=$O$1+$O$2,INDEX($F$3:$F$1994,MATCH(929-$O$1,$G$3:$G$1994,0)),"")),"")</x:f>
      </x:c>
      <x:c r="E931" t="str">
        <x:f>IF(K931="","",IF(N931&lt;=M931,"",TRIM(CLEAN(MID(INDEX($B$3:$B$168,K931),M931,N931-M931)))))</x:f>
      </x:c>
      <x:c r="F931" t="str">
        <x:f>IF(E931="","",IF(E931=TRIM(INDEX($A$3:$A$168,K931)),"",IF(RIGHT(TRIM(INDEX($A$3:$A$168,K931)),1)="]",LEFT(TRIM(INDEX($A$3:$A$168,K931)),LEN(TRIM(INDEX($A$3:$A$168,K931)))-1)&amp;", "&amp;SUBSTITUTE(SUBSTITUTE(SUBSTITUTE(E931," [",", "),"[",", "),"]","")&amp;"]",TRIM(INDEX($A$3:$A$168,K931))&amp;" ["&amp;SUBSTITUTE(SUBSTITUTE(SUBSTITUTE(E931," [",", "),"[",", "),"]","")&amp;"]")))</x:f>
      </x:c>
      <x:c r="G931" t="str">
        <x:f>IF(F931&lt;&gt;"",ROWS($F$3:F931)-COUNTBLANK($F$3:F931),"")</x:f>
      </x:c>
      <x:c r="H931"/>
      <x:c r="I931"/>
      <x:c r="J931"/>
      <x:c r="K931" t="str">
        <x:f>IF(ROW()-ROW($K$2)&lt;=SUM($J$3:$J$168),COUNTIF($H$3:$H$168,"&lt;"&amp;(ROW()-ROW($K$2))),"")</x:f>
      </x:c>
      <x:c r="L931" t="str">
        <x:f>IF(K931="","",ROW()-ROW($L$2)-INDEX($H$3:$H$168,K931))</x:f>
      </x:c>
      <x:c r="M931" t="str">
        <x:f>IF(K931="","",IF(L931=1,1,FIND(CHAR(1),SUBSTITUTE(INDEX($B$3:$B$168,K931),CHAR(10),CHAR(1),L931-1))+1))</x:f>
      </x:c>
      <x:c r="N931" t="str">
        <x:f>IF(K931="","",IFERROR(FIND(CHAR(1),SUBSTITUTE(INDEX($B$3:$B$168,K931),CHAR(10),CHAR(1),L931)),LEN(INDEX($B$3:$B$168,K931))+1))</x:f>
      </x:c>
    </x:row>
    <x:row r="932">
      <x:c r="A932"/>
      <x:c r="B932"/>
      <x:c r="C932"/>
      <x:c r="D932" t="str">
        <x:f>IFERROR(IF(930&lt;=$O$1,INDEX($A$3:$A$168,MATCH(930,$I$3:$I$168,0)),IF(930&lt;=$O$1+$O$2,INDEX($F$3:$F$1994,MATCH(930-$O$1,$G$3:$G$1994,0)),"")),"")</x:f>
      </x:c>
      <x:c r="E932" t="str">
        <x:f>IF(K932="","",IF(N932&lt;=M932,"",TRIM(CLEAN(MID(INDEX($B$3:$B$168,K932),M932,N932-M932)))))</x:f>
      </x:c>
      <x:c r="F932" t="str">
        <x:f>IF(E932="","",IF(E932=TRIM(INDEX($A$3:$A$168,K932)),"",IF(RIGHT(TRIM(INDEX($A$3:$A$168,K932)),1)="]",LEFT(TRIM(INDEX($A$3:$A$168,K932)),LEN(TRIM(INDEX($A$3:$A$168,K932)))-1)&amp;", "&amp;SUBSTITUTE(SUBSTITUTE(SUBSTITUTE(E932," [",", "),"[",", "),"]","")&amp;"]",TRIM(INDEX($A$3:$A$168,K932))&amp;" ["&amp;SUBSTITUTE(SUBSTITUTE(SUBSTITUTE(E932," [",", "),"[",", "),"]","")&amp;"]")))</x:f>
      </x:c>
      <x:c r="G932" t="str">
        <x:f>IF(F932&lt;&gt;"",ROWS($F$3:F932)-COUNTBLANK($F$3:F932),"")</x:f>
      </x:c>
      <x:c r="H932"/>
      <x:c r="I932"/>
      <x:c r="J932"/>
      <x:c r="K932" t="str">
        <x:f>IF(ROW()-ROW($K$2)&lt;=SUM($J$3:$J$168),COUNTIF($H$3:$H$168,"&lt;"&amp;(ROW()-ROW($K$2))),"")</x:f>
      </x:c>
      <x:c r="L932" t="str">
        <x:f>IF(K932="","",ROW()-ROW($L$2)-INDEX($H$3:$H$168,K932))</x:f>
      </x:c>
      <x:c r="M932" t="str">
        <x:f>IF(K932="","",IF(L932=1,1,FIND(CHAR(1),SUBSTITUTE(INDEX($B$3:$B$168,K932),CHAR(10),CHAR(1),L932-1))+1))</x:f>
      </x:c>
      <x:c r="N932" t="str">
        <x:f>IF(K932="","",IFERROR(FIND(CHAR(1),SUBSTITUTE(INDEX($B$3:$B$168,K932),CHAR(10),CHAR(1),L932)),LEN(INDEX($B$3:$B$168,K932))+1))</x:f>
      </x:c>
    </x:row>
    <x:row r="933">
      <x:c r="A933"/>
      <x:c r="B933"/>
      <x:c r="C933"/>
      <x:c r="D933" t="str">
        <x:f>IFERROR(IF(931&lt;=$O$1,INDEX($A$3:$A$168,MATCH(931,$I$3:$I$168,0)),IF(931&lt;=$O$1+$O$2,INDEX($F$3:$F$1994,MATCH(931-$O$1,$G$3:$G$1994,0)),"")),"")</x:f>
      </x:c>
      <x:c r="E933" t="str">
        <x:f>IF(K933="","",IF(N933&lt;=M933,"",TRIM(CLEAN(MID(INDEX($B$3:$B$168,K933),M933,N933-M933)))))</x:f>
      </x:c>
      <x:c r="F933" t="str">
        <x:f>IF(E933="","",IF(E933=TRIM(INDEX($A$3:$A$168,K933)),"",IF(RIGHT(TRIM(INDEX($A$3:$A$168,K933)),1)="]",LEFT(TRIM(INDEX($A$3:$A$168,K933)),LEN(TRIM(INDEX($A$3:$A$168,K933)))-1)&amp;", "&amp;SUBSTITUTE(SUBSTITUTE(SUBSTITUTE(E933," [",", "),"[",", "),"]","")&amp;"]",TRIM(INDEX($A$3:$A$168,K933))&amp;" ["&amp;SUBSTITUTE(SUBSTITUTE(SUBSTITUTE(E933," [",", "),"[",", "),"]","")&amp;"]")))</x:f>
      </x:c>
      <x:c r="G933" t="str">
        <x:f>IF(F933&lt;&gt;"",ROWS($F$3:F933)-COUNTBLANK($F$3:F933),"")</x:f>
      </x:c>
      <x:c r="H933"/>
      <x:c r="I933"/>
      <x:c r="J933"/>
      <x:c r="K933" t="str">
        <x:f>IF(ROW()-ROW($K$2)&lt;=SUM($J$3:$J$168),COUNTIF($H$3:$H$168,"&lt;"&amp;(ROW()-ROW($K$2))),"")</x:f>
      </x:c>
      <x:c r="L933" t="str">
        <x:f>IF(K933="","",ROW()-ROW($L$2)-INDEX($H$3:$H$168,K933))</x:f>
      </x:c>
      <x:c r="M933" t="str">
        <x:f>IF(K933="","",IF(L933=1,1,FIND(CHAR(1),SUBSTITUTE(INDEX($B$3:$B$168,K933),CHAR(10),CHAR(1),L933-1))+1))</x:f>
      </x:c>
      <x:c r="N933" t="str">
        <x:f>IF(K933="","",IFERROR(FIND(CHAR(1),SUBSTITUTE(INDEX($B$3:$B$168,K933),CHAR(10),CHAR(1),L933)),LEN(INDEX($B$3:$B$168,K933))+1))</x:f>
      </x:c>
    </x:row>
    <x:row r="934">
      <x:c r="A934"/>
      <x:c r="B934"/>
      <x:c r="C934"/>
      <x:c r="D934" t="str">
        <x:f>IFERROR(IF(932&lt;=$O$1,INDEX($A$3:$A$168,MATCH(932,$I$3:$I$168,0)),IF(932&lt;=$O$1+$O$2,INDEX($F$3:$F$1994,MATCH(932-$O$1,$G$3:$G$1994,0)),"")),"")</x:f>
      </x:c>
      <x:c r="E934" t="str">
        <x:f>IF(K934="","",IF(N934&lt;=M934,"",TRIM(CLEAN(MID(INDEX($B$3:$B$168,K934),M934,N934-M934)))))</x:f>
      </x:c>
      <x:c r="F934" t="str">
        <x:f>IF(E934="","",IF(E934=TRIM(INDEX($A$3:$A$168,K934)),"",IF(RIGHT(TRIM(INDEX($A$3:$A$168,K934)),1)="]",LEFT(TRIM(INDEX($A$3:$A$168,K934)),LEN(TRIM(INDEX($A$3:$A$168,K934)))-1)&amp;", "&amp;SUBSTITUTE(SUBSTITUTE(SUBSTITUTE(E934," [",", "),"[",", "),"]","")&amp;"]",TRIM(INDEX($A$3:$A$168,K934))&amp;" ["&amp;SUBSTITUTE(SUBSTITUTE(SUBSTITUTE(E934," [",", "),"[",", "),"]","")&amp;"]")))</x:f>
      </x:c>
      <x:c r="G934" t="str">
        <x:f>IF(F934&lt;&gt;"",ROWS($F$3:F934)-COUNTBLANK($F$3:F934),"")</x:f>
      </x:c>
      <x:c r="H934"/>
      <x:c r="I934"/>
      <x:c r="J934"/>
      <x:c r="K934" t="str">
        <x:f>IF(ROW()-ROW($K$2)&lt;=SUM($J$3:$J$168),COUNTIF($H$3:$H$168,"&lt;"&amp;(ROW()-ROW($K$2))),"")</x:f>
      </x:c>
      <x:c r="L934" t="str">
        <x:f>IF(K934="","",ROW()-ROW($L$2)-INDEX($H$3:$H$168,K934))</x:f>
      </x:c>
      <x:c r="M934" t="str">
        <x:f>IF(K934="","",IF(L934=1,1,FIND(CHAR(1),SUBSTITUTE(INDEX($B$3:$B$168,K934),CHAR(10),CHAR(1),L934-1))+1))</x:f>
      </x:c>
      <x:c r="N934" t="str">
        <x:f>IF(K934="","",IFERROR(FIND(CHAR(1),SUBSTITUTE(INDEX($B$3:$B$168,K934),CHAR(10),CHAR(1),L934)),LEN(INDEX($B$3:$B$168,K934))+1))</x:f>
      </x:c>
    </x:row>
    <x:row r="935">
      <x:c r="A935"/>
      <x:c r="B935"/>
      <x:c r="C935"/>
      <x:c r="D935" t="str">
        <x:f>IFERROR(IF(933&lt;=$O$1,INDEX($A$3:$A$168,MATCH(933,$I$3:$I$168,0)),IF(933&lt;=$O$1+$O$2,INDEX($F$3:$F$1994,MATCH(933-$O$1,$G$3:$G$1994,0)),"")),"")</x:f>
      </x:c>
      <x:c r="E935" t="str">
        <x:f>IF(K935="","",IF(N935&lt;=M935,"",TRIM(CLEAN(MID(INDEX($B$3:$B$168,K935),M935,N935-M935)))))</x:f>
      </x:c>
      <x:c r="F935" t="str">
        <x:f>IF(E935="","",IF(E935=TRIM(INDEX($A$3:$A$168,K935)),"",IF(RIGHT(TRIM(INDEX($A$3:$A$168,K935)),1)="]",LEFT(TRIM(INDEX($A$3:$A$168,K935)),LEN(TRIM(INDEX($A$3:$A$168,K935)))-1)&amp;", "&amp;SUBSTITUTE(SUBSTITUTE(SUBSTITUTE(E935," [",", "),"[",", "),"]","")&amp;"]",TRIM(INDEX($A$3:$A$168,K935))&amp;" ["&amp;SUBSTITUTE(SUBSTITUTE(SUBSTITUTE(E935," [",", "),"[",", "),"]","")&amp;"]")))</x:f>
      </x:c>
      <x:c r="G935" t="str">
        <x:f>IF(F935&lt;&gt;"",ROWS($F$3:F935)-COUNTBLANK($F$3:F935),"")</x:f>
      </x:c>
      <x:c r="H935"/>
      <x:c r="I935"/>
      <x:c r="J935"/>
      <x:c r="K935" t="str">
        <x:f>IF(ROW()-ROW($K$2)&lt;=SUM($J$3:$J$168),COUNTIF($H$3:$H$168,"&lt;"&amp;(ROW()-ROW($K$2))),"")</x:f>
      </x:c>
      <x:c r="L935" t="str">
        <x:f>IF(K935="","",ROW()-ROW($L$2)-INDEX($H$3:$H$168,K935))</x:f>
      </x:c>
      <x:c r="M935" t="str">
        <x:f>IF(K935="","",IF(L935=1,1,FIND(CHAR(1),SUBSTITUTE(INDEX($B$3:$B$168,K935),CHAR(10),CHAR(1),L935-1))+1))</x:f>
      </x:c>
      <x:c r="N935" t="str">
        <x:f>IF(K935="","",IFERROR(FIND(CHAR(1),SUBSTITUTE(INDEX($B$3:$B$168,K935),CHAR(10),CHAR(1),L935)),LEN(INDEX($B$3:$B$168,K935))+1))</x:f>
      </x:c>
    </x:row>
    <x:row r="936">
      <x:c r="A936"/>
      <x:c r="B936"/>
      <x:c r="C936"/>
      <x:c r="D936" t="str">
        <x:f>IFERROR(IF(934&lt;=$O$1,INDEX($A$3:$A$168,MATCH(934,$I$3:$I$168,0)),IF(934&lt;=$O$1+$O$2,INDEX($F$3:$F$1994,MATCH(934-$O$1,$G$3:$G$1994,0)),"")),"")</x:f>
      </x:c>
      <x:c r="E936" t="str">
        <x:f>IF(K936="","",IF(N936&lt;=M936,"",TRIM(CLEAN(MID(INDEX($B$3:$B$168,K936),M936,N936-M936)))))</x:f>
      </x:c>
      <x:c r="F936" t="str">
        <x:f>IF(E936="","",IF(E936=TRIM(INDEX($A$3:$A$168,K936)),"",IF(RIGHT(TRIM(INDEX($A$3:$A$168,K936)),1)="]",LEFT(TRIM(INDEX($A$3:$A$168,K936)),LEN(TRIM(INDEX($A$3:$A$168,K936)))-1)&amp;", "&amp;SUBSTITUTE(SUBSTITUTE(SUBSTITUTE(E936," [",", "),"[",", "),"]","")&amp;"]",TRIM(INDEX($A$3:$A$168,K936))&amp;" ["&amp;SUBSTITUTE(SUBSTITUTE(SUBSTITUTE(E936," [",", "),"[",", "),"]","")&amp;"]")))</x:f>
      </x:c>
      <x:c r="G936" t="str">
        <x:f>IF(F936&lt;&gt;"",ROWS($F$3:F936)-COUNTBLANK($F$3:F936),"")</x:f>
      </x:c>
      <x:c r="H936"/>
      <x:c r="I936"/>
      <x:c r="J936"/>
      <x:c r="K936" t="str">
        <x:f>IF(ROW()-ROW($K$2)&lt;=SUM($J$3:$J$168),COUNTIF($H$3:$H$168,"&lt;"&amp;(ROW()-ROW($K$2))),"")</x:f>
      </x:c>
      <x:c r="L936" t="str">
        <x:f>IF(K936="","",ROW()-ROW($L$2)-INDEX($H$3:$H$168,K936))</x:f>
      </x:c>
      <x:c r="M936" t="str">
        <x:f>IF(K936="","",IF(L936=1,1,FIND(CHAR(1),SUBSTITUTE(INDEX($B$3:$B$168,K936),CHAR(10),CHAR(1),L936-1))+1))</x:f>
      </x:c>
      <x:c r="N936" t="str">
        <x:f>IF(K936="","",IFERROR(FIND(CHAR(1),SUBSTITUTE(INDEX($B$3:$B$168,K936),CHAR(10),CHAR(1),L936)),LEN(INDEX($B$3:$B$168,K936))+1))</x:f>
      </x:c>
    </x:row>
    <x:row r="937">
      <x:c r="A937"/>
      <x:c r="B937"/>
      <x:c r="C937"/>
      <x:c r="D937" t="str">
        <x:f>IFERROR(IF(935&lt;=$O$1,INDEX($A$3:$A$168,MATCH(935,$I$3:$I$168,0)),IF(935&lt;=$O$1+$O$2,INDEX($F$3:$F$1994,MATCH(935-$O$1,$G$3:$G$1994,0)),"")),"")</x:f>
      </x:c>
      <x:c r="E937" t="str">
        <x:f>IF(K937="","",IF(N937&lt;=M937,"",TRIM(CLEAN(MID(INDEX($B$3:$B$168,K937),M937,N937-M937)))))</x:f>
      </x:c>
      <x:c r="F937" t="str">
        <x:f>IF(E937="","",IF(E937=TRIM(INDEX($A$3:$A$168,K937)),"",IF(RIGHT(TRIM(INDEX($A$3:$A$168,K937)),1)="]",LEFT(TRIM(INDEX($A$3:$A$168,K937)),LEN(TRIM(INDEX($A$3:$A$168,K937)))-1)&amp;", "&amp;SUBSTITUTE(SUBSTITUTE(SUBSTITUTE(E937," [",", "),"[",", "),"]","")&amp;"]",TRIM(INDEX($A$3:$A$168,K937))&amp;" ["&amp;SUBSTITUTE(SUBSTITUTE(SUBSTITUTE(E937," [",", "),"[",", "),"]","")&amp;"]")))</x:f>
      </x:c>
      <x:c r="G937" t="str">
        <x:f>IF(F937&lt;&gt;"",ROWS($F$3:F937)-COUNTBLANK($F$3:F937),"")</x:f>
      </x:c>
      <x:c r="H937"/>
      <x:c r="I937"/>
      <x:c r="J937"/>
      <x:c r="K937" t="str">
        <x:f>IF(ROW()-ROW($K$2)&lt;=SUM($J$3:$J$168),COUNTIF($H$3:$H$168,"&lt;"&amp;(ROW()-ROW($K$2))),"")</x:f>
      </x:c>
      <x:c r="L937" t="str">
        <x:f>IF(K937="","",ROW()-ROW($L$2)-INDEX($H$3:$H$168,K937))</x:f>
      </x:c>
      <x:c r="M937" t="str">
        <x:f>IF(K937="","",IF(L937=1,1,FIND(CHAR(1),SUBSTITUTE(INDEX($B$3:$B$168,K937),CHAR(10),CHAR(1),L937-1))+1))</x:f>
      </x:c>
      <x:c r="N937" t="str">
        <x:f>IF(K937="","",IFERROR(FIND(CHAR(1),SUBSTITUTE(INDEX($B$3:$B$168,K937),CHAR(10),CHAR(1),L937)),LEN(INDEX($B$3:$B$168,K937))+1))</x:f>
      </x:c>
    </x:row>
    <x:row r="938">
      <x:c r="A938"/>
      <x:c r="B938"/>
      <x:c r="C938"/>
      <x:c r="D938" t="str">
        <x:f>IFERROR(IF(936&lt;=$O$1,INDEX($A$3:$A$168,MATCH(936,$I$3:$I$168,0)),IF(936&lt;=$O$1+$O$2,INDEX($F$3:$F$1994,MATCH(936-$O$1,$G$3:$G$1994,0)),"")),"")</x:f>
      </x:c>
      <x:c r="E938" t="str">
        <x:f>IF(K938="","",IF(N938&lt;=M938,"",TRIM(CLEAN(MID(INDEX($B$3:$B$168,K938),M938,N938-M938)))))</x:f>
      </x:c>
      <x:c r="F938" t="str">
        <x:f>IF(E938="","",IF(E938=TRIM(INDEX($A$3:$A$168,K938)),"",IF(RIGHT(TRIM(INDEX($A$3:$A$168,K938)),1)="]",LEFT(TRIM(INDEX($A$3:$A$168,K938)),LEN(TRIM(INDEX($A$3:$A$168,K938)))-1)&amp;", "&amp;SUBSTITUTE(SUBSTITUTE(SUBSTITUTE(E938," [",", "),"[",", "),"]","")&amp;"]",TRIM(INDEX($A$3:$A$168,K938))&amp;" ["&amp;SUBSTITUTE(SUBSTITUTE(SUBSTITUTE(E938," [",", "),"[",", "),"]","")&amp;"]")))</x:f>
      </x:c>
      <x:c r="G938" t="str">
        <x:f>IF(F938&lt;&gt;"",ROWS($F$3:F938)-COUNTBLANK($F$3:F938),"")</x:f>
      </x:c>
      <x:c r="H938"/>
      <x:c r="I938"/>
      <x:c r="J938"/>
      <x:c r="K938" t="str">
        <x:f>IF(ROW()-ROW($K$2)&lt;=SUM($J$3:$J$168),COUNTIF($H$3:$H$168,"&lt;"&amp;(ROW()-ROW($K$2))),"")</x:f>
      </x:c>
      <x:c r="L938" t="str">
        <x:f>IF(K938="","",ROW()-ROW($L$2)-INDEX($H$3:$H$168,K938))</x:f>
      </x:c>
      <x:c r="M938" t="str">
        <x:f>IF(K938="","",IF(L938=1,1,FIND(CHAR(1),SUBSTITUTE(INDEX($B$3:$B$168,K938),CHAR(10),CHAR(1),L938-1))+1))</x:f>
      </x:c>
      <x:c r="N938" t="str">
        <x:f>IF(K938="","",IFERROR(FIND(CHAR(1),SUBSTITUTE(INDEX($B$3:$B$168,K938),CHAR(10),CHAR(1),L938)),LEN(INDEX($B$3:$B$168,K938))+1))</x:f>
      </x:c>
    </x:row>
    <x:row r="939">
      <x:c r="A939"/>
      <x:c r="B939"/>
      <x:c r="C939"/>
      <x:c r="D939" t="str">
        <x:f>IFERROR(IF(937&lt;=$O$1,INDEX($A$3:$A$168,MATCH(937,$I$3:$I$168,0)),IF(937&lt;=$O$1+$O$2,INDEX($F$3:$F$1994,MATCH(937-$O$1,$G$3:$G$1994,0)),"")),"")</x:f>
      </x:c>
      <x:c r="E939" t="str">
        <x:f>IF(K939="","",IF(N939&lt;=M939,"",TRIM(CLEAN(MID(INDEX($B$3:$B$168,K939),M939,N939-M939)))))</x:f>
      </x:c>
      <x:c r="F939" t="str">
        <x:f>IF(E939="","",IF(E939=TRIM(INDEX($A$3:$A$168,K939)),"",IF(RIGHT(TRIM(INDEX($A$3:$A$168,K939)),1)="]",LEFT(TRIM(INDEX($A$3:$A$168,K939)),LEN(TRIM(INDEX($A$3:$A$168,K939)))-1)&amp;", "&amp;SUBSTITUTE(SUBSTITUTE(SUBSTITUTE(E939," [",", "),"[",", "),"]","")&amp;"]",TRIM(INDEX($A$3:$A$168,K939))&amp;" ["&amp;SUBSTITUTE(SUBSTITUTE(SUBSTITUTE(E939," [",", "),"[",", "),"]","")&amp;"]")))</x:f>
      </x:c>
      <x:c r="G939" t="str">
        <x:f>IF(F939&lt;&gt;"",ROWS($F$3:F939)-COUNTBLANK($F$3:F939),"")</x:f>
      </x:c>
      <x:c r="H939"/>
      <x:c r="I939"/>
      <x:c r="J939"/>
      <x:c r="K939" t="str">
        <x:f>IF(ROW()-ROW($K$2)&lt;=SUM($J$3:$J$168),COUNTIF($H$3:$H$168,"&lt;"&amp;(ROW()-ROW($K$2))),"")</x:f>
      </x:c>
      <x:c r="L939" t="str">
        <x:f>IF(K939="","",ROW()-ROW($L$2)-INDEX($H$3:$H$168,K939))</x:f>
      </x:c>
      <x:c r="M939" t="str">
        <x:f>IF(K939="","",IF(L939=1,1,FIND(CHAR(1),SUBSTITUTE(INDEX($B$3:$B$168,K939),CHAR(10),CHAR(1),L939-1))+1))</x:f>
      </x:c>
      <x:c r="N939" t="str">
        <x:f>IF(K939="","",IFERROR(FIND(CHAR(1),SUBSTITUTE(INDEX($B$3:$B$168,K939),CHAR(10),CHAR(1),L939)),LEN(INDEX($B$3:$B$168,K939))+1))</x:f>
      </x:c>
    </x:row>
    <x:row r="940">
      <x:c r="A940"/>
      <x:c r="B940"/>
      <x:c r="C940"/>
      <x:c r="D940" t="str">
        <x:f>IFERROR(IF(938&lt;=$O$1,INDEX($A$3:$A$168,MATCH(938,$I$3:$I$168,0)),IF(938&lt;=$O$1+$O$2,INDEX($F$3:$F$1994,MATCH(938-$O$1,$G$3:$G$1994,0)),"")),"")</x:f>
      </x:c>
      <x:c r="E940" t="str">
        <x:f>IF(K940="","",IF(N940&lt;=M940,"",TRIM(CLEAN(MID(INDEX($B$3:$B$168,K940),M940,N940-M940)))))</x:f>
      </x:c>
      <x:c r="F940" t="str">
        <x:f>IF(E940="","",IF(E940=TRIM(INDEX($A$3:$A$168,K940)),"",IF(RIGHT(TRIM(INDEX($A$3:$A$168,K940)),1)="]",LEFT(TRIM(INDEX($A$3:$A$168,K940)),LEN(TRIM(INDEX($A$3:$A$168,K940)))-1)&amp;", "&amp;SUBSTITUTE(SUBSTITUTE(SUBSTITUTE(E940," [",", "),"[",", "),"]","")&amp;"]",TRIM(INDEX($A$3:$A$168,K940))&amp;" ["&amp;SUBSTITUTE(SUBSTITUTE(SUBSTITUTE(E940," [",", "),"[",", "),"]","")&amp;"]")))</x:f>
      </x:c>
      <x:c r="G940" t="str">
        <x:f>IF(F940&lt;&gt;"",ROWS($F$3:F940)-COUNTBLANK($F$3:F940),"")</x:f>
      </x:c>
      <x:c r="H940"/>
      <x:c r="I940"/>
      <x:c r="J940"/>
      <x:c r="K940" t="str">
        <x:f>IF(ROW()-ROW($K$2)&lt;=SUM($J$3:$J$168),COUNTIF($H$3:$H$168,"&lt;"&amp;(ROW()-ROW($K$2))),"")</x:f>
      </x:c>
      <x:c r="L940" t="str">
        <x:f>IF(K940="","",ROW()-ROW($L$2)-INDEX($H$3:$H$168,K940))</x:f>
      </x:c>
      <x:c r="M940" t="str">
        <x:f>IF(K940="","",IF(L940=1,1,FIND(CHAR(1),SUBSTITUTE(INDEX($B$3:$B$168,K940),CHAR(10),CHAR(1),L940-1))+1))</x:f>
      </x:c>
      <x:c r="N940" t="str">
        <x:f>IF(K940="","",IFERROR(FIND(CHAR(1),SUBSTITUTE(INDEX($B$3:$B$168,K940),CHAR(10),CHAR(1),L940)),LEN(INDEX($B$3:$B$168,K940))+1))</x:f>
      </x:c>
    </x:row>
    <x:row r="941">
      <x:c r="A941"/>
      <x:c r="B941"/>
      <x:c r="C941"/>
      <x:c r="D941" t="str">
        <x:f>IFERROR(IF(939&lt;=$O$1,INDEX($A$3:$A$168,MATCH(939,$I$3:$I$168,0)),IF(939&lt;=$O$1+$O$2,INDEX($F$3:$F$1994,MATCH(939-$O$1,$G$3:$G$1994,0)),"")),"")</x:f>
      </x:c>
      <x:c r="E941" t="str">
        <x:f>IF(K941="","",IF(N941&lt;=M941,"",TRIM(CLEAN(MID(INDEX($B$3:$B$168,K941),M941,N941-M941)))))</x:f>
      </x:c>
      <x:c r="F941" t="str">
        <x:f>IF(E941="","",IF(E941=TRIM(INDEX($A$3:$A$168,K941)),"",IF(RIGHT(TRIM(INDEX($A$3:$A$168,K941)),1)="]",LEFT(TRIM(INDEX($A$3:$A$168,K941)),LEN(TRIM(INDEX($A$3:$A$168,K941)))-1)&amp;", "&amp;SUBSTITUTE(SUBSTITUTE(SUBSTITUTE(E941," [",", "),"[",", "),"]","")&amp;"]",TRIM(INDEX($A$3:$A$168,K941))&amp;" ["&amp;SUBSTITUTE(SUBSTITUTE(SUBSTITUTE(E941," [",", "),"[",", "),"]","")&amp;"]")))</x:f>
      </x:c>
      <x:c r="G941" t="str">
        <x:f>IF(F941&lt;&gt;"",ROWS($F$3:F941)-COUNTBLANK($F$3:F941),"")</x:f>
      </x:c>
      <x:c r="H941"/>
      <x:c r="I941"/>
      <x:c r="J941"/>
      <x:c r="K941" t="str">
        <x:f>IF(ROW()-ROW($K$2)&lt;=SUM($J$3:$J$168),COUNTIF($H$3:$H$168,"&lt;"&amp;(ROW()-ROW($K$2))),"")</x:f>
      </x:c>
      <x:c r="L941" t="str">
        <x:f>IF(K941="","",ROW()-ROW($L$2)-INDEX($H$3:$H$168,K941))</x:f>
      </x:c>
      <x:c r="M941" t="str">
        <x:f>IF(K941="","",IF(L941=1,1,FIND(CHAR(1),SUBSTITUTE(INDEX($B$3:$B$168,K941),CHAR(10),CHAR(1),L941-1))+1))</x:f>
      </x:c>
      <x:c r="N941" t="str">
        <x:f>IF(K941="","",IFERROR(FIND(CHAR(1),SUBSTITUTE(INDEX($B$3:$B$168,K941),CHAR(10),CHAR(1),L941)),LEN(INDEX($B$3:$B$168,K941))+1))</x:f>
      </x:c>
    </x:row>
    <x:row r="942">
      <x:c r="A942"/>
      <x:c r="B942"/>
      <x:c r="C942"/>
      <x:c r="D942" t="str">
        <x:f>IFERROR(IF(940&lt;=$O$1,INDEX($A$3:$A$168,MATCH(940,$I$3:$I$168,0)),IF(940&lt;=$O$1+$O$2,INDEX($F$3:$F$1994,MATCH(940-$O$1,$G$3:$G$1994,0)),"")),"")</x:f>
      </x:c>
      <x:c r="E942" t="str">
        <x:f>IF(K942="","",IF(N942&lt;=M942,"",TRIM(CLEAN(MID(INDEX($B$3:$B$168,K942),M942,N942-M942)))))</x:f>
      </x:c>
      <x:c r="F942" t="str">
        <x:f>IF(E942="","",IF(E942=TRIM(INDEX($A$3:$A$168,K942)),"",IF(RIGHT(TRIM(INDEX($A$3:$A$168,K942)),1)="]",LEFT(TRIM(INDEX($A$3:$A$168,K942)),LEN(TRIM(INDEX($A$3:$A$168,K942)))-1)&amp;", "&amp;SUBSTITUTE(SUBSTITUTE(SUBSTITUTE(E942," [",", "),"[",", "),"]","")&amp;"]",TRIM(INDEX($A$3:$A$168,K942))&amp;" ["&amp;SUBSTITUTE(SUBSTITUTE(SUBSTITUTE(E942," [",", "),"[",", "),"]","")&amp;"]")))</x:f>
      </x:c>
      <x:c r="G942" t="str">
        <x:f>IF(F942&lt;&gt;"",ROWS($F$3:F942)-COUNTBLANK($F$3:F942),"")</x:f>
      </x:c>
      <x:c r="H942"/>
      <x:c r="I942"/>
      <x:c r="J942"/>
      <x:c r="K942" t="str">
        <x:f>IF(ROW()-ROW($K$2)&lt;=SUM($J$3:$J$168),COUNTIF($H$3:$H$168,"&lt;"&amp;(ROW()-ROW($K$2))),"")</x:f>
      </x:c>
      <x:c r="L942" t="str">
        <x:f>IF(K942="","",ROW()-ROW($L$2)-INDEX($H$3:$H$168,K942))</x:f>
      </x:c>
      <x:c r="M942" t="str">
        <x:f>IF(K942="","",IF(L942=1,1,FIND(CHAR(1),SUBSTITUTE(INDEX($B$3:$B$168,K942),CHAR(10),CHAR(1),L942-1))+1))</x:f>
      </x:c>
      <x:c r="N942" t="str">
        <x:f>IF(K942="","",IFERROR(FIND(CHAR(1),SUBSTITUTE(INDEX($B$3:$B$168,K942),CHAR(10),CHAR(1),L942)),LEN(INDEX($B$3:$B$168,K942))+1))</x:f>
      </x:c>
    </x:row>
    <x:row r="943">
      <x:c r="A943"/>
      <x:c r="B943"/>
      <x:c r="C943"/>
      <x:c r="D943" t="str">
        <x:f>IFERROR(IF(941&lt;=$O$1,INDEX($A$3:$A$168,MATCH(941,$I$3:$I$168,0)),IF(941&lt;=$O$1+$O$2,INDEX($F$3:$F$1994,MATCH(941-$O$1,$G$3:$G$1994,0)),"")),"")</x:f>
      </x:c>
      <x:c r="E943" t="str">
        <x:f>IF(K943="","",IF(N943&lt;=M943,"",TRIM(CLEAN(MID(INDEX($B$3:$B$168,K943),M943,N943-M943)))))</x:f>
      </x:c>
      <x:c r="F943" t="str">
        <x:f>IF(E943="","",IF(E943=TRIM(INDEX($A$3:$A$168,K943)),"",IF(RIGHT(TRIM(INDEX($A$3:$A$168,K943)),1)="]",LEFT(TRIM(INDEX($A$3:$A$168,K943)),LEN(TRIM(INDEX($A$3:$A$168,K943)))-1)&amp;", "&amp;SUBSTITUTE(SUBSTITUTE(SUBSTITUTE(E943," [",", "),"[",", "),"]","")&amp;"]",TRIM(INDEX($A$3:$A$168,K943))&amp;" ["&amp;SUBSTITUTE(SUBSTITUTE(SUBSTITUTE(E943," [",", "),"[",", "),"]","")&amp;"]")))</x:f>
      </x:c>
      <x:c r="G943" t="str">
        <x:f>IF(F943&lt;&gt;"",ROWS($F$3:F943)-COUNTBLANK($F$3:F943),"")</x:f>
      </x:c>
      <x:c r="H943"/>
      <x:c r="I943"/>
      <x:c r="J943"/>
      <x:c r="K943" t="str">
        <x:f>IF(ROW()-ROW($K$2)&lt;=SUM($J$3:$J$168),COUNTIF($H$3:$H$168,"&lt;"&amp;(ROW()-ROW($K$2))),"")</x:f>
      </x:c>
      <x:c r="L943" t="str">
        <x:f>IF(K943="","",ROW()-ROW($L$2)-INDEX($H$3:$H$168,K943))</x:f>
      </x:c>
      <x:c r="M943" t="str">
        <x:f>IF(K943="","",IF(L943=1,1,FIND(CHAR(1),SUBSTITUTE(INDEX($B$3:$B$168,K943),CHAR(10),CHAR(1),L943-1))+1))</x:f>
      </x:c>
      <x:c r="N943" t="str">
        <x:f>IF(K943="","",IFERROR(FIND(CHAR(1),SUBSTITUTE(INDEX($B$3:$B$168,K943),CHAR(10),CHAR(1),L943)),LEN(INDEX($B$3:$B$168,K943))+1))</x:f>
      </x:c>
    </x:row>
    <x:row r="944">
      <x:c r="A944"/>
      <x:c r="B944"/>
      <x:c r="C944"/>
      <x:c r="D944" t="str">
        <x:f>IFERROR(IF(942&lt;=$O$1,INDEX($A$3:$A$168,MATCH(942,$I$3:$I$168,0)),IF(942&lt;=$O$1+$O$2,INDEX($F$3:$F$1994,MATCH(942-$O$1,$G$3:$G$1994,0)),"")),"")</x:f>
      </x:c>
      <x:c r="E944" t="str">
        <x:f>IF(K944="","",IF(N944&lt;=M944,"",TRIM(CLEAN(MID(INDEX($B$3:$B$168,K944),M944,N944-M944)))))</x:f>
      </x:c>
      <x:c r="F944" t="str">
        <x:f>IF(E944="","",IF(E944=TRIM(INDEX($A$3:$A$168,K944)),"",IF(RIGHT(TRIM(INDEX($A$3:$A$168,K944)),1)="]",LEFT(TRIM(INDEX($A$3:$A$168,K944)),LEN(TRIM(INDEX($A$3:$A$168,K944)))-1)&amp;", "&amp;SUBSTITUTE(SUBSTITUTE(SUBSTITUTE(E944," [",", "),"[",", "),"]","")&amp;"]",TRIM(INDEX($A$3:$A$168,K944))&amp;" ["&amp;SUBSTITUTE(SUBSTITUTE(SUBSTITUTE(E944," [",", "),"[",", "),"]","")&amp;"]")))</x:f>
      </x:c>
      <x:c r="G944" t="str">
        <x:f>IF(F944&lt;&gt;"",ROWS($F$3:F944)-COUNTBLANK($F$3:F944),"")</x:f>
      </x:c>
      <x:c r="H944"/>
      <x:c r="I944"/>
      <x:c r="J944"/>
      <x:c r="K944" t="str">
        <x:f>IF(ROW()-ROW($K$2)&lt;=SUM($J$3:$J$168),COUNTIF($H$3:$H$168,"&lt;"&amp;(ROW()-ROW($K$2))),"")</x:f>
      </x:c>
      <x:c r="L944" t="str">
        <x:f>IF(K944="","",ROW()-ROW($L$2)-INDEX($H$3:$H$168,K944))</x:f>
      </x:c>
      <x:c r="M944" t="str">
        <x:f>IF(K944="","",IF(L944=1,1,FIND(CHAR(1),SUBSTITUTE(INDEX($B$3:$B$168,K944),CHAR(10),CHAR(1),L944-1))+1))</x:f>
      </x:c>
      <x:c r="N944" t="str">
        <x:f>IF(K944="","",IFERROR(FIND(CHAR(1),SUBSTITUTE(INDEX($B$3:$B$168,K944),CHAR(10),CHAR(1),L944)),LEN(INDEX($B$3:$B$168,K944))+1))</x:f>
      </x:c>
    </x:row>
    <x:row r="945">
      <x:c r="A945"/>
      <x:c r="B945"/>
      <x:c r="C945"/>
      <x:c r="D945" t="str">
        <x:f>IFERROR(IF(943&lt;=$O$1,INDEX($A$3:$A$168,MATCH(943,$I$3:$I$168,0)),IF(943&lt;=$O$1+$O$2,INDEX($F$3:$F$1994,MATCH(943-$O$1,$G$3:$G$1994,0)),"")),"")</x:f>
      </x:c>
      <x:c r="E945" t="str">
        <x:f>IF(K945="","",IF(N945&lt;=M945,"",TRIM(CLEAN(MID(INDEX($B$3:$B$168,K945),M945,N945-M945)))))</x:f>
      </x:c>
      <x:c r="F945" t="str">
        <x:f>IF(E945="","",IF(E945=TRIM(INDEX($A$3:$A$168,K945)),"",IF(RIGHT(TRIM(INDEX($A$3:$A$168,K945)),1)="]",LEFT(TRIM(INDEX($A$3:$A$168,K945)),LEN(TRIM(INDEX($A$3:$A$168,K945)))-1)&amp;", "&amp;SUBSTITUTE(SUBSTITUTE(SUBSTITUTE(E945," [",", "),"[",", "),"]","")&amp;"]",TRIM(INDEX($A$3:$A$168,K945))&amp;" ["&amp;SUBSTITUTE(SUBSTITUTE(SUBSTITUTE(E945," [",", "),"[",", "),"]","")&amp;"]")))</x:f>
      </x:c>
      <x:c r="G945" t="str">
        <x:f>IF(F945&lt;&gt;"",ROWS($F$3:F945)-COUNTBLANK($F$3:F945),"")</x:f>
      </x:c>
      <x:c r="H945"/>
      <x:c r="I945"/>
      <x:c r="J945"/>
      <x:c r="K945" t="str">
        <x:f>IF(ROW()-ROW($K$2)&lt;=SUM($J$3:$J$168),COUNTIF($H$3:$H$168,"&lt;"&amp;(ROW()-ROW($K$2))),"")</x:f>
      </x:c>
      <x:c r="L945" t="str">
        <x:f>IF(K945="","",ROW()-ROW($L$2)-INDEX($H$3:$H$168,K945))</x:f>
      </x:c>
      <x:c r="M945" t="str">
        <x:f>IF(K945="","",IF(L945=1,1,FIND(CHAR(1),SUBSTITUTE(INDEX($B$3:$B$168,K945),CHAR(10),CHAR(1),L945-1))+1))</x:f>
      </x:c>
      <x:c r="N945" t="str">
        <x:f>IF(K945="","",IFERROR(FIND(CHAR(1),SUBSTITUTE(INDEX($B$3:$B$168,K945),CHAR(10),CHAR(1),L945)),LEN(INDEX($B$3:$B$168,K945))+1))</x:f>
      </x:c>
    </x:row>
    <x:row r="946">
      <x:c r="A946"/>
      <x:c r="B946"/>
      <x:c r="C946"/>
      <x:c r="D946" t="str">
        <x:f>IFERROR(IF(944&lt;=$O$1,INDEX($A$3:$A$168,MATCH(944,$I$3:$I$168,0)),IF(944&lt;=$O$1+$O$2,INDEX($F$3:$F$1994,MATCH(944-$O$1,$G$3:$G$1994,0)),"")),"")</x:f>
      </x:c>
      <x:c r="E946" t="str">
        <x:f>IF(K946="","",IF(N946&lt;=M946,"",TRIM(CLEAN(MID(INDEX($B$3:$B$168,K946),M946,N946-M946)))))</x:f>
      </x:c>
      <x:c r="F946" t="str">
        <x:f>IF(E946="","",IF(E946=TRIM(INDEX($A$3:$A$168,K946)),"",IF(RIGHT(TRIM(INDEX($A$3:$A$168,K946)),1)="]",LEFT(TRIM(INDEX($A$3:$A$168,K946)),LEN(TRIM(INDEX($A$3:$A$168,K946)))-1)&amp;", "&amp;SUBSTITUTE(SUBSTITUTE(SUBSTITUTE(E946," [",", "),"[",", "),"]","")&amp;"]",TRIM(INDEX($A$3:$A$168,K946))&amp;" ["&amp;SUBSTITUTE(SUBSTITUTE(SUBSTITUTE(E946," [",", "),"[",", "),"]","")&amp;"]")))</x:f>
      </x:c>
      <x:c r="G946" t="str">
        <x:f>IF(F946&lt;&gt;"",ROWS($F$3:F946)-COUNTBLANK($F$3:F946),"")</x:f>
      </x:c>
      <x:c r="H946"/>
      <x:c r="I946"/>
      <x:c r="J946"/>
      <x:c r="K946" t="str">
        <x:f>IF(ROW()-ROW($K$2)&lt;=SUM($J$3:$J$168),COUNTIF($H$3:$H$168,"&lt;"&amp;(ROW()-ROW($K$2))),"")</x:f>
      </x:c>
      <x:c r="L946" t="str">
        <x:f>IF(K946="","",ROW()-ROW($L$2)-INDEX($H$3:$H$168,K946))</x:f>
      </x:c>
      <x:c r="M946" t="str">
        <x:f>IF(K946="","",IF(L946=1,1,FIND(CHAR(1),SUBSTITUTE(INDEX($B$3:$B$168,K946),CHAR(10),CHAR(1),L946-1))+1))</x:f>
      </x:c>
      <x:c r="N946" t="str">
        <x:f>IF(K946="","",IFERROR(FIND(CHAR(1),SUBSTITUTE(INDEX($B$3:$B$168,K946),CHAR(10),CHAR(1),L946)),LEN(INDEX($B$3:$B$168,K946))+1))</x:f>
      </x:c>
    </x:row>
    <x:row r="947">
      <x:c r="A947"/>
      <x:c r="B947"/>
      <x:c r="C947"/>
      <x:c r="D947" t="str">
        <x:f>IFERROR(IF(945&lt;=$O$1,INDEX($A$3:$A$168,MATCH(945,$I$3:$I$168,0)),IF(945&lt;=$O$1+$O$2,INDEX($F$3:$F$1994,MATCH(945-$O$1,$G$3:$G$1994,0)),"")),"")</x:f>
      </x:c>
      <x:c r="E947" t="str">
        <x:f>IF(K947="","",IF(N947&lt;=M947,"",TRIM(CLEAN(MID(INDEX($B$3:$B$168,K947),M947,N947-M947)))))</x:f>
      </x:c>
      <x:c r="F947" t="str">
        <x:f>IF(E947="","",IF(E947=TRIM(INDEX($A$3:$A$168,K947)),"",IF(RIGHT(TRIM(INDEX($A$3:$A$168,K947)),1)="]",LEFT(TRIM(INDEX($A$3:$A$168,K947)),LEN(TRIM(INDEX($A$3:$A$168,K947)))-1)&amp;", "&amp;SUBSTITUTE(SUBSTITUTE(SUBSTITUTE(E947," [",", "),"[",", "),"]","")&amp;"]",TRIM(INDEX($A$3:$A$168,K947))&amp;" ["&amp;SUBSTITUTE(SUBSTITUTE(SUBSTITUTE(E947," [",", "),"[",", "),"]","")&amp;"]")))</x:f>
      </x:c>
      <x:c r="G947" t="str">
        <x:f>IF(F947&lt;&gt;"",ROWS($F$3:F947)-COUNTBLANK($F$3:F947),"")</x:f>
      </x:c>
      <x:c r="H947"/>
      <x:c r="I947"/>
      <x:c r="J947"/>
      <x:c r="K947" t="str">
        <x:f>IF(ROW()-ROW($K$2)&lt;=SUM($J$3:$J$168),COUNTIF($H$3:$H$168,"&lt;"&amp;(ROW()-ROW($K$2))),"")</x:f>
      </x:c>
      <x:c r="L947" t="str">
        <x:f>IF(K947="","",ROW()-ROW($L$2)-INDEX($H$3:$H$168,K947))</x:f>
      </x:c>
      <x:c r="M947" t="str">
        <x:f>IF(K947="","",IF(L947=1,1,FIND(CHAR(1),SUBSTITUTE(INDEX($B$3:$B$168,K947),CHAR(10),CHAR(1),L947-1))+1))</x:f>
      </x:c>
      <x:c r="N947" t="str">
        <x:f>IF(K947="","",IFERROR(FIND(CHAR(1),SUBSTITUTE(INDEX($B$3:$B$168,K947),CHAR(10),CHAR(1),L947)),LEN(INDEX($B$3:$B$168,K947))+1))</x:f>
      </x:c>
    </x:row>
    <x:row r="948">
      <x:c r="A948"/>
      <x:c r="B948"/>
      <x:c r="C948"/>
      <x:c r="D948" t="str">
        <x:f>IFERROR(IF(946&lt;=$O$1,INDEX($A$3:$A$168,MATCH(946,$I$3:$I$168,0)),IF(946&lt;=$O$1+$O$2,INDEX($F$3:$F$1994,MATCH(946-$O$1,$G$3:$G$1994,0)),"")),"")</x:f>
      </x:c>
      <x:c r="E948" t="str">
        <x:f>IF(K948="","",IF(N948&lt;=M948,"",TRIM(CLEAN(MID(INDEX($B$3:$B$168,K948),M948,N948-M948)))))</x:f>
      </x:c>
      <x:c r="F948" t="str">
        <x:f>IF(E948="","",IF(E948=TRIM(INDEX($A$3:$A$168,K948)),"",IF(RIGHT(TRIM(INDEX($A$3:$A$168,K948)),1)="]",LEFT(TRIM(INDEX($A$3:$A$168,K948)),LEN(TRIM(INDEX($A$3:$A$168,K948)))-1)&amp;", "&amp;SUBSTITUTE(SUBSTITUTE(SUBSTITUTE(E948," [",", "),"[",", "),"]","")&amp;"]",TRIM(INDEX($A$3:$A$168,K948))&amp;" ["&amp;SUBSTITUTE(SUBSTITUTE(SUBSTITUTE(E948," [",", "),"[",", "),"]","")&amp;"]")))</x:f>
      </x:c>
      <x:c r="G948" t="str">
        <x:f>IF(F948&lt;&gt;"",ROWS($F$3:F948)-COUNTBLANK($F$3:F948),"")</x:f>
      </x:c>
      <x:c r="H948"/>
      <x:c r="I948"/>
      <x:c r="J948"/>
      <x:c r="K948" t="str">
        <x:f>IF(ROW()-ROW($K$2)&lt;=SUM($J$3:$J$168),COUNTIF($H$3:$H$168,"&lt;"&amp;(ROW()-ROW($K$2))),"")</x:f>
      </x:c>
      <x:c r="L948" t="str">
        <x:f>IF(K948="","",ROW()-ROW($L$2)-INDEX($H$3:$H$168,K948))</x:f>
      </x:c>
      <x:c r="M948" t="str">
        <x:f>IF(K948="","",IF(L948=1,1,FIND(CHAR(1),SUBSTITUTE(INDEX($B$3:$B$168,K948),CHAR(10),CHAR(1),L948-1))+1))</x:f>
      </x:c>
      <x:c r="N948" t="str">
        <x:f>IF(K948="","",IFERROR(FIND(CHAR(1),SUBSTITUTE(INDEX($B$3:$B$168,K948),CHAR(10),CHAR(1),L948)),LEN(INDEX($B$3:$B$168,K948))+1))</x:f>
      </x:c>
    </x:row>
    <x:row r="949">
      <x:c r="A949"/>
      <x:c r="B949"/>
      <x:c r="C949"/>
      <x:c r="D949" t="str">
        <x:f>IFERROR(IF(947&lt;=$O$1,INDEX($A$3:$A$168,MATCH(947,$I$3:$I$168,0)),IF(947&lt;=$O$1+$O$2,INDEX($F$3:$F$1994,MATCH(947-$O$1,$G$3:$G$1994,0)),"")),"")</x:f>
      </x:c>
      <x:c r="E949" t="str">
        <x:f>IF(K949="","",IF(N949&lt;=M949,"",TRIM(CLEAN(MID(INDEX($B$3:$B$168,K949),M949,N949-M949)))))</x:f>
      </x:c>
      <x:c r="F949" t="str">
        <x:f>IF(E949="","",IF(E949=TRIM(INDEX($A$3:$A$168,K949)),"",IF(RIGHT(TRIM(INDEX($A$3:$A$168,K949)),1)="]",LEFT(TRIM(INDEX($A$3:$A$168,K949)),LEN(TRIM(INDEX($A$3:$A$168,K949)))-1)&amp;", "&amp;SUBSTITUTE(SUBSTITUTE(SUBSTITUTE(E949," [",", "),"[",", "),"]","")&amp;"]",TRIM(INDEX($A$3:$A$168,K949))&amp;" ["&amp;SUBSTITUTE(SUBSTITUTE(SUBSTITUTE(E949," [",", "),"[",", "),"]","")&amp;"]")))</x:f>
      </x:c>
      <x:c r="G949" t="str">
        <x:f>IF(F949&lt;&gt;"",ROWS($F$3:F949)-COUNTBLANK($F$3:F949),"")</x:f>
      </x:c>
      <x:c r="H949"/>
      <x:c r="I949"/>
      <x:c r="J949"/>
      <x:c r="K949" t="str">
        <x:f>IF(ROW()-ROW($K$2)&lt;=SUM($J$3:$J$168),COUNTIF($H$3:$H$168,"&lt;"&amp;(ROW()-ROW($K$2))),"")</x:f>
      </x:c>
      <x:c r="L949" t="str">
        <x:f>IF(K949="","",ROW()-ROW($L$2)-INDEX($H$3:$H$168,K949))</x:f>
      </x:c>
      <x:c r="M949" t="str">
        <x:f>IF(K949="","",IF(L949=1,1,FIND(CHAR(1),SUBSTITUTE(INDEX($B$3:$B$168,K949),CHAR(10),CHAR(1),L949-1))+1))</x:f>
      </x:c>
      <x:c r="N949" t="str">
        <x:f>IF(K949="","",IFERROR(FIND(CHAR(1),SUBSTITUTE(INDEX($B$3:$B$168,K949),CHAR(10),CHAR(1),L949)),LEN(INDEX($B$3:$B$168,K949))+1))</x:f>
      </x:c>
    </x:row>
    <x:row r="950">
      <x:c r="A950"/>
      <x:c r="B950"/>
      <x:c r="C950"/>
      <x:c r="D950" t="str">
        <x:f>IFERROR(IF(948&lt;=$O$1,INDEX($A$3:$A$168,MATCH(948,$I$3:$I$168,0)),IF(948&lt;=$O$1+$O$2,INDEX($F$3:$F$1994,MATCH(948-$O$1,$G$3:$G$1994,0)),"")),"")</x:f>
      </x:c>
      <x:c r="E950" t="str">
        <x:f>IF(K950="","",IF(N950&lt;=M950,"",TRIM(CLEAN(MID(INDEX($B$3:$B$168,K950),M950,N950-M950)))))</x:f>
      </x:c>
      <x:c r="F950" t="str">
        <x:f>IF(E950="","",IF(E950=TRIM(INDEX($A$3:$A$168,K950)),"",IF(RIGHT(TRIM(INDEX($A$3:$A$168,K950)),1)="]",LEFT(TRIM(INDEX($A$3:$A$168,K950)),LEN(TRIM(INDEX($A$3:$A$168,K950)))-1)&amp;", "&amp;SUBSTITUTE(SUBSTITUTE(SUBSTITUTE(E950," [",", "),"[",", "),"]","")&amp;"]",TRIM(INDEX($A$3:$A$168,K950))&amp;" ["&amp;SUBSTITUTE(SUBSTITUTE(SUBSTITUTE(E950," [",", "),"[",", "),"]","")&amp;"]")))</x:f>
      </x:c>
      <x:c r="G950" t="str">
        <x:f>IF(F950&lt;&gt;"",ROWS($F$3:F950)-COUNTBLANK($F$3:F950),"")</x:f>
      </x:c>
      <x:c r="H950"/>
      <x:c r="I950"/>
      <x:c r="J950"/>
      <x:c r="K950" t="str">
        <x:f>IF(ROW()-ROW($K$2)&lt;=SUM($J$3:$J$168),COUNTIF($H$3:$H$168,"&lt;"&amp;(ROW()-ROW($K$2))),"")</x:f>
      </x:c>
      <x:c r="L950" t="str">
        <x:f>IF(K950="","",ROW()-ROW($L$2)-INDEX($H$3:$H$168,K950))</x:f>
      </x:c>
      <x:c r="M950" t="str">
        <x:f>IF(K950="","",IF(L950=1,1,FIND(CHAR(1),SUBSTITUTE(INDEX($B$3:$B$168,K950),CHAR(10),CHAR(1),L950-1))+1))</x:f>
      </x:c>
      <x:c r="N950" t="str">
        <x:f>IF(K950="","",IFERROR(FIND(CHAR(1),SUBSTITUTE(INDEX($B$3:$B$168,K950),CHAR(10),CHAR(1),L950)),LEN(INDEX($B$3:$B$168,K950))+1))</x:f>
      </x:c>
    </x:row>
    <x:row r="951">
      <x:c r="A951"/>
      <x:c r="B951"/>
      <x:c r="C951"/>
      <x:c r="D951" t="str">
        <x:f>IFERROR(IF(949&lt;=$O$1,INDEX($A$3:$A$168,MATCH(949,$I$3:$I$168,0)),IF(949&lt;=$O$1+$O$2,INDEX($F$3:$F$1994,MATCH(949-$O$1,$G$3:$G$1994,0)),"")),"")</x:f>
      </x:c>
      <x:c r="E951" t="str">
        <x:f>IF(K951="","",IF(N951&lt;=M951,"",TRIM(CLEAN(MID(INDEX($B$3:$B$168,K951),M951,N951-M951)))))</x:f>
      </x:c>
      <x:c r="F951" t="str">
        <x:f>IF(E951="","",IF(E951=TRIM(INDEX($A$3:$A$168,K951)),"",IF(RIGHT(TRIM(INDEX($A$3:$A$168,K951)),1)="]",LEFT(TRIM(INDEX($A$3:$A$168,K951)),LEN(TRIM(INDEX($A$3:$A$168,K951)))-1)&amp;", "&amp;SUBSTITUTE(SUBSTITUTE(SUBSTITUTE(E951," [",", "),"[",", "),"]","")&amp;"]",TRIM(INDEX($A$3:$A$168,K951))&amp;" ["&amp;SUBSTITUTE(SUBSTITUTE(SUBSTITUTE(E951," [",", "),"[",", "),"]","")&amp;"]")))</x:f>
      </x:c>
      <x:c r="G951" t="str">
        <x:f>IF(F951&lt;&gt;"",ROWS($F$3:F951)-COUNTBLANK($F$3:F951),"")</x:f>
      </x:c>
      <x:c r="H951"/>
      <x:c r="I951"/>
      <x:c r="J951"/>
      <x:c r="K951" t="str">
        <x:f>IF(ROW()-ROW($K$2)&lt;=SUM($J$3:$J$168),COUNTIF($H$3:$H$168,"&lt;"&amp;(ROW()-ROW($K$2))),"")</x:f>
      </x:c>
      <x:c r="L951" t="str">
        <x:f>IF(K951="","",ROW()-ROW($L$2)-INDEX($H$3:$H$168,K951))</x:f>
      </x:c>
      <x:c r="M951" t="str">
        <x:f>IF(K951="","",IF(L951=1,1,FIND(CHAR(1),SUBSTITUTE(INDEX($B$3:$B$168,K951),CHAR(10),CHAR(1),L951-1))+1))</x:f>
      </x:c>
      <x:c r="N951" t="str">
        <x:f>IF(K951="","",IFERROR(FIND(CHAR(1),SUBSTITUTE(INDEX($B$3:$B$168,K951),CHAR(10),CHAR(1),L951)),LEN(INDEX($B$3:$B$168,K951))+1))</x:f>
      </x:c>
    </x:row>
    <x:row r="952">
      <x:c r="A952"/>
      <x:c r="B952"/>
      <x:c r="C952"/>
      <x:c r="D952" t="str">
        <x:f>IFERROR(IF(950&lt;=$O$1,INDEX($A$3:$A$168,MATCH(950,$I$3:$I$168,0)),IF(950&lt;=$O$1+$O$2,INDEX($F$3:$F$1994,MATCH(950-$O$1,$G$3:$G$1994,0)),"")),"")</x:f>
      </x:c>
      <x:c r="E952" t="str">
        <x:f>IF(K952="","",IF(N952&lt;=M952,"",TRIM(CLEAN(MID(INDEX($B$3:$B$168,K952),M952,N952-M952)))))</x:f>
      </x:c>
      <x:c r="F952" t="str">
        <x:f>IF(E952="","",IF(E952=TRIM(INDEX($A$3:$A$168,K952)),"",IF(RIGHT(TRIM(INDEX($A$3:$A$168,K952)),1)="]",LEFT(TRIM(INDEX($A$3:$A$168,K952)),LEN(TRIM(INDEX($A$3:$A$168,K952)))-1)&amp;", "&amp;SUBSTITUTE(SUBSTITUTE(SUBSTITUTE(E952," [",", "),"[",", "),"]","")&amp;"]",TRIM(INDEX($A$3:$A$168,K952))&amp;" ["&amp;SUBSTITUTE(SUBSTITUTE(SUBSTITUTE(E952," [",", "),"[",", "),"]","")&amp;"]")))</x:f>
      </x:c>
      <x:c r="G952" t="str">
        <x:f>IF(F952&lt;&gt;"",ROWS($F$3:F952)-COUNTBLANK($F$3:F952),"")</x:f>
      </x:c>
      <x:c r="H952"/>
      <x:c r="I952"/>
      <x:c r="J952"/>
      <x:c r="K952" t="str">
        <x:f>IF(ROW()-ROW($K$2)&lt;=SUM($J$3:$J$168),COUNTIF($H$3:$H$168,"&lt;"&amp;(ROW()-ROW($K$2))),"")</x:f>
      </x:c>
      <x:c r="L952" t="str">
        <x:f>IF(K952="","",ROW()-ROW($L$2)-INDEX($H$3:$H$168,K952))</x:f>
      </x:c>
      <x:c r="M952" t="str">
        <x:f>IF(K952="","",IF(L952=1,1,FIND(CHAR(1),SUBSTITUTE(INDEX($B$3:$B$168,K952),CHAR(10),CHAR(1),L952-1))+1))</x:f>
      </x:c>
      <x:c r="N952" t="str">
        <x:f>IF(K952="","",IFERROR(FIND(CHAR(1),SUBSTITUTE(INDEX($B$3:$B$168,K952),CHAR(10),CHAR(1),L952)),LEN(INDEX($B$3:$B$168,K952))+1))</x:f>
      </x:c>
    </x:row>
    <x:row r="953">
      <x:c r="A953"/>
      <x:c r="B953"/>
      <x:c r="C953"/>
      <x:c r="D953" t="str">
        <x:f>IFERROR(IF(951&lt;=$O$1,INDEX($A$3:$A$168,MATCH(951,$I$3:$I$168,0)),IF(951&lt;=$O$1+$O$2,INDEX($F$3:$F$1994,MATCH(951-$O$1,$G$3:$G$1994,0)),"")),"")</x:f>
      </x:c>
      <x:c r="E953" t="str">
        <x:f>IF(K953="","",IF(N953&lt;=M953,"",TRIM(CLEAN(MID(INDEX($B$3:$B$168,K953),M953,N953-M953)))))</x:f>
      </x:c>
      <x:c r="F953" t="str">
        <x:f>IF(E953="","",IF(E953=TRIM(INDEX($A$3:$A$168,K953)),"",IF(RIGHT(TRIM(INDEX($A$3:$A$168,K953)),1)="]",LEFT(TRIM(INDEX($A$3:$A$168,K953)),LEN(TRIM(INDEX($A$3:$A$168,K953)))-1)&amp;", "&amp;SUBSTITUTE(SUBSTITUTE(SUBSTITUTE(E953," [",", "),"[",", "),"]","")&amp;"]",TRIM(INDEX($A$3:$A$168,K953))&amp;" ["&amp;SUBSTITUTE(SUBSTITUTE(SUBSTITUTE(E953," [",", "),"[",", "),"]","")&amp;"]")))</x:f>
      </x:c>
      <x:c r="G953" t="str">
        <x:f>IF(F953&lt;&gt;"",ROWS($F$3:F953)-COUNTBLANK($F$3:F953),"")</x:f>
      </x:c>
      <x:c r="H953"/>
      <x:c r="I953"/>
      <x:c r="J953"/>
      <x:c r="K953" t="str">
        <x:f>IF(ROW()-ROW($K$2)&lt;=SUM($J$3:$J$168),COUNTIF($H$3:$H$168,"&lt;"&amp;(ROW()-ROW($K$2))),"")</x:f>
      </x:c>
      <x:c r="L953" t="str">
        <x:f>IF(K953="","",ROW()-ROW($L$2)-INDEX($H$3:$H$168,K953))</x:f>
      </x:c>
      <x:c r="M953" t="str">
        <x:f>IF(K953="","",IF(L953=1,1,FIND(CHAR(1),SUBSTITUTE(INDEX($B$3:$B$168,K953),CHAR(10),CHAR(1),L953-1))+1))</x:f>
      </x:c>
      <x:c r="N953" t="str">
        <x:f>IF(K953="","",IFERROR(FIND(CHAR(1),SUBSTITUTE(INDEX($B$3:$B$168,K953),CHAR(10),CHAR(1),L953)),LEN(INDEX($B$3:$B$168,K953))+1))</x:f>
      </x:c>
    </x:row>
    <x:row r="954">
      <x:c r="A954"/>
      <x:c r="B954"/>
      <x:c r="C954"/>
      <x:c r="D954" t="str">
        <x:f>IFERROR(IF(952&lt;=$O$1,INDEX($A$3:$A$168,MATCH(952,$I$3:$I$168,0)),IF(952&lt;=$O$1+$O$2,INDEX($F$3:$F$1994,MATCH(952-$O$1,$G$3:$G$1994,0)),"")),"")</x:f>
      </x:c>
      <x:c r="E954" t="str">
        <x:f>IF(K954="","",IF(N954&lt;=M954,"",TRIM(CLEAN(MID(INDEX($B$3:$B$168,K954),M954,N954-M954)))))</x:f>
      </x:c>
      <x:c r="F954" t="str">
        <x:f>IF(E954="","",IF(E954=TRIM(INDEX($A$3:$A$168,K954)),"",IF(RIGHT(TRIM(INDEX($A$3:$A$168,K954)),1)="]",LEFT(TRIM(INDEX($A$3:$A$168,K954)),LEN(TRIM(INDEX($A$3:$A$168,K954)))-1)&amp;", "&amp;SUBSTITUTE(SUBSTITUTE(SUBSTITUTE(E954," [",", "),"[",", "),"]","")&amp;"]",TRIM(INDEX($A$3:$A$168,K954))&amp;" ["&amp;SUBSTITUTE(SUBSTITUTE(SUBSTITUTE(E954," [",", "),"[",", "),"]","")&amp;"]")))</x:f>
      </x:c>
      <x:c r="G954" t="str">
        <x:f>IF(F954&lt;&gt;"",ROWS($F$3:F954)-COUNTBLANK($F$3:F954),"")</x:f>
      </x:c>
      <x:c r="H954"/>
      <x:c r="I954"/>
      <x:c r="J954"/>
      <x:c r="K954" t="str">
        <x:f>IF(ROW()-ROW($K$2)&lt;=SUM($J$3:$J$168),COUNTIF($H$3:$H$168,"&lt;"&amp;(ROW()-ROW($K$2))),"")</x:f>
      </x:c>
      <x:c r="L954" t="str">
        <x:f>IF(K954="","",ROW()-ROW($L$2)-INDEX($H$3:$H$168,K954))</x:f>
      </x:c>
      <x:c r="M954" t="str">
        <x:f>IF(K954="","",IF(L954=1,1,FIND(CHAR(1),SUBSTITUTE(INDEX($B$3:$B$168,K954),CHAR(10),CHAR(1),L954-1))+1))</x:f>
      </x:c>
      <x:c r="N954" t="str">
        <x:f>IF(K954="","",IFERROR(FIND(CHAR(1),SUBSTITUTE(INDEX($B$3:$B$168,K954),CHAR(10),CHAR(1),L954)),LEN(INDEX($B$3:$B$168,K954))+1))</x:f>
      </x:c>
    </x:row>
    <x:row r="955">
      <x:c r="A955"/>
      <x:c r="B955"/>
      <x:c r="C955"/>
      <x:c r="D955" t="str">
        <x:f>IFERROR(IF(953&lt;=$O$1,INDEX($A$3:$A$168,MATCH(953,$I$3:$I$168,0)),IF(953&lt;=$O$1+$O$2,INDEX($F$3:$F$1994,MATCH(953-$O$1,$G$3:$G$1994,0)),"")),"")</x:f>
      </x:c>
      <x:c r="E955" t="str">
        <x:f>IF(K955="","",IF(N955&lt;=M955,"",TRIM(CLEAN(MID(INDEX($B$3:$B$168,K955),M955,N955-M955)))))</x:f>
      </x:c>
      <x:c r="F955" t="str">
        <x:f>IF(E955="","",IF(E955=TRIM(INDEX($A$3:$A$168,K955)),"",IF(RIGHT(TRIM(INDEX($A$3:$A$168,K955)),1)="]",LEFT(TRIM(INDEX($A$3:$A$168,K955)),LEN(TRIM(INDEX($A$3:$A$168,K955)))-1)&amp;", "&amp;SUBSTITUTE(SUBSTITUTE(SUBSTITUTE(E955," [",", "),"[",", "),"]","")&amp;"]",TRIM(INDEX($A$3:$A$168,K955))&amp;" ["&amp;SUBSTITUTE(SUBSTITUTE(SUBSTITUTE(E955," [",", "),"[",", "),"]","")&amp;"]")))</x:f>
      </x:c>
      <x:c r="G955" t="str">
        <x:f>IF(F955&lt;&gt;"",ROWS($F$3:F955)-COUNTBLANK($F$3:F955),"")</x:f>
      </x:c>
      <x:c r="H955"/>
      <x:c r="I955"/>
      <x:c r="J955"/>
      <x:c r="K955" t="str">
        <x:f>IF(ROW()-ROW($K$2)&lt;=SUM($J$3:$J$168),COUNTIF($H$3:$H$168,"&lt;"&amp;(ROW()-ROW($K$2))),"")</x:f>
      </x:c>
      <x:c r="L955" t="str">
        <x:f>IF(K955="","",ROW()-ROW($L$2)-INDEX($H$3:$H$168,K955))</x:f>
      </x:c>
      <x:c r="M955" t="str">
        <x:f>IF(K955="","",IF(L955=1,1,FIND(CHAR(1),SUBSTITUTE(INDEX($B$3:$B$168,K955),CHAR(10),CHAR(1),L955-1))+1))</x:f>
      </x:c>
      <x:c r="N955" t="str">
        <x:f>IF(K955="","",IFERROR(FIND(CHAR(1),SUBSTITUTE(INDEX($B$3:$B$168,K955),CHAR(10),CHAR(1),L955)),LEN(INDEX($B$3:$B$168,K955))+1))</x:f>
      </x:c>
    </x:row>
    <x:row r="956">
      <x:c r="A956"/>
      <x:c r="B956"/>
      <x:c r="C956"/>
      <x:c r="D956" t="str">
        <x:f>IFERROR(IF(954&lt;=$O$1,INDEX($A$3:$A$168,MATCH(954,$I$3:$I$168,0)),IF(954&lt;=$O$1+$O$2,INDEX($F$3:$F$1994,MATCH(954-$O$1,$G$3:$G$1994,0)),"")),"")</x:f>
      </x:c>
      <x:c r="E956" t="str">
        <x:f>IF(K956="","",IF(N956&lt;=M956,"",TRIM(CLEAN(MID(INDEX($B$3:$B$168,K956),M956,N956-M956)))))</x:f>
      </x:c>
      <x:c r="F956" t="str">
        <x:f>IF(E956="","",IF(E956=TRIM(INDEX($A$3:$A$168,K956)),"",IF(RIGHT(TRIM(INDEX($A$3:$A$168,K956)),1)="]",LEFT(TRIM(INDEX($A$3:$A$168,K956)),LEN(TRIM(INDEX($A$3:$A$168,K956)))-1)&amp;", "&amp;SUBSTITUTE(SUBSTITUTE(SUBSTITUTE(E956," [",", "),"[",", "),"]","")&amp;"]",TRIM(INDEX($A$3:$A$168,K956))&amp;" ["&amp;SUBSTITUTE(SUBSTITUTE(SUBSTITUTE(E956," [",", "),"[",", "),"]","")&amp;"]")))</x:f>
      </x:c>
      <x:c r="G956" t="str">
        <x:f>IF(F956&lt;&gt;"",ROWS($F$3:F956)-COUNTBLANK($F$3:F956),"")</x:f>
      </x:c>
      <x:c r="H956"/>
      <x:c r="I956"/>
      <x:c r="J956"/>
      <x:c r="K956" t="str">
        <x:f>IF(ROW()-ROW($K$2)&lt;=SUM($J$3:$J$168),COUNTIF($H$3:$H$168,"&lt;"&amp;(ROW()-ROW($K$2))),"")</x:f>
      </x:c>
      <x:c r="L956" t="str">
        <x:f>IF(K956="","",ROW()-ROW($L$2)-INDEX($H$3:$H$168,K956))</x:f>
      </x:c>
      <x:c r="M956" t="str">
        <x:f>IF(K956="","",IF(L956=1,1,FIND(CHAR(1),SUBSTITUTE(INDEX($B$3:$B$168,K956),CHAR(10),CHAR(1),L956-1))+1))</x:f>
      </x:c>
      <x:c r="N956" t="str">
        <x:f>IF(K956="","",IFERROR(FIND(CHAR(1),SUBSTITUTE(INDEX($B$3:$B$168,K956),CHAR(10),CHAR(1),L956)),LEN(INDEX($B$3:$B$168,K956))+1))</x:f>
      </x:c>
    </x:row>
    <x:row r="957">
      <x:c r="A957"/>
      <x:c r="B957"/>
      <x:c r="C957"/>
      <x:c r="D957" t="str">
        <x:f>IFERROR(IF(955&lt;=$O$1,INDEX($A$3:$A$168,MATCH(955,$I$3:$I$168,0)),IF(955&lt;=$O$1+$O$2,INDEX($F$3:$F$1994,MATCH(955-$O$1,$G$3:$G$1994,0)),"")),"")</x:f>
      </x:c>
      <x:c r="E957" t="str">
        <x:f>IF(K957="","",IF(N957&lt;=M957,"",TRIM(CLEAN(MID(INDEX($B$3:$B$168,K957),M957,N957-M957)))))</x:f>
      </x:c>
      <x:c r="F957" t="str">
        <x:f>IF(E957="","",IF(E957=TRIM(INDEX($A$3:$A$168,K957)),"",IF(RIGHT(TRIM(INDEX($A$3:$A$168,K957)),1)="]",LEFT(TRIM(INDEX($A$3:$A$168,K957)),LEN(TRIM(INDEX($A$3:$A$168,K957)))-1)&amp;", "&amp;SUBSTITUTE(SUBSTITUTE(SUBSTITUTE(E957," [",", "),"[",", "),"]","")&amp;"]",TRIM(INDEX($A$3:$A$168,K957))&amp;" ["&amp;SUBSTITUTE(SUBSTITUTE(SUBSTITUTE(E957," [",", "),"[",", "),"]","")&amp;"]")))</x:f>
      </x:c>
      <x:c r="G957" t="str">
        <x:f>IF(F957&lt;&gt;"",ROWS($F$3:F957)-COUNTBLANK($F$3:F957),"")</x:f>
      </x:c>
      <x:c r="H957"/>
      <x:c r="I957"/>
      <x:c r="J957"/>
      <x:c r="K957" t="str">
        <x:f>IF(ROW()-ROW($K$2)&lt;=SUM($J$3:$J$168),COUNTIF($H$3:$H$168,"&lt;"&amp;(ROW()-ROW($K$2))),"")</x:f>
      </x:c>
      <x:c r="L957" t="str">
        <x:f>IF(K957="","",ROW()-ROW($L$2)-INDEX($H$3:$H$168,K957))</x:f>
      </x:c>
      <x:c r="M957" t="str">
        <x:f>IF(K957="","",IF(L957=1,1,FIND(CHAR(1),SUBSTITUTE(INDEX($B$3:$B$168,K957),CHAR(10),CHAR(1),L957-1))+1))</x:f>
      </x:c>
      <x:c r="N957" t="str">
        <x:f>IF(K957="","",IFERROR(FIND(CHAR(1),SUBSTITUTE(INDEX($B$3:$B$168,K957),CHAR(10),CHAR(1),L957)),LEN(INDEX($B$3:$B$168,K957))+1))</x:f>
      </x:c>
    </x:row>
    <x:row r="958">
      <x:c r="A958"/>
      <x:c r="B958"/>
      <x:c r="C958"/>
      <x:c r="D958" t="str">
        <x:f>IFERROR(IF(956&lt;=$O$1,INDEX($A$3:$A$168,MATCH(956,$I$3:$I$168,0)),IF(956&lt;=$O$1+$O$2,INDEX($F$3:$F$1994,MATCH(956-$O$1,$G$3:$G$1994,0)),"")),"")</x:f>
      </x:c>
      <x:c r="E958" t="str">
        <x:f>IF(K958="","",IF(N958&lt;=M958,"",TRIM(CLEAN(MID(INDEX($B$3:$B$168,K958),M958,N958-M958)))))</x:f>
      </x:c>
      <x:c r="F958" t="str">
        <x:f>IF(E958="","",IF(E958=TRIM(INDEX($A$3:$A$168,K958)),"",IF(RIGHT(TRIM(INDEX($A$3:$A$168,K958)),1)="]",LEFT(TRIM(INDEX($A$3:$A$168,K958)),LEN(TRIM(INDEX($A$3:$A$168,K958)))-1)&amp;", "&amp;SUBSTITUTE(SUBSTITUTE(SUBSTITUTE(E958," [",", "),"[",", "),"]","")&amp;"]",TRIM(INDEX($A$3:$A$168,K958))&amp;" ["&amp;SUBSTITUTE(SUBSTITUTE(SUBSTITUTE(E958," [",", "),"[",", "),"]","")&amp;"]")))</x:f>
      </x:c>
      <x:c r="G958" t="str">
        <x:f>IF(F958&lt;&gt;"",ROWS($F$3:F958)-COUNTBLANK($F$3:F958),"")</x:f>
      </x:c>
      <x:c r="H958"/>
      <x:c r="I958"/>
      <x:c r="J958"/>
      <x:c r="K958" t="str">
        <x:f>IF(ROW()-ROW($K$2)&lt;=SUM($J$3:$J$168),COUNTIF($H$3:$H$168,"&lt;"&amp;(ROW()-ROW($K$2))),"")</x:f>
      </x:c>
      <x:c r="L958" t="str">
        <x:f>IF(K958="","",ROW()-ROW($L$2)-INDEX($H$3:$H$168,K958))</x:f>
      </x:c>
      <x:c r="M958" t="str">
        <x:f>IF(K958="","",IF(L958=1,1,FIND(CHAR(1),SUBSTITUTE(INDEX($B$3:$B$168,K958),CHAR(10),CHAR(1),L958-1))+1))</x:f>
      </x:c>
      <x:c r="N958" t="str">
        <x:f>IF(K958="","",IFERROR(FIND(CHAR(1),SUBSTITUTE(INDEX($B$3:$B$168,K958),CHAR(10),CHAR(1),L958)),LEN(INDEX($B$3:$B$168,K958))+1))</x:f>
      </x:c>
    </x:row>
    <x:row r="959">
      <x:c r="A959"/>
      <x:c r="B959"/>
      <x:c r="C959"/>
      <x:c r="D959" t="str">
        <x:f>IFERROR(IF(957&lt;=$O$1,INDEX($A$3:$A$168,MATCH(957,$I$3:$I$168,0)),IF(957&lt;=$O$1+$O$2,INDEX($F$3:$F$1994,MATCH(957-$O$1,$G$3:$G$1994,0)),"")),"")</x:f>
      </x:c>
      <x:c r="E959" t="str">
        <x:f>IF(K959="","",IF(N959&lt;=M959,"",TRIM(CLEAN(MID(INDEX($B$3:$B$168,K959),M959,N959-M959)))))</x:f>
      </x:c>
      <x:c r="F959" t="str">
        <x:f>IF(E959="","",IF(E959=TRIM(INDEX($A$3:$A$168,K959)),"",IF(RIGHT(TRIM(INDEX($A$3:$A$168,K959)),1)="]",LEFT(TRIM(INDEX($A$3:$A$168,K959)),LEN(TRIM(INDEX($A$3:$A$168,K959)))-1)&amp;", "&amp;SUBSTITUTE(SUBSTITUTE(SUBSTITUTE(E959," [",", "),"[",", "),"]","")&amp;"]",TRIM(INDEX($A$3:$A$168,K959))&amp;" ["&amp;SUBSTITUTE(SUBSTITUTE(SUBSTITUTE(E959," [",", "),"[",", "),"]","")&amp;"]")))</x:f>
      </x:c>
      <x:c r="G959" t="str">
        <x:f>IF(F959&lt;&gt;"",ROWS($F$3:F959)-COUNTBLANK($F$3:F959),"")</x:f>
      </x:c>
      <x:c r="H959"/>
      <x:c r="I959"/>
      <x:c r="J959"/>
      <x:c r="K959" t="str">
        <x:f>IF(ROW()-ROW($K$2)&lt;=SUM($J$3:$J$168),COUNTIF($H$3:$H$168,"&lt;"&amp;(ROW()-ROW($K$2))),"")</x:f>
      </x:c>
      <x:c r="L959" t="str">
        <x:f>IF(K959="","",ROW()-ROW($L$2)-INDEX($H$3:$H$168,K959))</x:f>
      </x:c>
      <x:c r="M959" t="str">
        <x:f>IF(K959="","",IF(L959=1,1,FIND(CHAR(1),SUBSTITUTE(INDEX($B$3:$B$168,K959),CHAR(10),CHAR(1),L959-1))+1))</x:f>
      </x:c>
      <x:c r="N959" t="str">
        <x:f>IF(K959="","",IFERROR(FIND(CHAR(1),SUBSTITUTE(INDEX($B$3:$B$168,K959),CHAR(10),CHAR(1),L959)),LEN(INDEX($B$3:$B$168,K959))+1))</x:f>
      </x:c>
    </x:row>
    <x:row r="960">
      <x:c r="A960"/>
      <x:c r="B960"/>
      <x:c r="C960"/>
      <x:c r="D960" t="str">
        <x:f>IFERROR(IF(958&lt;=$O$1,INDEX($A$3:$A$168,MATCH(958,$I$3:$I$168,0)),IF(958&lt;=$O$1+$O$2,INDEX($F$3:$F$1994,MATCH(958-$O$1,$G$3:$G$1994,0)),"")),"")</x:f>
      </x:c>
      <x:c r="E960" t="str">
        <x:f>IF(K960="","",IF(N960&lt;=M960,"",TRIM(CLEAN(MID(INDEX($B$3:$B$168,K960),M960,N960-M960)))))</x:f>
      </x:c>
      <x:c r="F960" t="str">
        <x:f>IF(E960="","",IF(E960=TRIM(INDEX($A$3:$A$168,K960)),"",IF(RIGHT(TRIM(INDEX($A$3:$A$168,K960)),1)="]",LEFT(TRIM(INDEX($A$3:$A$168,K960)),LEN(TRIM(INDEX($A$3:$A$168,K960)))-1)&amp;", "&amp;SUBSTITUTE(SUBSTITUTE(SUBSTITUTE(E960," [",", "),"[",", "),"]","")&amp;"]",TRIM(INDEX($A$3:$A$168,K960))&amp;" ["&amp;SUBSTITUTE(SUBSTITUTE(SUBSTITUTE(E960," [",", "),"[",", "),"]","")&amp;"]")))</x:f>
      </x:c>
      <x:c r="G960" t="str">
        <x:f>IF(F960&lt;&gt;"",ROWS($F$3:F960)-COUNTBLANK($F$3:F960),"")</x:f>
      </x:c>
      <x:c r="H960"/>
      <x:c r="I960"/>
      <x:c r="J960"/>
      <x:c r="K960" t="str">
        <x:f>IF(ROW()-ROW($K$2)&lt;=SUM($J$3:$J$168),COUNTIF($H$3:$H$168,"&lt;"&amp;(ROW()-ROW($K$2))),"")</x:f>
      </x:c>
      <x:c r="L960" t="str">
        <x:f>IF(K960="","",ROW()-ROW($L$2)-INDEX($H$3:$H$168,K960))</x:f>
      </x:c>
      <x:c r="M960" t="str">
        <x:f>IF(K960="","",IF(L960=1,1,FIND(CHAR(1),SUBSTITUTE(INDEX($B$3:$B$168,K960),CHAR(10),CHAR(1),L960-1))+1))</x:f>
      </x:c>
      <x:c r="N960" t="str">
        <x:f>IF(K960="","",IFERROR(FIND(CHAR(1),SUBSTITUTE(INDEX($B$3:$B$168,K960),CHAR(10),CHAR(1),L960)),LEN(INDEX($B$3:$B$168,K960))+1))</x:f>
      </x:c>
    </x:row>
    <x:row r="961">
      <x:c r="A961"/>
      <x:c r="B961"/>
      <x:c r="C961"/>
      <x:c r="D961" t="str">
        <x:f>IFERROR(IF(959&lt;=$O$1,INDEX($A$3:$A$168,MATCH(959,$I$3:$I$168,0)),IF(959&lt;=$O$1+$O$2,INDEX($F$3:$F$1994,MATCH(959-$O$1,$G$3:$G$1994,0)),"")),"")</x:f>
      </x:c>
      <x:c r="E961" t="str">
        <x:f>IF(K961="","",IF(N961&lt;=M961,"",TRIM(CLEAN(MID(INDEX($B$3:$B$168,K961),M961,N961-M961)))))</x:f>
      </x:c>
      <x:c r="F961" t="str">
        <x:f>IF(E961="","",IF(E961=TRIM(INDEX($A$3:$A$168,K961)),"",IF(RIGHT(TRIM(INDEX($A$3:$A$168,K961)),1)="]",LEFT(TRIM(INDEX($A$3:$A$168,K961)),LEN(TRIM(INDEX($A$3:$A$168,K961)))-1)&amp;", "&amp;SUBSTITUTE(SUBSTITUTE(SUBSTITUTE(E961," [",", "),"[",", "),"]","")&amp;"]",TRIM(INDEX($A$3:$A$168,K961))&amp;" ["&amp;SUBSTITUTE(SUBSTITUTE(SUBSTITUTE(E961," [",", "),"[",", "),"]","")&amp;"]")))</x:f>
      </x:c>
      <x:c r="G961" t="str">
        <x:f>IF(F961&lt;&gt;"",ROWS($F$3:F961)-COUNTBLANK($F$3:F961),"")</x:f>
      </x:c>
      <x:c r="H961"/>
      <x:c r="I961"/>
      <x:c r="J961"/>
      <x:c r="K961" t="str">
        <x:f>IF(ROW()-ROW($K$2)&lt;=SUM($J$3:$J$168),COUNTIF($H$3:$H$168,"&lt;"&amp;(ROW()-ROW($K$2))),"")</x:f>
      </x:c>
      <x:c r="L961" t="str">
        <x:f>IF(K961="","",ROW()-ROW($L$2)-INDEX($H$3:$H$168,K961))</x:f>
      </x:c>
      <x:c r="M961" t="str">
        <x:f>IF(K961="","",IF(L961=1,1,FIND(CHAR(1),SUBSTITUTE(INDEX($B$3:$B$168,K961),CHAR(10),CHAR(1),L961-1))+1))</x:f>
      </x:c>
      <x:c r="N961" t="str">
        <x:f>IF(K961="","",IFERROR(FIND(CHAR(1),SUBSTITUTE(INDEX($B$3:$B$168,K961),CHAR(10),CHAR(1),L961)),LEN(INDEX($B$3:$B$168,K961))+1))</x:f>
      </x:c>
    </x:row>
    <x:row r="962">
      <x:c r="A962"/>
      <x:c r="B962"/>
      <x:c r="C962"/>
      <x:c r="D962" t="str">
        <x:f>IFERROR(IF(960&lt;=$O$1,INDEX($A$3:$A$168,MATCH(960,$I$3:$I$168,0)),IF(960&lt;=$O$1+$O$2,INDEX($F$3:$F$1994,MATCH(960-$O$1,$G$3:$G$1994,0)),"")),"")</x:f>
      </x:c>
      <x:c r="E962" t="str">
        <x:f>IF(K962="","",IF(N962&lt;=M962,"",TRIM(CLEAN(MID(INDEX($B$3:$B$168,K962),M962,N962-M962)))))</x:f>
      </x:c>
      <x:c r="F962" t="str">
        <x:f>IF(E962="","",IF(E962=TRIM(INDEX($A$3:$A$168,K962)),"",IF(RIGHT(TRIM(INDEX($A$3:$A$168,K962)),1)="]",LEFT(TRIM(INDEX($A$3:$A$168,K962)),LEN(TRIM(INDEX($A$3:$A$168,K962)))-1)&amp;", "&amp;SUBSTITUTE(SUBSTITUTE(SUBSTITUTE(E962," [",", "),"[",", "),"]","")&amp;"]",TRIM(INDEX($A$3:$A$168,K962))&amp;" ["&amp;SUBSTITUTE(SUBSTITUTE(SUBSTITUTE(E962," [",", "),"[",", "),"]","")&amp;"]")))</x:f>
      </x:c>
      <x:c r="G962" t="str">
        <x:f>IF(F962&lt;&gt;"",ROWS($F$3:F962)-COUNTBLANK($F$3:F962),"")</x:f>
      </x:c>
      <x:c r="H962"/>
      <x:c r="I962"/>
      <x:c r="J962"/>
      <x:c r="K962" t="str">
        <x:f>IF(ROW()-ROW($K$2)&lt;=SUM($J$3:$J$168),COUNTIF($H$3:$H$168,"&lt;"&amp;(ROW()-ROW($K$2))),"")</x:f>
      </x:c>
      <x:c r="L962" t="str">
        <x:f>IF(K962="","",ROW()-ROW($L$2)-INDEX($H$3:$H$168,K962))</x:f>
      </x:c>
      <x:c r="M962" t="str">
        <x:f>IF(K962="","",IF(L962=1,1,FIND(CHAR(1),SUBSTITUTE(INDEX($B$3:$B$168,K962),CHAR(10),CHAR(1),L962-1))+1))</x:f>
      </x:c>
      <x:c r="N962" t="str">
        <x:f>IF(K962="","",IFERROR(FIND(CHAR(1),SUBSTITUTE(INDEX($B$3:$B$168,K962),CHAR(10),CHAR(1),L962)),LEN(INDEX($B$3:$B$168,K962))+1))</x:f>
      </x:c>
    </x:row>
    <x:row r="963">
      <x:c r="A963"/>
      <x:c r="B963"/>
      <x:c r="C963"/>
      <x:c r="D963" t="str">
        <x:f>IFERROR(IF(961&lt;=$O$1,INDEX($A$3:$A$168,MATCH(961,$I$3:$I$168,0)),IF(961&lt;=$O$1+$O$2,INDEX($F$3:$F$1994,MATCH(961-$O$1,$G$3:$G$1994,0)),"")),"")</x:f>
      </x:c>
      <x:c r="E963" t="str">
        <x:f>IF(K963="","",IF(N963&lt;=M963,"",TRIM(CLEAN(MID(INDEX($B$3:$B$168,K963),M963,N963-M963)))))</x:f>
      </x:c>
      <x:c r="F963" t="str">
        <x:f>IF(E963="","",IF(E963=TRIM(INDEX($A$3:$A$168,K963)),"",IF(RIGHT(TRIM(INDEX($A$3:$A$168,K963)),1)="]",LEFT(TRIM(INDEX($A$3:$A$168,K963)),LEN(TRIM(INDEX($A$3:$A$168,K963)))-1)&amp;", "&amp;SUBSTITUTE(SUBSTITUTE(SUBSTITUTE(E963," [",", "),"[",", "),"]","")&amp;"]",TRIM(INDEX($A$3:$A$168,K963))&amp;" ["&amp;SUBSTITUTE(SUBSTITUTE(SUBSTITUTE(E963," [",", "),"[",", "),"]","")&amp;"]")))</x:f>
      </x:c>
      <x:c r="G963" t="str">
        <x:f>IF(F963&lt;&gt;"",ROWS($F$3:F963)-COUNTBLANK($F$3:F963),"")</x:f>
      </x:c>
      <x:c r="H963"/>
      <x:c r="I963"/>
      <x:c r="J963"/>
      <x:c r="K963" t="str">
        <x:f>IF(ROW()-ROW($K$2)&lt;=SUM($J$3:$J$168),COUNTIF($H$3:$H$168,"&lt;"&amp;(ROW()-ROW($K$2))),"")</x:f>
      </x:c>
      <x:c r="L963" t="str">
        <x:f>IF(K963="","",ROW()-ROW($L$2)-INDEX($H$3:$H$168,K963))</x:f>
      </x:c>
      <x:c r="M963" t="str">
        <x:f>IF(K963="","",IF(L963=1,1,FIND(CHAR(1),SUBSTITUTE(INDEX($B$3:$B$168,K963),CHAR(10),CHAR(1),L963-1))+1))</x:f>
      </x:c>
      <x:c r="N963" t="str">
        <x:f>IF(K963="","",IFERROR(FIND(CHAR(1),SUBSTITUTE(INDEX($B$3:$B$168,K963),CHAR(10),CHAR(1),L963)),LEN(INDEX($B$3:$B$168,K963))+1))</x:f>
      </x:c>
    </x:row>
    <x:row r="964">
      <x:c r="A964"/>
      <x:c r="B964"/>
      <x:c r="C964"/>
      <x:c r="D964" t="str">
        <x:f>IFERROR(IF(962&lt;=$O$1,INDEX($A$3:$A$168,MATCH(962,$I$3:$I$168,0)),IF(962&lt;=$O$1+$O$2,INDEX($F$3:$F$1994,MATCH(962-$O$1,$G$3:$G$1994,0)),"")),"")</x:f>
      </x:c>
      <x:c r="E964" t="str">
        <x:f>IF(K964="","",IF(N964&lt;=M964,"",TRIM(CLEAN(MID(INDEX($B$3:$B$168,K964),M964,N964-M964)))))</x:f>
      </x:c>
      <x:c r="F964" t="str">
        <x:f>IF(E964="","",IF(E964=TRIM(INDEX($A$3:$A$168,K964)),"",IF(RIGHT(TRIM(INDEX($A$3:$A$168,K964)),1)="]",LEFT(TRIM(INDEX($A$3:$A$168,K964)),LEN(TRIM(INDEX($A$3:$A$168,K964)))-1)&amp;", "&amp;SUBSTITUTE(SUBSTITUTE(SUBSTITUTE(E964," [",", "),"[",", "),"]","")&amp;"]",TRIM(INDEX($A$3:$A$168,K964))&amp;" ["&amp;SUBSTITUTE(SUBSTITUTE(SUBSTITUTE(E964," [",", "),"[",", "),"]","")&amp;"]")))</x:f>
      </x:c>
      <x:c r="G964" t="str">
        <x:f>IF(F964&lt;&gt;"",ROWS($F$3:F964)-COUNTBLANK($F$3:F964),"")</x:f>
      </x:c>
      <x:c r="H964"/>
      <x:c r="I964"/>
      <x:c r="J964"/>
      <x:c r="K964" t="str">
        <x:f>IF(ROW()-ROW($K$2)&lt;=SUM($J$3:$J$168),COUNTIF($H$3:$H$168,"&lt;"&amp;(ROW()-ROW($K$2))),"")</x:f>
      </x:c>
      <x:c r="L964" t="str">
        <x:f>IF(K964="","",ROW()-ROW($L$2)-INDEX($H$3:$H$168,K964))</x:f>
      </x:c>
      <x:c r="M964" t="str">
        <x:f>IF(K964="","",IF(L964=1,1,FIND(CHAR(1),SUBSTITUTE(INDEX($B$3:$B$168,K964),CHAR(10),CHAR(1),L964-1))+1))</x:f>
      </x:c>
      <x:c r="N964" t="str">
        <x:f>IF(K964="","",IFERROR(FIND(CHAR(1),SUBSTITUTE(INDEX($B$3:$B$168,K964),CHAR(10),CHAR(1),L964)),LEN(INDEX($B$3:$B$168,K964))+1))</x:f>
      </x:c>
    </x:row>
    <x:row r="965">
      <x:c r="A965"/>
      <x:c r="B965"/>
      <x:c r="C965"/>
      <x:c r="D965" t="str">
        <x:f>IFERROR(IF(963&lt;=$O$1,INDEX($A$3:$A$168,MATCH(963,$I$3:$I$168,0)),IF(963&lt;=$O$1+$O$2,INDEX($F$3:$F$1994,MATCH(963-$O$1,$G$3:$G$1994,0)),"")),"")</x:f>
      </x:c>
      <x:c r="E965" t="str">
        <x:f>IF(K965="","",IF(N965&lt;=M965,"",TRIM(CLEAN(MID(INDEX($B$3:$B$168,K965),M965,N965-M965)))))</x:f>
      </x:c>
      <x:c r="F965" t="str">
        <x:f>IF(E965="","",IF(E965=TRIM(INDEX($A$3:$A$168,K965)),"",IF(RIGHT(TRIM(INDEX($A$3:$A$168,K965)),1)="]",LEFT(TRIM(INDEX($A$3:$A$168,K965)),LEN(TRIM(INDEX($A$3:$A$168,K965)))-1)&amp;", "&amp;SUBSTITUTE(SUBSTITUTE(SUBSTITUTE(E965," [",", "),"[",", "),"]","")&amp;"]",TRIM(INDEX($A$3:$A$168,K965))&amp;" ["&amp;SUBSTITUTE(SUBSTITUTE(SUBSTITUTE(E965," [",", "),"[",", "),"]","")&amp;"]")))</x:f>
      </x:c>
      <x:c r="G965" t="str">
        <x:f>IF(F965&lt;&gt;"",ROWS($F$3:F965)-COUNTBLANK($F$3:F965),"")</x:f>
      </x:c>
      <x:c r="H965"/>
      <x:c r="I965"/>
      <x:c r="J965"/>
      <x:c r="K965" t="str">
        <x:f>IF(ROW()-ROW($K$2)&lt;=SUM($J$3:$J$168),COUNTIF($H$3:$H$168,"&lt;"&amp;(ROW()-ROW($K$2))),"")</x:f>
      </x:c>
      <x:c r="L965" t="str">
        <x:f>IF(K965="","",ROW()-ROW($L$2)-INDEX($H$3:$H$168,K965))</x:f>
      </x:c>
      <x:c r="M965" t="str">
        <x:f>IF(K965="","",IF(L965=1,1,FIND(CHAR(1),SUBSTITUTE(INDEX($B$3:$B$168,K965),CHAR(10),CHAR(1),L965-1))+1))</x:f>
      </x:c>
      <x:c r="N965" t="str">
        <x:f>IF(K965="","",IFERROR(FIND(CHAR(1),SUBSTITUTE(INDEX($B$3:$B$168,K965),CHAR(10),CHAR(1),L965)),LEN(INDEX($B$3:$B$168,K965))+1))</x:f>
      </x:c>
    </x:row>
    <x:row r="966">
      <x:c r="A966"/>
      <x:c r="B966"/>
      <x:c r="C966"/>
      <x:c r="D966" t="str">
        <x:f>IFERROR(IF(964&lt;=$O$1,INDEX($A$3:$A$168,MATCH(964,$I$3:$I$168,0)),IF(964&lt;=$O$1+$O$2,INDEX($F$3:$F$1994,MATCH(964-$O$1,$G$3:$G$1994,0)),"")),"")</x:f>
      </x:c>
      <x:c r="E966" t="str">
        <x:f>IF(K966="","",IF(N966&lt;=M966,"",TRIM(CLEAN(MID(INDEX($B$3:$B$168,K966),M966,N966-M966)))))</x:f>
      </x:c>
      <x:c r="F966" t="str">
        <x:f>IF(E966="","",IF(E966=TRIM(INDEX($A$3:$A$168,K966)),"",IF(RIGHT(TRIM(INDEX($A$3:$A$168,K966)),1)="]",LEFT(TRIM(INDEX($A$3:$A$168,K966)),LEN(TRIM(INDEX($A$3:$A$168,K966)))-1)&amp;", "&amp;SUBSTITUTE(SUBSTITUTE(SUBSTITUTE(E966," [",", "),"[",", "),"]","")&amp;"]",TRIM(INDEX($A$3:$A$168,K966))&amp;" ["&amp;SUBSTITUTE(SUBSTITUTE(SUBSTITUTE(E966," [",", "),"[",", "),"]","")&amp;"]")))</x:f>
      </x:c>
      <x:c r="G966" t="str">
        <x:f>IF(F966&lt;&gt;"",ROWS($F$3:F966)-COUNTBLANK($F$3:F966),"")</x:f>
      </x:c>
      <x:c r="H966"/>
      <x:c r="I966"/>
      <x:c r="J966"/>
      <x:c r="K966" t="str">
        <x:f>IF(ROW()-ROW($K$2)&lt;=SUM($J$3:$J$168),COUNTIF($H$3:$H$168,"&lt;"&amp;(ROW()-ROW($K$2))),"")</x:f>
      </x:c>
      <x:c r="L966" t="str">
        <x:f>IF(K966="","",ROW()-ROW($L$2)-INDEX($H$3:$H$168,K966))</x:f>
      </x:c>
      <x:c r="M966" t="str">
        <x:f>IF(K966="","",IF(L966=1,1,FIND(CHAR(1),SUBSTITUTE(INDEX($B$3:$B$168,K966),CHAR(10),CHAR(1),L966-1))+1))</x:f>
      </x:c>
      <x:c r="N966" t="str">
        <x:f>IF(K966="","",IFERROR(FIND(CHAR(1),SUBSTITUTE(INDEX($B$3:$B$168,K966),CHAR(10),CHAR(1),L966)),LEN(INDEX($B$3:$B$168,K966))+1))</x:f>
      </x:c>
    </x:row>
    <x:row r="967">
      <x:c r="A967"/>
      <x:c r="B967"/>
      <x:c r="C967"/>
      <x:c r="D967" t="str">
        <x:f>IFERROR(IF(965&lt;=$O$1,INDEX($A$3:$A$168,MATCH(965,$I$3:$I$168,0)),IF(965&lt;=$O$1+$O$2,INDEX($F$3:$F$1994,MATCH(965-$O$1,$G$3:$G$1994,0)),"")),"")</x:f>
      </x:c>
      <x:c r="E967" t="str">
        <x:f>IF(K967="","",IF(N967&lt;=M967,"",TRIM(CLEAN(MID(INDEX($B$3:$B$168,K967),M967,N967-M967)))))</x:f>
      </x:c>
      <x:c r="F967" t="str">
        <x:f>IF(E967="","",IF(E967=TRIM(INDEX($A$3:$A$168,K967)),"",IF(RIGHT(TRIM(INDEX($A$3:$A$168,K967)),1)="]",LEFT(TRIM(INDEX($A$3:$A$168,K967)),LEN(TRIM(INDEX($A$3:$A$168,K967)))-1)&amp;", "&amp;SUBSTITUTE(SUBSTITUTE(SUBSTITUTE(E967," [",", "),"[",", "),"]","")&amp;"]",TRIM(INDEX($A$3:$A$168,K967))&amp;" ["&amp;SUBSTITUTE(SUBSTITUTE(SUBSTITUTE(E967," [",", "),"[",", "),"]","")&amp;"]")))</x:f>
      </x:c>
      <x:c r="G967" t="str">
        <x:f>IF(F967&lt;&gt;"",ROWS($F$3:F967)-COUNTBLANK($F$3:F967),"")</x:f>
      </x:c>
      <x:c r="H967"/>
      <x:c r="I967"/>
      <x:c r="J967"/>
      <x:c r="K967" t="str">
        <x:f>IF(ROW()-ROW($K$2)&lt;=SUM($J$3:$J$168),COUNTIF($H$3:$H$168,"&lt;"&amp;(ROW()-ROW($K$2))),"")</x:f>
      </x:c>
      <x:c r="L967" t="str">
        <x:f>IF(K967="","",ROW()-ROW($L$2)-INDEX($H$3:$H$168,K967))</x:f>
      </x:c>
      <x:c r="M967" t="str">
        <x:f>IF(K967="","",IF(L967=1,1,FIND(CHAR(1),SUBSTITUTE(INDEX($B$3:$B$168,K967),CHAR(10),CHAR(1),L967-1))+1))</x:f>
      </x:c>
      <x:c r="N967" t="str">
        <x:f>IF(K967="","",IFERROR(FIND(CHAR(1),SUBSTITUTE(INDEX($B$3:$B$168,K967),CHAR(10),CHAR(1),L967)),LEN(INDEX($B$3:$B$168,K967))+1))</x:f>
      </x:c>
    </x:row>
    <x:row r="968">
      <x:c r="A968"/>
      <x:c r="B968"/>
      <x:c r="C968"/>
      <x:c r="D968" t="str">
        <x:f>IFERROR(IF(966&lt;=$O$1,INDEX($A$3:$A$168,MATCH(966,$I$3:$I$168,0)),IF(966&lt;=$O$1+$O$2,INDEX($F$3:$F$1994,MATCH(966-$O$1,$G$3:$G$1994,0)),"")),"")</x:f>
      </x:c>
      <x:c r="E968" t="str">
        <x:f>IF(K968="","",IF(N968&lt;=M968,"",TRIM(CLEAN(MID(INDEX($B$3:$B$168,K968),M968,N968-M968)))))</x:f>
      </x:c>
      <x:c r="F968" t="str">
        <x:f>IF(E968="","",IF(E968=TRIM(INDEX($A$3:$A$168,K968)),"",IF(RIGHT(TRIM(INDEX($A$3:$A$168,K968)),1)="]",LEFT(TRIM(INDEX($A$3:$A$168,K968)),LEN(TRIM(INDEX($A$3:$A$168,K968)))-1)&amp;", "&amp;SUBSTITUTE(SUBSTITUTE(SUBSTITUTE(E968," [",", "),"[",", "),"]","")&amp;"]",TRIM(INDEX($A$3:$A$168,K968))&amp;" ["&amp;SUBSTITUTE(SUBSTITUTE(SUBSTITUTE(E968," [",", "),"[",", "),"]","")&amp;"]")))</x:f>
      </x:c>
      <x:c r="G968" t="str">
        <x:f>IF(F968&lt;&gt;"",ROWS($F$3:F968)-COUNTBLANK($F$3:F968),"")</x:f>
      </x:c>
      <x:c r="H968"/>
      <x:c r="I968"/>
      <x:c r="J968"/>
      <x:c r="K968" t="str">
        <x:f>IF(ROW()-ROW($K$2)&lt;=SUM($J$3:$J$168),COUNTIF($H$3:$H$168,"&lt;"&amp;(ROW()-ROW($K$2))),"")</x:f>
      </x:c>
      <x:c r="L968" t="str">
        <x:f>IF(K968="","",ROW()-ROW($L$2)-INDEX($H$3:$H$168,K968))</x:f>
      </x:c>
      <x:c r="M968" t="str">
        <x:f>IF(K968="","",IF(L968=1,1,FIND(CHAR(1),SUBSTITUTE(INDEX($B$3:$B$168,K968),CHAR(10),CHAR(1),L968-1))+1))</x:f>
      </x:c>
      <x:c r="N968" t="str">
        <x:f>IF(K968="","",IFERROR(FIND(CHAR(1),SUBSTITUTE(INDEX($B$3:$B$168,K968),CHAR(10),CHAR(1),L968)),LEN(INDEX($B$3:$B$168,K968))+1))</x:f>
      </x:c>
    </x:row>
    <x:row r="969">
      <x:c r="A969"/>
      <x:c r="B969"/>
      <x:c r="C969"/>
      <x:c r="D969" t="str">
        <x:f>IFERROR(IF(967&lt;=$O$1,INDEX($A$3:$A$168,MATCH(967,$I$3:$I$168,0)),IF(967&lt;=$O$1+$O$2,INDEX($F$3:$F$1994,MATCH(967-$O$1,$G$3:$G$1994,0)),"")),"")</x:f>
      </x:c>
      <x:c r="E969" t="str">
        <x:f>IF(K969="","",IF(N969&lt;=M969,"",TRIM(CLEAN(MID(INDEX($B$3:$B$168,K969),M969,N969-M969)))))</x:f>
      </x:c>
      <x:c r="F969" t="str">
        <x:f>IF(E969="","",IF(E969=TRIM(INDEX($A$3:$A$168,K969)),"",IF(RIGHT(TRIM(INDEX($A$3:$A$168,K969)),1)="]",LEFT(TRIM(INDEX($A$3:$A$168,K969)),LEN(TRIM(INDEX($A$3:$A$168,K969)))-1)&amp;", "&amp;SUBSTITUTE(SUBSTITUTE(SUBSTITUTE(E969," [",", "),"[",", "),"]","")&amp;"]",TRIM(INDEX($A$3:$A$168,K969))&amp;" ["&amp;SUBSTITUTE(SUBSTITUTE(SUBSTITUTE(E969," [",", "),"[",", "),"]","")&amp;"]")))</x:f>
      </x:c>
      <x:c r="G969" t="str">
        <x:f>IF(F969&lt;&gt;"",ROWS($F$3:F969)-COUNTBLANK($F$3:F969),"")</x:f>
      </x:c>
      <x:c r="H969"/>
      <x:c r="I969"/>
      <x:c r="J969"/>
      <x:c r="K969" t="str">
        <x:f>IF(ROW()-ROW($K$2)&lt;=SUM($J$3:$J$168),COUNTIF($H$3:$H$168,"&lt;"&amp;(ROW()-ROW($K$2))),"")</x:f>
      </x:c>
      <x:c r="L969" t="str">
        <x:f>IF(K969="","",ROW()-ROW($L$2)-INDEX($H$3:$H$168,K969))</x:f>
      </x:c>
      <x:c r="M969" t="str">
        <x:f>IF(K969="","",IF(L969=1,1,FIND(CHAR(1),SUBSTITUTE(INDEX($B$3:$B$168,K969),CHAR(10),CHAR(1),L969-1))+1))</x:f>
      </x:c>
      <x:c r="N969" t="str">
        <x:f>IF(K969="","",IFERROR(FIND(CHAR(1),SUBSTITUTE(INDEX($B$3:$B$168,K969),CHAR(10),CHAR(1),L969)),LEN(INDEX($B$3:$B$168,K969))+1))</x:f>
      </x:c>
    </x:row>
    <x:row r="970">
      <x:c r="A970"/>
      <x:c r="B970"/>
      <x:c r="C970"/>
      <x:c r="D970" t="str">
        <x:f>IFERROR(IF(968&lt;=$O$1,INDEX($A$3:$A$168,MATCH(968,$I$3:$I$168,0)),IF(968&lt;=$O$1+$O$2,INDEX($F$3:$F$1994,MATCH(968-$O$1,$G$3:$G$1994,0)),"")),"")</x:f>
      </x:c>
      <x:c r="E970" t="str">
        <x:f>IF(K970="","",IF(N970&lt;=M970,"",TRIM(CLEAN(MID(INDEX($B$3:$B$168,K970),M970,N970-M970)))))</x:f>
      </x:c>
      <x:c r="F970" t="str">
        <x:f>IF(E970="","",IF(E970=TRIM(INDEX($A$3:$A$168,K970)),"",IF(RIGHT(TRIM(INDEX($A$3:$A$168,K970)),1)="]",LEFT(TRIM(INDEX($A$3:$A$168,K970)),LEN(TRIM(INDEX($A$3:$A$168,K970)))-1)&amp;", "&amp;SUBSTITUTE(SUBSTITUTE(SUBSTITUTE(E970," [",", "),"[",", "),"]","")&amp;"]",TRIM(INDEX($A$3:$A$168,K970))&amp;" ["&amp;SUBSTITUTE(SUBSTITUTE(SUBSTITUTE(E970," [",", "),"[",", "),"]","")&amp;"]")))</x:f>
      </x:c>
      <x:c r="G970" t="str">
        <x:f>IF(F970&lt;&gt;"",ROWS($F$3:F970)-COUNTBLANK($F$3:F970),"")</x:f>
      </x:c>
      <x:c r="H970"/>
      <x:c r="I970"/>
      <x:c r="J970"/>
      <x:c r="K970" t="str">
        <x:f>IF(ROW()-ROW($K$2)&lt;=SUM($J$3:$J$168),COUNTIF($H$3:$H$168,"&lt;"&amp;(ROW()-ROW($K$2))),"")</x:f>
      </x:c>
      <x:c r="L970" t="str">
        <x:f>IF(K970="","",ROW()-ROW($L$2)-INDEX($H$3:$H$168,K970))</x:f>
      </x:c>
      <x:c r="M970" t="str">
        <x:f>IF(K970="","",IF(L970=1,1,FIND(CHAR(1),SUBSTITUTE(INDEX($B$3:$B$168,K970),CHAR(10),CHAR(1),L970-1))+1))</x:f>
      </x:c>
      <x:c r="N970" t="str">
        <x:f>IF(K970="","",IFERROR(FIND(CHAR(1),SUBSTITUTE(INDEX($B$3:$B$168,K970),CHAR(10),CHAR(1),L970)),LEN(INDEX($B$3:$B$168,K970))+1))</x:f>
      </x:c>
    </x:row>
    <x:row r="971">
      <x:c r="A971"/>
      <x:c r="B971"/>
      <x:c r="C971"/>
      <x:c r="D971" t="str">
        <x:f>IFERROR(IF(969&lt;=$O$1,INDEX($A$3:$A$168,MATCH(969,$I$3:$I$168,0)),IF(969&lt;=$O$1+$O$2,INDEX($F$3:$F$1994,MATCH(969-$O$1,$G$3:$G$1994,0)),"")),"")</x:f>
      </x:c>
      <x:c r="E971" t="str">
        <x:f>IF(K971="","",IF(N971&lt;=M971,"",TRIM(CLEAN(MID(INDEX($B$3:$B$168,K971),M971,N971-M971)))))</x:f>
      </x:c>
      <x:c r="F971" t="str">
        <x:f>IF(E971="","",IF(E971=TRIM(INDEX($A$3:$A$168,K971)),"",IF(RIGHT(TRIM(INDEX($A$3:$A$168,K971)),1)="]",LEFT(TRIM(INDEX($A$3:$A$168,K971)),LEN(TRIM(INDEX($A$3:$A$168,K971)))-1)&amp;", "&amp;SUBSTITUTE(SUBSTITUTE(SUBSTITUTE(E971," [",", "),"[",", "),"]","")&amp;"]",TRIM(INDEX($A$3:$A$168,K971))&amp;" ["&amp;SUBSTITUTE(SUBSTITUTE(SUBSTITUTE(E971," [",", "),"[",", "),"]","")&amp;"]")))</x:f>
      </x:c>
      <x:c r="G971" t="str">
        <x:f>IF(F971&lt;&gt;"",ROWS($F$3:F971)-COUNTBLANK($F$3:F971),"")</x:f>
      </x:c>
      <x:c r="H971"/>
      <x:c r="I971"/>
      <x:c r="J971"/>
      <x:c r="K971" t="str">
        <x:f>IF(ROW()-ROW($K$2)&lt;=SUM($J$3:$J$168),COUNTIF($H$3:$H$168,"&lt;"&amp;(ROW()-ROW($K$2))),"")</x:f>
      </x:c>
      <x:c r="L971" t="str">
        <x:f>IF(K971="","",ROW()-ROW($L$2)-INDEX($H$3:$H$168,K971))</x:f>
      </x:c>
      <x:c r="M971" t="str">
        <x:f>IF(K971="","",IF(L971=1,1,FIND(CHAR(1),SUBSTITUTE(INDEX($B$3:$B$168,K971),CHAR(10),CHAR(1),L971-1))+1))</x:f>
      </x:c>
      <x:c r="N971" t="str">
        <x:f>IF(K971="","",IFERROR(FIND(CHAR(1),SUBSTITUTE(INDEX($B$3:$B$168,K971),CHAR(10),CHAR(1),L971)),LEN(INDEX($B$3:$B$168,K971))+1))</x:f>
      </x:c>
    </x:row>
    <x:row r="972">
      <x:c r="A972"/>
      <x:c r="B972"/>
      <x:c r="C972"/>
      <x:c r="D972" t="str">
        <x:f>IFERROR(IF(970&lt;=$O$1,INDEX($A$3:$A$168,MATCH(970,$I$3:$I$168,0)),IF(970&lt;=$O$1+$O$2,INDEX($F$3:$F$1994,MATCH(970-$O$1,$G$3:$G$1994,0)),"")),"")</x:f>
      </x:c>
      <x:c r="E972" t="str">
        <x:f>IF(K972="","",IF(N972&lt;=M972,"",TRIM(CLEAN(MID(INDEX($B$3:$B$168,K972),M972,N972-M972)))))</x:f>
      </x:c>
      <x:c r="F972" t="str">
        <x:f>IF(E972="","",IF(E972=TRIM(INDEX($A$3:$A$168,K972)),"",IF(RIGHT(TRIM(INDEX($A$3:$A$168,K972)),1)="]",LEFT(TRIM(INDEX($A$3:$A$168,K972)),LEN(TRIM(INDEX($A$3:$A$168,K972)))-1)&amp;", "&amp;SUBSTITUTE(SUBSTITUTE(SUBSTITUTE(E972," [",", "),"[",", "),"]","")&amp;"]",TRIM(INDEX($A$3:$A$168,K972))&amp;" ["&amp;SUBSTITUTE(SUBSTITUTE(SUBSTITUTE(E972," [",", "),"[",", "),"]","")&amp;"]")))</x:f>
      </x:c>
      <x:c r="G972" t="str">
        <x:f>IF(F972&lt;&gt;"",ROWS($F$3:F972)-COUNTBLANK($F$3:F972),"")</x:f>
      </x:c>
      <x:c r="H972"/>
      <x:c r="I972"/>
      <x:c r="J972"/>
      <x:c r="K972" t="str">
        <x:f>IF(ROW()-ROW($K$2)&lt;=SUM($J$3:$J$168),COUNTIF($H$3:$H$168,"&lt;"&amp;(ROW()-ROW($K$2))),"")</x:f>
      </x:c>
      <x:c r="L972" t="str">
        <x:f>IF(K972="","",ROW()-ROW($L$2)-INDEX($H$3:$H$168,K972))</x:f>
      </x:c>
      <x:c r="M972" t="str">
        <x:f>IF(K972="","",IF(L972=1,1,FIND(CHAR(1),SUBSTITUTE(INDEX($B$3:$B$168,K972),CHAR(10),CHAR(1),L972-1))+1))</x:f>
      </x:c>
      <x:c r="N972" t="str">
        <x:f>IF(K972="","",IFERROR(FIND(CHAR(1),SUBSTITUTE(INDEX($B$3:$B$168,K972),CHAR(10),CHAR(1),L972)),LEN(INDEX($B$3:$B$168,K972))+1))</x:f>
      </x:c>
    </x:row>
    <x:row r="973">
      <x:c r="A973"/>
      <x:c r="B973"/>
      <x:c r="C973"/>
      <x:c r="D973" t="str">
        <x:f>IFERROR(IF(971&lt;=$O$1,INDEX($A$3:$A$168,MATCH(971,$I$3:$I$168,0)),IF(971&lt;=$O$1+$O$2,INDEX($F$3:$F$1994,MATCH(971-$O$1,$G$3:$G$1994,0)),"")),"")</x:f>
      </x:c>
      <x:c r="E973" t="str">
        <x:f>IF(K973="","",IF(N973&lt;=M973,"",TRIM(CLEAN(MID(INDEX($B$3:$B$168,K973),M973,N973-M973)))))</x:f>
      </x:c>
      <x:c r="F973" t="str">
        <x:f>IF(E973="","",IF(E973=TRIM(INDEX($A$3:$A$168,K973)),"",IF(RIGHT(TRIM(INDEX($A$3:$A$168,K973)),1)="]",LEFT(TRIM(INDEX($A$3:$A$168,K973)),LEN(TRIM(INDEX($A$3:$A$168,K973)))-1)&amp;", "&amp;SUBSTITUTE(SUBSTITUTE(SUBSTITUTE(E973," [",", "),"[",", "),"]","")&amp;"]",TRIM(INDEX($A$3:$A$168,K973))&amp;" ["&amp;SUBSTITUTE(SUBSTITUTE(SUBSTITUTE(E973," [",", "),"[",", "),"]","")&amp;"]")))</x:f>
      </x:c>
      <x:c r="G973" t="str">
        <x:f>IF(F973&lt;&gt;"",ROWS($F$3:F973)-COUNTBLANK($F$3:F973),"")</x:f>
      </x:c>
      <x:c r="H973"/>
      <x:c r="I973"/>
      <x:c r="J973"/>
      <x:c r="K973" t="str">
        <x:f>IF(ROW()-ROW($K$2)&lt;=SUM($J$3:$J$168),COUNTIF($H$3:$H$168,"&lt;"&amp;(ROW()-ROW($K$2))),"")</x:f>
      </x:c>
      <x:c r="L973" t="str">
        <x:f>IF(K973="","",ROW()-ROW($L$2)-INDEX($H$3:$H$168,K973))</x:f>
      </x:c>
      <x:c r="M973" t="str">
        <x:f>IF(K973="","",IF(L973=1,1,FIND(CHAR(1),SUBSTITUTE(INDEX($B$3:$B$168,K973),CHAR(10),CHAR(1),L973-1))+1))</x:f>
      </x:c>
      <x:c r="N973" t="str">
        <x:f>IF(K973="","",IFERROR(FIND(CHAR(1),SUBSTITUTE(INDEX($B$3:$B$168,K973),CHAR(10),CHAR(1),L973)),LEN(INDEX($B$3:$B$168,K973))+1))</x:f>
      </x:c>
    </x:row>
    <x:row r="974">
      <x:c r="A974"/>
      <x:c r="B974"/>
      <x:c r="C974"/>
      <x:c r="D974" t="str">
        <x:f>IFERROR(IF(972&lt;=$O$1,INDEX($A$3:$A$168,MATCH(972,$I$3:$I$168,0)),IF(972&lt;=$O$1+$O$2,INDEX($F$3:$F$1994,MATCH(972-$O$1,$G$3:$G$1994,0)),"")),"")</x:f>
      </x:c>
      <x:c r="E974" t="str">
        <x:f>IF(K974="","",IF(N974&lt;=M974,"",TRIM(CLEAN(MID(INDEX($B$3:$B$168,K974),M974,N974-M974)))))</x:f>
      </x:c>
      <x:c r="F974" t="str">
        <x:f>IF(E974="","",IF(E974=TRIM(INDEX($A$3:$A$168,K974)),"",IF(RIGHT(TRIM(INDEX($A$3:$A$168,K974)),1)="]",LEFT(TRIM(INDEX($A$3:$A$168,K974)),LEN(TRIM(INDEX($A$3:$A$168,K974)))-1)&amp;", "&amp;SUBSTITUTE(SUBSTITUTE(SUBSTITUTE(E974," [",", "),"[",", "),"]","")&amp;"]",TRIM(INDEX($A$3:$A$168,K974))&amp;" ["&amp;SUBSTITUTE(SUBSTITUTE(SUBSTITUTE(E974," [",", "),"[",", "),"]","")&amp;"]")))</x:f>
      </x:c>
      <x:c r="G974" t="str">
        <x:f>IF(F974&lt;&gt;"",ROWS($F$3:F974)-COUNTBLANK($F$3:F974),"")</x:f>
      </x:c>
      <x:c r="H974"/>
      <x:c r="I974"/>
      <x:c r="J974"/>
      <x:c r="K974" t="str">
        <x:f>IF(ROW()-ROW($K$2)&lt;=SUM($J$3:$J$168),COUNTIF($H$3:$H$168,"&lt;"&amp;(ROW()-ROW($K$2))),"")</x:f>
      </x:c>
      <x:c r="L974" t="str">
        <x:f>IF(K974="","",ROW()-ROW($L$2)-INDEX($H$3:$H$168,K974))</x:f>
      </x:c>
      <x:c r="M974" t="str">
        <x:f>IF(K974="","",IF(L974=1,1,FIND(CHAR(1),SUBSTITUTE(INDEX($B$3:$B$168,K974),CHAR(10),CHAR(1),L974-1))+1))</x:f>
      </x:c>
      <x:c r="N974" t="str">
        <x:f>IF(K974="","",IFERROR(FIND(CHAR(1),SUBSTITUTE(INDEX($B$3:$B$168,K974),CHAR(10),CHAR(1),L974)),LEN(INDEX($B$3:$B$168,K974))+1))</x:f>
      </x:c>
    </x:row>
    <x:row r="975">
      <x:c r="A975"/>
      <x:c r="B975"/>
      <x:c r="C975"/>
      <x:c r="D975" t="str">
        <x:f>IFERROR(IF(973&lt;=$O$1,INDEX($A$3:$A$168,MATCH(973,$I$3:$I$168,0)),IF(973&lt;=$O$1+$O$2,INDEX($F$3:$F$1994,MATCH(973-$O$1,$G$3:$G$1994,0)),"")),"")</x:f>
      </x:c>
      <x:c r="E975" t="str">
        <x:f>IF(K975="","",IF(N975&lt;=M975,"",TRIM(CLEAN(MID(INDEX($B$3:$B$168,K975),M975,N975-M975)))))</x:f>
      </x:c>
      <x:c r="F975" t="str">
        <x:f>IF(E975="","",IF(E975=TRIM(INDEX($A$3:$A$168,K975)),"",IF(RIGHT(TRIM(INDEX($A$3:$A$168,K975)),1)="]",LEFT(TRIM(INDEX($A$3:$A$168,K975)),LEN(TRIM(INDEX($A$3:$A$168,K975)))-1)&amp;", "&amp;SUBSTITUTE(SUBSTITUTE(SUBSTITUTE(E975," [",", "),"[",", "),"]","")&amp;"]",TRIM(INDEX($A$3:$A$168,K975))&amp;" ["&amp;SUBSTITUTE(SUBSTITUTE(SUBSTITUTE(E975," [",", "),"[",", "),"]","")&amp;"]")))</x:f>
      </x:c>
      <x:c r="G975" t="str">
        <x:f>IF(F975&lt;&gt;"",ROWS($F$3:F975)-COUNTBLANK($F$3:F975),"")</x:f>
      </x:c>
      <x:c r="H975"/>
      <x:c r="I975"/>
      <x:c r="J975"/>
      <x:c r="K975" t="str">
        <x:f>IF(ROW()-ROW($K$2)&lt;=SUM($J$3:$J$168),COUNTIF($H$3:$H$168,"&lt;"&amp;(ROW()-ROW($K$2))),"")</x:f>
      </x:c>
      <x:c r="L975" t="str">
        <x:f>IF(K975="","",ROW()-ROW($L$2)-INDEX($H$3:$H$168,K975))</x:f>
      </x:c>
      <x:c r="M975" t="str">
        <x:f>IF(K975="","",IF(L975=1,1,FIND(CHAR(1),SUBSTITUTE(INDEX($B$3:$B$168,K975),CHAR(10),CHAR(1),L975-1))+1))</x:f>
      </x:c>
      <x:c r="N975" t="str">
        <x:f>IF(K975="","",IFERROR(FIND(CHAR(1),SUBSTITUTE(INDEX($B$3:$B$168,K975),CHAR(10),CHAR(1),L975)),LEN(INDEX($B$3:$B$168,K975))+1))</x:f>
      </x:c>
    </x:row>
    <x:row r="976">
      <x:c r="A976"/>
      <x:c r="B976"/>
      <x:c r="C976"/>
      <x:c r="D976" t="str">
        <x:f>IFERROR(IF(974&lt;=$O$1,INDEX($A$3:$A$168,MATCH(974,$I$3:$I$168,0)),IF(974&lt;=$O$1+$O$2,INDEX($F$3:$F$1994,MATCH(974-$O$1,$G$3:$G$1994,0)),"")),"")</x:f>
      </x:c>
      <x:c r="E976" t="str">
        <x:f>IF(K976="","",IF(N976&lt;=M976,"",TRIM(CLEAN(MID(INDEX($B$3:$B$168,K976),M976,N976-M976)))))</x:f>
      </x:c>
      <x:c r="F976" t="str">
        <x:f>IF(E976="","",IF(E976=TRIM(INDEX($A$3:$A$168,K976)),"",IF(RIGHT(TRIM(INDEX($A$3:$A$168,K976)),1)="]",LEFT(TRIM(INDEX($A$3:$A$168,K976)),LEN(TRIM(INDEX($A$3:$A$168,K976)))-1)&amp;", "&amp;SUBSTITUTE(SUBSTITUTE(SUBSTITUTE(E976," [",", "),"[",", "),"]","")&amp;"]",TRIM(INDEX($A$3:$A$168,K976))&amp;" ["&amp;SUBSTITUTE(SUBSTITUTE(SUBSTITUTE(E976," [",", "),"[",", "),"]","")&amp;"]")))</x:f>
      </x:c>
      <x:c r="G976" t="str">
        <x:f>IF(F976&lt;&gt;"",ROWS($F$3:F976)-COUNTBLANK($F$3:F976),"")</x:f>
      </x:c>
      <x:c r="H976"/>
      <x:c r="I976"/>
      <x:c r="J976"/>
      <x:c r="K976" t="str">
        <x:f>IF(ROW()-ROW($K$2)&lt;=SUM($J$3:$J$168),COUNTIF($H$3:$H$168,"&lt;"&amp;(ROW()-ROW($K$2))),"")</x:f>
      </x:c>
      <x:c r="L976" t="str">
        <x:f>IF(K976="","",ROW()-ROW($L$2)-INDEX($H$3:$H$168,K976))</x:f>
      </x:c>
      <x:c r="M976" t="str">
        <x:f>IF(K976="","",IF(L976=1,1,FIND(CHAR(1),SUBSTITUTE(INDEX($B$3:$B$168,K976),CHAR(10),CHAR(1),L976-1))+1))</x:f>
      </x:c>
      <x:c r="N976" t="str">
        <x:f>IF(K976="","",IFERROR(FIND(CHAR(1),SUBSTITUTE(INDEX($B$3:$B$168,K976),CHAR(10),CHAR(1),L976)),LEN(INDEX($B$3:$B$168,K976))+1))</x:f>
      </x:c>
    </x:row>
    <x:row r="977">
      <x:c r="A977"/>
      <x:c r="B977"/>
      <x:c r="C977"/>
      <x:c r="D977" t="str">
        <x:f>IFERROR(IF(975&lt;=$O$1,INDEX($A$3:$A$168,MATCH(975,$I$3:$I$168,0)),IF(975&lt;=$O$1+$O$2,INDEX($F$3:$F$1994,MATCH(975-$O$1,$G$3:$G$1994,0)),"")),"")</x:f>
      </x:c>
      <x:c r="E977" t="str">
        <x:f>IF(K977="","",IF(N977&lt;=M977,"",TRIM(CLEAN(MID(INDEX($B$3:$B$168,K977),M977,N977-M977)))))</x:f>
      </x:c>
      <x:c r="F977" t="str">
        <x:f>IF(E977="","",IF(E977=TRIM(INDEX($A$3:$A$168,K977)),"",IF(RIGHT(TRIM(INDEX($A$3:$A$168,K977)),1)="]",LEFT(TRIM(INDEX($A$3:$A$168,K977)),LEN(TRIM(INDEX($A$3:$A$168,K977)))-1)&amp;", "&amp;SUBSTITUTE(SUBSTITUTE(SUBSTITUTE(E977," [",", "),"[",", "),"]","")&amp;"]",TRIM(INDEX($A$3:$A$168,K977))&amp;" ["&amp;SUBSTITUTE(SUBSTITUTE(SUBSTITUTE(E977," [",", "),"[",", "),"]","")&amp;"]")))</x:f>
      </x:c>
      <x:c r="G977" t="str">
        <x:f>IF(F977&lt;&gt;"",ROWS($F$3:F977)-COUNTBLANK($F$3:F977),"")</x:f>
      </x:c>
      <x:c r="H977"/>
      <x:c r="I977"/>
      <x:c r="J977"/>
      <x:c r="K977" t="str">
        <x:f>IF(ROW()-ROW($K$2)&lt;=SUM($J$3:$J$168),COUNTIF($H$3:$H$168,"&lt;"&amp;(ROW()-ROW($K$2))),"")</x:f>
      </x:c>
      <x:c r="L977" t="str">
        <x:f>IF(K977="","",ROW()-ROW($L$2)-INDEX($H$3:$H$168,K977))</x:f>
      </x:c>
      <x:c r="M977" t="str">
        <x:f>IF(K977="","",IF(L977=1,1,FIND(CHAR(1),SUBSTITUTE(INDEX($B$3:$B$168,K977),CHAR(10),CHAR(1),L977-1))+1))</x:f>
      </x:c>
      <x:c r="N977" t="str">
        <x:f>IF(K977="","",IFERROR(FIND(CHAR(1),SUBSTITUTE(INDEX($B$3:$B$168,K977),CHAR(10),CHAR(1),L977)),LEN(INDEX($B$3:$B$168,K977))+1))</x:f>
      </x:c>
    </x:row>
    <x:row r="978">
      <x:c r="A978"/>
      <x:c r="B978"/>
      <x:c r="C978"/>
      <x:c r="D978" t="str">
        <x:f>IFERROR(IF(976&lt;=$O$1,INDEX($A$3:$A$168,MATCH(976,$I$3:$I$168,0)),IF(976&lt;=$O$1+$O$2,INDEX($F$3:$F$1994,MATCH(976-$O$1,$G$3:$G$1994,0)),"")),"")</x:f>
      </x:c>
      <x:c r="E978" t="str">
        <x:f>IF(K978="","",IF(N978&lt;=M978,"",TRIM(CLEAN(MID(INDEX($B$3:$B$168,K978),M978,N978-M978)))))</x:f>
      </x:c>
      <x:c r="F978" t="str">
        <x:f>IF(E978="","",IF(E978=TRIM(INDEX($A$3:$A$168,K978)),"",IF(RIGHT(TRIM(INDEX($A$3:$A$168,K978)),1)="]",LEFT(TRIM(INDEX($A$3:$A$168,K978)),LEN(TRIM(INDEX($A$3:$A$168,K978)))-1)&amp;", "&amp;SUBSTITUTE(SUBSTITUTE(SUBSTITUTE(E978," [",", "),"[",", "),"]","")&amp;"]",TRIM(INDEX($A$3:$A$168,K978))&amp;" ["&amp;SUBSTITUTE(SUBSTITUTE(SUBSTITUTE(E978," [",", "),"[",", "),"]","")&amp;"]")))</x:f>
      </x:c>
      <x:c r="G978" t="str">
        <x:f>IF(F978&lt;&gt;"",ROWS($F$3:F978)-COUNTBLANK($F$3:F978),"")</x:f>
      </x:c>
      <x:c r="H978"/>
      <x:c r="I978"/>
      <x:c r="J978"/>
      <x:c r="K978" t="str">
        <x:f>IF(ROW()-ROW($K$2)&lt;=SUM($J$3:$J$168),COUNTIF($H$3:$H$168,"&lt;"&amp;(ROW()-ROW($K$2))),"")</x:f>
      </x:c>
      <x:c r="L978" t="str">
        <x:f>IF(K978="","",ROW()-ROW($L$2)-INDEX($H$3:$H$168,K978))</x:f>
      </x:c>
      <x:c r="M978" t="str">
        <x:f>IF(K978="","",IF(L978=1,1,FIND(CHAR(1),SUBSTITUTE(INDEX($B$3:$B$168,K978),CHAR(10),CHAR(1),L978-1))+1))</x:f>
      </x:c>
      <x:c r="N978" t="str">
        <x:f>IF(K978="","",IFERROR(FIND(CHAR(1),SUBSTITUTE(INDEX($B$3:$B$168,K978),CHAR(10),CHAR(1),L978)),LEN(INDEX($B$3:$B$168,K978))+1))</x:f>
      </x:c>
    </x:row>
    <x:row r="979">
      <x:c r="A979"/>
      <x:c r="B979"/>
      <x:c r="C979"/>
      <x:c r="D979" t="str">
        <x:f>IFERROR(IF(977&lt;=$O$1,INDEX($A$3:$A$168,MATCH(977,$I$3:$I$168,0)),IF(977&lt;=$O$1+$O$2,INDEX($F$3:$F$1994,MATCH(977-$O$1,$G$3:$G$1994,0)),"")),"")</x:f>
      </x:c>
      <x:c r="E979" t="str">
        <x:f>IF(K979="","",IF(N979&lt;=M979,"",TRIM(CLEAN(MID(INDEX($B$3:$B$168,K979),M979,N979-M979)))))</x:f>
      </x:c>
      <x:c r="F979" t="str">
        <x:f>IF(E979="","",IF(E979=TRIM(INDEX($A$3:$A$168,K979)),"",IF(RIGHT(TRIM(INDEX($A$3:$A$168,K979)),1)="]",LEFT(TRIM(INDEX($A$3:$A$168,K979)),LEN(TRIM(INDEX($A$3:$A$168,K979)))-1)&amp;", "&amp;SUBSTITUTE(SUBSTITUTE(SUBSTITUTE(E979," [",", "),"[",", "),"]","")&amp;"]",TRIM(INDEX($A$3:$A$168,K979))&amp;" ["&amp;SUBSTITUTE(SUBSTITUTE(SUBSTITUTE(E979," [",", "),"[",", "),"]","")&amp;"]")))</x:f>
      </x:c>
      <x:c r="G979" t="str">
        <x:f>IF(F979&lt;&gt;"",ROWS($F$3:F979)-COUNTBLANK($F$3:F979),"")</x:f>
      </x:c>
      <x:c r="H979"/>
      <x:c r="I979"/>
      <x:c r="J979"/>
      <x:c r="K979" t="str">
        <x:f>IF(ROW()-ROW($K$2)&lt;=SUM($J$3:$J$168),COUNTIF($H$3:$H$168,"&lt;"&amp;(ROW()-ROW($K$2))),"")</x:f>
      </x:c>
      <x:c r="L979" t="str">
        <x:f>IF(K979="","",ROW()-ROW($L$2)-INDEX($H$3:$H$168,K979))</x:f>
      </x:c>
      <x:c r="M979" t="str">
        <x:f>IF(K979="","",IF(L979=1,1,FIND(CHAR(1),SUBSTITUTE(INDEX($B$3:$B$168,K979),CHAR(10),CHAR(1),L979-1))+1))</x:f>
      </x:c>
      <x:c r="N979" t="str">
        <x:f>IF(K979="","",IFERROR(FIND(CHAR(1),SUBSTITUTE(INDEX($B$3:$B$168,K979),CHAR(10),CHAR(1),L979)),LEN(INDEX($B$3:$B$168,K979))+1))</x:f>
      </x:c>
    </x:row>
    <x:row r="980">
      <x:c r="A980"/>
      <x:c r="B980"/>
      <x:c r="C980"/>
      <x:c r="D980" t="str">
        <x:f>IFERROR(IF(978&lt;=$O$1,INDEX($A$3:$A$168,MATCH(978,$I$3:$I$168,0)),IF(978&lt;=$O$1+$O$2,INDEX($F$3:$F$1994,MATCH(978-$O$1,$G$3:$G$1994,0)),"")),"")</x:f>
      </x:c>
      <x:c r="E980" t="str">
        <x:f>IF(K980="","",IF(N980&lt;=M980,"",TRIM(CLEAN(MID(INDEX($B$3:$B$168,K980),M980,N980-M980)))))</x:f>
      </x:c>
      <x:c r="F980" t="str">
        <x:f>IF(E980="","",IF(E980=TRIM(INDEX($A$3:$A$168,K980)),"",IF(RIGHT(TRIM(INDEX($A$3:$A$168,K980)),1)="]",LEFT(TRIM(INDEX($A$3:$A$168,K980)),LEN(TRIM(INDEX($A$3:$A$168,K980)))-1)&amp;", "&amp;SUBSTITUTE(SUBSTITUTE(SUBSTITUTE(E980," [",", "),"[",", "),"]","")&amp;"]",TRIM(INDEX($A$3:$A$168,K980))&amp;" ["&amp;SUBSTITUTE(SUBSTITUTE(SUBSTITUTE(E980," [",", "),"[",", "),"]","")&amp;"]")))</x:f>
      </x:c>
      <x:c r="G980" t="str">
        <x:f>IF(F980&lt;&gt;"",ROWS($F$3:F980)-COUNTBLANK($F$3:F980),"")</x:f>
      </x:c>
      <x:c r="H980"/>
      <x:c r="I980"/>
      <x:c r="J980"/>
      <x:c r="K980" t="str">
        <x:f>IF(ROW()-ROW($K$2)&lt;=SUM($J$3:$J$168),COUNTIF($H$3:$H$168,"&lt;"&amp;(ROW()-ROW($K$2))),"")</x:f>
      </x:c>
      <x:c r="L980" t="str">
        <x:f>IF(K980="","",ROW()-ROW($L$2)-INDEX($H$3:$H$168,K980))</x:f>
      </x:c>
      <x:c r="M980" t="str">
        <x:f>IF(K980="","",IF(L980=1,1,FIND(CHAR(1),SUBSTITUTE(INDEX($B$3:$B$168,K980),CHAR(10),CHAR(1),L980-1))+1))</x:f>
      </x:c>
      <x:c r="N980" t="str">
        <x:f>IF(K980="","",IFERROR(FIND(CHAR(1),SUBSTITUTE(INDEX($B$3:$B$168,K980),CHAR(10),CHAR(1),L980)),LEN(INDEX($B$3:$B$168,K980))+1))</x:f>
      </x:c>
    </x:row>
    <x:row r="981">
      <x:c r="A981"/>
      <x:c r="B981"/>
      <x:c r="C981"/>
      <x:c r="D981" t="str">
        <x:f>IFERROR(IF(979&lt;=$O$1,INDEX($A$3:$A$168,MATCH(979,$I$3:$I$168,0)),IF(979&lt;=$O$1+$O$2,INDEX($F$3:$F$1994,MATCH(979-$O$1,$G$3:$G$1994,0)),"")),"")</x:f>
      </x:c>
      <x:c r="E981" t="str">
        <x:f>IF(K981="","",IF(N981&lt;=M981,"",TRIM(CLEAN(MID(INDEX($B$3:$B$168,K981),M981,N981-M981)))))</x:f>
      </x:c>
      <x:c r="F981" t="str">
        <x:f>IF(E981="","",IF(E981=TRIM(INDEX($A$3:$A$168,K981)),"",IF(RIGHT(TRIM(INDEX($A$3:$A$168,K981)),1)="]",LEFT(TRIM(INDEX($A$3:$A$168,K981)),LEN(TRIM(INDEX($A$3:$A$168,K981)))-1)&amp;", "&amp;SUBSTITUTE(SUBSTITUTE(SUBSTITUTE(E981," [",", "),"[",", "),"]","")&amp;"]",TRIM(INDEX($A$3:$A$168,K981))&amp;" ["&amp;SUBSTITUTE(SUBSTITUTE(SUBSTITUTE(E981," [",", "),"[",", "),"]","")&amp;"]")))</x:f>
      </x:c>
      <x:c r="G981" t="str">
        <x:f>IF(F981&lt;&gt;"",ROWS($F$3:F981)-COUNTBLANK($F$3:F981),"")</x:f>
      </x:c>
      <x:c r="H981"/>
      <x:c r="I981"/>
      <x:c r="J981"/>
      <x:c r="K981" t="str">
        <x:f>IF(ROW()-ROW($K$2)&lt;=SUM($J$3:$J$168),COUNTIF($H$3:$H$168,"&lt;"&amp;(ROW()-ROW($K$2))),"")</x:f>
      </x:c>
      <x:c r="L981" t="str">
        <x:f>IF(K981="","",ROW()-ROW($L$2)-INDEX($H$3:$H$168,K981))</x:f>
      </x:c>
      <x:c r="M981" t="str">
        <x:f>IF(K981="","",IF(L981=1,1,FIND(CHAR(1),SUBSTITUTE(INDEX($B$3:$B$168,K981),CHAR(10),CHAR(1),L981-1))+1))</x:f>
      </x:c>
      <x:c r="N981" t="str">
        <x:f>IF(K981="","",IFERROR(FIND(CHAR(1),SUBSTITUTE(INDEX($B$3:$B$168,K981),CHAR(10),CHAR(1),L981)),LEN(INDEX($B$3:$B$168,K981))+1))</x:f>
      </x:c>
    </x:row>
    <x:row r="982">
      <x:c r="A982"/>
      <x:c r="B982"/>
      <x:c r="C982"/>
      <x:c r="D982" t="str">
        <x:f>IFERROR(IF(980&lt;=$O$1,INDEX($A$3:$A$168,MATCH(980,$I$3:$I$168,0)),IF(980&lt;=$O$1+$O$2,INDEX($F$3:$F$1994,MATCH(980-$O$1,$G$3:$G$1994,0)),"")),"")</x:f>
      </x:c>
      <x:c r="E982" t="str">
        <x:f>IF(K982="","",IF(N982&lt;=M982,"",TRIM(CLEAN(MID(INDEX($B$3:$B$168,K982),M982,N982-M982)))))</x:f>
      </x:c>
      <x:c r="F982" t="str">
        <x:f>IF(E982="","",IF(E982=TRIM(INDEX($A$3:$A$168,K982)),"",IF(RIGHT(TRIM(INDEX($A$3:$A$168,K982)),1)="]",LEFT(TRIM(INDEX($A$3:$A$168,K982)),LEN(TRIM(INDEX($A$3:$A$168,K982)))-1)&amp;", "&amp;SUBSTITUTE(SUBSTITUTE(SUBSTITUTE(E982," [",", "),"[",", "),"]","")&amp;"]",TRIM(INDEX($A$3:$A$168,K982))&amp;" ["&amp;SUBSTITUTE(SUBSTITUTE(SUBSTITUTE(E982," [",", "),"[",", "),"]","")&amp;"]")))</x:f>
      </x:c>
      <x:c r="G982" t="str">
        <x:f>IF(F982&lt;&gt;"",ROWS($F$3:F982)-COUNTBLANK($F$3:F982),"")</x:f>
      </x:c>
      <x:c r="H982"/>
      <x:c r="I982"/>
      <x:c r="J982"/>
      <x:c r="K982" t="str">
        <x:f>IF(ROW()-ROW($K$2)&lt;=SUM($J$3:$J$168),COUNTIF($H$3:$H$168,"&lt;"&amp;(ROW()-ROW($K$2))),"")</x:f>
      </x:c>
      <x:c r="L982" t="str">
        <x:f>IF(K982="","",ROW()-ROW($L$2)-INDEX($H$3:$H$168,K982))</x:f>
      </x:c>
      <x:c r="M982" t="str">
        <x:f>IF(K982="","",IF(L982=1,1,FIND(CHAR(1),SUBSTITUTE(INDEX($B$3:$B$168,K982),CHAR(10),CHAR(1),L982-1))+1))</x:f>
      </x:c>
      <x:c r="N982" t="str">
        <x:f>IF(K982="","",IFERROR(FIND(CHAR(1),SUBSTITUTE(INDEX($B$3:$B$168,K982),CHAR(10),CHAR(1),L982)),LEN(INDEX($B$3:$B$168,K982))+1))</x:f>
      </x:c>
    </x:row>
    <x:row r="983">
      <x:c r="A983"/>
      <x:c r="B983"/>
      <x:c r="C983"/>
      <x:c r="D983" t="str">
        <x:f>IFERROR(IF(981&lt;=$O$1,INDEX($A$3:$A$168,MATCH(981,$I$3:$I$168,0)),IF(981&lt;=$O$1+$O$2,INDEX($F$3:$F$1994,MATCH(981-$O$1,$G$3:$G$1994,0)),"")),"")</x:f>
      </x:c>
      <x:c r="E983" t="str">
        <x:f>IF(K983="","",IF(N983&lt;=M983,"",TRIM(CLEAN(MID(INDEX($B$3:$B$168,K983),M983,N983-M983)))))</x:f>
      </x:c>
      <x:c r="F983" t="str">
        <x:f>IF(E983="","",IF(E983=TRIM(INDEX($A$3:$A$168,K983)),"",IF(RIGHT(TRIM(INDEX($A$3:$A$168,K983)),1)="]",LEFT(TRIM(INDEX($A$3:$A$168,K983)),LEN(TRIM(INDEX($A$3:$A$168,K983)))-1)&amp;", "&amp;SUBSTITUTE(SUBSTITUTE(SUBSTITUTE(E983," [",", "),"[",", "),"]","")&amp;"]",TRIM(INDEX($A$3:$A$168,K983))&amp;" ["&amp;SUBSTITUTE(SUBSTITUTE(SUBSTITUTE(E983," [",", "),"[",", "),"]","")&amp;"]")))</x:f>
      </x:c>
      <x:c r="G983" t="str">
        <x:f>IF(F983&lt;&gt;"",ROWS($F$3:F983)-COUNTBLANK($F$3:F983),"")</x:f>
      </x:c>
      <x:c r="H983"/>
      <x:c r="I983"/>
      <x:c r="J983"/>
      <x:c r="K983" t="str">
        <x:f>IF(ROW()-ROW($K$2)&lt;=SUM($J$3:$J$168),COUNTIF($H$3:$H$168,"&lt;"&amp;(ROW()-ROW($K$2))),"")</x:f>
      </x:c>
      <x:c r="L983" t="str">
        <x:f>IF(K983="","",ROW()-ROW($L$2)-INDEX($H$3:$H$168,K983))</x:f>
      </x:c>
      <x:c r="M983" t="str">
        <x:f>IF(K983="","",IF(L983=1,1,FIND(CHAR(1),SUBSTITUTE(INDEX($B$3:$B$168,K983),CHAR(10),CHAR(1),L983-1))+1))</x:f>
      </x:c>
      <x:c r="N983" t="str">
        <x:f>IF(K983="","",IFERROR(FIND(CHAR(1),SUBSTITUTE(INDEX($B$3:$B$168,K983),CHAR(10),CHAR(1),L983)),LEN(INDEX($B$3:$B$168,K983))+1))</x:f>
      </x:c>
    </x:row>
    <x:row r="984">
      <x:c r="A984"/>
      <x:c r="B984"/>
      <x:c r="C984"/>
      <x:c r="D984" t="str">
        <x:f>IFERROR(IF(982&lt;=$O$1,INDEX($A$3:$A$168,MATCH(982,$I$3:$I$168,0)),IF(982&lt;=$O$1+$O$2,INDEX($F$3:$F$1994,MATCH(982-$O$1,$G$3:$G$1994,0)),"")),"")</x:f>
      </x:c>
      <x:c r="E984" t="str">
        <x:f>IF(K984="","",IF(N984&lt;=M984,"",TRIM(CLEAN(MID(INDEX($B$3:$B$168,K984),M984,N984-M984)))))</x:f>
      </x:c>
      <x:c r="F984" t="str">
        <x:f>IF(E984="","",IF(E984=TRIM(INDEX($A$3:$A$168,K984)),"",IF(RIGHT(TRIM(INDEX($A$3:$A$168,K984)),1)="]",LEFT(TRIM(INDEX($A$3:$A$168,K984)),LEN(TRIM(INDEX($A$3:$A$168,K984)))-1)&amp;", "&amp;SUBSTITUTE(SUBSTITUTE(SUBSTITUTE(E984," [",", "),"[",", "),"]","")&amp;"]",TRIM(INDEX($A$3:$A$168,K984))&amp;" ["&amp;SUBSTITUTE(SUBSTITUTE(SUBSTITUTE(E984," [",", "),"[",", "),"]","")&amp;"]")))</x:f>
      </x:c>
      <x:c r="G984" t="str">
        <x:f>IF(F984&lt;&gt;"",ROWS($F$3:F984)-COUNTBLANK($F$3:F984),"")</x:f>
      </x:c>
      <x:c r="H984"/>
      <x:c r="I984"/>
      <x:c r="J984"/>
      <x:c r="K984" t="str">
        <x:f>IF(ROW()-ROW($K$2)&lt;=SUM($J$3:$J$168),COUNTIF($H$3:$H$168,"&lt;"&amp;(ROW()-ROW($K$2))),"")</x:f>
      </x:c>
      <x:c r="L984" t="str">
        <x:f>IF(K984="","",ROW()-ROW($L$2)-INDEX($H$3:$H$168,K984))</x:f>
      </x:c>
      <x:c r="M984" t="str">
        <x:f>IF(K984="","",IF(L984=1,1,FIND(CHAR(1),SUBSTITUTE(INDEX($B$3:$B$168,K984),CHAR(10),CHAR(1),L984-1))+1))</x:f>
      </x:c>
      <x:c r="N984" t="str">
        <x:f>IF(K984="","",IFERROR(FIND(CHAR(1),SUBSTITUTE(INDEX($B$3:$B$168,K984),CHAR(10),CHAR(1),L984)),LEN(INDEX($B$3:$B$168,K984))+1))</x:f>
      </x:c>
    </x:row>
    <x:row r="985">
      <x:c r="A985"/>
      <x:c r="B985"/>
      <x:c r="C985"/>
      <x:c r="D985" t="str">
        <x:f>IFERROR(IF(983&lt;=$O$1,INDEX($A$3:$A$168,MATCH(983,$I$3:$I$168,0)),IF(983&lt;=$O$1+$O$2,INDEX($F$3:$F$1994,MATCH(983-$O$1,$G$3:$G$1994,0)),"")),"")</x:f>
      </x:c>
      <x:c r="E985" t="str">
        <x:f>IF(K985="","",IF(N985&lt;=M985,"",TRIM(CLEAN(MID(INDEX($B$3:$B$168,K985),M985,N985-M985)))))</x:f>
      </x:c>
      <x:c r="F985" t="str">
        <x:f>IF(E985="","",IF(E985=TRIM(INDEX($A$3:$A$168,K985)),"",IF(RIGHT(TRIM(INDEX($A$3:$A$168,K985)),1)="]",LEFT(TRIM(INDEX($A$3:$A$168,K985)),LEN(TRIM(INDEX($A$3:$A$168,K985)))-1)&amp;", "&amp;SUBSTITUTE(SUBSTITUTE(SUBSTITUTE(E985," [",", "),"[",", "),"]","")&amp;"]",TRIM(INDEX($A$3:$A$168,K985))&amp;" ["&amp;SUBSTITUTE(SUBSTITUTE(SUBSTITUTE(E985," [",", "),"[",", "),"]","")&amp;"]")))</x:f>
      </x:c>
      <x:c r="G985" t="str">
        <x:f>IF(F985&lt;&gt;"",ROWS($F$3:F985)-COUNTBLANK($F$3:F985),"")</x:f>
      </x:c>
      <x:c r="H985"/>
      <x:c r="I985"/>
      <x:c r="J985"/>
      <x:c r="K985" t="str">
        <x:f>IF(ROW()-ROW($K$2)&lt;=SUM($J$3:$J$168),COUNTIF($H$3:$H$168,"&lt;"&amp;(ROW()-ROW($K$2))),"")</x:f>
      </x:c>
      <x:c r="L985" t="str">
        <x:f>IF(K985="","",ROW()-ROW($L$2)-INDEX($H$3:$H$168,K985))</x:f>
      </x:c>
      <x:c r="M985" t="str">
        <x:f>IF(K985="","",IF(L985=1,1,FIND(CHAR(1),SUBSTITUTE(INDEX($B$3:$B$168,K985),CHAR(10),CHAR(1),L985-1))+1))</x:f>
      </x:c>
      <x:c r="N985" t="str">
        <x:f>IF(K985="","",IFERROR(FIND(CHAR(1),SUBSTITUTE(INDEX($B$3:$B$168,K985),CHAR(10),CHAR(1),L985)),LEN(INDEX($B$3:$B$168,K985))+1))</x:f>
      </x:c>
    </x:row>
    <x:row r="986">
      <x:c r="A986"/>
      <x:c r="B986"/>
      <x:c r="C986"/>
      <x:c r="D986" t="str">
        <x:f>IFERROR(IF(984&lt;=$O$1,INDEX($A$3:$A$168,MATCH(984,$I$3:$I$168,0)),IF(984&lt;=$O$1+$O$2,INDEX($F$3:$F$1994,MATCH(984-$O$1,$G$3:$G$1994,0)),"")),"")</x:f>
      </x:c>
      <x:c r="E986" t="str">
        <x:f>IF(K986="","",IF(N986&lt;=M986,"",TRIM(CLEAN(MID(INDEX($B$3:$B$168,K986),M986,N986-M986)))))</x:f>
      </x:c>
      <x:c r="F986" t="str">
        <x:f>IF(E986="","",IF(E986=TRIM(INDEX($A$3:$A$168,K986)),"",IF(RIGHT(TRIM(INDEX($A$3:$A$168,K986)),1)="]",LEFT(TRIM(INDEX($A$3:$A$168,K986)),LEN(TRIM(INDEX($A$3:$A$168,K986)))-1)&amp;", "&amp;SUBSTITUTE(SUBSTITUTE(SUBSTITUTE(E986," [",", "),"[",", "),"]","")&amp;"]",TRIM(INDEX($A$3:$A$168,K986))&amp;" ["&amp;SUBSTITUTE(SUBSTITUTE(SUBSTITUTE(E986," [",", "),"[",", "),"]","")&amp;"]")))</x:f>
      </x:c>
      <x:c r="G986" t="str">
        <x:f>IF(F986&lt;&gt;"",ROWS($F$3:F986)-COUNTBLANK($F$3:F986),"")</x:f>
      </x:c>
      <x:c r="H986"/>
      <x:c r="I986"/>
      <x:c r="J986"/>
      <x:c r="K986" t="str">
        <x:f>IF(ROW()-ROW($K$2)&lt;=SUM($J$3:$J$168),COUNTIF($H$3:$H$168,"&lt;"&amp;(ROW()-ROW($K$2))),"")</x:f>
      </x:c>
      <x:c r="L986" t="str">
        <x:f>IF(K986="","",ROW()-ROW($L$2)-INDEX($H$3:$H$168,K986))</x:f>
      </x:c>
      <x:c r="M986" t="str">
        <x:f>IF(K986="","",IF(L986=1,1,FIND(CHAR(1),SUBSTITUTE(INDEX($B$3:$B$168,K986),CHAR(10),CHAR(1),L986-1))+1))</x:f>
      </x:c>
      <x:c r="N986" t="str">
        <x:f>IF(K986="","",IFERROR(FIND(CHAR(1),SUBSTITUTE(INDEX($B$3:$B$168,K986),CHAR(10),CHAR(1),L986)),LEN(INDEX($B$3:$B$168,K986))+1))</x:f>
      </x:c>
    </x:row>
    <x:row r="987">
      <x:c r="A987"/>
      <x:c r="B987"/>
      <x:c r="C987"/>
      <x:c r="D987" t="str">
        <x:f>IFERROR(IF(985&lt;=$O$1,INDEX($A$3:$A$168,MATCH(985,$I$3:$I$168,0)),IF(985&lt;=$O$1+$O$2,INDEX($F$3:$F$1994,MATCH(985-$O$1,$G$3:$G$1994,0)),"")),"")</x:f>
      </x:c>
      <x:c r="E987" t="str">
        <x:f>IF(K987="","",IF(N987&lt;=M987,"",TRIM(CLEAN(MID(INDEX($B$3:$B$168,K987),M987,N987-M987)))))</x:f>
      </x:c>
      <x:c r="F987" t="str">
        <x:f>IF(E987="","",IF(E987=TRIM(INDEX($A$3:$A$168,K987)),"",IF(RIGHT(TRIM(INDEX($A$3:$A$168,K987)),1)="]",LEFT(TRIM(INDEX($A$3:$A$168,K987)),LEN(TRIM(INDEX($A$3:$A$168,K987)))-1)&amp;", "&amp;SUBSTITUTE(SUBSTITUTE(SUBSTITUTE(E987," [",", "),"[",", "),"]","")&amp;"]",TRIM(INDEX($A$3:$A$168,K987))&amp;" ["&amp;SUBSTITUTE(SUBSTITUTE(SUBSTITUTE(E987," [",", "),"[",", "),"]","")&amp;"]")))</x:f>
      </x:c>
      <x:c r="G987" t="str">
        <x:f>IF(F987&lt;&gt;"",ROWS($F$3:F987)-COUNTBLANK($F$3:F987),"")</x:f>
      </x:c>
      <x:c r="H987"/>
      <x:c r="I987"/>
      <x:c r="J987"/>
      <x:c r="K987" t="str">
        <x:f>IF(ROW()-ROW($K$2)&lt;=SUM($J$3:$J$168),COUNTIF($H$3:$H$168,"&lt;"&amp;(ROW()-ROW($K$2))),"")</x:f>
      </x:c>
      <x:c r="L987" t="str">
        <x:f>IF(K987="","",ROW()-ROW($L$2)-INDEX($H$3:$H$168,K987))</x:f>
      </x:c>
      <x:c r="M987" t="str">
        <x:f>IF(K987="","",IF(L987=1,1,FIND(CHAR(1),SUBSTITUTE(INDEX($B$3:$B$168,K987),CHAR(10),CHAR(1),L987-1))+1))</x:f>
      </x:c>
      <x:c r="N987" t="str">
        <x:f>IF(K987="","",IFERROR(FIND(CHAR(1),SUBSTITUTE(INDEX($B$3:$B$168,K987),CHAR(10),CHAR(1),L987)),LEN(INDEX($B$3:$B$168,K987))+1))</x:f>
      </x:c>
    </x:row>
    <x:row r="988">
      <x:c r="A988"/>
      <x:c r="B988"/>
      <x:c r="C988"/>
      <x:c r="D988" t="str">
        <x:f>IFERROR(IF(986&lt;=$O$1,INDEX($A$3:$A$168,MATCH(986,$I$3:$I$168,0)),IF(986&lt;=$O$1+$O$2,INDEX($F$3:$F$1994,MATCH(986-$O$1,$G$3:$G$1994,0)),"")),"")</x:f>
      </x:c>
      <x:c r="E988" t="str">
        <x:f>IF(K988="","",IF(N988&lt;=M988,"",TRIM(CLEAN(MID(INDEX($B$3:$B$168,K988),M988,N988-M988)))))</x:f>
      </x:c>
      <x:c r="F988" t="str">
        <x:f>IF(E988="","",IF(E988=TRIM(INDEX($A$3:$A$168,K988)),"",IF(RIGHT(TRIM(INDEX($A$3:$A$168,K988)),1)="]",LEFT(TRIM(INDEX($A$3:$A$168,K988)),LEN(TRIM(INDEX($A$3:$A$168,K988)))-1)&amp;", "&amp;SUBSTITUTE(SUBSTITUTE(SUBSTITUTE(E988," [",", "),"[",", "),"]","")&amp;"]",TRIM(INDEX($A$3:$A$168,K988))&amp;" ["&amp;SUBSTITUTE(SUBSTITUTE(SUBSTITUTE(E988," [",", "),"[",", "),"]","")&amp;"]")))</x:f>
      </x:c>
      <x:c r="G988" t="str">
        <x:f>IF(F988&lt;&gt;"",ROWS($F$3:F988)-COUNTBLANK($F$3:F988),"")</x:f>
      </x:c>
      <x:c r="H988"/>
      <x:c r="I988"/>
      <x:c r="J988"/>
      <x:c r="K988" t="str">
        <x:f>IF(ROW()-ROW($K$2)&lt;=SUM($J$3:$J$168),COUNTIF($H$3:$H$168,"&lt;"&amp;(ROW()-ROW($K$2))),"")</x:f>
      </x:c>
      <x:c r="L988" t="str">
        <x:f>IF(K988="","",ROW()-ROW($L$2)-INDEX($H$3:$H$168,K988))</x:f>
      </x:c>
      <x:c r="M988" t="str">
        <x:f>IF(K988="","",IF(L988=1,1,FIND(CHAR(1),SUBSTITUTE(INDEX($B$3:$B$168,K988),CHAR(10),CHAR(1),L988-1))+1))</x:f>
      </x:c>
      <x:c r="N988" t="str">
        <x:f>IF(K988="","",IFERROR(FIND(CHAR(1),SUBSTITUTE(INDEX($B$3:$B$168,K988),CHAR(10),CHAR(1),L988)),LEN(INDEX($B$3:$B$168,K988))+1))</x:f>
      </x:c>
    </x:row>
    <x:row r="989">
      <x:c r="A989"/>
      <x:c r="B989"/>
      <x:c r="C989"/>
      <x:c r="D989" t="str">
        <x:f>IFERROR(IF(987&lt;=$O$1,INDEX($A$3:$A$168,MATCH(987,$I$3:$I$168,0)),IF(987&lt;=$O$1+$O$2,INDEX($F$3:$F$1994,MATCH(987-$O$1,$G$3:$G$1994,0)),"")),"")</x:f>
      </x:c>
      <x:c r="E989" t="str">
        <x:f>IF(K989="","",IF(N989&lt;=M989,"",TRIM(CLEAN(MID(INDEX($B$3:$B$168,K989),M989,N989-M989)))))</x:f>
      </x:c>
      <x:c r="F989" t="str">
        <x:f>IF(E989="","",IF(E989=TRIM(INDEX($A$3:$A$168,K989)),"",IF(RIGHT(TRIM(INDEX($A$3:$A$168,K989)),1)="]",LEFT(TRIM(INDEX($A$3:$A$168,K989)),LEN(TRIM(INDEX($A$3:$A$168,K989)))-1)&amp;", "&amp;SUBSTITUTE(SUBSTITUTE(SUBSTITUTE(E989," [",", "),"[",", "),"]","")&amp;"]",TRIM(INDEX($A$3:$A$168,K989))&amp;" ["&amp;SUBSTITUTE(SUBSTITUTE(SUBSTITUTE(E989," [",", "),"[",", "),"]","")&amp;"]")))</x:f>
      </x:c>
      <x:c r="G989" t="str">
        <x:f>IF(F989&lt;&gt;"",ROWS($F$3:F989)-COUNTBLANK($F$3:F989),"")</x:f>
      </x:c>
      <x:c r="H989"/>
      <x:c r="I989"/>
      <x:c r="J989"/>
      <x:c r="K989" t="str">
        <x:f>IF(ROW()-ROW($K$2)&lt;=SUM($J$3:$J$168),COUNTIF($H$3:$H$168,"&lt;"&amp;(ROW()-ROW($K$2))),"")</x:f>
      </x:c>
      <x:c r="L989" t="str">
        <x:f>IF(K989="","",ROW()-ROW($L$2)-INDEX($H$3:$H$168,K989))</x:f>
      </x:c>
      <x:c r="M989" t="str">
        <x:f>IF(K989="","",IF(L989=1,1,FIND(CHAR(1),SUBSTITUTE(INDEX($B$3:$B$168,K989),CHAR(10),CHAR(1),L989-1))+1))</x:f>
      </x:c>
      <x:c r="N989" t="str">
        <x:f>IF(K989="","",IFERROR(FIND(CHAR(1),SUBSTITUTE(INDEX($B$3:$B$168,K989),CHAR(10),CHAR(1),L989)),LEN(INDEX($B$3:$B$168,K989))+1))</x:f>
      </x:c>
    </x:row>
    <x:row r="990">
      <x:c r="A990"/>
      <x:c r="B990"/>
      <x:c r="C990"/>
      <x:c r="D990" t="str">
        <x:f>IFERROR(IF(988&lt;=$O$1,INDEX($A$3:$A$168,MATCH(988,$I$3:$I$168,0)),IF(988&lt;=$O$1+$O$2,INDEX($F$3:$F$1994,MATCH(988-$O$1,$G$3:$G$1994,0)),"")),"")</x:f>
      </x:c>
      <x:c r="E990" t="str">
        <x:f>IF(K990="","",IF(N990&lt;=M990,"",TRIM(CLEAN(MID(INDEX($B$3:$B$168,K990),M990,N990-M990)))))</x:f>
      </x:c>
      <x:c r="F990" t="str">
        <x:f>IF(E990="","",IF(E990=TRIM(INDEX($A$3:$A$168,K990)),"",IF(RIGHT(TRIM(INDEX($A$3:$A$168,K990)),1)="]",LEFT(TRIM(INDEX($A$3:$A$168,K990)),LEN(TRIM(INDEX($A$3:$A$168,K990)))-1)&amp;", "&amp;SUBSTITUTE(SUBSTITUTE(SUBSTITUTE(E990," [",", "),"[",", "),"]","")&amp;"]",TRIM(INDEX($A$3:$A$168,K990))&amp;" ["&amp;SUBSTITUTE(SUBSTITUTE(SUBSTITUTE(E990," [",", "),"[",", "),"]","")&amp;"]")))</x:f>
      </x:c>
      <x:c r="G990" t="str">
        <x:f>IF(F990&lt;&gt;"",ROWS($F$3:F990)-COUNTBLANK($F$3:F990),"")</x:f>
      </x:c>
      <x:c r="H990"/>
      <x:c r="I990"/>
      <x:c r="J990"/>
      <x:c r="K990" t="str">
        <x:f>IF(ROW()-ROW($K$2)&lt;=SUM($J$3:$J$168),COUNTIF($H$3:$H$168,"&lt;"&amp;(ROW()-ROW($K$2))),"")</x:f>
      </x:c>
      <x:c r="L990" t="str">
        <x:f>IF(K990="","",ROW()-ROW($L$2)-INDEX($H$3:$H$168,K990))</x:f>
      </x:c>
      <x:c r="M990" t="str">
        <x:f>IF(K990="","",IF(L990=1,1,FIND(CHAR(1),SUBSTITUTE(INDEX($B$3:$B$168,K990),CHAR(10),CHAR(1),L990-1))+1))</x:f>
      </x:c>
      <x:c r="N990" t="str">
        <x:f>IF(K990="","",IFERROR(FIND(CHAR(1),SUBSTITUTE(INDEX($B$3:$B$168,K990),CHAR(10),CHAR(1),L990)),LEN(INDEX($B$3:$B$168,K990))+1))</x:f>
      </x:c>
    </x:row>
    <x:row r="991">
      <x:c r="A991"/>
      <x:c r="B991"/>
      <x:c r="C991"/>
      <x:c r="D991" t="str">
        <x:f>IFERROR(IF(989&lt;=$O$1,INDEX($A$3:$A$168,MATCH(989,$I$3:$I$168,0)),IF(989&lt;=$O$1+$O$2,INDEX($F$3:$F$1994,MATCH(989-$O$1,$G$3:$G$1994,0)),"")),"")</x:f>
      </x:c>
      <x:c r="E991" t="str">
        <x:f>IF(K991="","",IF(N991&lt;=M991,"",TRIM(CLEAN(MID(INDEX($B$3:$B$168,K991),M991,N991-M991)))))</x:f>
      </x:c>
      <x:c r="F991" t="str">
        <x:f>IF(E991="","",IF(E991=TRIM(INDEX($A$3:$A$168,K991)),"",IF(RIGHT(TRIM(INDEX($A$3:$A$168,K991)),1)="]",LEFT(TRIM(INDEX($A$3:$A$168,K991)),LEN(TRIM(INDEX($A$3:$A$168,K991)))-1)&amp;", "&amp;SUBSTITUTE(SUBSTITUTE(SUBSTITUTE(E991," [",", "),"[",", "),"]","")&amp;"]",TRIM(INDEX($A$3:$A$168,K991))&amp;" ["&amp;SUBSTITUTE(SUBSTITUTE(SUBSTITUTE(E991," [",", "),"[",", "),"]","")&amp;"]")))</x:f>
      </x:c>
      <x:c r="G991" t="str">
        <x:f>IF(F991&lt;&gt;"",ROWS($F$3:F991)-COUNTBLANK($F$3:F991),"")</x:f>
      </x:c>
      <x:c r="H991"/>
      <x:c r="I991"/>
      <x:c r="J991"/>
      <x:c r="K991" t="str">
        <x:f>IF(ROW()-ROW($K$2)&lt;=SUM($J$3:$J$168),COUNTIF($H$3:$H$168,"&lt;"&amp;(ROW()-ROW($K$2))),"")</x:f>
      </x:c>
      <x:c r="L991" t="str">
        <x:f>IF(K991="","",ROW()-ROW($L$2)-INDEX($H$3:$H$168,K991))</x:f>
      </x:c>
      <x:c r="M991" t="str">
        <x:f>IF(K991="","",IF(L991=1,1,FIND(CHAR(1),SUBSTITUTE(INDEX($B$3:$B$168,K991),CHAR(10),CHAR(1),L991-1))+1))</x:f>
      </x:c>
      <x:c r="N991" t="str">
        <x:f>IF(K991="","",IFERROR(FIND(CHAR(1),SUBSTITUTE(INDEX($B$3:$B$168,K991),CHAR(10),CHAR(1),L991)),LEN(INDEX($B$3:$B$168,K991))+1))</x:f>
      </x:c>
    </x:row>
    <x:row r="992">
      <x:c r="A992"/>
      <x:c r="B992"/>
      <x:c r="C992"/>
      <x:c r="D992" t="str">
        <x:f>IFERROR(IF(990&lt;=$O$1,INDEX($A$3:$A$168,MATCH(990,$I$3:$I$168,0)),IF(990&lt;=$O$1+$O$2,INDEX($F$3:$F$1994,MATCH(990-$O$1,$G$3:$G$1994,0)),"")),"")</x:f>
      </x:c>
      <x:c r="E992" t="str">
        <x:f>IF(K992="","",IF(N992&lt;=M992,"",TRIM(CLEAN(MID(INDEX($B$3:$B$168,K992),M992,N992-M992)))))</x:f>
      </x:c>
      <x:c r="F992" t="str">
        <x:f>IF(E992="","",IF(E992=TRIM(INDEX($A$3:$A$168,K992)),"",IF(RIGHT(TRIM(INDEX($A$3:$A$168,K992)),1)="]",LEFT(TRIM(INDEX($A$3:$A$168,K992)),LEN(TRIM(INDEX($A$3:$A$168,K992)))-1)&amp;", "&amp;SUBSTITUTE(SUBSTITUTE(SUBSTITUTE(E992," [",", "),"[",", "),"]","")&amp;"]",TRIM(INDEX($A$3:$A$168,K992))&amp;" ["&amp;SUBSTITUTE(SUBSTITUTE(SUBSTITUTE(E992," [",", "),"[",", "),"]","")&amp;"]")))</x:f>
      </x:c>
      <x:c r="G992" t="str">
        <x:f>IF(F992&lt;&gt;"",ROWS($F$3:F992)-COUNTBLANK($F$3:F992),"")</x:f>
      </x:c>
      <x:c r="H992"/>
      <x:c r="I992"/>
      <x:c r="J992"/>
      <x:c r="K992" t="str">
        <x:f>IF(ROW()-ROW($K$2)&lt;=SUM($J$3:$J$168),COUNTIF($H$3:$H$168,"&lt;"&amp;(ROW()-ROW($K$2))),"")</x:f>
      </x:c>
      <x:c r="L992" t="str">
        <x:f>IF(K992="","",ROW()-ROW($L$2)-INDEX($H$3:$H$168,K992))</x:f>
      </x:c>
      <x:c r="M992" t="str">
        <x:f>IF(K992="","",IF(L992=1,1,FIND(CHAR(1),SUBSTITUTE(INDEX($B$3:$B$168,K992),CHAR(10),CHAR(1),L992-1))+1))</x:f>
      </x:c>
      <x:c r="N992" t="str">
        <x:f>IF(K992="","",IFERROR(FIND(CHAR(1),SUBSTITUTE(INDEX($B$3:$B$168,K992),CHAR(10),CHAR(1),L992)),LEN(INDEX($B$3:$B$168,K992))+1))</x:f>
      </x:c>
    </x:row>
    <x:row r="993">
      <x:c r="A993"/>
      <x:c r="B993"/>
      <x:c r="C993"/>
      <x:c r="D993" t="str">
        <x:f>IFERROR(IF(991&lt;=$O$1,INDEX($A$3:$A$168,MATCH(991,$I$3:$I$168,0)),IF(991&lt;=$O$1+$O$2,INDEX($F$3:$F$1994,MATCH(991-$O$1,$G$3:$G$1994,0)),"")),"")</x:f>
      </x:c>
      <x:c r="E993" t="str">
        <x:f>IF(K993="","",IF(N993&lt;=M993,"",TRIM(CLEAN(MID(INDEX($B$3:$B$168,K993),M993,N993-M993)))))</x:f>
      </x:c>
      <x:c r="F993" t="str">
        <x:f>IF(E993="","",IF(E993=TRIM(INDEX($A$3:$A$168,K993)),"",IF(RIGHT(TRIM(INDEX($A$3:$A$168,K993)),1)="]",LEFT(TRIM(INDEX($A$3:$A$168,K993)),LEN(TRIM(INDEX($A$3:$A$168,K993)))-1)&amp;", "&amp;SUBSTITUTE(SUBSTITUTE(SUBSTITUTE(E993," [",", "),"[",", "),"]","")&amp;"]",TRIM(INDEX($A$3:$A$168,K993))&amp;" ["&amp;SUBSTITUTE(SUBSTITUTE(SUBSTITUTE(E993," [",", "),"[",", "),"]","")&amp;"]")))</x:f>
      </x:c>
      <x:c r="G993" t="str">
        <x:f>IF(F993&lt;&gt;"",ROWS($F$3:F993)-COUNTBLANK($F$3:F993),"")</x:f>
      </x:c>
      <x:c r="H993"/>
      <x:c r="I993"/>
      <x:c r="J993"/>
      <x:c r="K993" t="str">
        <x:f>IF(ROW()-ROW($K$2)&lt;=SUM($J$3:$J$168),COUNTIF($H$3:$H$168,"&lt;"&amp;(ROW()-ROW($K$2))),"")</x:f>
      </x:c>
      <x:c r="L993" t="str">
        <x:f>IF(K993="","",ROW()-ROW($L$2)-INDEX($H$3:$H$168,K993))</x:f>
      </x:c>
      <x:c r="M993" t="str">
        <x:f>IF(K993="","",IF(L993=1,1,FIND(CHAR(1),SUBSTITUTE(INDEX($B$3:$B$168,K993),CHAR(10),CHAR(1),L993-1))+1))</x:f>
      </x:c>
      <x:c r="N993" t="str">
        <x:f>IF(K993="","",IFERROR(FIND(CHAR(1),SUBSTITUTE(INDEX($B$3:$B$168,K993),CHAR(10),CHAR(1),L993)),LEN(INDEX($B$3:$B$168,K993))+1))</x:f>
      </x:c>
    </x:row>
    <x:row r="994">
      <x:c r="A994"/>
      <x:c r="B994"/>
      <x:c r="C994"/>
      <x:c r="D994" t="str">
        <x:f>IFERROR(IF(992&lt;=$O$1,INDEX($A$3:$A$168,MATCH(992,$I$3:$I$168,0)),IF(992&lt;=$O$1+$O$2,INDEX($F$3:$F$1994,MATCH(992-$O$1,$G$3:$G$1994,0)),"")),"")</x:f>
      </x:c>
      <x:c r="E994" t="str">
        <x:f>IF(K994="","",IF(N994&lt;=M994,"",TRIM(CLEAN(MID(INDEX($B$3:$B$168,K994),M994,N994-M994)))))</x:f>
      </x:c>
      <x:c r="F994" t="str">
        <x:f>IF(E994="","",IF(E994=TRIM(INDEX($A$3:$A$168,K994)),"",IF(RIGHT(TRIM(INDEX($A$3:$A$168,K994)),1)="]",LEFT(TRIM(INDEX($A$3:$A$168,K994)),LEN(TRIM(INDEX($A$3:$A$168,K994)))-1)&amp;", "&amp;SUBSTITUTE(SUBSTITUTE(SUBSTITUTE(E994," [",", "),"[",", "),"]","")&amp;"]",TRIM(INDEX($A$3:$A$168,K994))&amp;" ["&amp;SUBSTITUTE(SUBSTITUTE(SUBSTITUTE(E994," [",", "),"[",", "),"]","")&amp;"]")))</x:f>
      </x:c>
      <x:c r="G994" t="str">
        <x:f>IF(F994&lt;&gt;"",ROWS($F$3:F994)-COUNTBLANK($F$3:F994),"")</x:f>
      </x:c>
      <x:c r="H994"/>
      <x:c r="I994"/>
      <x:c r="J994"/>
      <x:c r="K994" t="str">
        <x:f>IF(ROW()-ROW($K$2)&lt;=SUM($J$3:$J$168),COUNTIF($H$3:$H$168,"&lt;"&amp;(ROW()-ROW($K$2))),"")</x:f>
      </x:c>
      <x:c r="L994" t="str">
        <x:f>IF(K994="","",ROW()-ROW($L$2)-INDEX($H$3:$H$168,K994))</x:f>
      </x:c>
      <x:c r="M994" t="str">
        <x:f>IF(K994="","",IF(L994=1,1,FIND(CHAR(1),SUBSTITUTE(INDEX($B$3:$B$168,K994),CHAR(10),CHAR(1),L994-1))+1))</x:f>
      </x:c>
      <x:c r="N994" t="str">
        <x:f>IF(K994="","",IFERROR(FIND(CHAR(1),SUBSTITUTE(INDEX($B$3:$B$168,K994),CHAR(10),CHAR(1),L994)),LEN(INDEX($B$3:$B$168,K994))+1))</x:f>
      </x:c>
    </x:row>
    <x:row r="995">
      <x:c r="A995"/>
      <x:c r="B995"/>
      <x:c r="C995"/>
      <x:c r="D995" t="str">
        <x:f>IFERROR(IF(993&lt;=$O$1,INDEX($A$3:$A$168,MATCH(993,$I$3:$I$168,0)),IF(993&lt;=$O$1+$O$2,INDEX($F$3:$F$1994,MATCH(993-$O$1,$G$3:$G$1994,0)),"")),"")</x:f>
      </x:c>
      <x:c r="E995" t="str">
        <x:f>IF(K995="","",IF(N995&lt;=M995,"",TRIM(CLEAN(MID(INDEX($B$3:$B$168,K995),M995,N995-M995)))))</x:f>
      </x:c>
      <x:c r="F995" t="str">
        <x:f>IF(E995="","",IF(E995=TRIM(INDEX($A$3:$A$168,K995)),"",IF(RIGHT(TRIM(INDEX($A$3:$A$168,K995)),1)="]",LEFT(TRIM(INDEX($A$3:$A$168,K995)),LEN(TRIM(INDEX($A$3:$A$168,K995)))-1)&amp;", "&amp;SUBSTITUTE(SUBSTITUTE(SUBSTITUTE(E995," [",", "),"[",", "),"]","")&amp;"]",TRIM(INDEX($A$3:$A$168,K995))&amp;" ["&amp;SUBSTITUTE(SUBSTITUTE(SUBSTITUTE(E995," [",", "),"[",", "),"]","")&amp;"]")))</x:f>
      </x:c>
      <x:c r="G995" t="str">
        <x:f>IF(F995&lt;&gt;"",ROWS($F$3:F995)-COUNTBLANK($F$3:F995),"")</x:f>
      </x:c>
      <x:c r="H995"/>
      <x:c r="I995"/>
      <x:c r="J995"/>
      <x:c r="K995" t="str">
        <x:f>IF(ROW()-ROW($K$2)&lt;=SUM($J$3:$J$168),COUNTIF($H$3:$H$168,"&lt;"&amp;(ROW()-ROW($K$2))),"")</x:f>
      </x:c>
      <x:c r="L995" t="str">
        <x:f>IF(K995="","",ROW()-ROW($L$2)-INDEX($H$3:$H$168,K995))</x:f>
      </x:c>
      <x:c r="M995" t="str">
        <x:f>IF(K995="","",IF(L995=1,1,FIND(CHAR(1),SUBSTITUTE(INDEX($B$3:$B$168,K995),CHAR(10),CHAR(1),L995-1))+1))</x:f>
      </x:c>
      <x:c r="N995" t="str">
        <x:f>IF(K995="","",IFERROR(FIND(CHAR(1),SUBSTITUTE(INDEX($B$3:$B$168,K995),CHAR(10),CHAR(1),L995)),LEN(INDEX($B$3:$B$168,K995))+1))</x:f>
      </x:c>
    </x:row>
    <x:row r="996">
      <x:c r="A996"/>
      <x:c r="B996"/>
      <x:c r="C996"/>
      <x:c r="D996" t="str">
        <x:f>IFERROR(IF(994&lt;=$O$1,INDEX($A$3:$A$168,MATCH(994,$I$3:$I$168,0)),IF(994&lt;=$O$1+$O$2,INDEX($F$3:$F$1994,MATCH(994-$O$1,$G$3:$G$1994,0)),"")),"")</x:f>
      </x:c>
      <x:c r="E996" t="str">
        <x:f>IF(K996="","",IF(N996&lt;=M996,"",TRIM(CLEAN(MID(INDEX($B$3:$B$168,K996),M996,N996-M996)))))</x:f>
      </x:c>
      <x:c r="F996" t="str">
        <x:f>IF(E996="","",IF(E996=TRIM(INDEX($A$3:$A$168,K996)),"",IF(RIGHT(TRIM(INDEX($A$3:$A$168,K996)),1)="]",LEFT(TRIM(INDEX($A$3:$A$168,K996)),LEN(TRIM(INDEX($A$3:$A$168,K996)))-1)&amp;", "&amp;SUBSTITUTE(SUBSTITUTE(SUBSTITUTE(E996," [",", "),"[",", "),"]","")&amp;"]",TRIM(INDEX($A$3:$A$168,K996))&amp;" ["&amp;SUBSTITUTE(SUBSTITUTE(SUBSTITUTE(E996," [",", "),"[",", "),"]","")&amp;"]")))</x:f>
      </x:c>
      <x:c r="G996" t="str">
        <x:f>IF(F996&lt;&gt;"",ROWS($F$3:F996)-COUNTBLANK($F$3:F996),"")</x:f>
      </x:c>
      <x:c r="H996"/>
      <x:c r="I996"/>
      <x:c r="J996"/>
      <x:c r="K996" t="str">
        <x:f>IF(ROW()-ROW($K$2)&lt;=SUM($J$3:$J$168),COUNTIF($H$3:$H$168,"&lt;"&amp;(ROW()-ROW($K$2))),"")</x:f>
      </x:c>
      <x:c r="L996" t="str">
        <x:f>IF(K996="","",ROW()-ROW($L$2)-INDEX($H$3:$H$168,K996))</x:f>
      </x:c>
      <x:c r="M996" t="str">
        <x:f>IF(K996="","",IF(L996=1,1,FIND(CHAR(1),SUBSTITUTE(INDEX($B$3:$B$168,K996),CHAR(10),CHAR(1),L996-1))+1))</x:f>
      </x:c>
      <x:c r="N996" t="str">
        <x:f>IF(K996="","",IFERROR(FIND(CHAR(1),SUBSTITUTE(INDEX($B$3:$B$168,K996),CHAR(10),CHAR(1),L996)),LEN(INDEX($B$3:$B$168,K996))+1))</x:f>
      </x:c>
    </x:row>
    <x:row r="997">
      <x:c r="A997"/>
      <x:c r="B997"/>
      <x:c r="C997"/>
      <x:c r="D997" t="str">
        <x:f>IFERROR(IF(995&lt;=$O$1,INDEX($A$3:$A$168,MATCH(995,$I$3:$I$168,0)),IF(995&lt;=$O$1+$O$2,INDEX($F$3:$F$1994,MATCH(995-$O$1,$G$3:$G$1994,0)),"")),"")</x:f>
      </x:c>
      <x:c r="E997" t="str">
        <x:f>IF(K997="","",IF(N997&lt;=M997,"",TRIM(CLEAN(MID(INDEX($B$3:$B$168,K997),M997,N997-M997)))))</x:f>
      </x:c>
      <x:c r="F997" t="str">
        <x:f>IF(E997="","",IF(E997=TRIM(INDEX($A$3:$A$168,K997)),"",IF(RIGHT(TRIM(INDEX($A$3:$A$168,K997)),1)="]",LEFT(TRIM(INDEX($A$3:$A$168,K997)),LEN(TRIM(INDEX($A$3:$A$168,K997)))-1)&amp;", "&amp;SUBSTITUTE(SUBSTITUTE(SUBSTITUTE(E997," [",", "),"[",", "),"]","")&amp;"]",TRIM(INDEX($A$3:$A$168,K997))&amp;" ["&amp;SUBSTITUTE(SUBSTITUTE(SUBSTITUTE(E997," [",", "),"[",", "),"]","")&amp;"]")))</x:f>
      </x:c>
      <x:c r="G997" t="str">
        <x:f>IF(F997&lt;&gt;"",ROWS($F$3:F997)-COUNTBLANK($F$3:F997),"")</x:f>
      </x:c>
      <x:c r="H997"/>
      <x:c r="I997"/>
      <x:c r="J997"/>
      <x:c r="K997" t="str">
        <x:f>IF(ROW()-ROW($K$2)&lt;=SUM($J$3:$J$168),COUNTIF($H$3:$H$168,"&lt;"&amp;(ROW()-ROW($K$2))),"")</x:f>
      </x:c>
      <x:c r="L997" t="str">
        <x:f>IF(K997="","",ROW()-ROW($L$2)-INDEX($H$3:$H$168,K997))</x:f>
      </x:c>
      <x:c r="M997" t="str">
        <x:f>IF(K997="","",IF(L997=1,1,FIND(CHAR(1),SUBSTITUTE(INDEX($B$3:$B$168,K997),CHAR(10),CHAR(1),L997-1))+1))</x:f>
      </x:c>
      <x:c r="N997" t="str">
        <x:f>IF(K997="","",IFERROR(FIND(CHAR(1),SUBSTITUTE(INDEX($B$3:$B$168,K997),CHAR(10),CHAR(1),L997)),LEN(INDEX($B$3:$B$168,K997))+1))</x:f>
      </x:c>
    </x:row>
    <x:row r="998">
      <x:c r="A998"/>
      <x:c r="B998"/>
      <x:c r="C998"/>
      <x:c r="D998" t="str">
        <x:f>IFERROR(IF(996&lt;=$O$1,INDEX($A$3:$A$168,MATCH(996,$I$3:$I$168,0)),IF(996&lt;=$O$1+$O$2,INDEX($F$3:$F$1994,MATCH(996-$O$1,$G$3:$G$1994,0)),"")),"")</x:f>
      </x:c>
      <x:c r="E998" t="str">
        <x:f>IF(K998="","",IF(N998&lt;=M998,"",TRIM(CLEAN(MID(INDEX($B$3:$B$168,K998),M998,N998-M998)))))</x:f>
      </x:c>
      <x:c r="F998" t="str">
        <x:f>IF(E998="","",IF(E998=TRIM(INDEX($A$3:$A$168,K998)),"",IF(RIGHT(TRIM(INDEX($A$3:$A$168,K998)),1)="]",LEFT(TRIM(INDEX($A$3:$A$168,K998)),LEN(TRIM(INDEX($A$3:$A$168,K998)))-1)&amp;", "&amp;SUBSTITUTE(SUBSTITUTE(SUBSTITUTE(E998," [",", "),"[",", "),"]","")&amp;"]",TRIM(INDEX($A$3:$A$168,K998))&amp;" ["&amp;SUBSTITUTE(SUBSTITUTE(SUBSTITUTE(E998," [",", "),"[",", "),"]","")&amp;"]")))</x:f>
      </x:c>
      <x:c r="G998" t="str">
        <x:f>IF(F998&lt;&gt;"",ROWS($F$3:F998)-COUNTBLANK($F$3:F998),"")</x:f>
      </x:c>
      <x:c r="H998"/>
      <x:c r="I998"/>
      <x:c r="J998"/>
      <x:c r="K998" t="str">
        <x:f>IF(ROW()-ROW($K$2)&lt;=SUM($J$3:$J$168),COUNTIF($H$3:$H$168,"&lt;"&amp;(ROW()-ROW($K$2))),"")</x:f>
      </x:c>
      <x:c r="L998" t="str">
        <x:f>IF(K998="","",ROW()-ROW($L$2)-INDEX($H$3:$H$168,K998))</x:f>
      </x:c>
      <x:c r="M998" t="str">
        <x:f>IF(K998="","",IF(L998=1,1,FIND(CHAR(1),SUBSTITUTE(INDEX($B$3:$B$168,K998),CHAR(10),CHAR(1),L998-1))+1))</x:f>
      </x:c>
      <x:c r="N998" t="str">
        <x:f>IF(K998="","",IFERROR(FIND(CHAR(1),SUBSTITUTE(INDEX($B$3:$B$168,K998),CHAR(10),CHAR(1),L998)),LEN(INDEX($B$3:$B$168,K998))+1))</x:f>
      </x:c>
    </x:row>
    <x:row r="999">
      <x:c r="A999"/>
      <x:c r="B999"/>
      <x:c r="C999"/>
      <x:c r="D999" t="str">
        <x:f>IFERROR(IF(997&lt;=$O$1,INDEX($A$3:$A$168,MATCH(997,$I$3:$I$168,0)),IF(997&lt;=$O$1+$O$2,INDEX($F$3:$F$1994,MATCH(997-$O$1,$G$3:$G$1994,0)),"")),"")</x:f>
      </x:c>
      <x:c r="E999" t="str">
        <x:f>IF(K999="","",IF(N999&lt;=M999,"",TRIM(CLEAN(MID(INDEX($B$3:$B$168,K999),M999,N999-M999)))))</x:f>
      </x:c>
      <x:c r="F999" t="str">
        <x:f>IF(E999="","",IF(E999=TRIM(INDEX($A$3:$A$168,K999)),"",IF(RIGHT(TRIM(INDEX($A$3:$A$168,K999)),1)="]",LEFT(TRIM(INDEX($A$3:$A$168,K999)),LEN(TRIM(INDEX($A$3:$A$168,K999)))-1)&amp;", "&amp;SUBSTITUTE(SUBSTITUTE(SUBSTITUTE(E999," [",", "),"[",", "),"]","")&amp;"]",TRIM(INDEX($A$3:$A$168,K999))&amp;" ["&amp;SUBSTITUTE(SUBSTITUTE(SUBSTITUTE(E999," [",", "),"[",", "),"]","")&amp;"]")))</x:f>
      </x:c>
      <x:c r="G999" t="str">
        <x:f>IF(F999&lt;&gt;"",ROWS($F$3:F999)-COUNTBLANK($F$3:F999),"")</x:f>
      </x:c>
      <x:c r="H999"/>
      <x:c r="I999"/>
      <x:c r="J999"/>
      <x:c r="K999" t="str">
        <x:f>IF(ROW()-ROW($K$2)&lt;=SUM($J$3:$J$168),COUNTIF($H$3:$H$168,"&lt;"&amp;(ROW()-ROW($K$2))),"")</x:f>
      </x:c>
      <x:c r="L999" t="str">
        <x:f>IF(K999="","",ROW()-ROW($L$2)-INDEX($H$3:$H$168,K999))</x:f>
      </x:c>
      <x:c r="M999" t="str">
        <x:f>IF(K999="","",IF(L999=1,1,FIND(CHAR(1),SUBSTITUTE(INDEX($B$3:$B$168,K999),CHAR(10),CHAR(1),L999-1))+1))</x:f>
      </x:c>
      <x:c r="N999" t="str">
        <x:f>IF(K999="","",IFERROR(FIND(CHAR(1),SUBSTITUTE(INDEX($B$3:$B$168,K999),CHAR(10),CHAR(1),L999)),LEN(INDEX($B$3:$B$168,K999))+1))</x:f>
      </x:c>
    </x:row>
    <x:row r="1000">
      <x:c r="A1000"/>
      <x:c r="B1000"/>
      <x:c r="C1000"/>
      <x:c r="D1000" t="str">
        <x:f>IFERROR(IF(998&lt;=$O$1,INDEX($A$3:$A$168,MATCH(998,$I$3:$I$168,0)),IF(998&lt;=$O$1+$O$2,INDEX($F$3:$F$1994,MATCH(998-$O$1,$G$3:$G$1994,0)),"")),"")</x:f>
      </x:c>
      <x:c r="E1000" t="str">
        <x:f>IF(K1000="","",IF(N1000&lt;=M1000,"",TRIM(CLEAN(MID(INDEX($B$3:$B$168,K1000),M1000,N1000-M1000)))))</x:f>
      </x:c>
      <x:c r="F1000" t="str">
        <x:f>IF(E1000="","",IF(E1000=TRIM(INDEX($A$3:$A$168,K1000)),"",IF(RIGHT(TRIM(INDEX($A$3:$A$168,K1000)),1)="]",LEFT(TRIM(INDEX($A$3:$A$168,K1000)),LEN(TRIM(INDEX($A$3:$A$168,K1000)))-1)&amp;", "&amp;SUBSTITUTE(SUBSTITUTE(SUBSTITUTE(E1000," [",", "),"[",", "),"]","")&amp;"]",TRIM(INDEX($A$3:$A$168,K1000))&amp;" ["&amp;SUBSTITUTE(SUBSTITUTE(SUBSTITUTE(E1000," [",", "),"[",", "),"]","")&amp;"]")))</x:f>
      </x:c>
      <x:c r="G1000" t="str">
        <x:f>IF(F1000&lt;&gt;"",ROWS($F$3:F1000)-COUNTBLANK($F$3:F1000),"")</x:f>
      </x:c>
      <x:c r="H1000"/>
      <x:c r="I1000"/>
      <x:c r="J1000"/>
      <x:c r="K1000" t="str">
        <x:f>IF(ROW()-ROW($K$2)&lt;=SUM($J$3:$J$168),COUNTIF($H$3:$H$168,"&lt;"&amp;(ROW()-ROW($K$2))),"")</x:f>
      </x:c>
      <x:c r="L1000" t="str">
        <x:f>IF(K1000="","",ROW()-ROW($L$2)-INDEX($H$3:$H$168,K1000))</x:f>
      </x:c>
      <x:c r="M1000" t="str">
        <x:f>IF(K1000="","",IF(L1000=1,1,FIND(CHAR(1),SUBSTITUTE(INDEX($B$3:$B$168,K1000),CHAR(10),CHAR(1),L1000-1))+1))</x:f>
      </x:c>
      <x:c r="N1000" t="str">
        <x:f>IF(K1000="","",IFERROR(FIND(CHAR(1),SUBSTITUTE(INDEX($B$3:$B$168,K1000),CHAR(10),CHAR(1),L1000)),LEN(INDEX($B$3:$B$168,K1000))+1))</x:f>
      </x:c>
    </x:row>
    <x:row r="1001">
      <x:c r="A1001"/>
      <x:c r="B1001"/>
      <x:c r="C1001"/>
      <x:c r="D1001" t="str">
        <x:f>IFERROR(IF(999&lt;=$O$1,INDEX($A$3:$A$168,MATCH(999,$I$3:$I$168,0)),IF(999&lt;=$O$1+$O$2,INDEX($F$3:$F$1994,MATCH(999-$O$1,$G$3:$G$1994,0)),"")),"")</x:f>
      </x:c>
      <x:c r="E1001" t="str">
        <x:f>IF(K1001="","",IF(N1001&lt;=M1001,"",TRIM(CLEAN(MID(INDEX($B$3:$B$168,K1001),M1001,N1001-M1001)))))</x:f>
      </x:c>
      <x:c r="F1001" t="str">
        <x:f>IF(E1001="","",IF(E1001=TRIM(INDEX($A$3:$A$168,K1001)),"",IF(RIGHT(TRIM(INDEX($A$3:$A$168,K1001)),1)="]",LEFT(TRIM(INDEX($A$3:$A$168,K1001)),LEN(TRIM(INDEX($A$3:$A$168,K1001)))-1)&amp;", "&amp;SUBSTITUTE(SUBSTITUTE(SUBSTITUTE(E1001," [",", "),"[",", "),"]","")&amp;"]",TRIM(INDEX($A$3:$A$168,K1001))&amp;" ["&amp;SUBSTITUTE(SUBSTITUTE(SUBSTITUTE(E1001," [",", "),"[",", "),"]","")&amp;"]")))</x:f>
      </x:c>
      <x:c r="G1001" t="str">
        <x:f>IF(F1001&lt;&gt;"",ROWS($F$3:F1001)-COUNTBLANK($F$3:F1001),"")</x:f>
      </x:c>
      <x:c r="H1001"/>
      <x:c r="I1001"/>
      <x:c r="J1001"/>
      <x:c r="K1001" t="str">
        <x:f>IF(ROW()-ROW($K$2)&lt;=SUM($J$3:$J$168),COUNTIF($H$3:$H$168,"&lt;"&amp;(ROW()-ROW($K$2))),"")</x:f>
      </x:c>
      <x:c r="L1001" t="str">
        <x:f>IF(K1001="","",ROW()-ROW($L$2)-INDEX($H$3:$H$168,K1001))</x:f>
      </x:c>
      <x:c r="M1001" t="str">
        <x:f>IF(K1001="","",IF(L1001=1,1,FIND(CHAR(1),SUBSTITUTE(INDEX($B$3:$B$168,K1001),CHAR(10),CHAR(1),L1001-1))+1))</x:f>
      </x:c>
      <x:c r="N1001" t="str">
        <x:f>IF(K1001="","",IFERROR(FIND(CHAR(1),SUBSTITUTE(INDEX($B$3:$B$168,K1001),CHAR(10),CHAR(1),L1001)),LEN(INDEX($B$3:$B$168,K1001))+1))</x:f>
      </x:c>
    </x:row>
    <x:row r="1002">
      <x:c r="A1002"/>
      <x:c r="B1002"/>
      <x:c r="C1002"/>
      <x:c r="D1002" t="str">
        <x:f>IFERROR(IF(1000&lt;=$O$1,INDEX($A$3:$A$168,MATCH(1000,$I$3:$I$168,0)),IF(1000&lt;=$O$1+$O$2,INDEX($F$3:$F$1994,MATCH(1000-$O$1,$G$3:$G$1994,0)),"")),"")</x:f>
      </x:c>
      <x:c r="E1002" t="str">
        <x:f>IF(K1002="","",IF(N1002&lt;=M1002,"",TRIM(CLEAN(MID(INDEX($B$3:$B$168,K1002),M1002,N1002-M1002)))))</x:f>
      </x:c>
      <x:c r="F1002" t="str">
        <x:f>IF(E1002="","",IF(E1002=TRIM(INDEX($A$3:$A$168,K1002)),"",IF(RIGHT(TRIM(INDEX($A$3:$A$168,K1002)),1)="]",LEFT(TRIM(INDEX($A$3:$A$168,K1002)),LEN(TRIM(INDEX($A$3:$A$168,K1002)))-1)&amp;", "&amp;SUBSTITUTE(SUBSTITUTE(SUBSTITUTE(E1002," [",", "),"[",", "),"]","")&amp;"]",TRIM(INDEX($A$3:$A$168,K1002))&amp;" ["&amp;SUBSTITUTE(SUBSTITUTE(SUBSTITUTE(E1002," [",", "),"[",", "),"]","")&amp;"]")))</x:f>
      </x:c>
      <x:c r="G1002" t="str">
        <x:f>IF(F1002&lt;&gt;"",ROWS($F$3:F1002)-COUNTBLANK($F$3:F1002),"")</x:f>
      </x:c>
      <x:c r="H1002"/>
      <x:c r="I1002"/>
      <x:c r="J1002"/>
      <x:c r="K1002" t="str">
        <x:f>IF(ROW()-ROW($K$2)&lt;=SUM($J$3:$J$168),COUNTIF($H$3:$H$168,"&lt;"&amp;(ROW()-ROW($K$2))),"")</x:f>
      </x:c>
      <x:c r="L1002" t="str">
        <x:f>IF(K1002="","",ROW()-ROW($L$2)-INDEX($H$3:$H$168,K1002))</x:f>
      </x:c>
      <x:c r="M1002" t="str">
        <x:f>IF(K1002="","",IF(L1002=1,1,FIND(CHAR(1),SUBSTITUTE(INDEX($B$3:$B$168,K1002),CHAR(10),CHAR(1),L1002-1))+1))</x:f>
      </x:c>
      <x:c r="N1002" t="str">
        <x:f>IF(K1002="","",IFERROR(FIND(CHAR(1),SUBSTITUTE(INDEX($B$3:$B$168,K1002),CHAR(10),CHAR(1),L1002)),LEN(INDEX($B$3:$B$168,K1002))+1))</x:f>
      </x:c>
    </x:row>
    <x:row r="1003">
      <x:c r="A1003"/>
      <x:c r="B1003"/>
      <x:c r="C1003"/>
      <x:c r="D1003" t="str">
        <x:f>IFERROR(IF(1001&lt;=$O$1,INDEX($A$3:$A$168,MATCH(1001,$I$3:$I$168,0)),IF(1001&lt;=$O$1+$O$2,INDEX($F$3:$F$1994,MATCH(1001-$O$1,$G$3:$G$1994,0)),"")),"")</x:f>
      </x:c>
      <x:c r="E1003" t="str">
        <x:f>IF(K1003="","",IF(N1003&lt;=M1003,"",TRIM(CLEAN(MID(INDEX($B$3:$B$168,K1003),M1003,N1003-M1003)))))</x:f>
      </x:c>
      <x:c r="F1003" t="str">
        <x:f>IF(E1003="","",IF(E1003=TRIM(INDEX($A$3:$A$168,K1003)),"",IF(RIGHT(TRIM(INDEX($A$3:$A$168,K1003)),1)="]",LEFT(TRIM(INDEX($A$3:$A$168,K1003)),LEN(TRIM(INDEX($A$3:$A$168,K1003)))-1)&amp;", "&amp;SUBSTITUTE(SUBSTITUTE(SUBSTITUTE(E1003," [",", "),"[",", "),"]","")&amp;"]",TRIM(INDEX($A$3:$A$168,K1003))&amp;" ["&amp;SUBSTITUTE(SUBSTITUTE(SUBSTITUTE(E1003," [",", "),"[",", "),"]","")&amp;"]")))</x:f>
      </x:c>
      <x:c r="G1003" t="str">
        <x:f>IF(F1003&lt;&gt;"",ROWS($F$3:F1003)-COUNTBLANK($F$3:F1003),"")</x:f>
      </x:c>
      <x:c r="H1003"/>
      <x:c r="I1003"/>
      <x:c r="J1003"/>
      <x:c r="K1003" t="str">
        <x:f>IF(ROW()-ROW($K$2)&lt;=SUM($J$3:$J$168),COUNTIF($H$3:$H$168,"&lt;"&amp;(ROW()-ROW($K$2))),"")</x:f>
      </x:c>
      <x:c r="L1003" t="str">
        <x:f>IF(K1003="","",ROW()-ROW($L$2)-INDEX($H$3:$H$168,K1003))</x:f>
      </x:c>
      <x:c r="M1003" t="str">
        <x:f>IF(K1003="","",IF(L1003=1,1,FIND(CHAR(1),SUBSTITUTE(INDEX($B$3:$B$168,K1003),CHAR(10),CHAR(1),L1003-1))+1))</x:f>
      </x:c>
      <x:c r="N1003" t="str">
        <x:f>IF(K1003="","",IFERROR(FIND(CHAR(1),SUBSTITUTE(INDEX($B$3:$B$168,K1003),CHAR(10),CHAR(1),L1003)),LEN(INDEX($B$3:$B$168,K1003))+1))</x:f>
      </x:c>
    </x:row>
    <x:row r="1004">
      <x:c r="A1004"/>
      <x:c r="B1004"/>
      <x:c r="C1004"/>
      <x:c r="D1004" t="str">
        <x:f>IFERROR(IF(1002&lt;=$O$1,INDEX($A$3:$A$168,MATCH(1002,$I$3:$I$168,0)),IF(1002&lt;=$O$1+$O$2,INDEX($F$3:$F$1994,MATCH(1002-$O$1,$G$3:$G$1994,0)),"")),"")</x:f>
      </x:c>
      <x:c r="E1004" t="str">
        <x:f>IF(K1004="","",IF(N1004&lt;=M1004,"",TRIM(CLEAN(MID(INDEX($B$3:$B$168,K1004),M1004,N1004-M1004)))))</x:f>
      </x:c>
      <x:c r="F1004" t="str">
        <x:f>IF(E1004="","",IF(E1004=TRIM(INDEX($A$3:$A$168,K1004)),"",IF(RIGHT(TRIM(INDEX($A$3:$A$168,K1004)),1)="]",LEFT(TRIM(INDEX($A$3:$A$168,K1004)),LEN(TRIM(INDEX($A$3:$A$168,K1004)))-1)&amp;", "&amp;SUBSTITUTE(SUBSTITUTE(SUBSTITUTE(E1004," [",", "),"[",", "),"]","")&amp;"]",TRIM(INDEX($A$3:$A$168,K1004))&amp;" ["&amp;SUBSTITUTE(SUBSTITUTE(SUBSTITUTE(E1004," [",", "),"[",", "),"]","")&amp;"]")))</x:f>
      </x:c>
      <x:c r="G1004" t="str">
        <x:f>IF(F1004&lt;&gt;"",ROWS($F$3:F1004)-COUNTBLANK($F$3:F1004),"")</x:f>
      </x:c>
      <x:c r="H1004"/>
      <x:c r="I1004"/>
      <x:c r="J1004"/>
      <x:c r="K1004" t="str">
        <x:f>IF(ROW()-ROW($K$2)&lt;=SUM($J$3:$J$168),COUNTIF($H$3:$H$168,"&lt;"&amp;(ROW()-ROW($K$2))),"")</x:f>
      </x:c>
      <x:c r="L1004" t="str">
        <x:f>IF(K1004="","",ROW()-ROW($L$2)-INDEX($H$3:$H$168,K1004))</x:f>
      </x:c>
      <x:c r="M1004" t="str">
        <x:f>IF(K1004="","",IF(L1004=1,1,FIND(CHAR(1),SUBSTITUTE(INDEX($B$3:$B$168,K1004),CHAR(10),CHAR(1),L1004-1))+1))</x:f>
      </x:c>
      <x:c r="N1004" t="str">
        <x:f>IF(K1004="","",IFERROR(FIND(CHAR(1),SUBSTITUTE(INDEX($B$3:$B$168,K1004),CHAR(10),CHAR(1),L1004)),LEN(INDEX($B$3:$B$168,K1004))+1))</x:f>
      </x:c>
    </x:row>
    <x:row r="1005">
      <x:c r="A1005"/>
      <x:c r="B1005"/>
      <x:c r="C1005"/>
      <x:c r="D1005" t="str">
        <x:f>IFERROR(IF(1003&lt;=$O$1,INDEX($A$3:$A$168,MATCH(1003,$I$3:$I$168,0)),IF(1003&lt;=$O$1+$O$2,INDEX($F$3:$F$1994,MATCH(1003-$O$1,$G$3:$G$1994,0)),"")),"")</x:f>
      </x:c>
      <x:c r="E1005" t="str">
        <x:f>IF(K1005="","",IF(N1005&lt;=M1005,"",TRIM(CLEAN(MID(INDEX($B$3:$B$168,K1005),M1005,N1005-M1005)))))</x:f>
      </x:c>
      <x:c r="F1005" t="str">
        <x:f>IF(E1005="","",IF(E1005=TRIM(INDEX($A$3:$A$168,K1005)),"",IF(RIGHT(TRIM(INDEX($A$3:$A$168,K1005)),1)="]",LEFT(TRIM(INDEX($A$3:$A$168,K1005)),LEN(TRIM(INDEX($A$3:$A$168,K1005)))-1)&amp;", "&amp;SUBSTITUTE(SUBSTITUTE(SUBSTITUTE(E1005," [",", "),"[",", "),"]","")&amp;"]",TRIM(INDEX($A$3:$A$168,K1005))&amp;" ["&amp;SUBSTITUTE(SUBSTITUTE(SUBSTITUTE(E1005," [",", "),"[",", "),"]","")&amp;"]")))</x:f>
      </x:c>
      <x:c r="G1005" t="str">
        <x:f>IF(F1005&lt;&gt;"",ROWS($F$3:F1005)-COUNTBLANK($F$3:F1005),"")</x:f>
      </x:c>
      <x:c r="H1005"/>
      <x:c r="I1005"/>
      <x:c r="J1005"/>
      <x:c r="K1005" t="str">
        <x:f>IF(ROW()-ROW($K$2)&lt;=SUM($J$3:$J$168),COUNTIF($H$3:$H$168,"&lt;"&amp;(ROW()-ROW($K$2))),"")</x:f>
      </x:c>
      <x:c r="L1005" t="str">
        <x:f>IF(K1005="","",ROW()-ROW($L$2)-INDEX($H$3:$H$168,K1005))</x:f>
      </x:c>
      <x:c r="M1005" t="str">
        <x:f>IF(K1005="","",IF(L1005=1,1,FIND(CHAR(1),SUBSTITUTE(INDEX($B$3:$B$168,K1005),CHAR(10),CHAR(1),L1005-1))+1))</x:f>
      </x:c>
      <x:c r="N1005" t="str">
        <x:f>IF(K1005="","",IFERROR(FIND(CHAR(1),SUBSTITUTE(INDEX($B$3:$B$168,K1005),CHAR(10),CHAR(1),L1005)),LEN(INDEX($B$3:$B$168,K1005))+1))</x:f>
      </x:c>
    </x:row>
    <x:row r="1006">
      <x:c r="A1006"/>
      <x:c r="B1006"/>
      <x:c r="C1006"/>
      <x:c r="D1006" t="str">
        <x:f>IFERROR(IF(1004&lt;=$O$1,INDEX($A$3:$A$168,MATCH(1004,$I$3:$I$168,0)),IF(1004&lt;=$O$1+$O$2,INDEX($F$3:$F$1994,MATCH(1004-$O$1,$G$3:$G$1994,0)),"")),"")</x:f>
      </x:c>
      <x:c r="E1006" t="str">
        <x:f>IF(K1006="","",IF(N1006&lt;=M1006,"",TRIM(CLEAN(MID(INDEX($B$3:$B$168,K1006),M1006,N1006-M1006)))))</x:f>
      </x:c>
      <x:c r="F1006" t="str">
        <x:f>IF(E1006="","",IF(E1006=TRIM(INDEX($A$3:$A$168,K1006)),"",IF(RIGHT(TRIM(INDEX($A$3:$A$168,K1006)),1)="]",LEFT(TRIM(INDEX($A$3:$A$168,K1006)),LEN(TRIM(INDEX($A$3:$A$168,K1006)))-1)&amp;", "&amp;SUBSTITUTE(SUBSTITUTE(SUBSTITUTE(E1006," [",", "),"[",", "),"]","")&amp;"]",TRIM(INDEX($A$3:$A$168,K1006))&amp;" ["&amp;SUBSTITUTE(SUBSTITUTE(SUBSTITUTE(E1006," [",", "),"[",", "),"]","")&amp;"]")))</x:f>
      </x:c>
      <x:c r="G1006" t="str">
        <x:f>IF(F1006&lt;&gt;"",ROWS($F$3:F1006)-COUNTBLANK($F$3:F1006),"")</x:f>
      </x:c>
      <x:c r="H1006"/>
      <x:c r="I1006"/>
      <x:c r="J1006"/>
      <x:c r="K1006" t="str">
        <x:f>IF(ROW()-ROW($K$2)&lt;=SUM($J$3:$J$168),COUNTIF($H$3:$H$168,"&lt;"&amp;(ROW()-ROW($K$2))),"")</x:f>
      </x:c>
      <x:c r="L1006" t="str">
        <x:f>IF(K1006="","",ROW()-ROW($L$2)-INDEX($H$3:$H$168,K1006))</x:f>
      </x:c>
      <x:c r="M1006" t="str">
        <x:f>IF(K1006="","",IF(L1006=1,1,FIND(CHAR(1),SUBSTITUTE(INDEX($B$3:$B$168,K1006),CHAR(10),CHAR(1),L1006-1))+1))</x:f>
      </x:c>
      <x:c r="N1006" t="str">
        <x:f>IF(K1006="","",IFERROR(FIND(CHAR(1),SUBSTITUTE(INDEX($B$3:$B$168,K1006),CHAR(10),CHAR(1),L1006)),LEN(INDEX($B$3:$B$168,K1006))+1))</x:f>
      </x:c>
    </x:row>
    <x:row r="1007">
      <x:c r="A1007"/>
      <x:c r="B1007"/>
      <x:c r="C1007"/>
      <x:c r="D1007" t="str">
        <x:f>IFERROR(IF(1005&lt;=$O$1,INDEX($A$3:$A$168,MATCH(1005,$I$3:$I$168,0)),IF(1005&lt;=$O$1+$O$2,INDEX($F$3:$F$1994,MATCH(1005-$O$1,$G$3:$G$1994,0)),"")),"")</x:f>
      </x:c>
      <x:c r="E1007" t="str">
        <x:f>IF(K1007="","",IF(N1007&lt;=M1007,"",TRIM(CLEAN(MID(INDEX($B$3:$B$168,K1007),M1007,N1007-M1007)))))</x:f>
      </x:c>
      <x:c r="F1007" t="str">
        <x:f>IF(E1007="","",IF(E1007=TRIM(INDEX($A$3:$A$168,K1007)),"",IF(RIGHT(TRIM(INDEX($A$3:$A$168,K1007)),1)="]",LEFT(TRIM(INDEX($A$3:$A$168,K1007)),LEN(TRIM(INDEX($A$3:$A$168,K1007)))-1)&amp;", "&amp;SUBSTITUTE(SUBSTITUTE(SUBSTITUTE(E1007," [",", "),"[",", "),"]","")&amp;"]",TRIM(INDEX($A$3:$A$168,K1007))&amp;" ["&amp;SUBSTITUTE(SUBSTITUTE(SUBSTITUTE(E1007," [",", "),"[",", "),"]","")&amp;"]")))</x:f>
      </x:c>
      <x:c r="G1007" t="str">
        <x:f>IF(F1007&lt;&gt;"",ROWS($F$3:F1007)-COUNTBLANK($F$3:F1007),"")</x:f>
      </x:c>
      <x:c r="H1007"/>
      <x:c r="I1007"/>
      <x:c r="J1007"/>
      <x:c r="K1007" t="str">
        <x:f>IF(ROW()-ROW($K$2)&lt;=SUM($J$3:$J$168),COUNTIF($H$3:$H$168,"&lt;"&amp;(ROW()-ROW($K$2))),"")</x:f>
      </x:c>
      <x:c r="L1007" t="str">
        <x:f>IF(K1007="","",ROW()-ROW($L$2)-INDEX($H$3:$H$168,K1007))</x:f>
      </x:c>
      <x:c r="M1007" t="str">
        <x:f>IF(K1007="","",IF(L1007=1,1,FIND(CHAR(1),SUBSTITUTE(INDEX($B$3:$B$168,K1007),CHAR(10),CHAR(1),L1007-1))+1))</x:f>
      </x:c>
      <x:c r="N1007" t="str">
        <x:f>IF(K1007="","",IFERROR(FIND(CHAR(1),SUBSTITUTE(INDEX($B$3:$B$168,K1007),CHAR(10),CHAR(1),L1007)),LEN(INDEX($B$3:$B$168,K1007))+1))</x:f>
      </x:c>
    </x:row>
    <x:row r="1008">
      <x:c r="A1008"/>
      <x:c r="B1008"/>
      <x:c r="C1008"/>
      <x:c r="D1008" t="str">
        <x:f>IFERROR(IF(1006&lt;=$O$1,INDEX($A$3:$A$168,MATCH(1006,$I$3:$I$168,0)),IF(1006&lt;=$O$1+$O$2,INDEX($F$3:$F$1994,MATCH(1006-$O$1,$G$3:$G$1994,0)),"")),"")</x:f>
      </x:c>
      <x:c r="E1008" t="str">
        <x:f>IF(K1008="","",IF(N1008&lt;=M1008,"",TRIM(CLEAN(MID(INDEX($B$3:$B$168,K1008),M1008,N1008-M1008)))))</x:f>
      </x:c>
      <x:c r="F1008" t="str">
        <x:f>IF(E1008="","",IF(E1008=TRIM(INDEX($A$3:$A$168,K1008)),"",IF(RIGHT(TRIM(INDEX($A$3:$A$168,K1008)),1)="]",LEFT(TRIM(INDEX($A$3:$A$168,K1008)),LEN(TRIM(INDEX($A$3:$A$168,K1008)))-1)&amp;", "&amp;SUBSTITUTE(SUBSTITUTE(SUBSTITUTE(E1008," [",", "),"[",", "),"]","")&amp;"]",TRIM(INDEX($A$3:$A$168,K1008))&amp;" ["&amp;SUBSTITUTE(SUBSTITUTE(SUBSTITUTE(E1008," [",", "),"[",", "),"]","")&amp;"]")))</x:f>
      </x:c>
      <x:c r="G1008" t="str">
        <x:f>IF(F1008&lt;&gt;"",ROWS($F$3:F1008)-COUNTBLANK($F$3:F1008),"")</x:f>
      </x:c>
      <x:c r="H1008"/>
      <x:c r="I1008"/>
      <x:c r="J1008"/>
      <x:c r="K1008" t="str">
        <x:f>IF(ROW()-ROW($K$2)&lt;=SUM($J$3:$J$168),COUNTIF($H$3:$H$168,"&lt;"&amp;(ROW()-ROW($K$2))),"")</x:f>
      </x:c>
      <x:c r="L1008" t="str">
        <x:f>IF(K1008="","",ROW()-ROW($L$2)-INDEX($H$3:$H$168,K1008))</x:f>
      </x:c>
      <x:c r="M1008" t="str">
        <x:f>IF(K1008="","",IF(L1008=1,1,FIND(CHAR(1),SUBSTITUTE(INDEX($B$3:$B$168,K1008),CHAR(10),CHAR(1),L1008-1))+1))</x:f>
      </x:c>
      <x:c r="N1008" t="str">
        <x:f>IF(K1008="","",IFERROR(FIND(CHAR(1),SUBSTITUTE(INDEX($B$3:$B$168,K1008),CHAR(10),CHAR(1),L1008)),LEN(INDEX($B$3:$B$168,K1008))+1))</x:f>
      </x:c>
    </x:row>
    <x:row r="1009">
      <x:c r="A1009"/>
      <x:c r="B1009"/>
      <x:c r="C1009"/>
      <x:c r="D1009" t="str">
        <x:f>IFERROR(IF(1007&lt;=$O$1,INDEX($A$3:$A$168,MATCH(1007,$I$3:$I$168,0)),IF(1007&lt;=$O$1+$O$2,INDEX($F$3:$F$1994,MATCH(1007-$O$1,$G$3:$G$1994,0)),"")),"")</x:f>
      </x:c>
      <x:c r="E1009" t="str">
        <x:f>IF(K1009="","",IF(N1009&lt;=M1009,"",TRIM(CLEAN(MID(INDEX($B$3:$B$168,K1009),M1009,N1009-M1009)))))</x:f>
      </x:c>
      <x:c r="F1009" t="str">
        <x:f>IF(E1009="","",IF(E1009=TRIM(INDEX($A$3:$A$168,K1009)),"",IF(RIGHT(TRIM(INDEX($A$3:$A$168,K1009)),1)="]",LEFT(TRIM(INDEX($A$3:$A$168,K1009)),LEN(TRIM(INDEX($A$3:$A$168,K1009)))-1)&amp;", "&amp;SUBSTITUTE(SUBSTITUTE(SUBSTITUTE(E1009," [",", "),"[",", "),"]","")&amp;"]",TRIM(INDEX($A$3:$A$168,K1009))&amp;" ["&amp;SUBSTITUTE(SUBSTITUTE(SUBSTITUTE(E1009," [",", "),"[",", "),"]","")&amp;"]")))</x:f>
      </x:c>
      <x:c r="G1009" t="str">
        <x:f>IF(F1009&lt;&gt;"",ROWS($F$3:F1009)-COUNTBLANK($F$3:F1009),"")</x:f>
      </x:c>
      <x:c r="H1009"/>
      <x:c r="I1009"/>
      <x:c r="J1009"/>
      <x:c r="K1009" t="str">
        <x:f>IF(ROW()-ROW($K$2)&lt;=SUM($J$3:$J$168),COUNTIF($H$3:$H$168,"&lt;"&amp;(ROW()-ROW($K$2))),"")</x:f>
      </x:c>
      <x:c r="L1009" t="str">
        <x:f>IF(K1009="","",ROW()-ROW($L$2)-INDEX($H$3:$H$168,K1009))</x:f>
      </x:c>
      <x:c r="M1009" t="str">
        <x:f>IF(K1009="","",IF(L1009=1,1,FIND(CHAR(1),SUBSTITUTE(INDEX($B$3:$B$168,K1009),CHAR(10),CHAR(1),L1009-1))+1))</x:f>
      </x:c>
      <x:c r="N1009" t="str">
        <x:f>IF(K1009="","",IFERROR(FIND(CHAR(1),SUBSTITUTE(INDEX($B$3:$B$168,K1009),CHAR(10),CHAR(1),L1009)),LEN(INDEX($B$3:$B$168,K1009))+1))</x:f>
      </x:c>
    </x:row>
    <x:row r="1010">
      <x:c r="A1010"/>
      <x:c r="B1010"/>
      <x:c r="C1010"/>
      <x:c r="D1010" t="str">
        <x:f>IFERROR(IF(1008&lt;=$O$1,INDEX($A$3:$A$168,MATCH(1008,$I$3:$I$168,0)),IF(1008&lt;=$O$1+$O$2,INDEX($F$3:$F$1994,MATCH(1008-$O$1,$G$3:$G$1994,0)),"")),"")</x:f>
      </x:c>
      <x:c r="E1010" t="str">
        <x:f>IF(K1010="","",IF(N1010&lt;=M1010,"",TRIM(CLEAN(MID(INDEX($B$3:$B$168,K1010),M1010,N1010-M1010)))))</x:f>
      </x:c>
      <x:c r="F1010" t="str">
        <x:f>IF(E1010="","",IF(E1010=TRIM(INDEX($A$3:$A$168,K1010)),"",IF(RIGHT(TRIM(INDEX($A$3:$A$168,K1010)),1)="]",LEFT(TRIM(INDEX($A$3:$A$168,K1010)),LEN(TRIM(INDEX($A$3:$A$168,K1010)))-1)&amp;", "&amp;SUBSTITUTE(SUBSTITUTE(SUBSTITUTE(E1010," [",", "),"[",", "),"]","")&amp;"]",TRIM(INDEX($A$3:$A$168,K1010))&amp;" ["&amp;SUBSTITUTE(SUBSTITUTE(SUBSTITUTE(E1010," [",", "),"[",", "),"]","")&amp;"]")))</x:f>
      </x:c>
      <x:c r="G1010" t="str">
        <x:f>IF(F1010&lt;&gt;"",ROWS($F$3:F1010)-COUNTBLANK($F$3:F1010),"")</x:f>
      </x:c>
      <x:c r="H1010"/>
      <x:c r="I1010"/>
      <x:c r="J1010"/>
      <x:c r="K1010" t="str">
        <x:f>IF(ROW()-ROW($K$2)&lt;=SUM($J$3:$J$168),COUNTIF($H$3:$H$168,"&lt;"&amp;(ROW()-ROW($K$2))),"")</x:f>
      </x:c>
      <x:c r="L1010" t="str">
        <x:f>IF(K1010="","",ROW()-ROW($L$2)-INDEX($H$3:$H$168,K1010))</x:f>
      </x:c>
      <x:c r="M1010" t="str">
        <x:f>IF(K1010="","",IF(L1010=1,1,FIND(CHAR(1),SUBSTITUTE(INDEX($B$3:$B$168,K1010),CHAR(10),CHAR(1),L1010-1))+1))</x:f>
      </x:c>
      <x:c r="N1010" t="str">
        <x:f>IF(K1010="","",IFERROR(FIND(CHAR(1),SUBSTITUTE(INDEX($B$3:$B$168,K1010),CHAR(10),CHAR(1),L1010)),LEN(INDEX($B$3:$B$168,K1010))+1))</x:f>
      </x:c>
    </x:row>
    <x:row r="1011">
      <x:c r="A1011"/>
      <x:c r="B1011"/>
      <x:c r="C1011"/>
      <x:c r="D1011" t="str">
        <x:f>IFERROR(IF(1009&lt;=$O$1,INDEX($A$3:$A$168,MATCH(1009,$I$3:$I$168,0)),IF(1009&lt;=$O$1+$O$2,INDEX($F$3:$F$1994,MATCH(1009-$O$1,$G$3:$G$1994,0)),"")),"")</x:f>
      </x:c>
      <x:c r="E1011" t="str">
        <x:f>IF(K1011="","",IF(N1011&lt;=M1011,"",TRIM(CLEAN(MID(INDEX($B$3:$B$168,K1011),M1011,N1011-M1011)))))</x:f>
      </x:c>
      <x:c r="F1011" t="str">
        <x:f>IF(E1011="","",IF(E1011=TRIM(INDEX($A$3:$A$168,K1011)),"",IF(RIGHT(TRIM(INDEX($A$3:$A$168,K1011)),1)="]",LEFT(TRIM(INDEX($A$3:$A$168,K1011)),LEN(TRIM(INDEX($A$3:$A$168,K1011)))-1)&amp;", "&amp;SUBSTITUTE(SUBSTITUTE(SUBSTITUTE(E1011," [",", "),"[",", "),"]","")&amp;"]",TRIM(INDEX($A$3:$A$168,K1011))&amp;" ["&amp;SUBSTITUTE(SUBSTITUTE(SUBSTITUTE(E1011," [",", "),"[",", "),"]","")&amp;"]")))</x:f>
      </x:c>
      <x:c r="G1011" t="str">
        <x:f>IF(F1011&lt;&gt;"",ROWS($F$3:F1011)-COUNTBLANK($F$3:F1011),"")</x:f>
      </x:c>
      <x:c r="H1011"/>
      <x:c r="I1011"/>
      <x:c r="J1011"/>
      <x:c r="K1011" t="str">
        <x:f>IF(ROW()-ROW($K$2)&lt;=SUM($J$3:$J$168),COUNTIF($H$3:$H$168,"&lt;"&amp;(ROW()-ROW($K$2))),"")</x:f>
      </x:c>
      <x:c r="L1011" t="str">
        <x:f>IF(K1011="","",ROW()-ROW($L$2)-INDEX($H$3:$H$168,K1011))</x:f>
      </x:c>
      <x:c r="M1011" t="str">
        <x:f>IF(K1011="","",IF(L1011=1,1,FIND(CHAR(1),SUBSTITUTE(INDEX($B$3:$B$168,K1011),CHAR(10),CHAR(1),L1011-1))+1))</x:f>
      </x:c>
      <x:c r="N1011" t="str">
        <x:f>IF(K1011="","",IFERROR(FIND(CHAR(1),SUBSTITUTE(INDEX($B$3:$B$168,K1011),CHAR(10),CHAR(1),L1011)),LEN(INDEX($B$3:$B$168,K1011))+1))</x:f>
      </x:c>
    </x:row>
    <x:row r="1012">
      <x:c r="A1012"/>
      <x:c r="B1012"/>
      <x:c r="C1012"/>
      <x:c r="D1012" t="str">
        <x:f>IFERROR(IF(1010&lt;=$O$1,INDEX($A$3:$A$168,MATCH(1010,$I$3:$I$168,0)),IF(1010&lt;=$O$1+$O$2,INDEX($F$3:$F$1994,MATCH(1010-$O$1,$G$3:$G$1994,0)),"")),"")</x:f>
      </x:c>
      <x:c r="E1012" t="str">
        <x:f>IF(K1012="","",IF(N1012&lt;=M1012,"",TRIM(CLEAN(MID(INDEX($B$3:$B$168,K1012),M1012,N1012-M1012)))))</x:f>
      </x:c>
      <x:c r="F1012" t="str">
        <x:f>IF(E1012="","",IF(E1012=TRIM(INDEX($A$3:$A$168,K1012)),"",IF(RIGHT(TRIM(INDEX($A$3:$A$168,K1012)),1)="]",LEFT(TRIM(INDEX($A$3:$A$168,K1012)),LEN(TRIM(INDEX($A$3:$A$168,K1012)))-1)&amp;", "&amp;SUBSTITUTE(SUBSTITUTE(SUBSTITUTE(E1012," [",", "),"[",", "),"]","")&amp;"]",TRIM(INDEX($A$3:$A$168,K1012))&amp;" ["&amp;SUBSTITUTE(SUBSTITUTE(SUBSTITUTE(E1012," [",", "),"[",", "),"]","")&amp;"]")))</x:f>
      </x:c>
      <x:c r="G1012" t="str">
        <x:f>IF(F1012&lt;&gt;"",ROWS($F$3:F1012)-COUNTBLANK($F$3:F1012),"")</x:f>
      </x:c>
      <x:c r="H1012"/>
      <x:c r="I1012"/>
      <x:c r="J1012"/>
      <x:c r="K1012" t="str">
        <x:f>IF(ROW()-ROW($K$2)&lt;=SUM($J$3:$J$168),COUNTIF($H$3:$H$168,"&lt;"&amp;(ROW()-ROW($K$2))),"")</x:f>
      </x:c>
      <x:c r="L1012" t="str">
        <x:f>IF(K1012="","",ROW()-ROW($L$2)-INDEX($H$3:$H$168,K1012))</x:f>
      </x:c>
      <x:c r="M1012" t="str">
        <x:f>IF(K1012="","",IF(L1012=1,1,FIND(CHAR(1),SUBSTITUTE(INDEX($B$3:$B$168,K1012),CHAR(10),CHAR(1),L1012-1))+1))</x:f>
      </x:c>
      <x:c r="N1012" t="str">
        <x:f>IF(K1012="","",IFERROR(FIND(CHAR(1),SUBSTITUTE(INDEX($B$3:$B$168,K1012),CHAR(10),CHAR(1),L1012)),LEN(INDEX($B$3:$B$168,K1012))+1))</x:f>
      </x:c>
    </x:row>
    <x:row r="1013">
      <x:c r="A1013"/>
      <x:c r="B1013"/>
      <x:c r="C1013"/>
      <x:c r="D1013" t="str">
        <x:f>IFERROR(IF(1011&lt;=$O$1,INDEX($A$3:$A$168,MATCH(1011,$I$3:$I$168,0)),IF(1011&lt;=$O$1+$O$2,INDEX($F$3:$F$1994,MATCH(1011-$O$1,$G$3:$G$1994,0)),"")),"")</x:f>
      </x:c>
      <x:c r="E1013" t="str">
        <x:f>IF(K1013="","",IF(N1013&lt;=M1013,"",TRIM(CLEAN(MID(INDEX($B$3:$B$168,K1013),M1013,N1013-M1013)))))</x:f>
      </x:c>
      <x:c r="F1013" t="str">
        <x:f>IF(E1013="","",IF(E1013=TRIM(INDEX($A$3:$A$168,K1013)),"",IF(RIGHT(TRIM(INDEX($A$3:$A$168,K1013)),1)="]",LEFT(TRIM(INDEX($A$3:$A$168,K1013)),LEN(TRIM(INDEX($A$3:$A$168,K1013)))-1)&amp;", "&amp;SUBSTITUTE(SUBSTITUTE(SUBSTITUTE(E1013," [",", "),"[",", "),"]","")&amp;"]",TRIM(INDEX($A$3:$A$168,K1013))&amp;" ["&amp;SUBSTITUTE(SUBSTITUTE(SUBSTITUTE(E1013," [",", "),"[",", "),"]","")&amp;"]")))</x:f>
      </x:c>
      <x:c r="G1013" t="str">
        <x:f>IF(F1013&lt;&gt;"",ROWS($F$3:F1013)-COUNTBLANK($F$3:F1013),"")</x:f>
      </x:c>
      <x:c r="H1013"/>
      <x:c r="I1013"/>
      <x:c r="J1013"/>
      <x:c r="K1013" t="str">
        <x:f>IF(ROW()-ROW($K$2)&lt;=SUM($J$3:$J$168),COUNTIF($H$3:$H$168,"&lt;"&amp;(ROW()-ROW($K$2))),"")</x:f>
      </x:c>
      <x:c r="L1013" t="str">
        <x:f>IF(K1013="","",ROW()-ROW($L$2)-INDEX($H$3:$H$168,K1013))</x:f>
      </x:c>
      <x:c r="M1013" t="str">
        <x:f>IF(K1013="","",IF(L1013=1,1,FIND(CHAR(1),SUBSTITUTE(INDEX($B$3:$B$168,K1013),CHAR(10),CHAR(1),L1013-1))+1))</x:f>
      </x:c>
      <x:c r="N1013" t="str">
        <x:f>IF(K1013="","",IFERROR(FIND(CHAR(1),SUBSTITUTE(INDEX($B$3:$B$168,K1013),CHAR(10),CHAR(1),L1013)),LEN(INDEX($B$3:$B$168,K1013))+1))</x:f>
      </x:c>
    </x:row>
    <x:row r="1014">
      <x:c r="A1014"/>
      <x:c r="B1014"/>
      <x:c r="C1014"/>
      <x:c r="D1014" t="str">
        <x:f>IFERROR(IF(1012&lt;=$O$1,INDEX($A$3:$A$168,MATCH(1012,$I$3:$I$168,0)),IF(1012&lt;=$O$1+$O$2,INDEX($F$3:$F$1994,MATCH(1012-$O$1,$G$3:$G$1994,0)),"")),"")</x:f>
      </x:c>
      <x:c r="E1014" t="str">
        <x:f>IF(K1014="","",IF(N1014&lt;=M1014,"",TRIM(CLEAN(MID(INDEX($B$3:$B$168,K1014),M1014,N1014-M1014)))))</x:f>
      </x:c>
      <x:c r="F1014" t="str">
        <x:f>IF(E1014="","",IF(E1014=TRIM(INDEX($A$3:$A$168,K1014)),"",IF(RIGHT(TRIM(INDEX($A$3:$A$168,K1014)),1)="]",LEFT(TRIM(INDEX($A$3:$A$168,K1014)),LEN(TRIM(INDEX($A$3:$A$168,K1014)))-1)&amp;", "&amp;SUBSTITUTE(SUBSTITUTE(SUBSTITUTE(E1014," [",", "),"[",", "),"]","")&amp;"]",TRIM(INDEX($A$3:$A$168,K1014))&amp;" ["&amp;SUBSTITUTE(SUBSTITUTE(SUBSTITUTE(E1014," [",", "),"[",", "),"]","")&amp;"]")))</x:f>
      </x:c>
      <x:c r="G1014" t="str">
        <x:f>IF(F1014&lt;&gt;"",ROWS($F$3:F1014)-COUNTBLANK($F$3:F1014),"")</x:f>
      </x:c>
      <x:c r="H1014"/>
      <x:c r="I1014"/>
      <x:c r="J1014"/>
      <x:c r="K1014" t="str">
        <x:f>IF(ROW()-ROW($K$2)&lt;=SUM($J$3:$J$168),COUNTIF($H$3:$H$168,"&lt;"&amp;(ROW()-ROW($K$2))),"")</x:f>
      </x:c>
      <x:c r="L1014" t="str">
        <x:f>IF(K1014="","",ROW()-ROW($L$2)-INDEX($H$3:$H$168,K1014))</x:f>
      </x:c>
      <x:c r="M1014" t="str">
        <x:f>IF(K1014="","",IF(L1014=1,1,FIND(CHAR(1),SUBSTITUTE(INDEX($B$3:$B$168,K1014),CHAR(10),CHAR(1),L1014-1))+1))</x:f>
      </x:c>
      <x:c r="N1014" t="str">
        <x:f>IF(K1014="","",IFERROR(FIND(CHAR(1),SUBSTITUTE(INDEX($B$3:$B$168,K1014),CHAR(10),CHAR(1),L1014)),LEN(INDEX($B$3:$B$168,K1014))+1))</x:f>
      </x:c>
    </x:row>
    <x:row r="1015">
      <x:c r="A1015"/>
      <x:c r="B1015"/>
      <x:c r="C1015"/>
      <x:c r="D1015" t="str">
        <x:f>IFERROR(IF(1013&lt;=$O$1,INDEX($A$3:$A$168,MATCH(1013,$I$3:$I$168,0)),IF(1013&lt;=$O$1+$O$2,INDEX($F$3:$F$1994,MATCH(1013-$O$1,$G$3:$G$1994,0)),"")),"")</x:f>
      </x:c>
      <x:c r="E1015" t="str">
        <x:f>IF(K1015="","",IF(N1015&lt;=M1015,"",TRIM(CLEAN(MID(INDEX($B$3:$B$168,K1015),M1015,N1015-M1015)))))</x:f>
      </x:c>
      <x:c r="F1015" t="str">
        <x:f>IF(E1015="","",IF(E1015=TRIM(INDEX($A$3:$A$168,K1015)),"",IF(RIGHT(TRIM(INDEX($A$3:$A$168,K1015)),1)="]",LEFT(TRIM(INDEX($A$3:$A$168,K1015)),LEN(TRIM(INDEX($A$3:$A$168,K1015)))-1)&amp;", "&amp;SUBSTITUTE(SUBSTITUTE(SUBSTITUTE(E1015," [",", "),"[",", "),"]","")&amp;"]",TRIM(INDEX($A$3:$A$168,K1015))&amp;" ["&amp;SUBSTITUTE(SUBSTITUTE(SUBSTITUTE(E1015," [",", "),"[",", "),"]","")&amp;"]")))</x:f>
      </x:c>
      <x:c r="G1015" t="str">
        <x:f>IF(F1015&lt;&gt;"",ROWS($F$3:F1015)-COUNTBLANK($F$3:F1015),"")</x:f>
      </x:c>
      <x:c r="H1015"/>
      <x:c r="I1015"/>
      <x:c r="J1015"/>
      <x:c r="K1015" t="str">
        <x:f>IF(ROW()-ROW($K$2)&lt;=SUM($J$3:$J$168),COUNTIF($H$3:$H$168,"&lt;"&amp;(ROW()-ROW($K$2))),"")</x:f>
      </x:c>
      <x:c r="L1015" t="str">
        <x:f>IF(K1015="","",ROW()-ROW($L$2)-INDEX($H$3:$H$168,K1015))</x:f>
      </x:c>
      <x:c r="M1015" t="str">
        <x:f>IF(K1015="","",IF(L1015=1,1,FIND(CHAR(1),SUBSTITUTE(INDEX($B$3:$B$168,K1015),CHAR(10),CHAR(1),L1015-1))+1))</x:f>
      </x:c>
      <x:c r="N1015" t="str">
        <x:f>IF(K1015="","",IFERROR(FIND(CHAR(1),SUBSTITUTE(INDEX($B$3:$B$168,K1015),CHAR(10),CHAR(1),L1015)),LEN(INDEX($B$3:$B$168,K1015))+1))</x:f>
      </x:c>
    </x:row>
    <x:row r="1016">
      <x:c r="A1016"/>
      <x:c r="B1016"/>
      <x:c r="C1016"/>
      <x:c r="D1016" t="str">
        <x:f>IFERROR(IF(1014&lt;=$O$1,INDEX($A$3:$A$168,MATCH(1014,$I$3:$I$168,0)),IF(1014&lt;=$O$1+$O$2,INDEX($F$3:$F$1994,MATCH(1014-$O$1,$G$3:$G$1994,0)),"")),"")</x:f>
      </x:c>
      <x:c r="E1016" t="str">
        <x:f>IF(K1016="","",IF(N1016&lt;=M1016,"",TRIM(CLEAN(MID(INDEX($B$3:$B$168,K1016),M1016,N1016-M1016)))))</x:f>
      </x:c>
      <x:c r="F1016" t="str">
        <x:f>IF(E1016="","",IF(E1016=TRIM(INDEX($A$3:$A$168,K1016)),"",IF(RIGHT(TRIM(INDEX($A$3:$A$168,K1016)),1)="]",LEFT(TRIM(INDEX($A$3:$A$168,K1016)),LEN(TRIM(INDEX($A$3:$A$168,K1016)))-1)&amp;", "&amp;SUBSTITUTE(SUBSTITUTE(SUBSTITUTE(E1016," [",", "),"[",", "),"]","")&amp;"]",TRIM(INDEX($A$3:$A$168,K1016))&amp;" ["&amp;SUBSTITUTE(SUBSTITUTE(SUBSTITUTE(E1016," [",", "),"[",", "),"]","")&amp;"]")))</x:f>
      </x:c>
      <x:c r="G1016" t="str">
        <x:f>IF(F1016&lt;&gt;"",ROWS($F$3:F1016)-COUNTBLANK($F$3:F1016),"")</x:f>
      </x:c>
      <x:c r="H1016"/>
      <x:c r="I1016"/>
      <x:c r="J1016"/>
      <x:c r="K1016" t="str">
        <x:f>IF(ROW()-ROW($K$2)&lt;=SUM($J$3:$J$168),COUNTIF($H$3:$H$168,"&lt;"&amp;(ROW()-ROW($K$2))),"")</x:f>
      </x:c>
      <x:c r="L1016" t="str">
        <x:f>IF(K1016="","",ROW()-ROW($L$2)-INDEX($H$3:$H$168,K1016))</x:f>
      </x:c>
      <x:c r="M1016" t="str">
        <x:f>IF(K1016="","",IF(L1016=1,1,FIND(CHAR(1),SUBSTITUTE(INDEX($B$3:$B$168,K1016),CHAR(10),CHAR(1),L1016-1))+1))</x:f>
      </x:c>
      <x:c r="N1016" t="str">
        <x:f>IF(K1016="","",IFERROR(FIND(CHAR(1),SUBSTITUTE(INDEX($B$3:$B$168,K1016),CHAR(10),CHAR(1),L1016)),LEN(INDEX($B$3:$B$168,K1016))+1))</x:f>
      </x:c>
    </x:row>
    <x:row r="1017">
      <x:c r="A1017"/>
      <x:c r="B1017"/>
      <x:c r="C1017"/>
      <x:c r="D1017" t="str">
        <x:f>IFERROR(IF(1015&lt;=$O$1,INDEX($A$3:$A$168,MATCH(1015,$I$3:$I$168,0)),IF(1015&lt;=$O$1+$O$2,INDEX($F$3:$F$1994,MATCH(1015-$O$1,$G$3:$G$1994,0)),"")),"")</x:f>
      </x:c>
      <x:c r="E1017" t="str">
        <x:f>IF(K1017="","",IF(N1017&lt;=M1017,"",TRIM(CLEAN(MID(INDEX($B$3:$B$168,K1017),M1017,N1017-M1017)))))</x:f>
      </x:c>
      <x:c r="F1017" t="str">
        <x:f>IF(E1017="","",IF(E1017=TRIM(INDEX($A$3:$A$168,K1017)),"",IF(RIGHT(TRIM(INDEX($A$3:$A$168,K1017)),1)="]",LEFT(TRIM(INDEX($A$3:$A$168,K1017)),LEN(TRIM(INDEX($A$3:$A$168,K1017)))-1)&amp;", "&amp;SUBSTITUTE(SUBSTITUTE(SUBSTITUTE(E1017," [",", "),"[",", "),"]","")&amp;"]",TRIM(INDEX($A$3:$A$168,K1017))&amp;" ["&amp;SUBSTITUTE(SUBSTITUTE(SUBSTITUTE(E1017," [",", "),"[",", "),"]","")&amp;"]")))</x:f>
      </x:c>
      <x:c r="G1017" t="str">
        <x:f>IF(F1017&lt;&gt;"",ROWS($F$3:F1017)-COUNTBLANK($F$3:F1017),"")</x:f>
      </x:c>
      <x:c r="H1017"/>
      <x:c r="I1017"/>
      <x:c r="J1017"/>
      <x:c r="K1017" t="str">
        <x:f>IF(ROW()-ROW($K$2)&lt;=SUM($J$3:$J$168),COUNTIF($H$3:$H$168,"&lt;"&amp;(ROW()-ROW($K$2))),"")</x:f>
      </x:c>
      <x:c r="L1017" t="str">
        <x:f>IF(K1017="","",ROW()-ROW($L$2)-INDEX($H$3:$H$168,K1017))</x:f>
      </x:c>
      <x:c r="M1017" t="str">
        <x:f>IF(K1017="","",IF(L1017=1,1,FIND(CHAR(1),SUBSTITUTE(INDEX($B$3:$B$168,K1017),CHAR(10),CHAR(1),L1017-1))+1))</x:f>
      </x:c>
      <x:c r="N1017" t="str">
        <x:f>IF(K1017="","",IFERROR(FIND(CHAR(1),SUBSTITUTE(INDEX($B$3:$B$168,K1017),CHAR(10),CHAR(1),L1017)),LEN(INDEX($B$3:$B$168,K1017))+1))</x:f>
      </x:c>
    </x:row>
    <x:row r="1018">
      <x:c r="A1018"/>
      <x:c r="B1018"/>
      <x:c r="C1018"/>
      <x:c r="D1018" t="str">
        <x:f>IFERROR(IF(1016&lt;=$O$1,INDEX($A$3:$A$168,MATCH(1016,$I$3:$I$168,0)),IF(1016&lt;=$O$1+$O$2,INDEX($F$3:$F$1994,MATCH(1016-$O$1,$G$3:$G$1994,0)),"")),"")</x:f>
      </x:c>
      <x:c r="E1018" t="str">
        <x:f>IF(K1018="","",IF(N1018&lt;=M1018,"",TRIM(CLEAN(MID(INDEX($B$3:$B$168,K1018),M1018,N1018-M1018)))))</x:f>
      </x:c>
      <x:c r="F1018" t="str">
        <x:f>IF(E1018="","",IF(E1018=TRIM(INDEX($A$3:$A$168,K1018)),"",IF(RIGHT(TRIM(INDEX($A$3:$A$168,K1018)),1)="]",LEFT(TRIM(INDEX($A$3:$A$168,K1018)),LEN(TRIM(INDEX($A$3:$A$168,K1018)))-1)&amp;", "&amp;SUBSTITUTE(SUBSTITUTE(SUBSTITUTE(E1018," [",", "),"[",", "),"]","")&amp;"]",TRIM(INDEX($A$3:$A$168,K1018))&amp;" ["&amp;SUBSTITUTE(SUBSTITUTE(SUBSTITUTE(E1018," [",", "),"[",", "),"]","")&amp;"]")))</x:f>
      </x:c>
      <x:c r="G1018" t="str">
        <x:f>IF(F1018&lt;&gt;"",ROWS($F$3:F1018)-COUNTBLANK($F$3:F1018),"")</x:f>
      </x:c>
      <x:c r="H1018"/>
      <x:c r="I1018"/>
      <x:c r="J1018"/>
      <x:c r="K1018" t="str">
        <x:f>IF(ROW()-ROW($K$2)&lt;=SUM($J$3:$J$168),COUNTIF($H$3:$H$168,"&lt;"&amp;(ROW()-ROW($K$2))),"")</x:f>
      </x:c>
      <x:c r="L1018" t="str">
        <x:f>IF(K1018="","",ROW()-ROW($L$2)-INDEX($H$3:$H$168,K1018))</x:f>
      </x:c>
      <x:c r="M1018" t="str">
        <x:f>IF(K1018="","",IF(L1018=1,1,FIND(CHAR(1),SUBSTITUTE(INDEX($B$3:$B$168,K1018),CHAR(10),CHAR(1),L1018-1))+1))</x:f>
      </x:c>
      <x:c r="N1018" t="str">
        <x:f>IF(K1018="","",IFERROR(FIND(CHAR(1),SUBSTITUTE(INDEX($B$3:$B$168,K1018),CHAR(10),CHAR(1),L1018)),LEN(INDEX($B$3:$B$168,K1018))+1))</x:f>
      </x:c>
    </x:row>
    <x:row r="1019">
      <x:c r="A1019"/>
      <x:c r="B1019"/>
      <x:c r="C1019"/>
      <x:c r="D1019" t="str">
        <x:f>IFERROR(IF(1017&lt;=$O$1,INDEX($A$3:$A$168,MATCH(1017,$I$3:$I$168,0)),IF(1017&lt;=$O$1+$O$2,INDEX($F$3:$F$1994,MATCH(1017-$O$1,$G$3:$G$1994,0)),"")),"")</x:f>
      </x:c>
      <x:c r="E1019" t="str">
        <x:f>IF(K1019="","",IF(N1019&lt;=M1019,"",TRIM(CLEAN(MID(INDEX($B$3:$B$168,K1019),M1019,N1019-M1019)))))</x:f>
      </x:c>
      <x:c r="F1019" t="str">
        <x:f>IF(E1019="","",IF(E1019=TRIM(INDEX($A$3:$A$168,K1019)),"",IF(RIGHT(TRIM(INDEX($A$3:$A$168,K1019)),1)="]",LEFT(TRIM(INDEX($A$3:$A$168,K1019)),LEN(TRIM(INDEX($A$3:$A$168,K1019)))-1)&amp;", "&amp;SUBSTITUTE(SUBSTITUTE(SUBSTITUTE(E1019," [",", "),"[",", "),"]","")&amp;"]",TRIM(INDEX($A$3:$A$168,K1019))&amp;" ["&amp;SUBSTITUTE(SUBSTITUTE(SUBSTITUTE(E1019," [",", "),"[",", "),"]","")&amp;"]")))</x:f>
      </x:c>
      <x:c r="G1019" t="str">
        <x:f>IF(F1019&lt;&gt;"",ROWS($F$3:F1019)-COUNTBLANK($F$3:F1019),"")</x:f>
      </x:c>
      <x:c r="H1019"/>
      <x:c r="I1019"/>
      <x:c r="J1019"/>
      <x:c r="K1019" t="str">
        <x:f>IF(ROW()-ROW($K$2)&lt;=SUM($J$3:$J$168),COUNTIF($H$3:$H$168,"&lt;"&amp;(ROW()-ROW($K$2))),"")</x:f>
      </x:c>
      <x:c r="L1019" t="str">
        <x:f>IF(K1019="","",ROW()-ROW($L$2)-INDEX($H$3:$H$168,K1019))</x:f>
      </x:c>
      <x:c r="M1019" t="str">
        <x:f>IF(K1019="","",IF(L1019=1,1,FIND(CHAR(1),SUBSTITUTE(INDEX($B$3:$B$168,K1019),CHAR(10),CHAR(1),L1019-1))+1))</x:f>
      </x:c>
      <x:c r="N1019" t="str">
        <x:f>IF(K1019="","",IFERROR(FIND(CHAR(1),SUBSTITUTE(INDEX($B$3:$B$168,K1019),CHAR(10),CHAR(1),L1019)),LEN(INDEX($B$3:$B$168,K1019))+1))</x:f>
      </x:c>
    </x:row>
    <x:row r="1020">
      <x:c r="A1020"/>
      <x:c r="B1020"/>
      <x:c r="C1020"/>
      <x:c r="D1020" t="str">
        <x:f>IFERROR(IF(1018&lt;=$O$1,INDEX($A$3:$A$168,MATCH(1018,$I$3:$I$168,0)),IF(1018&lt;=$O$1+$O$2,INDEX($F$3:$F$1994,MATCH(1018-$O$1,$G$3:$G$1994,0)),"")),"")</x:f>
      </x:c>
      <x:c r="E1020" t="str">
        <x:f>IF(K1020="","",IF(N1020&lt;=M1020,"",TRIM(CLEAN(MID(INDEX($B$3:$B$168,K1020),M1020,N1020-M1020)))))</x:f>
      </x:c>
      <x:c r="F1020" t="str">
        <x:f>IF(E1020="","",IF(E1020=TRIM(INDEX($A$3:$A$168,K1020)),"",IF(RIGHT(TRIM(INDEX($A$3:$A$168,K1020)),1)="]",LEFT(TRIM(INDEX($A$3:$A$168,K1020)),LEN(TRIM(INDEX($A$3:$A$168,K1020)))-1)&amp;", "&amp;SUBSTITUTE(SUBSTITUTE(SUBSTITUTE(E1020," [",", "),"[",", "),"]","")&amp;"]",TRIM(INDEX($A$3:$A$168,K1020))&amp;" ["&amp;SUBSTITUTE(SUBSTITUTE(SUBSTITUTE(E1020," [",", "),"[",", "),"]","")&amp;"]")))</x:f>
      </x:c>
      <x:c r="G1020" t="str">
        <x:f>IF(F1020&lt;&gt;"",ROWS($F$3:F1020)-COUNTBLANK($F$3:F1020),"")</x:f>
      </x:c>
      <x:c r="H1020"/>
      <x:c r="I1020"/>
      <x:c r="J1020"/>
      <x:c r="K1020" t="str">
        <x:f>IF(ROW()-ROW($K$2)&lt;=SUM($J$3:$J$168),COUNTIF($H$3:$H$168,"&lt;"&amp;(ROW()-ROW($K$2))),"")</x:f>
      </x:c>
      <x:c r="L1020" t="str">
        <x:f>IF(K1020="","",ROW()-ROW($L$2)-INDEX($H$3:$H$168,K1020))</x:f>
      </x:c>
      <x:c r="M1020" t="str">
        <x:f>IF(K1020="","",IF(L1020=1,1,FIND(CHAR(1),SUBSTITUTE(INDEX($B$3:$B$168,K1020),CHAR(10),CHAR(1),L1020-1))+1))</x:f>
      </x:c>
      <x:c r="N1020" t="str">
        <x:f>IF(K1020="","",IFERROR(FIND(CHAR(1),SUBSTITUTE(INDEX($B$3:$B$168,K1020),CHAR(10),CHAR(1),L1020)),LEN(INDEX($B$3:$B$168,K1020))+1))</x:f>
      </x:c>
    </x:row>
    <x:row r="1021">
      <x:c r="A1021"/>
      <x:c r="B1021"/>
      <x:c r="C1021"/>
      <x:c r="D1021" t="str">
        <x:f>IFERROR(IF(1019&lt;=$O$1,INDEX($A$3:$A$168,MATCH(1019,$I$3:$I$168,0)),IF(1019&lt;=$O$1+$O$2,INDEX($F$3:$F$1994,MATCH(1019-$O$1,$G$3:$G$1994,0)),"")),"")</x:f>
      </x:c>
      <x:c r="E1021" t="str">
        <x:f>IF(K1021="","",IF(N1021&lt;=M1021,"",TRIM(CLEAN(MID(INDEX($B$3:$B$168,K1021),M1021,N1021-M1021)))))</x:f>
      </x:c>
      <x:c r="F1021" t="str">
        <x:f>IF(E1021="","",IF(E1021=TRIM(INDEX($A$3:$A$168,K1021)),"",IF(RIGHT(TRIM(INDEX($A$3:$A$168,K1021)),1)="]",LEFT(TRIM(INDEX($A$3:$A$168,K1021)),LEN(TRIM(INDEX($A$3:$A$168,K1021)))-1)&amp;", "&amp;SUBSTITUTE(SUBSTITUTE(SUBSTITUTE(E1021," [",", "),"[",", "),"]","")&amp;"]",TRIM(INDEX($A$3:$A$168,K1021))&amp;" ["&amp;SUBSTITUTE(SUBSTITUTE(SUBSTITUTE(E1021," [",", "),"[",", "),"]","")&amp;"]")))</x:f>
      </x:c>
      <x:c r="G1021" t="str">
        <x:f>IF(F1021&lt;&gt;"",ROWS($F$3:F1021)-COUNTBLANK($F$3:F1021),"")</x:f>
      </x:c>
      <x:c r="H1021"/>
      <x:c r="I1021"/>
      <x:c r="J1021"/>
      <x:c r="K1021" t="str">
        <x:f>IF(ROW()-ROW($K$2)&lt;=SUM($J$3:$J$168),COUNTIF($H$3:$H$168,"&lt;"&amp;(ROW()-ROW($K$2))),"")</x:f>
      </x:c>
      <x:c r="L1021" t="str">
        <x:f>IF(K1021="","",ROW()-ROW($L$2)-INDEX($H$3:$H$168,K1021))</x:f>
      </x:c>
      <x:c r="M1021" t="str">
        <x:f>IF(K1021="","",IF(L1021=1,1,FIND(CHAR(1),SUBSTITUTE(INDEX($B$3:$B$168,K1021),CHAR(10),CHAR(1),L1021-1))+1))</x:f>
      </x:c>
      <x:c r="N1021" t="str">
        <x:f>IF(K1021="","",IFERROR(FIND(CHAR(1),SUBSTITUTE(INDEX($B$3:$B$168,K1021),CHAR(10),CHAR(1),L1021)),LEN(INDEX($B$3:$B$168,K1021))+1))</x:f>
      </x:c>
    </x:row>
    <x:row r="1022">
      <x:c r="A1022"/>
      <x:c r="B1022"/>
      <x:c r="C1022"/>
      <x:c r="D1022" t="str">
        <x:f>IFERROR(IF(1020&lt;=$O$1,INDEX($A$3:$A$168,MATCH(1020,$I$3:$I$168,0)),IF(1020&lt;=$O$1+$O$2,INDEX($F$3:$F$1994,MATCH(1020-$O$1,$G$3:$G$1994,0)),"")),"")</x:f>
      </x:c>
      <x:c r="E1022" t="str">
        <x:f>IF(K1022="","",IF(N1022&lt;=M1022,"",TRIM(CLEAN(MID(INDEX($B$3:$B$168,K1022),M1022,N1022-M1022)))))</x:f>
      </x:c>
      <x:c r="F1022" t="str">
        <x:f>IF(E1022="","",IF(E1022=TRIM(INDEX($A$3:$A$168,K1022)),"",IF(RIGHT(TRIM(INDEX($A$3:$A$168,K1022)),1)="]",LEFT(TRIM(INDEX($A$3:$A$168,K1022)),LEN(TRIM(INDEX($A$3:$A$168,K1022)))-1)&amp;", "&amp;SUBSTITUTE(SUBSTITUTE(SUBSTITUTE(E1022," [",", "),"[",", "),"]","")&amp;"]",TRIM(INDEX($A$3:$A$168,K1022))&amp;" ["&amp;SUBSTITUTE(SUBSTITUTE(SUBSTITUTE(E1022," [",", "),"[",", "),"]","")&amp;"]")))</x:f>
      </x:c>
      <x:c r="G1022" t="str">
        <x:f>IF(F1022&lt;&gt;"",ROWS($F$3:F1022)-COUNTBLANK($F$3:F1022),"")</x:f>
      </x:c>
      <x:c r="H1022"/>
      <x:c r="I1022"/>
      <x:c r="J1022"/>
      <x:c r="K1022" t="str">
        <x:f>IF(ROW()-ROW($K$2)&lt;=SUM($J$3:$J$168),COUNTIF($H$3:$H$168,"&lt;"&amp;(ROW()-ROW($K$2))),"")</x:f>
      </x:c>
      <x:c r="L1022" t="str">
        <x:f>IF(K1022="","",ROW()-ROW($L$2)-INDEX($H$3:$H$168,K1022))</x:f>
      </x:c>
      <x:c r="M1022" t="str">
        <x:f>IF(K1022="","",IF(L1022=1,1,FIND(CHAR(1),SUBSTITUTE(INDEX($B$3:$B$168,K1022),CHAR(10),CHAR(1),L1022-1))+1))</x:f>
      </x:c>
      <x:c r="N1022" t="str">
        <x:f>IF(K1022="","",IFERROR(FIND(CHAR(1),SUBSTITUTE(INDEX($B$3:$B$168,K1022),CHAR(10),CHAR(1),L1022)),LEN(INDEX($B$3:$B$168,K1022))+1))</x:f>
      </x:c>
    </x:row>
    <x:row r="1023">
      <x:c r="A1023"/>
      <x:c r="B1023"/>
      <x:c r="C1023"/>
      <x:c r="D1023" t="str">
        <x:f>IFERROR(IF(1021&lt;=$O$1,INDEX($A$3:$A$168,MATCH(1021,$I$3:$I$168,0)),IF(1021&lt;=$O$1+$O$2,INDEX($F$3:$F$1994,MATCH(1021-$O$1,$G$3:$G$1994,0)),"")),"")</x:f>
      </x:c>
      <x:c r="E1023" t="str">
        <x:f>IF(K1023="","",IF(N1023&lt;=M1023,"",TRIM(CLEAN(MID(INDEX($B$3:$B$168,K1023),M1023,N1023-M1023)))))</x:f>
      </x:c>
      <x:c r="F1023" t="str">
        <x:f>IF(E1023="","",IF(E1023=TRIM(INDEX($A$3:$A$168,K1023)),"",IF(RIGHT(TRIM(INDEX($A$3:$A$168,K1023)),1)="]",LEFT(TRIM(INDEX($A$3:$A$168,K1023)),LEN(TRIM(INDEX($A$3:$A$168,K1023)))-1)&amp;", "&amp;SUBSTITUTE(SUBSTITUTE(SUBSTITUTE(E1023," [",", "),"[",", "),"]","")&amp;"]",TRIM(INDEX($A$3:$A$168,K1023))&amp;" ["&amp;SUBSTITUTE(SUBSTITUTE(SUBSTITUTE(E1023," [",", "),"[",", "),"]","")&amp;"]")))</x:f>
      </x:c>
      <x:c r="G1023" t="str">
        <x:f>IF(F1023&lt;&gt;"",ROWS($F$3:F1023)-COUNTBLANK($F$3:F1023),"")</x:f>
      </x:c>
      <x:c r="H1023"/>
      <x:c r="I1023"/>
      <x:c r="J1023"/>
      <x:c r="K1023" t="str">
        <x:f>IF(ROW()-ROW($K$2)&lt;=SUM($J$3:$J$168),COUNTIF($H$3:$H$168,"&lt;"&amp;(ROW()-ROW($K$2))),"")</x:f>
      </x:c>
      <x:c r="L1023" t="str">
        <x:f>IF(K1023="","",ROW()-ROW($L$2)-INDEX($H$3:$H$168,K1023))</x:f>
      </x:c>
      <x:c r="M1023" t="str">
        <x:f>IF(K1023="","",IF(L1023=1,1,FIND(CHAR(1),SUBSTITUTE(INDEX($B$3:$B$168,K1023),CHAR(10),CHAR(1),L1023-1))+1))</x:f>
      </x:c>
      <x:c r="N1023" t="str">
        <x:f>IF(K1023="","",IFERROR(FIND(CHAR(1),SUBSTITUTE(INDEX($B$3:$B$168,K1023),CHAR(10),CHAR(1),L1023)),LEN(INDEX($B$3:$B$168,K1023))+1))</x:f>
      </x:c>
    </x:row>
    <x:row r="1024">
      <x:c r="A1024"/>
      <x:c r="B1024"/>
      <x:c r="C1024"/>
      <x:c r="D1024" t="str">
        <x:f>IFERROR(IF(1022&lt;=$O$1,INDEX($A$3:$A$168,MATCH(1022,$I$3:$I$168,0)),IF(1022&lt;=$O$1+$O$2,INDEX($F$3:$F$1994,MATCH(1022-$O$1,$G$3:$G$1994,0)),"")),"")</x:f>
      </x:c>
      <x:c r="E1024" t="str">
        <x:f>IF(K1024="","",IF(N1024&lt;=M1024,"",TRIM(CLEAN(MID(INDEX($B$3:$B$168,K1024),M1024,N1024-M1024)))))</x:f>
      </x:c>
      <x:c r="F1024" t="str">
        <x:f>IF(E1024="","",IF(E1024=TRIM(INDEX($A$3:$A$168,K1024)),"",IF(RIGHT(TRIM(INDEX($A$3:$A$168,K1024)),1)="]",LEFT(TRIM(INDEX($A$3:$A$168,K1024)),LEN(TRIM(INDEX($A$3:$A$168,K1024)))-1)&amp;", "&amp;SUBSTITUTE(SUBSTITUTE(SUBSTITUTE(E1024," [",", "),"[",", "),"]","")&amp;"]",TRIM(INDEX($A$3:$A$168,K1024))&amp;" ["&amp;SUBSTITUTE(SUBSTITUTE(SUBSTITUTE(E1024," [",", "),"[",", "),"]","")&amp;"]")))</x:f>
      </x:c>
      <x:c r="G1024" t="str">
        <x:f>IF(F1024&lt;&gt;"",ROWS($F$3:F1024)-COUNTBLANK($F$3:F1024),"")</x:f>
      </x:c>
      <x:c r="H1024"/>
      <x:c r="I1024"/>
      <x:c r="J1024"/>
      <x:c r="K1024" t="str">
        <x:f>IF(ROW()-ROW($K$2)&lt;=SUM($J$3:$J$168),COUNTIF($H$3:$H$168,"&lt;"&amp;(ROW()-ROW($K$2))),"")</x:f>
      </x:c>
      <x:c r="L1024" t="str">
        <x:f>IF(K1024="","",ROW()-ROW($L$2)-INDEX($H$3:$H$168,K1024))</x:f>
      </x:c>
      <x:c r="M1024" t="str">
        <x:f>IF(K1024="","",IF(L1024=1,1,FIND(CHAR(1),SUBSTITUTE(INDEX($B$3:$B$168,K1024),CHAR(10),CHAR(1),L1024-1))+1))</x:f>
      </x:c>
      <x:c r="N1024" t="str">
        <x:f>IF(K1024="","",IFERROR(FIND(CHAR(1),SUBSTITUTE(INDEX($B$3:$B$168,K1024),CHAR(10),CHAR(1),L1024)),LEN(INDEX($B$3:$B$168,K1024))+1))</x:f>
      </x:c>
    </x:row>
    <x:row r="1025">
      <x:c r="A1025"/>
      <x:c r="B1025"/>
      <x:c r="C1025"/>
      <x:c r="D1025" t="str">
        <x:f>IFERROR(IF(1023&lt;=$O$1,INDEX($A$3:$A$168,MATCH(1023,$I$3:$I$168,0)),IF(1023&lt;=$O$1+$O$2,INDEX($F$3:$F$1994,MATCH(1023-$O$1,$G$3:$G$1994,0)),"")),"")</x:f>
      </x:c>
      <x:c r="E1025" t="str">
        <x:f>IF(K1025="","",IF(N1025&lt;=M1025,"",TRIM(CLEAN(MID(INDEX($B$3:$B$168,K1025),M1025,N1025-M1025)))))</x:f>
      </x:c>
      <x:c r="F1025" t="str">
        <x:f>IF(E1025="","",IF(E1025=TRIM(INDEX($A$3:$A$168,K1025)),"",IF(RIGHT(TRIM(INDEX($A$3:$A$168,K1025)),1)="]",LEFT(TRIM(INDEX($A$3:$A$168,K1025)),LEN(TRIM(INDEX($A$3:$A$168,K1025)))-1)&amp;", "&amp;SUBSTITUTE(SUBSTITUTE(SUBSTITUTE(E1025," [",", "),"[",", "),"]","")&amp;"]",TRIM(INDEX($A$3:$A$168,K1025))&amp;" ["&amp;SUBSTITUTE(SUBSTITUTE(SUBSTITUTE(E1025," [",", "),"[",", "),"]","")&amp;"]")))</x:f>
      </x:c>
      <x:c r="G1025" t="str">
        <x:f>IF(F1025&lt;&gt;"",ROWS($F$3:F1025)-COUNTBLANK($F$3:F1025),"")</x:f>
      </x:c>
      <x:c r="H1025"/>
      <x:c r="I1025"/>
      <x:c r="J1025"/>
      <x:c r="K1025" t="str">
        <x:f>IF(ROW()-ROW($K$2)&lt;=SUM($J$3:$J$168),COUNTIF($H$3:$H$168,"&lt;"&amp;(ROW()-ROW($K$2))),"")</x:f>
      </x:c>
      <x:c r="L1025" t="str">
        <x:f>IF(K1025="","",ROW()-ROW($L$2)-INDEX($H$3:$H$168,K1025))</x:f>
      </x:c>
      <x:c r="M1025" t="str">
        <x:f>IF(K1025="","",IF(L1025=1,1,FIND(CHAR(1),SUBSTITUTE(INDEX($B$3:$B$168,K1025),CHAR(10),CHAR(1),L1025-1))+1))</x:f>
      </x:c>
      <x:c r="N1025" t="str">
        <x:f>IF(K1025="","",IFERROR(FIND(CHAR(1),SUBSTITUTE(INDEX($B$3:$B$168,K1025),CHAR(10),CHAR(1),L1025)),LEN(INDEX($B$3:$B$168,K1025))+1))</x:f>
      </x:c>
    </x:row>
    <x:row r="1026">
      <x:c r="A1026"/>
      <x:c r="B1026"/>
      <x:c r="C1026"/>
      <x:c r="D1026" t="str">
        <x:f>IFERROR(IF(1024&lt;=$O$1,INDEX($A$3:$A$168,MATCH(1024,$I$3:$I$168,0)),IF(1024&lt;=$O$1+$O$2,INDEX($F$3:$F$1994,MATCH(1024-$O$1,$G$3:$G$1994,0)),"")),"")</x:f>
      </x:c>
      <x:c r="E1026" t="str">
        <x:f>IF(K1026="","",IF(N1026&lt;=M1026,"",TRIM(CLEAN(MID(INDEX($B$3:$B$168,K1026),M1026,N1026-M1026)))))</x:f>
      </x:c>
      <x:c r="F1026" t="str">
        <x:f>IF(E1026="","",IF(E1026=TRIM(INDEX($A$3:$A$168,K1026)),"",IF(RIGHT(TRIM(INDEX($A$3:$A$168,K1026)),1)="]",LEFT(TRIM(INDEX($A$3:$A$168,K1026)),LEN(TRIM(INDEX($A$3:$A$168,K1026)))-1)&amp;", "&amp;SUBSTITUTE(SUBSTITUTE(SUBSTITUTE(E1026," [",", "),"[",", "),"]","")&amp;"]",TRIM(INDEX($A$3:$A$168,K1026))&amp;" ["&amp;SUBSTITUTE(SUBSTITUTE(SUBSTITUTE(E1026," [",", "),"[",", "),"]","")&amp;"]")))</x:f>
      </x:c>
      <x:c r="G1026" t="str">
        <x:f>IF(F1026&lt;&gt;"",ROWS($F$3:F1026)-COUNTBLANK($F$3:F1026),"")</x:f>
      </x:c>
      <x:c r="H1026"/>
      <x:c r="I1026"/>
      <x:c r="J1026"/>
      <x:c r="K1026" t="str">
        <x:f>IF(ROW()-ROW($K$2)&lt;=SUM($J$3:$J$168),COUNTIF($H$3:$H$168,"&lt;"&amp;(ROW()-ROW($K$2))),"")</x:f>
      </x:c>
      <x:c r="L1026" t="str">
        <x:f>IF(K1026="","",ROW()-ROW($L$2)-INDEX($H$3:$H$168,K1026))</x:f>
      </x:c>
      <x:c r="M1026" t="str">
        <x:f>IF(K1026="","",IF(L1026=1,1,FIND(CHAR(1),SUBSTITUTE(INDEX($B$3:$B$168,K1026),CHAR(10),CHAR(1),L1026-1))+1))</x:f>
      </x:c>
      <x:c r="N1026" t="str">
        <x:f>IF(K1026="","",IFERROR(FIND(CHAR(1),SUBSTITUTE(INDEX($B$3:$B$168,K1026),CHAR(10),CHAR(1),L1026)),LEN(INDEX($B$3:$B$168,K1026))+1))</x:f>
      </x:c>
    </x:row>
    <x:row r="1027">
      <x:c r="A1027"/>
      <x:c r="B1027"/>
      <x:c r="C1027"/>
      <x:c r="D1027" t="str">
        <x:f>IFERROR(IF(1025&lt;=$O$1,INDEX($A$3:$A$168,MATCH(1025,$I$3:$I$168,0)),IF(1025&lt;=$O$1+$O$2,INDEX($F$3:$F$1994,MATCH(1025-$O$1,$G$3:$G$1994,0)),"")),"")</x:f>
      </x:c>
      <x:c r="E1027" t="str">
        <x:f>IF(K1027="","",IF(N1027&lt;=M1027,"",TRIM(CLEAN(MID(INDEX($B$3:$B$168,K1027),M1027,N1027-M1027)))))</x:f>
      </x:c>
      <x:c r="F1027" t="str">
        <x:f>IF(E1027="","",IF(E1027=TRIM(INDEX($A$3:$A$168,K1027)),"",IF(RIGHT(TRIM(INDEX($A$3:$A$168,K1027)),1)="]",LEFT(TRIM(INDEX($A$3:$A$168,K1027)),LEN(TRIM(INDEX($A$3:$A$168,K1027)))-1)&amp;", "&amp;SUBSTITUTE(SUBSTITUTE(SUBSTITUTE(E1027," [",", "),"[",", "),"]","")&amp;"]",TRIM(INDEX($A$3:$A$168,K1027))&amp;" ["&amp;SUBSTITUTE(SUBSTITUTE(SUBSTITUTE(E1027," [",", "),"[",", "),"]","")&amp;"]")))</x:f>
      </x:c>
      <x:c r="G1027" t="str">
        <x:f>IF(F1027&lt;&gt;"",ROWS($F$3:F1027)-COUNTBLANK($F$3:F1027),"")</x:f>
      </x:c>
      <x:c r="H1027"/>
      <x:c r="I1027"/>
      <x:c r="J1027"/>
      <x:c r="K1027" t="str">
        <x:f>IF(ROW()-ROW($K$2)&lt;=SUM($J$3:$J$168),COUNTIF($H$3:$H$168,"&lt;"&amp;(ROW()-ROW($K$2))),"")</x:f>
      </x:c>
      <x:c r="L1027" t="str">
        <x:f>IF(K1027="","",ROW()-ROW($L$2)-INDEX($H$3:$H$168,K1027))</x:f>
      </x:c>
      <x:c r="M1027" t="str">
        <x:f>IF(K1027="","",IF(L1027=1,1,FIND(CHAR(1),SUBSTITUTE(INDEX($B$3:$B$168,K1027),CHAR(10),CHAR(1),L1027-1))+1))</x:f>
      </x:c>
      <x:c r="N1027" t="str">
        <x:f>IF(K1027="","",IFERROR(FIND(CHAR(1),SUBSTITUTE(INDEX($B$3:$B$168,K1027),CHAR(10),CHAR(1),L1027)),LEN(INDEX($B$3:$B$168,K1027))+1))</x:f>
      </x:c>
    </x:row>
    <x:row r="1028">
      <x:c r="A1028"/>
      <x:c r="B1028"/>
      <x:c r="C1028"/>
      <x:c r="D1028" t="str">
        <x:f>IFERROR(IF(1026&lt;=$O$1,INDEX($A$3:$A$168,MATCH(1026,$I$3:$I$168,0)),IF(1026&lt;=$O$1+$O$2,INDEX($F$3:$F$1994,MATCH(1026-$O$1,$G$3:$G$1994,0)),"")),"")</x:f>
      </x:c>
      <x:c r="E1028" t="str">
        <x:f>IF(K1028="","",IF(N1028&lt;=M1028,"",TRIM(CLEAN(MID(INDEX($B$3:$B$168,K1028),M1028,N1028-M1028)))))</x:f>
      </x:c>
      <x:c r="F1028" t="str">
        <x:f>IF(E1028="","",IF(E1028=TRIM(INDEX($A$3:$A$168,K1028)),"",IF(RIGHT(TRIM(INDEX($A$3:$A$168,K1028)),1)="]",LEFT(TRIM(INDEX($A$3:$A$168,K1028)),LEN(TRIM(INDEX($A$3:$A$168,K1028)))-1)&amp;", "&amp;SUBSTITUTE(SUBSTITUTE(SUBSTITUTE(E1028," [",", "),"[",", "),"]","")&amp;"]",TRIM(INDEX($A$3:$A$168,K1028))&amp;" ["&amp;SUBSTITUTE(SUBSTITUTE(SUBSTITUTE(E1028," [",", "),"[",", "),"]","")&amp;"]")))</x:f>
      </x:c>
      <x:c r="G1028" t="str">
        <x:f>IF(F1028&lt;&gt;"",ROWS($F$3:F1028)-COUNTBLANK($F$3:F1028),"")</x:f>
      </x:c>
      <x:c r="H1028"/>
      <x:c r="I1028"/>
      <x:c r="J1028"/>
      <x:c r="K1028" t="str">
        <x:f>IF(ROW()-ROW($K$2)&lt;=SUM($J$3:$J$168),COUNTIF($H$3:$H$168,"&lt;"&amp;(ROW()-ROW($K$2))),"")</x:f>
      </x:c>
      <x:c r="L1028" t="str">
        <x:f>IF(K1028="","",ROW()-ROW($L$2)-INDEX($H$3:$H$168,K1028))</x:f>
      </x:c>
      <x:c r="M1028" t="str">
        <x:f>IF(K1028="","",IF(L1028=1,1,FIND(CHAR(1),SUBSTITUTE(INDEX($B$3:$B$168,K1028),CHAR(10),CHAR(1),L1028-1))+1))</x:f>
      </x:c>
      <x:c r="N1028" t="str">
        <x:f>IF(K1028="","",IFERROR(FIND(CHAR(1),SUBSTITUTE(INDEX($B$3:$B$168,K1028),CHAR(10),CHAR(1),L1028)),LEN(INDEX($B$3:$B$168,K1028))+1))</x:f>
      </x:c>
    </x:row>
    <x:row r="1029">
      <x:c r="A1029"/>
      <x:c r="B1029"/>
      <x:c r="C1029"/>
      <x:c r="D1029" t="str">
        <x:f>IFERROR(IF(1027&lt;=$O$1,INDEX($A$3:$A$168,MATCH(1027,$I$3:$I$168,0)),IF(1027&lt;=$O$1+$O$2,INDEX($F$3:$F$1994,MATCH(1027-$O$1,$G$3:$G$1994,0)),"")),"")</x:f>
      </x:c>
      <x:c r="E1029" t="str">
        <x:f>IF(K1029="","",IF(N1029&lt;=M1029,"",TRIM(CLEAN(MID(INDEX($B$3:$B$168,K1029),M1029,N1029-M1029)))))</x:f>
      </x:c>
      <x:c r="F1029" t="str">
        <x:f>IF(E1029="","",IF(E1029=TRIM(INDEX($A$3:$A$168,K1029)),"",IF(RIGHT(TRIM(INDEX($A$3:$A$168,K1029)),1)="]",LEFT(TRIM(INDEX($A$3:$A$168,K1029)),LEN(TRIM(INDEX($A$3:$A$168,K1029)))-1)&amp;", "&amp;SUBSTITUTE(SUBSTITUTE(SUBSTITUTE(E1029," [",", "),"[",", "),"]","")&amp;"]",TRIM(INDEX($A$3:$A$168,K1029))&amp;" ["&amp;SUBSTITUTE(SUBSTITUTE(SUBSTITUTE(E1029," [",", "),"[",", "),"]","")&amp;"]")))</x:f>
      </x:c>
      <x:c r="G1029" t="str">
        <x:f>IF(F1029&lt;&gt;"",ROWS($F$3:F1029)-COUNTBLANK($F$3:F1029),"")</x:f>
      </x:c>
      <x:c r="H1029"/>
      <x:c r="I1029"/>
      <x:c r="J1029"/>
      <x:c r="K1029" t="str">
        <x:f>IF(ROW()-ROW($K$2)&lt;=SUM($J$3:$J$168),COUNTIF($H$3:$H$168,"&lt;"&amp;(ROW()-ROW($K$2))),"")</x:f>
      </x:c>
      <x:c r="L1029" t="str">
        <x:f>IF(K1029="","",ROW()-ROW($L$2)-INDEX($H$3:$H$168,K1029))</x:f>
      </x:c>
      <x:c r="M1029" t="str">
        <x:f>IF(K1029="","",IF(L1029=1,1,FIND(CHAR(1),SUBSTITUTE(INDEX($B$3:$B$168,K1029),CHAR(10),CHAR(1),L1029-1))+1))</x:f>
      </x:c>
      <x:c r="N1029" t="str">
        <x:f>IF(K1029="","",IFERROR(FIND(CHAR(1),SUBSTITUTE(INDEX($B$3:$B$168,K1029),CHAR(10),CHAR(1),L1029)),LEN(INDEX($B$3:$B$168,K1029))+1))</x:f>
      </x:c>
    </x:row>
    <x:row r="1030">
      <x:c r="A1030"/>
      <x:c r="B1030"/>
      <x:c r="C1030"/>
      <x:c r="D1030" t="str">
        <x:f>IFERROR(IF(1028&lt;=$O$1,INDEX($A$3:$A$168,MATCH(1028,$I$3:$I$168,0)),IF(1028&lt;=$O$1+$O$2,INDEX($F$3:$F$1994,MATCH(1028-$O$1,$G$3:$G$1994,0)),"")),"")</x:f>
      </x:c>
      <x:c r="E1030" t="str">
        <x:f>IF(K1030="","",IF(N1030&lt;=M1030,"",TRIM(CLEAN(MID(INDEX($B$3:$B$168,K1030),M1030,N1030-M1030)))))</x:f>
      </x:c>
      <x:c r="F1030" t="str">
        <x:f>IF(E1030="","",IF(E1030=TRIM(INDEX($A$3:$A$168,K1030)),"",IF(RIGHT(TRIM(INDEX($A$3:$A$168,K1030)),1)="]",LEFT(TRIM(INDEX($A$3:$A$168,K1030)),LEN(TRIM(INDEX($A$3:$A$168,K1030)))-1)&amp;", "&amp;SUBSTITUTE(SUBSTITUTE(SUBSTITUTE(E1030," [",", "),"[",", "),"]","")&amp;"]",TRIM(INDEX($A$3:$A$168,K1030))&amp;" ["&amp;SUBSTITUTE(SUBSTITUTE(SUBSTITUTE(E1030," [",", "),"[",", "),"]","")&amp;"]")))</x:f>
      </x:c>
      <x:c r="G1030" t="str">
        <x:f>IF(F1030&lt;&gt;"",ROWS($F$3:F1030)-COUNTBLANK($F$3:F1030),"")</x:f>
      </x:c>
      <x:c r="H1030"/>
      <x:c r="I1030"/>
      <x:c r="J1030"/>
      <x:c r="K1030" t="str">
        <x:f>IF(ROW()-ROW($K$2)&lt;=SUM($J$3:$J$168),COUNTIF($H$3:$H$168,"&lt;"&amp;(ROW()-ROW($K$2))),"")</x:f>
      </x:c>
      <x:c r="L1030" t="str">
        <x:f>IF(K1030="","",ROW()-ROW($L$2)-INDEX($H$3:$H$168,K1030))</x:f>
      </x:c>
      <x:c r="M1030" t="str">
        <x:f>IF(K1030="","",IF(L1030=1,1,FIND(CHAR(1),SUBSTITUTE(INDEX($B$3:$B$168,K1030),CHAR(10),CHAR(1),L1030-1))+1))</x:f>
      </x:c>
      <x:c r="N1030" t="str">
        <x:f>IF(K1030="","",IFERROR(FIND(CHAR(1),SUBSTITUTE(INDEX($B$3:$B$168,K1030),CHAR(10),CHAR(1),L1030)),LEN(INDEX($B$3:$B$168,K1030))+1))</x:f>
      </x:c>
    </x:row>
    <x:row r="1031">
      <x:c r="A1031"/>
      <x:c r="B1031"/>
      <x:c r="C1031"/>
      <x:c r="D1031" t="str">
        <x:f>IFERROR(IF(1029&lt;=$O$1,INDEX($A$3:$A$168,MATCH(1029,$I$3:$I$168,0)),IF(1029&lt;=$O$1+$O$2,INDEX($F$3:$F$1994,MATCH(1029-$O$1,$G$3:$G$1994,0)),"")),"")</x:f>
      </x:c>
      <x:c r="E1031" t="str">
        <x:f>IF(K1031="","",IF(N1031&lt;=M1031,"",TRIM(CLEAN(MID(INDEX($B$3:$B$168,K1031),M1031,N1031-M1031)))))</x:f>
      </x:c>
      <x:c r="F1031" t="str">
        <x:f>IF(E1031="","",IF(E1031=TRIM(INDEX($A$3:$A$168,K1031)),"",IF(RIGHT(TRIM(INDEX($A$3:$A$168,K1031)),1)="]",LEFT(TRIM(INDEX($A$3:$A$168,K1031)),LEN(TRIM(INDEX($A$3:$A$168,K1031)))-1)&amp;", "&amp;SUBSTITUTE(SUBSTITUTE(SUBSTITUTE(E1031," [",", "),"[",", "),"]","")&amp;"]",TRIM(INDEX($A$3:$A$168,K1031))&amp;" ["&amp;SUBSTITUTE(SUBSTITUTE(SUBSTITUTE(E1031," [",", "),"[",", "),"]","")&amp;"]")))</x:f>
      </x:c>
      <x:c r="G1031" t="str">
        <x:f>IF(F1031&lt;&gt;"",ROWS($F$3:F1031)-COUNTBLANK($F$3:F1031),"")</x:f>
      </x:c>
      <x:c r="H1031"/>
      <x:c r="I1031"/>
      <x:c r="J1031"/>
      <x:c r="K1031" t="str">
        <x:f>IF(ROW()-ROW($K$2)&lt;=SUM($J$3:$J$168),COUNTIF($H$3:$H$168,"&lt;"&amp;(ROW()-ROW($K$2))),"")</x:f>
      </x:c>
      <x:c r="L1031" t="str">
        <x:f>IF(K1031="","",ROW()-ROW($L$2)-INDEX($H$3:$H$168,K1031))</x:f>
      </x:c>
      <x:c r="M1031" t="str">
        <x:f>IF(K1031="","",IF(L1031=1,1,FIND(CHAR(1),SUBSTITUTE(INDEX($B$3:$B$168,K1031),CHAR(10),CHAR(1),L1031-1))+1))</x:f>
      </x:c>
      <x:c r="N1031" t="str">
        <x:f>IF(K1031="","",IFERROR(FIND(CHAR(1),SUBSTITUTE(INDEX($B$3:$B$168,K1031),CHAR(10),CHAR(1),L1031)),LEN(INDEX($B$3:$B$168,K1031))+1))</x:f>
      </x:c>
    </x:row>
    <x:row r="1032">
      <x:c r="A1032"/>
      <x:c r="B1032"/>
      <x:c r="C1032"/>
      <x:c r="D1032" t="str">
        <x:f>IFERROR(IF(1030&lt;=$O$1,INDEX($A$3:$A$168,MATCH(1030,$I$3:$I$168,0)),IF(1030&lt;=$O$1+$O$2,INDEX($F$3:$F$1994,MATCH(1030-$O$1,$G$3:$G$1994,0)),"")),"")</x:f>
      </x:c>
      <x:c r="E1032" t="str">
        <x:f>IF(K1032="","",IF(N1032&lt;=M1032,"",TRIM(CLEAN(MID(INDEX($B$3:$B$168,K1032),M1032,N1032-M1032)))))</x:f>
      </x:c>
      <x:c r="F1032" t="str">
        <x:f>IF(E1032="","",IF(E1032=TRIM(INDEX($A$3:$A$168,K1032)),"",IF(RIGHT(TRIM(INDEX($A$3:$A$168,K1032)),1)="]",LEFT(TRIM(INDEX($A$3:$A$168,K1032)),LEN(TRIM(INDEX($A$3:$A$168,K1032)))-1)&amp;", "&amp;SUBSTITUTE(SUBSTITUTE(SUBSTITUTE(E1032," [",", "),"[",", "),"]","")&amp;"]",TRIM(INDEX($A$3:$A$168,K1032))&amp;" ["&amp;SUBSTITUTE(SUBSTITUTE(SUBSTITUTE(E1032," [",", "),"[",", "),"]","")&amp;"]")))</x:f>
      </x:c>
      <x:c r="G1032" t="str">
        <x:f>IF(F1032&lt;&gt;"",ROWS($F$3:F1032)-COUNTBLANK($F$3:F1032),"")</x:f>
      </x:c>
      <x:c r="H1032"/>
      <x:c r="I1032"/>
      <x:c r="J1032"/>
      <x:c r="K1032" t="str">
        <x:f>IF(ROW()-ROW($K$2)&lt;=SUM($J$3:$J$168),COUNTIF($H$3:$H$168,"&lt;"&amp;(ROW()-ROW($K$2))),"")</x:f>
      </x:c>
      <x:c r="L1032" t="str">
        <x:f>IF(K1032="","",ROW()-ROW($L$2)-INDEX($H$3:$H$168,K1032))</x:f>
      </x:c>
      <x:c r="M1032" t="str">
        <x:f>IF(K1032="","",IF(L1032=1,1,FIND(CHAR(1),SUBSTITUTE(INDEX($B$3:$B$168,K1032),CHAR(10),CHAR(1),L1032-1))+1))</x:f>
      </x:c>
      <x:c r="N1032" t="str">
        <x:f>IF(K1032="","",IFERROR(FIND(CHAR(1),SUBSTITUTE(INDEX($B$3:$B$168,K1032),CHAR(10),CHAR(1),L1032)),LEN(INDEX($B$3:$B$168,K1032))+1))</x:f>
      </x:c>
    </x:row>
    <x:row r="1033">
      <x:c r="A1033"/>
      <x:c r="B1033"/>
      <x:c r="C1033"/>
      <x:c r="D1033" t="str">
        <x:f>IFERROR(IF(1031&lt;=$O$1,INDEX($A$3:$A$168,MATCH(1031,$I$3:$I$168,0)),IF(1031&lt;=$O$1+$O$2,INDEX($F$3:$F$1994,MATCH(1031-$O$1,$G$3:$G$1994,0)),"")),"")</x:f>
      </x:c>
      <x:c r="E1033" t="str">
        <x:f>IF(K1033="","",IF(N1033&lt;=M1033,"",TRIM(CLEAN(MID(INDEX($B$3:$B$168,K1033),M1033,N1033-M1033)))))</x:f>
      </x:c>
      <x:c r="F1033" t="str">
        <x:f>IF(E1033="","",IF(E1033=TRIM(INDEX($A$3:$A$168,K1033)),"",IF(RIGHT(TRIM(INDEX($A$3:$A$168,K1033)),1)="]",LEFT(TRIM(INDEX($A$3:$A$168,K1033)),LEN(TRIM(INDEX($A$3:$A$168,K1033)))-1)&amp;", "&amp;SUBSTITUTE(SUBSTITUTE(SUBSTITUTE(E1033," [",", "),"[",", "),"]","")&amp;"]",TRIM(INDEX($A$3:$A$168,K1033))&amp;" ["&amp;SUBSTITUTE(SUBSTITUTE(SUBSTITUTE(E1033," [",", "),"[",", "),"]","")&amp;"]")))</x:f>
      </x:c>
      <x:c r="G1033" t="str">
        <x:f>IF(F1033&lt;&gt;"",ROWS($F$3:F1033)-COUNTBLANK($F$3:F1033),"")</x:f>
      </x:c>
      <x:c r="H1033"/>
      <x:c r="I1033"/>
      <x:c r="J1033"/>
      <x:c r="K1033" t="str">
        <x:f>IF(ROW()-ROW($K$2)&lt;=SUM($J$3:$J$168),COUNTIF($H$3:$H$168,"&lt;"&amp;(ROW()-ROW($K$2))),"")</x:f>
      </x:c>
      <x:c r="L1033" t="str">
        <x:f>IF(K1033="","",ROW()-ROW($L$2)-INDEX($H$3:$H$168,K1033))</x:f>
      </x:c>
      <x:c r="M1033" t="str">
        <x:f>IF(K1033="","",IF(L1033=1,1,FIND(CHAR(1),SUBSTITUTE(INDEX($B$3:$B$168,K1033),CHAR(10),CHAR(1),L1033-1))+1))</x:f>
      </x:c>
      <x:c r="N1033" t="str">
        <x:f>IF(K1033="","",IFERROR(FIND(CHAR(1),SUBSTITUTE(INDEX($B$3:$B$168,K1033),CHAR(10),CHAR(1),L1033)),LEN(INDEX($B$3:$B$168,K1033))+1))</x:f>
      </x:c>
    </x:row>
    <x:row r="1034">
      <x:c r="A1034"/>
      <x:c r="B1034"/>
      <x:c r="C1034"/>
      <x:c r="D1034" t="str">
        <x:f>IFERROR(IF(1032&lt;=$O$1,INDEX($A$3:$A$168,MATCH(1032,$I$3:$I$168,0)),IF(1032&lt;=$O$1+$O$2,INDEX($F$3:$F$1994,MATCH(1032-$O$1,$G$3:$G$1994,0)),"")),"")</x:f>
      </x:c>
      <x:c r="E1034" t="str">
        <x:f>IF(K1034="","",IF(N1034&lt;=M1034,"",TRIM(CLEAN(MID(INDEX($B$3:$B$168,K1034),M1034,N1034-M1034)))))</x:f>
      </x:c>
      <x:c r="F1034" t="str">
        <x:f>IF(E1034="","",IF(E1034=TRIM(INDEX($A$3:$A$168,K1034)),"",IF(RIGHT(TRIM(INDEX($A$3:$A$168,K1034)),1)="]",LEFT(TRIM(INDEX($A$3:$A$168,K1034)),LEN(TRIM(INDEX($A$3:$A$168,K1034)))-1)&amp;", "&amp;SUBSTITUTE(SUBSTITUTE(SUBSTITUTE(E1034," [",", "),"[",", "),"]","")&amp;"]",TRIM(INDEX($A$3:$A$168,K1034))&amp;" ["&amp;SUBSTITUTE(SUBSTITUTE(SUBSTITUTE(E1034," [",", "),"[",", "),"]","")&amp;"]")))</x:f>
      </x:c>
      <x:c r="G1034" t="str">
        <x:f>IF(F1034&lt;&gt;"",ROWS($F$3:F1034)-COUNTBLANK($F$3:F1034),"")</x:f>
      </x:c>
      <x:c r="H1034"/>
      <x:c r="I1034"/>
      <x:c r="J1034"/>
      <x:c r="K1034" t="str">
        <x:f>IF(ROW()-ROW($K$2)&lt;=SUM($J$3:$J$168),COUNTIF($H$3:$H$168,"&lt;"&amp;(ROW()-ROW($K$2))),"")</x:f>
      </x:c>
      <x:c r="L1034" t="str">
        <x:f>IF(K1034="","",ROW()-ROW($L$2)-INDEX($H$3:$H$168,K1034))</x:f>
      </x:c>
      <x:c r="M1034" t="str">
        <x:f>IF(K1034="","",IF(L1034=1,1,FIND(CHAR(1),SUBSTITUTE(INDEX($B$3:$B$168,K1034),CHAR(10),CHAR(1),L1034-1))+1))</x:f>
      </x:c>
      <x:c r="N1034" t="str">
        <x:f>IF(K1034="","",IFERROR(FIND(CHAR(1),SUBSTITUTE(INDEX($B$3:$B$168,K1034),CHAR(10),CHAR(1),L1034)),LEN(INDEX($B$3:$B$168,K1034))+1))</x:f>
      </x:c>
    </x:row>
    <x:row r="1035">
      <x:c r="A1035"/>
      <x:c r="B1035"/>
      <x:c r="C1035"/>
      <x:c r="D1035" t="str">
        <x:f>IFERROR(IF(1033&lt;=$O$1,INDEX($A$3:$A$168,MATCH(1033,$I$3:$I$168,0)),IF(1033&lt;=$O$1+$O$2,INDEX($F$3:$F$1994,MATCH(1033-$O$1,$G$3:$G$1994,0)),"")),"")</x:f>
      </x:c>
      <x:c r="E1035" t="str">
        <x:f>IF(K1035="","",IF(N1035&lt;=M1035,"",TRIM(CLEAN(MID(INDEX($B$3:$B$168,K1035),M1035,N1035-M1035)))))</x:f>
      </x:c>
      <x:c r="F1035" t="str">
        <x:f>IF(E1035="","",IF(E1035=TRIM(INDEX($A$3:$A$168,K1035)),"",IF(RIGHT(TRIM(INDEX($A$3:$A$168,K1035)),1)="]",LEFT(TRIM(INDEX($A$3:$A$168,K1035)),LEN(TRIM(INDEX($A$3:$A$168,K1035)))-1)&amp;", "&amp;SUBSTITUTE(SUBSTITUTE(SUBSTITUTE(E1035," [",", "),"[",", "),"]","")&amp;"]",TRIM(INDEX($A$3:$A$168,K1035))&amp;" ["&amp;SUBSTITUTE(SUBSTITUTE(SUBSTITUTE(E1035," [",", "),"[",", "),"]","")&amp;"]")))</x:f>
      </x:c>
      <x:c r="G1035" t="str">
        <x:f>IF(F1035&lt;&gt;"",ROWS($F$3:F1035)-COUNTBLANK($F$3:F1035),"")</x:f>
      </x:c>
      <x:c r="H1035"/>
      <x:c r="I1035"/>
      <x:c r="J1035"/>
      <x:c r="K1035" t="str">
        <x:f>IF(ROW()-ROW($K$2)&lt;=SUM($J$3:$J$168),COUNTIF($H$3:$H$168,"&lt;"&amp;(ROW()-ROW($K$2))),"")</x:f>
      </x:c>
      <x:c r="L1035" t="str">
        <x:f>IF(K1035="","",ROW()-ROW($L$2)-INDEX($H$3:$H$168,K1035))</x:f>
      </x:c>
      <x:c r="M1035" t="str">
        <x:f>IF(K1035="","",IF(L1035=1,1,FIND(CHAR(1),SUBSTITUTE(INDEX($B$3:$B$168,K1035),CHAR(10),CHAR(1),L1035-1))+1))</x:f>
      </x:c>
      <x:c r="N1035" t="str">
        <x:f>IF(K1035="","",IFERROR(FIND(CHAR(1),SUBSTITUTE(INDEX($B$3:$B$168,K1035),CHAR(10),CHAR(1),L1035)),LEN(INDEX($B$3:$B$168,K1035))+1))</x:f>
      </x:c>
    </x:row>
    <x:row r="1036">
      <x:c r="A1036"/>
      <x:c r="B1036"/>
      <x:c r="C1036"/>
      <x:c r="D1036" t="str">
        <x:f>IFERROR(IF(1034&lt;=$O$1,INDEX($A$3:$A$168,MATCH(1034,$I$3:$I$168,0)),IF(1034&lt;=$O$1+$O$2,INDEX($F$3:$F$1994,MATCH(1034-$O$1,$G$3:$G$1994,0)),"")),"")</x:f>
      </x:c>
      <x:c r="E1036" t="str">
        <x:f>IF(K1036="","",IF(N1036&lt;=M1036,"",TRIM(CLEAN(MID(INDEX($B$3:$B$168,K1036),M1036,N1036-M1036)))))</x:f>
      </x:c>
      <x:c r="F1036" t="str">
        <x:f>IF(E1036="","",IF(E1036=TRIM(INDEX($A$3:$A$168,K1036)),"",IF(RIGHT(TRIM(INDEX($A$3:$A$168,K1036)),1)="]",LEFT(TRIM(INDEX($A$3:$A$168,K1036)),LEN(TRIM(INDEX($A$3:$A$168,K1036)))-1)&amp;", "&amp;SUBSTITUTE(SUBSTITUTE(SUBSTITUTE(E1036," [",", "),"[",", "),"]","")&amp;"]",TRIM(INDEX($A$3:$A$168,K1036))&amp;" ["&amp;SUBSTITUTE(SUBSTITUTE(SUBSTITUTE(E1036," [",", "),"[",", "),"]","")&amp;"]")))</x:f>
      </x:c>
      <x:c r="G1036" t="str">
        <x:f>IF(F1036&lt;&gt;"",ROWS($F$3:F1036)-COUNTBLANK($F$3:F1036),"")</x:f>
      </x:c>
      <x:c r="H1036"/>
      <x:c r="I1036"/>
      <x:c r="J1036"/>
      <x:c r="K1036" t="str">
        <x:f>IF(ROW()-ROW($K$2)&lt;=SUM($J$3:$J$168),COUNTIF($H$3:$H$168,"&lt;"&amp;(ROW()-ROW($K$2))),"")</x:f>
      </x:c>
      <x:c r="L1036" t="str">
        <x:f>IF(K1036="","",ROW()-ROW($L$2)-INDEX($H$3:$H$168,K1036))</x:f>
      </x:c>
      <x:c r="M1036" t="str">
        <x:f>IF(K1036="","",IF(L1036=1,1,FIND(CHAR(1),SUBSTITUTE(INDEX($B$3:$B$168,K1036),CHAR(10),CHAR(1),L1036-1))+1))</x:f>
      </x:c>
      <x:c r="N1036" t="str">
        <x:f>IF(K1036="","",IFERROR(FIND(CHAR(1),SUBSTITUTE(INDEX($B$3:$B$168,K1036),CHAR(10),CHAR(1),L1036)),LEN(INDEX($B$3:$B$168,K1036))+1))</x:f>
      </x:c>
    </x:row>
    <x:row r="1037">
      <x:c r="A1037"/>
      <x:c r="B1037"/>
      <x:c r="C1037"/>
      <x:c r="D1037" t="str">
        <x:f>IFERROR(IF(1035&lt;=$O$1,INDEX($A$3:$A$168,MATCH(1035,$I$3:$I$168,0)),IF(1035&lt;=$O$1+$O$2,INDEX($F$3:$F$1994,MATCH(1035-$O$1,$G$3:$G$1994,0)),"")),"")</x:f>
      </x:c>
      <x:c r="E1037" t="str">
        <x:f>IF(K1037="","",IF(N1037&lt;=M1037,"",TRIM(CLEAN(MID(INDEX($B$3:$B$168,K1037),M1037,N1037-M1037)))))</x:f>
      </x:c>
      <x:c r="F1037" t="str">
        <x:f>IF(E1037="","",IF(E1037=TRIM(INDEX($A$3:$A$168,K1037)),"",IF(RIGHT(TRIM(INDEX($A$3:$A$168,K1037)),1)="]",LEFT(TRIM(INDEX($A$3:$A$168,K1037)),LEN(TRIM(INDEX($A$3:$A$168,K1037)))-1)&amp;", "&amp;SUBSTITUTE(SUBSTITUTE(SUBSTITUTE(E1037," [",", "),"[",", "),"]","")&amp;"]",TRIM(INDEX($A$3:$A$168,K1037))&amp;" ["&amp;SUBSTITUTE(SUBSTITUTE(SUBSTITUTE(E1037," [",", "),"[",", "),"]","")&amp;"]")))</x:f>
      </x:c>
      <x:c r="G1037" t="str">
        <x:f>IF(F1037&lt;&gt;"",ROWS($F$3:F1037)-COUNTBLANK($F$3:F1037),"")</x:f>
      </x:c>
      <x:c r="H1037"/>
      <x:c r="I1037"/>
      <x:c r="J1037"/>
      <x:c r="K1037" t="str">
        <x:f>IF(ROW()-ROW($K$2)&lt;=SUM($J$3:$J$168),COUNTIF($H$3:$H$168,"&lt;"&amp;(ROW()-ROW($K$2))),"")</x:f>
      </x:c>
      <x:c r="L1037" t="str">
        <x:f>IF(K1037="","",ROW()-ROW($L$2)-INDEX($H$3:$H$168,K1037))</x:f>
      </x:c>
      <x:c r="M1037" t="str">
        <x:f>IF(K1037="","",IF(L1037=1,1,FIND(CHAR(1),SUBSTITUTE(INDEX($B$3:$B$168,K1037),CHAR(10),CHAR(1),L1037-1))+1))</x:f>
      </x:c>
      <x:c r="N1037" t="str">
        <x:f>IF(K1037="","",IFERROR(FIND(CHAR(1),SUBSTITUTE(INDEX($B$3:$B$168,K1037),CHAR(10),CHAR(1),L1037)),LEN(INDEX($B$3:$B$168,K1037))+1))</x:f>
      </x:c>
    </x:row>
    <x:row r="1038">
      <x:c r="A1038"/>
      <x:c r="B1038"/>
      <x:c r="C1038"/>
      <x:c r="D1038" t="str">
        <x:f>IFERROR(IF(1036&lt;=$O$1,INDEX($A$3:$A$168,MATCH(1036,$I$3:$I$168,0)),IF(1036&lt;=$O$1+$O$2,INDEX($F$3:$F$1994,MATCH(1036-$O$1,$G$3:$G$1994,0)),"")),"")</x:f>
      </x:c>
      <x:c r="E1038" t="str">
        <x:f>IF(K1038="","",IF(N1038&lt;=M1038,"",TRIM(CLEAN(MID(INDEX($B$3:$B$168,K1038),M1038,N1038-M1038)))))</x:f>
      </x:c>
      <x:c r="F1038" t="str">
        <x:f>IF(E1038="","",IF(E1038=TRIM(INDEX($A$3:$A$168,K1038)),"",IF(RIGHT(TRIM(INDEX($A$3:$A$168,K1038)),1)="]",LEFT(TRIM(INDEX($A$3:$A$168,K1038)),LEN(TRIM(INDEX($A$3:$A$168,K1038)))-1)&amp;", "&amp;SUBSTITUTE(SUBSTITUTE(SUBSTITUTE(E1038," [",", "),"[",", "),"]","")&amp;"]",TRIM(INDEX($A$3:$A$168,K1038))&amp;" ["&amp;SUBSTITUTE(SUBSTITUTE(SUBSTITUTE(E1038," [",", "),"[",", "),"]","")&amp;"]")))</x:f>
      </x:c>
      <x:c r="G1038" t="str">
        <x:f>IF(F1038&lt;&gt;"",ROWS($F$3:F1038)-COUNTBLANK($F$3:F1038),"")</x:f>
      </x:c>
      <x:c r="H1038"/>
      <x:c r="I1038"/>
      <x:c r="J1038"/>
      <x:c r="K1038" t="str">
        <x:f>IF(ROW()-ROW($K$2)&lt;=SUM($J$3:$J$168),COUNTIF($H$3:$H$168,"&lt;"&amp;(ROW()-ROW($K$2))),"")</x:f>
      </x:c>
      <x:c r="L1038" t="str">
        <x:f>IF(K1038="","",ROW()-ROW($L$2)-INDEX($H$3:$H$168,K1038))</x:f>
      </x:c>
      <x:c r="M1038" t="str">
        <x:f>IF(K1038="","",IF(L1038=1,1,FIND(CHAR(1),SUBSTITUTE(INDEX($B$3:$B$168,K1038),CHAR(10),CHAR(1),L1038-1))+1))</x:f>
      </x:c>
      <x:c r="N1038" t="str">
        <x:f>IF(K1038="","",IFERROR(FIND(CHAR(1),SUBSTITUTE(INDEX($B$3:$B$168,K1038),CHAR(10),CHAR(1),L1038)),LEN(INDEX($B$3:$B$168,K1038))+1))</x:f>
      </x:c>
    </x:row>
    <x:row r="1039">
      <x:c r="A1039"/>
      <x:c r="B1039"/>
      <x:c r="C1039"/>
      <x:c r="D1039" t="str">
        <x:f>IFERROR(IF(1037&lt;=$O$1,INDEX($A$3:$A$168,MATCH(1037,$I$3:$I$168,0)),IF(1037&lt;=$O$1+$O$2,INDEX($F$3:$F$1994,MATCH(1037-$O$1,$G$3:$G$1994,0)),"")),"")</x:f>
      </x:c>
      <x:c r="E1039" t="str">
        <x:f>IF(K1039="","",IF(N1039&lt;=M1039,"",TRIM(CLEAN(MID(INDEX($B$3:$B$168,K1039),M1039,N1039-M1039)))))</x:f>
      </x:c>
      <x:c r="F1039" t="str">
        <x:f>IF(E1039="","",IF(E1039=TRIM(INDEX($A$3:$A$168,K1039)),"",IF(RIGHT(TRIM(INDEX($A$3:$A$168,K1039)),1)="]",LEFT(TRIM(INDEX($A$3:$A$168,K1039)),LEN(TRIM(INDEX($A$3:$A$168,K1039)))-1)&amp;", "&amp;SUBSTITUTE(SUBSTITUTE(SUBSTITUTE(E1039," [",", "),"[",", "),"]","")&amp;"]",TRIM(INDEX($A$3:$A$168,K1039))&amp;" ["&amp;SUBSTITUTE(SUBSTITUTE(SUBSTITUTE(E1039," [",", "),"[",", "),"]","")&amp;"]")))</x:f>
      </x:c>
      <x:c r="G1039" t="str">
        <x:f>IF(F1039&lt;&gt;"",ROWS($F$3:F1039)-COUNTBLANK($F$3:F1039),"")</x:f>
      </x:c>
      <x:c r="H1039"/>
      <x:c r="I1039"/>
      <x:c r="J1039"/>
      <x:c r="K1039" t="str">
        <x:f>IF(ROW()-ROW($K$2)&lt;=SUM($J$3:$J$168),COUNTIF($H$3:$H$168,"&lt;"&amp;(ROW()-ROW($K$2))),"")</x:f>
      </x:c>
      <x:c r="L1039" t="str">
        <x:f>IF(K1039="","",ROW()-ROW($L$2)-INDEX($H$3:$H$168,K1039))</x:f>
      </x:c>
      <x:c r="M1039" t="str">
        <x:f>IF(K1039="","",IF(L1039=1,1,FIND(CHAR(1),SUBSTITUTE(INDEX($B$3:$B$168,K1039),CHAR(10),CHAR(1),L1039-1))+1))</x:f>
      </x:c>
      <x:c r="N1039" t="str">
        <x:f>IF(K1039="","",IFERROR(FIND(CHAR(1),SUBSTITUTE(INDEX($B$3:$B$168,K1039),CHAR(10),CHAR(1),L1039)),LEN(INDEX($B$3:$B$168,K1039))+1))</x:f>
      </x:c>
    </x:row>
    <x:row r="1040">
      <x:c r="A1040"/>
      <x:c r="B1040"/>
      <x:c r="C1040"/>
      <x:c r="D1040" t="str">
        <x:f>IFERROR(IF(1038&lt;=$O$1,INDEX($A$3:$A$168,MATCH(1038,$I$3:$I$168,0)),IF(1038&lt;=$O$1+$O$2,INDEX($F$3:$F$1994,MATCH(1038-$O$1,$G$3:$G$1994,0)),"")),"")</x:f>
      </x:c>
      <x:c r="E1040" t="str">
        <x:f>IF(K1040="","",IF(N1040&lt;=M1040,"",TRIM(CLEAN(MID(INDEX($B$3:$B$168,K1040),M1040,N1040-M1040)))))</x:f>
      </x:c>
      <x:c r="F1040" t="str">
        <x:f>IF(E1040="","",IF(E1040=TRIM(INDEX($A$3:$A$168,K1040)),"",IF(RIGHT(TRIM(INDEX($A$3:$A$168,K1040)),1)="]",LEFT(TRIM(INDEX($A$3:$A$168,K1040)),LEN(TRIM(INDEX($A$3:$A$168,K1040)))-1)&amp;", "&amp;SUBSTITUTE(SUBSTITUTE(SUBSTITUTE(E1040," [",", "),"[",", "),"]","")&amp;"]",TRIM(INDEX($A$3:$A$168,K1040))&amp;" ["&amp;SUBSTITUTE(SUBSTITUTE(SUBSTITUTE(E1040," [",", "),"[",", "),"]","")&amp;"]")))</x:f>
      </x:c>
      <x:c r="G1040" t="str">
        <x:f>IF(F1040&lt;&gt;"",ROWS($F$3:F1040)-COUNTBLANK($F$3:F1040),"")</x:f>
      </x:c>
      <x:c r="H1040"/>
      <x:c r="I1040"/>
      <x:c r="J1040"/>
      <x:c r="K1040" t="str">
        <x:f>IF(ROW()-ROW($K$2)&lt;=SUM($J$3:$J$168),COUNTIF($H$3:$H$168,"&lt;"&amp;(ROW()-ROW($K$2))),"")</x:f>
      </x:c>
      <x:c r="L1040" t="str">
        <x:f>IF(K1040="","",ROW()-ROW($L$2)-INDEX($H$3:$H$168,K1040))</x:f>
      </x:c>
      <x:c r="M1040" t="str">
        <x:f>IF(K1040="","",IF(L1040=1,1,FIND(CHAR(1),SUBSTITUTE(INDEX($B$3:$B$168,K1040),CHAR(10),CHAR(1),L1040-1))+1))</x:f>
      </x:c>
      <x:c r="N1040" t="str">
        <x:f>IF(K1040="","",IFERROR(FIND(CHAR(1),SUBSTITUTE(INDEX($B$3:$B$168,K1040),CHAR(10),CHAR(1),L1040)),LEN(INDEX($B$3:$B$168,K1040))+1))</x:f>
      </x:c>
    </x:row>
    <x:row r="1041">
      <x:c r="A1041"/>
      <x:c r="B1041"/>
      <x:c r="C1041"/>
      <x:c r="D1041" t="str">
        <x:f>IFERROR(IF(1039&lt;=$O$1,INDEX($A$3:$A$168,MATCH(1039,$I$3:$I$168,0)),IF(1039&lt;=$O$1+$O$2,INDEX($F$3:$F$1994,MATCH(1039-$O$1,$G$3:$G$1994,0)),"")),"")</x:f>
      </x:c>
      <x:c r="E1041" t="str">
        <x:f>IF(K1041="","",IF(N1041&lt;=M1041,"",TRIM(CLEAN(MID(INDEX($B$3:$B$168,K1041),M1041,N1041-M1041)))))</x:f>
      </x:c>
      <x:c r="F1041" t="str">
        <x:f>IF(E1041="","",IF(E1041=TRIM(INDEX($A$3:$A$168,K1041)),"",IF(RIGHT(TRIM(INDEX($A$3:$A$168,K1041)),1)="]",LEFT(TRIM(INDEX($A$3:$A$168,K1041)),LEN(TRIM(INDEX($A$3:$A$168,K1041)))-1)&amp;", "&amp;SUBSTITUTE(SUBSTITUTE(SUBSTITUTE(E1041," [",", "),"[",", "),"]","")&amp;"]",TRIM(INDEX($A$3:$A$168,K1041))&amp;" ["&amp;SUBSTITUTE(SUBSTITUTE(SUBSTITUTE(E1041," [",", "),"[",", "),"]","")&amp;"]")))</x:f>
      </x:c>
      <x:c r="G1041" t="str">
        <x:f>IF(F1041&lt;&gt;"",ROWS($F$3:F1041)-COUNTBLANK($F$3:F1041),"")</x:f>
      </x:c>
      <x:c r="H1041"/>
      <x:c r="I1041"/>
      <x:c r="J1041"/>
      <x:c r="K1041" t="str">
        <x:f>IF(ROW()-ROW($K$2)&lt;=SUM($J$3:$J$168),COUNTIF($H$3:$H$168,"&lt;"&amp;(ROW()-ROW($K$2))),"")</x:f>
      </x:c>
      <x:c r="L1041" t="str">
        <x:f>IF(K1041="","",ROW()-ROW($L$2)-INDEX($H$3:$H$168,K1041))</x:f>
      </x:c>
      <x:c r="M1041" t="str">
        <x:f>IF(K1041="","",IF(L1041=1,1,FIND(CHAR(1),SUBSTITUTE(INDEX($B$3:$B$168,K1041),CHAR(10),CHAR(1),L1041-1))+1))</x:f>
      </x:c>
      <x:c r="N1041" t="str">
        <x:f>IF(K1041="","",IFERROR(FIND(CHAR(1),SUBSTITUTE(INDEX($B$3:$B$168,K1041),CHAR(10),CHAR(1),L1041)),LEN(INDEX($B$3:$B$168,K1041))+1))</x:f>
      </x:c>
    </x:row>
    <x:row r="1042">
      <x:c r="A1042"/>
      <x:c r="B1042"/>
      <x:c r="C1042"/>
      <x:c r="D1042" t="str">
        <x:f>IFERROR(IF(1040&lt;=$O$1,INDEX($A$3:$A$168,MATCH(1040,$I$3:$I$168,0)),IF(1040&lt;=$O$1+$O$2,INDEX($F$3:$F$1994,MATCH(1040-$O$1,$G$3:$G$1994,0)),"")),"")</x:f>
      </x:c>
      <x:c r="E1042" t="str">
        <x:f>IF(K1042="","",IF(N1042&lt;=M1042,"",TRIM(CLEAN(MID(INDEX($B$3:$B$168,K1042),M1042,N1042-M1042)))))</x:f>
      </x:c>
      <x:c r="F1042" t="str">
        <x:f>IF(E1042="","",IF(E1042=TRIM(INDEX($A$3:$A$168,K1042)),"",IF(RIGHT(TRIM(INDEX($A$3:$A$168,K1042)),1)="]",LEFT(TRIM(INDEX($A$3:$A$168,K1042)),LEN(TRIM(INDEX($A$3:$A$168,K1042)))-1)&amp;", "&amp;SUBSTITUTE(SUBSTITUTE(SUBSTITUTE(E1042," [",", "),"[",", "),"]","")&amp;"]",TRIM(INDEX($A$3:$A$168,K1042))&amp;" ["&amp;SUBSTITUTE(SUBSTITUTE(SUBSTITUTE(E1042," [",", "),"[",", "),"]","")&amp;"]")))</x:f>
      </x:c>
      <x:c r="G1042" t="str">
        <x:f>IF(F1042&lt;&gt;"",ROWS($F$3:F1042)-COUNTBLANK($F$3:F1042),"")</x:f>
      </x:c>
      <x:c r="H1042"/>
      <x:c r="I1042"/>
      <x:c r="J1042"/>
      <x:c r="K1042" t="str">
        <x:f>IF(ROW()-ROW($K$2)&lt;=SUM($J$3:$J$168),COUNTIF($H$3:$H$168,"&lt;"&amp;(ROW()-ROW($K$2))),"")</x:f>
      </x:c>
      <x:c r="L1042" t="str">
        <x:f>IF(K1042="","",ROW()-ROW($L$2)-INDEX($H$3:$H$168,K1042))</x:f>
      </x:c>
      <x:c r="M1042" t="str">
        <x:f>IF(K1042="","",IF(L1042=1,1,FIND(CHAR(1),SUBSTITUTE(INDEX($B$3:$B$168,K1042),CHAR(10),CHAR(1),L1042-1))+1))</x:f>
      </x:c>
      <x:c r="N1042" t="str">
        <x:f>IF(K1042="","",IFERROR(FIND(CHAR(1),SUBSTITUTE(INDEX($B$3:$B$168,K1042),CHAR(10),CHAR(1),L1042)),LEN(INDEX($B$3:$B$168,K1042))+1))</x:f>
      </x:c>
    </x:row>
    <x:row r="1043">
      <x:c r="A1043"/>
      <x:c r="B1043"/>
      <x:c r="C1043"/>
      <x:c r="D1043" t="str">
        <x:f>IFERROR(IF(1041&lt;=$O$1,INDEX($A$3:$A$168,MATCH(1041,$I$3:$I$168,0)),IF(1041&lt;=$O$1+$O$2,INDEX($F$3:$F$1994,MATCH(1041-$O$1,$G$3:$G$1994,0)),"")),"")</x:f>
      </x:c>
      <x:c r="E1043" t="str">
        <x:f>IF(K1043="","",IF(N1043&lt;=M1043,"",TRIM(CLEAN(MID(INDEX($B$3:$B$168,K1043),M1043,N1043-M1043)))))</x:f>
      </x:c>
      <x:c r="F1043" t="str">
        <x:f>IF(E1043="","",IF(E1043=TRIM(INDEX($A$3:$A$168,K1043)),"",IF(RIGHT(TRIM(INDEX($A$3:$A$168,K1043)),1)="]",LEFT(TRIM(INDEX($A$3:$A$168,K1043)),LEN(TRIM(INDEX($A$3:$A$168,K1043)))-1)&amp;", "&amp;SUBSTITUTE(SUBSTITUTE(SUBSTITUTE(E1043," [",", "),"[",", "),"]","")&amp;"]",TRIM(INDEX($A$3:$A$168,K1043))&amp;" ["&amp;SUBSTITUTE(SUBSTITUTE(SUBSTITUTE(E1043," [",", "),"[",", "),"]","")&amp;"]")))</x:f>
      </x:c>
      <x:c r="G1043" t="str">
        <x:f>IF(F1043&lt;&gt;"",ROWS($F$3:F1043)-COUNTBLANK($F$3:F1043),"")</x:f>
      </x:c>
      <x:c r="H1043"/>
      <x:c r="I1043"/>
      <x:c r="J1043"/>
      <x:c r="K1043" t="str">
        <x:f>IF(ROW()-ROW($K$2)&lt;=SUM($J$3:$J$168),COUNTIF($H$3:$H$168,"&lt;"&amp;(ROW()-ROW($K$2))),"")</x:f>
      </x:c>
      <x:c r="L1043" t="str">
        <x:f>IF(K1043="","",ROW()-ROW($L$2)-INDEX($H$3:$H$168,K1043))</x:f>
      </x:c>
      <x:c r="M1043" t="str">
        <x:f>IF(K1043="","",IF(L1043=1,1,FIND(CHAR(1),SUBSTITUTE(INDEX($B$3:$B$168,K1043),CHAR(10),CHAR(1),L1043-1))+1))</x:f>
      </x:c>
      <x:c r="N1043" t="str">
        <x:f>IF(K1043="","",IFERROR(FIND(CHAR(1),SUBSTITUTE(INDEX($B$3:$B$168,K1043),CHAR(10),CHAR(1),L1043)),LEN(INDEX($B$3:$B$168,K1043))+1))</x:f>
      </x:c>
    </x:row>
    <x:row r="1044">
      <x:c r="A1044"/>
      <x:c r="B1044"/>
      <x:c r="C1044"/>
      <x:c r="D1044" t="str">
        <x:f>IFERROR(IF(1042&lt;=$O$1,INDEX($A$3:$A$168,MATCH(1042,$I$3:$I$168,0)),IF(1042&lt;=$O$1+$O$2,INDEX($F$3:$F$1994,MATCH(1042-$O$1,$G$3:$G$1994,0)),"")),"")</x:f>
      </x:c>
      <x:c r="E1044" t="str">
        <x:f>IF(K1044="","",IF(N1044&lt;=M1044,"",TRIM(CLEAN(MID(INDEX($B$3:$B$168,K1044),M1044,N1044-M1044)))))</x:f>
      </x:c>
      <x:c r="F1044" t="str">
        <x:f>IF(E1044="","",IF(E1044=TRIM(INDEX($A$3:$A$168,K1044)),"",IF(RIGHT(TRIM(INDEX($A$3:$A$168,K1044)),1)="]",LEFT(TRIM(INDEX($A$3:$A$168,K1044)),LEN(TRIM(INDEX($A$3:$A$168,K1044)))-1)&amp;", "&amp;SUBSTITUTE(SUBSTITUTE(SUBSTITUTE(E1044," [",", "),"[",", "),"]","")&amp;"]",TRIM(INDEX($A$3:$A$168,K1044))&amp;" ["&amp;SUBSTITUTE(SUBSTITUTE(SUBSTITUTE(E1044," [",", "),"[",", "),"]","")&amp;"]")))</x:f>
      </x:c>
      <x:c r="G1044" t="str">
        <x:f>IF(F1044&lt;&gt;"",ROWS($F$3:F1044)-COUNTBLANK($F$3:F1044),"")</x:f>
      </x:c>
      <x:c r="H1044"/>
      <x:c r="I1044"/>
      <x:c r="J1044"/>
      <x:c r="K1044" t="str">
        <x:f>IF(ROW()-ROW($K$2)&lt;=SUM($J$3:$J$168),COUNTIF($H$3:$H$168,"&lt;"&amp;(ROW()-ROW($K$2))),"")</x:f>
      </x:c>
      <x:c r="L1044" t="str">
        <x:f>IF(K1044="","",ROW()-ROW($L$2)-INDEX($H$3:$H$168,K1044))</x:f>
      </x:c>
      <x:c r="M1044" t="str">
        <x:f>IF(K1044="","",IF(L1044=1,1,FIND(CHAR(1),SUBSTITUTE(INDEX($B$3:$B$168,K1044),CHAR(10),CHAR(1),L1044-1))+1))</x:f>
      </x:c>
      <x:c r="N1044" t="str">
        <x:f>IF(K1044="","",IFERROR(FIND(CHAR(1),SUBSTITUTE(INDEX($B$3:$B$168,K1044),CHAR(10),CHAR(1),L1044)),LEN(INDEX($B$3:$B$168,K1044))+1))</x:f>
      </x:c>
    </x:row>
    <x:row r="1045">
      <x:c r="A1045"/>
      <x:c r="B1045"/>
      <x:c r="C1045"/>
      <x:c r="D1045" t="str">
        <x:f>IFERROR(IF(1043&lt;=$O$1,INDEX($A$3:$A$168,MATCH(1043,$I$3:$I$168,0)),IF(1043&lt;=$O$1+$O$2,INDEX($F$3:$F$1994,MATCH(1043-$O$1,$G$3:$G$1994,0)),"")),"")</x:f>
      </x:c>
      <x:c r="E1045" t="str">
        <x:f>IF(K1045="","",IF(N1045&lt;=M1045,"",TRIM(CLEAN(MID(INDEX($B$3:$B$168,K1045),M1045,N1045-M1045)))))</x:f>
      </x:c>
      <x:c r="F1045" t="str">
        <x:f>IF(E1045="","",IF(E1045=TRIM(INDEX($A$3:$A$168,K1045)),"",IF(RIGHT(TRIM(INDEX($A$3:$A$168,K1045)),1)="]",LEFT(TRIM(INDEX($A$3:$A$168,K1045)),LEN(TRIM(INDEX($A$3:$A$168,K1045)))-1)&amp;", "&amp;SUBSTITUTE(SUBSTITUTE(SUBSTITUTE(E1045," [",", "),"[",", "),"]","")&amp;"]",TRIM(INDEX($A$3:$A$168,K1045))&amp;" ["&amp;SUBSTITUTE(SUBSTITUTE(SUBSTITUTE(E1045," [",", "),"[",", "),"]","")&amp;"]")))</x:f>
      </x:c>
      <x:c r="G1045" t="str">
        <x:f>IF(F1045&lt;&gt;"",ROWS($F$3:F1045)-COUNTBLANK($F$3:F1045),"")</x:f>
      </x:c>
      <x:c r="H1045"/>
      <x:c r="I1045"/>
      <x:c r="J1045"/>
      <x:c r="K1045" t="str">
        <x:f>IF(ROW()-ROW($K$2)&lt;=SUM($J$3:$J$168),COUNTIF($H$3:$H$168,"&lt;"&amp;(ROW()-ROW($K$2))),"")</x:f>
      </x:c>
      <x:c r="L1045" t="str">
        <x:f>IF(K1045="","",ROW()-ROW($L$2)-INDEX($H$3:$H$168,K1045))</x:f>
      </x:c>
      <x:c r="M1045" t="str">
        <x:f>IF(K1045="","",IF(L1045=1,1,FIND(CHAR(1),SUBSTITUTE(INDEX($B$3:$B$168,K1045),CHAR(10),CHAR(1),L1045-1))+1))</x:f>
      </x:c>
      <x:c r="N1045" t="str">
        <x:f>IF(K1045="","",IFERROR(FIND(CHAR(1),SUBSTITUTE(INDEX($B$3:$B$168,K1045),CHAR(10),CHAR(1),L1045)),LEN(INDEX($B$3:$B$168,K1045))+1))</x:f>
      </x:c>
    </x:row>
    <x:row r="1046">
      <x:c r="A1046"/>
      <x:c r="B1046"/>
      <x:c r="C1046"/>
      <x:c r="D1046" t="str">
        <x:f>IFERROR(IF(1044&lt;=$O$1,INDEX($A$3:$A$168,MATCH(1044,$I$3:$I$168,0)),IF(1044&lt;=$O$1+$O$2,INDEX($F$3:$F$1994,MATCH(1044-$O$1,$G$3:$G$1994,0)),"")),"")</x:f>
      </x:c>
      <x:c r="E1046" t="str">
        <x:f>IF(K1046="","",IF(N1046&lt;=M1046,"",TRIM(CLEAN(MID(INDEX($B$3:$B$168,K1046),M1046,N1046-M1046)))))</x:f>
      </x:c>
      <x:c r="F1046" t="str">
        <x:f>IF(E1046="","",IF(E1046=TRIM(INDEX($A$3:$A$168,K1046)),"",IF(RIGHT(TRIM(INDEX($A$3:$A$168,K1046)),1)="]",LEFT(TRIM(INDEX($A$3:$A$168,K1046)),LEN(TRIM(INDEX($A$3:$A$168,K1046)))-1)&amp;", "&amp;SUBSTITUTE(SUBSTITUTE(SUBSTITUTE(E1046," [",", "),"[",", "),"]","")&amp;"]",TRIM(INDEX($A$3:$A$168,K1046))&amp;" ["&amp;SUBSTITUTE(SUBSTITUTE(SUBSTITUTE(E1046," [",", "),"[",", "),"]","")&amp;"]")))</x:f>
      </x:c>
      <x:c r="G1046" t="str">
        <x:f>IF(F1046&lt;&gt;"",ROWS($F$3:F1046)-COUNTBLANK($F$3:F1046),"")</x:f>
      </x:c>
      <x:c r="H1046"/>
      <x:c r="I1046"/>
      <x:c r="J1046"/>
      <x:c r="K1046" t="str">
        <x:f>IF(ROW()-ROW($K$2)&lt;=SUM($J$3:$J$168),COUNTIF($H$3:$H$168,"&lt;"&amp;(ROW()-ROW($K$2))),"")</x:f>
      </x:c>
      <x:c r="L1046" t="str">
        <x:f>IF(K1046="","",ROW()-ROW($L$2)-INDEX($H$3:$H$168,K1046))</x:f>
      </x:c>
      <x:c r="M1046" t="str">
        <x:f>IF(K1046="","",IF(L1046=1,1,FIND(CHAR(1),SUBSTITUTE(INDEX($B$3:$B$168,K1046),CHAR(10),CHAR(1),L1046-1))+1))</x:f>
      </x:c>
      <x:c r="N1046" t="str">
        <x:f>IF(K1046="","",IFERROR(FIND(CHAR(1),SUBSTITUTE(INDEX($B$3:$B$168,K1046),CHAR(10),CHAR(1),L1046)),LEN(INDEX($B$3:$B$168,K1046))+1))</x:f>
      </x:c>
    </x:row>
    <x:row r="1047">
      <x:c r="A1047"/>
      <x:c r="B1047"/>
      <x:c r="C1047"/>
      <x:c r="D1047" t="str">
        <x:f>IFERROR(IF(1045&lt;=$O$1,INDEX($A$3:$A$168,MATCH(1045,$I$3:$I$168,0)),IF(1045&lt;=$O$1+$O$2,INDEX($F$3:$F$1994,MATCH(1045-$O$1,$G$3:$G$1994,0)),"")),"")</x:f>
      </x:c>
      <x:c r="E1047" t="str">
        <x:f>IF(K1047="","",IF(N1047&lt;=M1047,"",TRIM(CLEAN(MID(INDEX($B$3:$B$168,K1047),M1047,N1047-M1047)))))</x:f>
      </x:c>
      <x:c r="F1047" t="str">
        <x:f>IF(E1047="","",IF(E1047=TRIM(INDEX($A$3:$A$168,K1047)),"",IF(RIGHT(TRIM(INDEX($A$3:$A$168,K1047)),1)="]",LEFT(TRIM(INDEX($A$3:$A$168,K1047)),LEN(TRIM(INDEX($A$3:$A$168,K1047)))-1)&amp;", "&amp;SUBSTITUTE(SUBSTITUTE(SUBSTITUTE(E1047," [",", "),"[",", "),"]","")&amp;"]",TRIM(INDEX($A$3:$A$168,K1047))&amp;" ["&amp;SUBSTITUTE(SUBSTITUTE(SUBSTITUTE(E1047," [",", "),"[",", "),"]","")&amp;"]")))</x:f>
      </x:c>
      <x:c r="G1047" t="str">
        <x:f>IF(F1047&lt;&gt;"",ROWS($F$3:F1047)-COUNTBLANK($F$3:F1047),"")</x:f>
      </x:c>
      <x:c r="H1047"/>
      <x:c r="I1047"/>
      <x:c r="J1047"/>
      <x:c r="K1047" t="str">
        <x:f>IF(ROW()-ROW($K$2)&lt;=SUM($J$3:$J$168),COUNTIF($H$3:$H$168,"&lt;"&amp;(ROW()-ROW($K$2))),"")</x:f>
      </x:c>
      <x:c r="L1047" t="str">
        <x:f>IF(K1047="","",ROW()-ROW($L$2)-INDEX($H$3:$H$168,K1047))</x:f>
      </x:c>
      <x:c r="M1047" t="str">
        <x:f>IF(K1047="","",IF(L1047=1,1,FIND(CHAR(1),SUBSTITUTE(INDEX($B$3:$B$168,K1047),CHAR(10),CHAR(1),L1047-1))+1))</x:f>
      </x:c>
      <x:c r="N1047" t="str">
        <x:f>IF(K1047="","",IFERROR(FIND(CHAR(1),SUBSTITUTE(INDEX($B$3:$B$168,K1047),CHAR(10),CHAR(1),L1047)),LEN(INDEX($B$3:$B$168,K1047))+1))</x:f>
      </x:c>
    </x:row>
    <x:row r="1048">
      <x:c r="A1048"/>
      <x:c r="B1048"/>
      <x:c r="C1048"/>
      <x:c r="D1048" t="str">
        <x:f>IFERROR(IF(1046&lt;=$O$1,INDEX($A$3:$A$168,MATCH(1046,$I$3:$I$168,0)),IF(1046&lt;=$O$1+$O$2,INDEX($F$3:$F$1994,MATCH(1046-$O$1,$G$3:$G$1994,0)),"")),"")</x:f>
      </x:c>
      <x:c r="E1048" t="str">
        <x:f>IF(K1048="","",IF(N1048&lt;=M1048,"",TRIM(CLEAN(MID(INDEX($B$3:$B$168,K1048),M1048,N1048-M1048)))))</x:f>
      </x:c>
      <x:c r="F1048" t="str">
        <x:f>IF(E1048="","",IF(E1048=TRIM(INDEX($A$3:$A$168,K1048)),"",IF(RIGHT(TRIM(INDEX($A$3:$A$168,K1048)),1)="]",LEFT(TRIM(INDEX($A$3:$A$168,K1048)),LEN(TRIM(INDEX($A$3:$A$168,K1048)))-1)&amp;", "&amp;SUBSTITUTE(SUBSTITUTE(SUBSTITUTE(E1048," [",", "),"[",", "),"]","")&amp;"]",TRIM(INDEX($A$3:$A$168,K1048))&amp;" ["&amp;SUBSTITUTE(SUBSTITUTE(SUBSTITUTE(E1048," [",", "),"[",", "),"]","")&amp;"]")))</x:f>
      </x:c>
      <x:c r="G1048" t="str">
        <x:f>IF(F1048&lt;&gt;"",ROWS($F$3:F1048)-COUNTBLANK($F$3:F1048),"")</x:f>
      </x:c>
      <x:c r="H1048"/>
      <x:c r="I1048"/>
      <x:c r="J1048"/>
      <x:c r="K1048" t="str">
        <x:f>IF(ROW()-ROW($K$2)&lt;=SUM($J$3:$J$168),COUNTIF($H$3:$H$168,"&lt;"&amp;(ROW()-ROW($K$2))),"")</x:f>
      </x:c>
      <x:c r="L1048" t="str">
        <x:f>IF(K1048="","",ROW()-ROW($L$2)-INDEX($H$3:$H$168,K1048))</x:f>
      </x:c>
      <x:c r="M1048" t="str">
        <x:f>IF(K1048="","",IF(L1048=1,1,FIND(CHAR(1),SUBSTITUTE(INDEX($B$3:$B$168,K1048),CHAR(10),CHAR(1),L1048-1))+1))</x:f>
      </x:c>
      <x:c r="N1048" t="str">
        <x:f>IF(K1048="","",IFERROR(FIND(CHAR(1),SUBSTITUTE(INDEX($B$3:$B$168,K1048),CHAR(10),CHAR(1),L1048)),LEN(INDEX($B$3:$B$168,K1048))+1))</x:f>
      </x:c>
    </x:row>
    <x:row r="1049">
      <x:c r="A1049"/>
      <x:c r="B1049"/>
      <x:c r="C1049"/>
      <x:c r="D1049" t="str">
        <x:f>IFERROR(IF(1047&lt;=$O$1,INDEX($A$3:$A$168,MATCH(1047,$I$3:$I$168,0)),IF(1047&lt;=$O$1+$O$2,INDEX($F$3:$F$1994,MATCH(1047-$O$1,$G$3:$G$1994,0)),"")),"")</x:f>
      </x:c>
      <x:c r="E1049" t="str">
        <x:f>IF(K1049="","",IF(N1049&lt;=M1049,"",TRIM(CLEAN(MID(INDEX($B$3:$B$168,K1049),M1049,N1049-M1049)))))</x:f>
      </x:c>
      <x:c r="F1049" t="str">
        <x:f>IF(E1049="","",IF(E1049=TRIM(INDEX($A$3:$A$168,K1049)),"",IF(RIGHT(TRIM(INDEX($A$3:$A$168,K1049)),1)="]",LEFT(TRIM(INDEX($A$3:$A$168,K1049)),LEN(TRIM(INDEX($A$3:$A$168,K1049)))-1)&amp;", "&amp;SUBSTITUTE(SUBSTITUTE(SUBSTITUTE(E1049," [",", "),"[",", "),"]","")&amp;"]",TRIM(INDEX($A$3:$A$168,K1049))&amp;" ["&amp;SUBSTITUTE(SUBSTITUTE(SUBSTITUTE(E1049," [",", "),"[",", "),"]","")&amp;"]")))</x:f>
      </x:c>
      <x:c r="G1049" t="str">
        <x:f>IF(F1049&lt;&gt;"",ROWS($F$3:F1049)-COUNTBLANK($F$3:F1049),"")</x:f>
      </x:c>
      <x:c r="H1049"/>
      <x:c r="I1049"/>
      <x:c r="J1049"/>
      <x:c r="K1049" t="str">
        <x:f>IF(ROW()-ROW($K$2)&lt;=SUM($J$3:$J$168),COUNTIF($H$3:$H$168,"&lt;"&amp;(ROW()-ROW($K$2))),"")</x:f>
      </x:c>
      <x:c r="L1049" t="str">
        <x:f>IF(K1049="","",ROW()-ROW($L$2)-INDEX($H$3:$H$168,K1049))</x:f>
      </x:c>
      <x:c r="M1049" t="str">
        <x:f>IF(K1049="","",IF(L1049=1,1,FIND(CHAR(1),SUBSTITUTE(INDEX($B$3:$B$168,K1049),CHAR(10),CHAR(1),L1049-1))+1))</x:f>
      </x:c>
      <x:c r="N1049" t="str">
        <x:f>IF(K1049="","",IFERROR(FIND(CHAR(1),SUBSTITUTE(INDEX($B$3:$B$168,K1049),CHAR(10),CHAR(1),L1049)),LEN(INDEX($B$3:$B$168,K1049))+1))</x:f>
      </x:c>
    </x:row>
    <x:row r="1050">
      <x:c r="A1050"/>
      <x:c r="B1050"/>
      <x:c r="C1050"/>
      <x:c r="D1050" t="str">
        <x:f>IFERROR(IF(1048&lt;=$O$1,INDEX($A$3:$A$168,MATCH(1048,$I$3:$I$168,0)),IF(1048&lt;=$O$1+$O$2,INDEX($F$3:$F$1994,MATCH(1048-$O$1,$G$3:$G$1994,0)),"")),"")</x:f>
      </x:c>
      <x:c r="E1050" t="str">
        <x:f>IF(K1050="","",IF(N1050&lt;=M1050,"",TRIM(CLEAN(MID(INDEX($B$3:$B$168,K1050),M1050,N1050-M1050)))))</x:f>
      </x:c>
      <x:c r="F1050" t="str">
        <x:f>IF(E1050="","",IF(E1050=TRIM(INDEX($A$3:$A$168,K1050)),"",IF(RIGHT(TRIM(INDEX($A$3:$A$168,K1050)),1)="]",LEFT(TRIM(INDEX($A$3:$A$168,K1050)),LEN(TRIM(INDEX($A$3:$A$168,K1050)))-1)&amp;", "&amp;SUBSTITUTE(SUBSTITUTE(SUBSTITUTE(E1050," [",", "),"[",", "),"]","")&amp;"]",TRIM(INDEX($A$3:$A$168,K1050))&amp;" ["&amp;SUBSTITUTE(SUBSTITUTE(SUBSTITUTE(E1050," [",", "),"[",", "),"]","")&amp;"]")))</x:f>
      </x:c>
      <x:c r="G1050" t="str">
        <x:f>IF(F1050&lt;&gt;"",ROWS($F$3:F1050)-COUNTBLANK($F$3:F1050),"")</x:f>
      </x:c>
      <x:c r="H1050"/>
      <x:c r="I1050"/>
      <x:c r="J1050"/>
      <x:c r="K1050" t="str">
        <x:f>IF(ROW()-ROW($K$2)&lt;=SUM($J$3:$J$168),COUNTIF($H$3:$H$168,"&lt;"&amp;(ROW()-ROW($K$2))),"")</x:f>
      </x:c>
      <x:c r="L1050" t="str">
        <x:f>IF(K1050="","",ROW()-ROW($L$2)-INDEX($H$3:$H$168,K1050))</x:f>
      </x:c>
      <x:c r="M1050" t="str">
        <x:f>IF(K1050="","",IF(L1050=1,1,FIND(CHAR(1),SUBSTITUTE(INDEX($B$3:$B$168,K1050),CHAR(10),CHAR(1),L1050-1))+1))</x:f>
      </x:c>
      <x:c r="N1050" t="str">
        <x:f>IF(K1050="","",IFERROR(FIND(CHAR(1),SUBSTITUTE(INDEX($B$3:$B$168,K1050),CHAR(10),CHAR(1),L1050)),LEN(INDEX($B$3:$B$168,K1050))+1))</x:f>
      </x:c>
    </x:row>
    <x:row r="1051">
      <x:c r="A1051"/>
      <x:c r="B1051"/>
      <x:c r="C1051"/>
      <x:c r="D1051" t="str">
        <x:f>IFERROR(IF(1049&lt;=$O$1,INDEX($A$3:$A$168,MATCH(1049,$I$3:$I$168,0)),IF(1049&lt;=$O$1+$O$2,INDEX($F$3:$F$1994,MATCH(1049-$O$1,$G$3:$G$1994,0)),"")),"")</x:f>
      </x:c>
      <x:c r="E1051" t="str">
        <x:f>IF(K1051="","",IF(N1051&lt;=M1051,"",TRIM(CLEAN(MID(INDEX($B$3:$B$168,K1051),M1051,N1051-M1051)))))</x:f>
      </x:c>
      <x:c r="F1051" t="str">
        <x:f>IF(E1051="","",IF(E1051=TRIM(INDEX($A$3:$A$168,K1051)),"",IF(RIGHT(TRIM(INDEX($A$3:$A$168,K1051)),1)="]",LEFT(TRIM(INDEX($A$3:$A$168,K1051)),LEN(TRIM(INDEX($A$3:$A$168,K1051)))-1)&amp;", "&amp;SUBSTITUTE(SUBSTITUTE(SUBSTITUTE(E1051," [",", "),"[",", "),"]","")&amp;"]",TRIM(INDEX($A$3:$A$168,K1051))&amp;" ["&amp;SUBSTITUTE(SUBSTITUTE(SUBSTITUTE(E1051," [",", "),"[",", "),"]","")&amp;"]")))</x:f>
      </x:c>
      <x:c r="G1051" t="str">
        <x:f>IF(F1051&lt;&gt;"",ROWS($F$3:F1051)-COUNTBLANK($F$3:F1051),"")</x:f>
      </x:c>
      <x:c r="H1051"/>
      <x:c r="I1051"/>
      <x:c r="J1051"/>
      <x:c r="K1051" t="str">
        <x:f>IF(ROW()-ROW($K$2)&lt;=SUM($J$3:$J$168),COUNTIF($H$3:$H$168,"&lt;"&amp;(ROW()-ROW($K$2))),"")</x:f>
      </x:c>
      <x:c r="L1051" t="str">
        <x:f>IF(K1051="","",ROW()-ROW($L$2)-INDEX($H$3:$H$168,K1051))</x:f>
      </x:c>
      <x:c r="M1051" t="str">
        <x:f>IF(K1051="","",IF(L1051=1,1,FIND(CHAR(1),SUBSTITUTE(INDEX($B$3:$B$168,K1051),CHAR(10),CHAR(1),L1051-1))+1))</x:f>
      </x:c>
      <x:c r="N1051" t="str">
        <x:f>IF(K1051="","",IFERROR(FIND(CHAR(1),SUBSTITUTE(INDEX($B$3:$B$168,K1051),CHAR(10),CHAR(1),L1051)),LEN(INDEX($B$3:$B$168,K1051))+1))</x:f>
      </x:c>
    </x:row>
    <x:row r="1052">
      <x:c r="A1052"/>
      <x:c r="B1052"/>
      <x:c r="C1052"/>
      <x:c r="D1052" t="str">
        <x:f>IFERROR(IF(1050&lt;=$O$1,INDEX($A$3:$A$168,MATCH(1050,$I$3:$I$168,0)),IF(1050&lt;=$O$1+$O$2,INDEX($F$3:$F$1994,MATCH(1050-$O$1,$G$3:$G$1994,0)),"")),"")</x:f>
      </x:c>
      <x:c r="E1052" t="str">
        <x:f>IF(K1052="","",IF(N1052&lt;=M1052,"",TRIM(CLEAN(MID(INDEX($B$3:$B$168,K1052),M1052,N1052-M1052)))))</x:f>
      </x:c>
      <x:c r="F1052" t="str">
        <x:f>IF(E1052="","",IF(E1052=TRIM(INDEX($A$3:$A$168,K1052)),"",IF(RIGHT(TRIM(INDEX($A$3:$A$168,K1052)),1)="]",LEFT(TRIM(INDEX($A$3:$A$168,K1052)),LEN(TRIM(INDEX($A$3:$A$168,K1052)))-1)&amp;", "&amp;SUBSTITUTE(SUBSTITUTE(SUBSTITUTE(E1052," [",", "),"[",", "),"]","")&amp;"]",TRIM(INDEX($A$3:$A$168,K1052))&amp;" ["&amp;SUBSTITUTE(SUBSTITUTE(SUBSTITUTE(E1052," [",", "),"[",", "),"]","")&amp;"]")))</x:f>
      </x:c>
      <x:c r="G1052" t="str">
        <x:f>IF(F1052&lt;&gt;"",ROWS($F$3:F1052)-COUNTBLANK($F$3:F1052),"")</x:f>
      </x:c>
      <x:c r="H1052"/>
      <x:c r="I1052"/>
      <x:c r="J1052"/>
      <x:c r="K1052" t="str">
        <x:f>IF(ROW()-ROW($K$2)&lt;=SUM($J$3:$J$168),COUNTIF($H$3:$H$168,"&lt;"&amp;(ROW()-ROW($K$2))),"")</x:f>
      </x:c>
      <x:c r="L1052" t="str">
        <x:f>IF(K1052="","",ROW()-ROW($L$2)-INDEX($H$3:$H$168,K1052))</x:f>
      </x:c>
      <x:c r="M1052" t="str">
        <x:f>IF(K1052="","",IF(L1052=1,1,FIND(CHAR(1),SUBSTITUTE(INDEX($B$3:$B$168,K1052),CHAR(10),CHAR(1),L1052-1))+1))</x:f>
      </x:c>
      <x:c r="N1052" t="str">
        <x:f>IF(K1052="","",IFERROR(FIND(CHAR(1),SUBSTITUTE(INDEX($B$3:$B$168,K1052),CHAR(10),CHAR(1),L1052)),LEN(INDEX($B$3:$B$168,K1052))+1))</x:f>
      </x:c>
    </x:row>
    <x:row r="1053">
      <x:c r="A1053"/>
      <x:c r="B1053"/>
      <x:c r="C1053"/>
      <x:c r="D1053" t="str">
        <x:f>IFERROR(IF(1051&lt;=$O$1,INDEX($A$3:$A$168,MATCH(1051,$I$3:$I$168,0)),IF(1051&lt;=$O$1+$O$2,INDEX($F$3:$F$1994,MATCH(1051-$O$1,$G$3:$G$1994,0)),"")),"")</x:f>
      </x:c>
      <x:c r="E1053" t="str">
        <x:f>IF(K1053="","",IF(N1053&lt;=M1053,"",TRIM(CLEAN(MID(INDEX($B$3:$B$168,K1053),M1053,N1053-M1053)))))</x:f>
      </x:c>
      <x:c r="F1053" t="str">
        <x:f>IF(E1053="","",IF(E1053=TRIM(INDEX($A$3:$A$168,K1053)),"",IF(RIGHT(TRIM(INDEX($A$3:$A$168,K1053)),1)="]",LEFT(TRIM(INDEX($A$3:$A$168,K1053)),LEN(TRIM(INDEX($A$3:$A$168,K1053)))-1)&amp;", "&amp;SUBSTITUTE(SUBSTITUTE(SUBSTITUTE(E1053," [",", "),"[",", "),"]","")&amp;"]",TRIM(INDEX($A$3:$A$168,K1053))&amp;" ["&amp;SUBSTITUTE(SUBSTITUTE(SUBSTITUTE(E1053," [",", "),"[",", "),"]","")&amp;"]")))</x:f>
      </x:c>
      <x:c r="G1053" t="str">
        <x:f>IF(F1053&lt;&gt;"",ROWS($F$3:F1053)-COUNTBLANK($F$3:F1053),"")</x:f>
      </x:c>
      <x:c r="H1053"/>
      <x:c r="I1053"/>
      <x:c r="J1053"/>
      <x:c r="K1053" t="str">
        <x:f>IF(ROW()-ROW($K$2)&lt;=SUM($J$3:$J$168),COUNTIF($H$3:$H$168,"&lt;"&amp;(ROW()-ROW($K$2))),"")</x:f>
      </x:c>
      <x:c r="L1053" t="str">
        <x:f>IF(K1053="","",ROW()-ROW($L$2)-INDEX($H$3:$H$168,K1053))</x:f>
      </x:c>
      <x:c r="M1053" t="str">
        <x:f>IF(K1053="","",IF(L1053=1,1,FIND(CHAR(1),SUBSTITUTE(INDEX($B$3:$B$168,K1053),CHAR(10),CHAR(1),L1053-1))+1))</x:f>
      </x:c>
      <x:c r="N1053" t="str">
        <x:f>IF(K1053="","",IFERROR(FIND(CHAR(1),SUBSTITUTE(INDEX($B$3:$B$168,K1053),CHAR(10),CHAR(1),L1053)),LEN(INDEX($B$3:$B$168,K1053))+1))</x:f>
      </x:c>
    </x:row>
    <x:row r="1054">
      <x:c r="A1054"/>
      <x:c r="B1054"/>
      <x:c r="C1054"/>
      <x:c r="D1054" t="str">
        <x:f>IFERROR(IF(1052&lt;=$O$1,INDEX($A$3:$A$168,MATCH(1052,$I$3:$I$168,0)),IF(1052&lt;=$O$1+$O$2,INDEX($F$3:$F$1994,MATCH(1052-$O$1,$G$3:$G$1994,0)),"")),"")</x:f>
      </x:c>
      <x:c r="E1054" t="str">
        <x:f>IF(K1054="","",IF(N1054&lt;=M1054,"",TRIM(CLEAN(MID(INDEX($B$3:$B$168,K1054),M1054,N1054-M1054)))))</x:f>
      </x:c>
      <x:c r="F1054" t="str">
        <x:f>IF(E1054="","",IF(E1054=TRIM(INDEX($A$3:$A$168,K1054)),"",IF(RIGHT(TRIM(INDEX($A$3:$A$168,K1054)),1)="]",LEFT(TRIM(INDEX($A$3:$A$168,K1054)),LEN(TRIM(INDEX($A$3:$A$168,K1054)))-1)&amp;", "&amp;SUBSTITUTE(SUBSTITUTE(SUBSTITUTE(E1054," [",", "),"[",", "),"]","")&amp;"]",TRIM(INDEX($A$3:$A$168,K1054))&amp;" ["&amp;SUBSTITUTE(SUBSTITUTE(SUBSTITUTE(E1054," [",", "),"[",", "),"]","")&amp;"]")))</x:f>
      </x:c>
      <x:c r="G1054" t="str">
        <x:f>IF(F1054&lt;&gt;"",ROWS($F$3:F1054)-COUNTBLANK($F$3:F1054),"")</x:f>
      </x:c>
      <x:c r="H1054"/>
      <x:c r="I1054"/>
      <x:c r="J1054"/>
      <x:c r="K1054" t="str">
        <x:f>IF(ROW()-ROW($K$2)&lt;=SUM($J$3:$J$168),COUNTIF($H$3:$H$168,"&lt;"&amp;(ROW()-ROW($K$2))),"")</x:f>
      </x:c>
      <x:c r="L1054" t="str">
        <x:f>IF(K1054="","",ROW()-ROW($L$2)-INDEX($H$3:$H$168,K1054))</x:f>
      </x:c>
      <x:c r="M1054" t="str">
        <x:f>IF(K1054="","",IF(L1054=1,1,FIND(CHAR(1),SUBSTITUTE(INDEX($B$3:$B$168,K1054),CHAR(10),CHAR(1),L1054-1))+1))</x:f>
      </x:c>
      <x:c r="N1054" t="str">
        <x:f>IF(K1054="","",IFERROR(FIND(CHAR(1),SUBSTITUTE(INDEX($B$3:$B$168,K1054),CHAR(10),CHAR(1),L1054)),LEN(INDEX($B$3:$B$168,K1054))+1))</x:f>
      </x:c>
    </x:row>
    <x:row r="1055">
      <x:c r="A1055"/>
      <x:c r="B1055"/>
      <x:c r="C1055"/>
      <x:c r="D1055" t="str">
        <x:f>IFERROR(IF(1053&lt;=$O$1,INDEX($A$3:$A$168,MATCH(1053,$I$3:$I$168,0)),IF(1053&lt;=$O$1+$O$2,INDEX($F$3:$F$1994,MATCH(1053-$O$1,$G$3:$G$1994,0)),"")),"")</x:f>
      </x:c>
      <x:c r="E1055" t="str">
        <x:f>IF(K1055="","",IF(N1055&lt;=M1055,"",TRIM(CLEAN(MID(INDEX($B$3:$B$168,K1055),M1055,N1055-M1055)))))</x:f>
      </x:c>
      <x:c r="F1055" t="str">
        <x:f>IF(E1055="","",IF(E1055=TRIM(INDEX($A$3:$A$168,K1055)),"",IF(RIGHT(TRIM(INDEX($A$3:$A$168,K1055)),1)="]",LEFT(TRIM(INDEX($A$3:$A$168,K1055)),LEN(TRIM(INDEX($A$3:$A$168,K1055)))-1)&amp;", "&amp;SUBSTITUTE(SUBSTITUTE(SUBSTITUTE(E1055," [",", "),"[",", "),"]","")&amp;"]",TRIM(INDEX($A$3:$A$168,K1055))&amp;" ["&amp;SUBSTITUTE(SUBSTITUTE(SUBSTITUTE(E1055," [",", "),"[",", "),"]","")&amp;"]")))</x:f>
      </x:c>
      <x:c r="G1055" t="str">
        <x:f>IF(F1055&lt;&gt;"",ROWS($F$3:F1055)-COUNTBLANK($F$3:F1055),"")</x:f>
      </x:c>
      <x:c r="H1055"/>
      <x:c r="I1055"/>
      <x:c r="J1055"/>
      <x:c r="K1055" t="str">
        <x:f>IF(ROW()-ROW($K$2)&lt;=SUM($J$3:$J$168),COUNTIF($H$3:$H$168,"&lt;"&amp;(ROW()-ROW($K$2))),"")</x:f>
      </x:c>
      <x:c r="L1055" t="str">
        <x:f>IF(K1055="","",ROW()-ROW($L$2)-INDEX($H$3:$H$168,K1055))</x:f>
      </x:c>
      <x:c r="M1055" t="str">
        <x:f>IF(K1055="","",IF(L1055=1,1,FIND(CHAR(1),SUBSTITUTE(INDEX($B$3:$B$168,K1055),CHAR(10),CHAR(1),L1055-1))+1))</x:f>
      </x:c>
      <x:c r="N1055" t="str">
        <x:f>IF(K1055="","",IFERROR(FIND(CHAR(1),SUBSTITUTE(INDEX($B$3:$B$168,K1055),CHAR(10),CHAR(1),L1055)),LEN(INDEX($B$3:$B$168,K1055))+1))</x:f>
      </x:c>
    </x:row>
    <x:row r="1056">
      <x:c r="A1056"/>
      <x:c r="B1056"/>
      <x:c r="C1056"/>
      <x:c r="D1056" t="str">
        <x:f>IFERROR(IF(1054&lt;=$O$1,INDEX($A$3:$A$168,MATCH(1054,$I$3:$I$168,0)),IF(1054&lt;=$O$1+$O$2,INDEX($F$3:$F$1994,MATCH(1054-$O$1,$G$3:$G$1994,0)),"")),"")</x:f>
      </x:c>
      <x:c r="E1056" t="str">
        <x:f>IF(K1056="","",IF(N1056&lt;=M1056,"",TRIM(CLEAN(MID(INDEX($B$3:$B$168,K1056),M1056,N1056-M1056)))))</x:f>
      </x:c>
      <x:c r="F1056" t="str">
        <x:f>IF(E1056="","",IF(E1056=TRIM(INDEX($A$3:$A$168,K1056)),"",IF(RIGHT(TRIM(INDEX($A$3:$A$168,K1056)),1)="]",LEFT(TRIM(INDEX($A$3:$A$168,K1056)),LEN(TRIM(INDEX($A$3:$A$168,K1056)))-1)&amp;", "&amp;SUBSTITUTE(SUBSTITUTE(SUBSTITUTE(E1056," [",", "),"[",", "),"]","")&amp;"]",TRIM(INDEX($A$3:$A$168,K1056))&amp;" ["&amp;SUBSTITUTE(SUBSTITUTE(SUBSTITUTE(E1056," [",", "),"[",", "),"]","")&amp;"]")))</x:f>
      </x:c>
      <x:c r="G1056" t="str">
        <x:f>IF(F1056&lt;&gt;"",ROWS($F$3:F1056)-COUNTBLANK($F$3:F1056),"")</x:f>
      </x:c>
      <x:c r="H1056"/>
      <x:c r="I1056"/>
      <x:c r="J1056"/>
      <x:c r="K1056" t="str">
        <x:f>IF(ROW()-ROW($K$2)&lt;=SUM($J$3:$J$168),COUNTIF($H$3:$H$168,"&lt;"&amp;(ROW()-ROW($K$2))),"")</x:f>
      </x:c>
      <x:c r="L1056" t="str">
        <x:f>IF(K1056="","",ROW()-ROW($L$2)-INDEX($H$3:$H$168,K1056))</x:f>
      </x:c>
      <x:c r="M1056" t="str">
        <x:f>IF(K1056="","",IF(L1056=1,1,FIND(CHAR(1),SUBSTITUTE(INDEX($B$3:$B$168,K1056),CHAR(10),CHAR(1),L1056-1))+1))</x:f>
      </x:c>
      <x:c r="N1056" t="str">
        <x:f>IF(K1056="","",IFERROR(FIND(CHAR(1),SUBSTITUTE(INDEX($B$3:$B$168,K1056),CHAR(10),CHAR(1),L1056)),LEN(INDEX($B$3:$B$168,K1056))+1))</x:f>
      </x:c>
    </x:row>
    <x:row r="1057">
      <x:c r="A1057"/>
      <x:c r="B1057"/>
      <x:c r="C1057"/>
      <x:c r="D1057" t="str">
        <x:f>IFERROR(IF(1055&lt;=$O$1,INDEX($A$3:$A$168,MATCH(1055,$I$3:$I$168,0)),IF(1055&lt;=$O$1+$O$2,INDEX($F$3:$F$1994,MATCH(1055-$O$1,$G$3:$G$1994,0)),"")),"")</x:f>
      </x:c>
      <x:c r="E1057" t="str">
        <x:f>IF(K1057="","",IF(N1057&lt;=M1057,"",TRIM(CLEAN(MID(INDEX($B$3:$B$168,K1057),M1057,N1057-M1057)))))</x:f>
      </x:c>
      <x:c r="F1057" t="str">
        <x:f>IF(E1057="","",IF(E1057=TRIM(INDEX($A$3:$A$168,K1057)),"",IF(RIGHT(TRIM(INDEX($A$3:$A$168,K1057)),1)="]",LEFT(TRIM(INDEX($A$3:$A$168,K1057)),LEN(TRIM(INDEX($A$3:$A$168,K1057)))-1)&amp;", "&amp;SUBSTITUTE(SUBSTITUTE(SUBSTITUTE(E1057," [",", "),"[",", "),"]","")&amp;"]",TRIM(INDEX($A$3:$A$168,K1057))&amp;" ["&amp;SUBSTITUTE(SUBSTITUTE(SUBSTITUTE(E1057," [",", "),"[",", "),"]","")&amp;"]")))</x:f>
      </x:c>
      <x:c r="G1057" t="str">
        <x:f>IF(F1057&lt;&gt;"",ROWS($F$3:F1057)-COUNTBLANK($F$3:F1057),"")</x:f>
      </x:c>
      <x:c r="H1057"/>
      <x:c r="I1057"/>
      <x:c r="J1057"/>
      <x:c r="K1057" t="str">
        <x:f>IF(ROW()-ROW($K$2)&lt;=SUM($J$3:$J$168),COUNTIF($H$3:$H$168,"&lt;"&amp;(ROW()-ROW($K$2))),"")</x:f>
      </x:c>
      <x:c r="L1057" t="str">
        <x:f>IF(K1057="","",ROW()-ROW($L$2)-INDEX($H$3:$H$168,K1057))</x:f>
      </x:c>
      <x:c r="M1057" t="str">
        <x:f>IF(K1057="","",IF(L1057=1,1,FIND(CHAR(1),SUBSTITUTE(INDEX($B$3:$B$168,K1057),CHAR(10),CHAR(1),L1057-1))+1))</x:f>
      </x:c>
      <x:c r="N1057" t="str">
        <x:f>IF(K1057="","",IFERROR(FIND(CHAR(1),SUBSTITUTE(INDEX($B$3:$B$168,K1057),CHAR(10),CHAR(1),L1057)),LEN(INDEX($B$3:$B$168,K1057))+1))</x:f>
      </x:c>
    </x:row>
    <x:row r="1058">
      <x:c r="A1058"/>
      <x:c r="B1058"/>
      <x:c r="C1058"/>
      <x:c r="D1058" t="str">
        <x:f>IFERROR(IF(1056&lt;=$O$1,INDEX($A$3:$A$168,MATCH(1056,$I$3:$I$168,0)),IF(1056&lt;=$O$1+$O$2,INDEX($F$3:$F$1994,MATCH(1056-$O$1,$G$3:$G$1994,0)),"")),"")</x:f>
      </x:c>
      <x:c r="E1058" t="str">
        <x:f>IF(K1058="","",IF(N1058&lt;=M1058,"",TRIM(CLEAN(MID(INDEX($B$3:$B$168,K1058),M1058,N1058-M1058)))))</x:f>
      </x:c>
      <x:c r="F1058" t="str">
        <x:f>IF(E1058="","",IF(E1058=TRIM(INDEX($A$3:$A$168,K1058)),"",IF(RIGHT(TRIM(INDEX($A$3:$A$168,K1058)),1)="]",LEFT(TRIM(INDEX($A$3:$A$168,K1058)),LEN(TRIM(INDEX($A$3:$A$168,K1058)))-1)&amp;", "&amp;SUBSTITUTE(SUBSTITUTE(SUBSTITUTE(E1058," [",", "),"[",", "),"]","")&amp;"]",TRIM(INDEX($A$3:$A$168,K1058))&amp;" ["&amp;SUBSTITUTE(SUBSTITUTE(SUBSTITUTE(E1058," [",", "),"[",", "),"]","")&amp;"]")))</x:f>
      </x:c>
      <x:c r="G1058" t="str">
        <x:f>IF(F1058&lt;&gt;"",ROWS($F$3:F1058)-COUNTBLANK($F$3:F1058),"")</x:f>
      </x:c>
      <x:c r="H1058"/>
      <x:c r="I1058"/>
      <x:c r="J1058"/>
      <x:c r="K1058" t="str">
        <x:f>IF(ROW()-ROW($K$2)&lt;=SUM($J$3:$J$168),COUNTIF($H$3:$H$168,"&lt;"&amp;(ROW()-ROW($K$2))),"")</x:f>
      </x:c>
      <x:c r="L1058" t="str">
        <x:f>IF(K1058="","",ROW()-ROW($L$2)-INDEX($H$3:$H$168,K1058))</x:f>
      </x:c>
      <x:c r="M1058" t="str">
        <x:f>IF(K1058="","",IF(L1058=1,1,FIND(CHAR(1),SUBSTITUTE(INDEX($B$3:$B$168,K1058),CHAR(10),CHAR(1),L1058-1))+1))</x:f>
      </x:c>
      <x:c r="N1058" t="str">
        <x:f>IF(K1058="","",IFERROR(FIND(CHAR(1),SUBSTITUTE(INDEX($B$3:$B$168,K1058),CHAR(10),CHAR(1),L1058)),LEN(INDEX($B$3:$B$168,K1058))+1))</x:f>
      </x:c>
    </x:row>
    <x:row r="1059">
      <x:c r="A1059"/>
      <x:c r="B1059"/>
      <x:c r="C1059"/>
      <x:c r="D1059" t="str">
        <x:f>IFERROR(IF(1057&lt;=$O$1,INDEX($A$3:$A$168,MATCH(1057,$I$3:$I$168,0)),IF(1057&lt;=$O$1+$O$2,INDEX($F$3:$F$1994,MATCH(1057-$O$1,$G$3:$G$1994,0)),"")),"")</x:f>
      </x:c>
      <x:c r="E1059" t="str">
        <x:f>IF(K1059="","",IF(N1059&lt;=M1059,"",TRIM(CLEAN(MID(INDEX($B$3:$B$168,K1059),M1059,N1059-M1059)))))</x:f>
      </x:c>
      <x:c r="F1059" t="str">
        <x:f>IF(E1059="","",IF(E1059=TRIM(INDEX($A$3:$A$168,K1059)),"",IF(RIGHT(TRIM(INDEX($A$3:$A$168,K1059)),1)="]",LEFT(TRIM(INDEX($A$3:$A$168,K1059)),LEN(TRIM(INDEX($A$3:$A$168,K1059)))-1)&amp;", "&amp;SUBSTITUTE(SUBSTITUTE(SUBSTITUTE(E1059," [",", "),"[",", "),"]","")&amp;"]",TRIM(INDEX($A$3:$A$168,K1059))&amp;" ["&amp;SUBSTITUTE(SUBSTITUTE(SUBSTITUTE(E1059," [",", "),"[",", "),"]","")&amp;"]")))</x:f>
      </x:c>
      <x:c r="G1059" t="str">
        <x:f>IF(F1059&lt;&gt;"",ROWS($F$3:F1059)-COUNTBLANK($F$3:F1059),"")</x:f>
      </x:c>
      <x:c r="H1059"/>
      <x:c r="I1059"/>
      <x:c r="J1059"/>
      <x:c r="K1059" t="str">
        <x:f>IF(ROW()-ROW($K$2)&lt;=SUM($J$3:$J$168),COUNTIF($H$3:$H$168,"&lt;"&amp;(ROW()-ROW($K$2))),"")</x:f>
      </x:c>
      <x:c r="L1059" t="str">
        <x:f>IF(K1059="","",ROW()-ROW($L$2)-INDEX($H$3:$H$168,K1059))</x:f>
      </x:c>
      <x:c r="M1059" t="str">
        <x:f>IF(K1059="","",IF(L1059=1,1,FIND(CHAR(1),SUBSTITUTE(INDEX($B$3:$B$168,K1059),CHAR(10),CHAR(1),L1059-1))+1))</x:f>
      </x:c>
      <x:c r="N1059" t="str">
        <x:f>IF(K1059="","",IFERROR(FIND(CHAR(1),SUBSTITUTE(INDEX($B$3:$B$168,K1059),CHAR(10),CHAR(1),L1059)),LEN(INDEX($B$3:$B$168,K1059))+1))</x:f>
      </x:c>
    </x:row>
    <x:row r="1060">
      <x:c r="A1060"/>
      <x:c r="B1060"/>
      <x:c r="C1060"/>
      <x:c r="D1060" t="str">
        <x:f>IFERROR(IF(1058&lt;=$O$1,INDEX($A$3:$A$168,MATCH(1058,$I$3:$I$168,0)),IF(1058&lt;=$O$1+$O$2,INDEX($F$3:$F$1994,MATCH(1058-$O$1,$G$3:$G$1994,0)),"")),"")</x:f>
      </x:c>
      <x:c r="E1060" t="str">
        <x:f>IF(K1060="","",IF(N1060&lt;=M1060,"",TRIM(CLEAN(MID(INDEX($B$3:$B$168,K1060),M1060,N1060-M1060)))))</x:f>
      </x:c>
      <x:c r="F1060" t="str">
        <x:f>IF(E1060="","",IF(E1060=TRIM(INDEX($A$3:$A$168,K1060)),"",IF(RIGHT(TRIM(INDEX($A$3:$A$168,K1060)),1)="]",LEFT(TRIM(INDEX($A$3:$A$168,K1060)),LEN(TRIM(INDEX($A$3:$A$168,K1060)))-1)&amp;", "&amp;SUBSTITUTE(SUBSTITUTE(SUBSTITUTE(E1060," [",", "),"[",", "),"]","")&amp;"]",TRIM(INDEX($A$3:$A$168,K1060))&amp;" ["&amp;SUBSTITUTE(SUBSTITUTE(SUBSTITUTE(E1060," [",", "),"[",", "),"]","")&amp;"]")))</x:f>
      </x:c>
      <x:c r="G1060" t="str">
        <x:f>IF(F1060&lt;&gt;"",ROWS($F$3:F1060)-COUNTBLANK($F$3:F1060),"")</x:f>
      </x:c>
      <x:c r="H1060"/>
      <x:c r="I1060"/>
      <x:c r="J1060"/>
      <x:c r="K1060" t="str">
        <x:f>IF(ROW()-ROW($K$2)&lt;=SUM($J$3:$J$168),COUNTIF($H$3:$H$168,"&lt;"&amp;(ROW()-ROW($K$2))),"")</x:f>
      </x:c>
      <x:c r="L1060" t="str">
        <x:f>IF(K1060="","",ROW()-ROW($L$2)-INDEX($H$3:$H$168,K1060))</x:f>
      </x:c>
      <x:c r="M1060" t="str">
        <x:f>IF(K1060="","",IF(L1060=1,1,FIND(CHAR(1),SUBSTITUTE(INDEX($B$3:$B$168,K1060),CHAR(10),CHAR(1),L1060-1))+1))</x:f>
      </x:c>
      <x:c r="N1060" t="str">
        <x:f>IF(K1060="","",IFERROR(FIND(CHAR(1),SUBSTITUTE(INDEX($B$3:$B$168,K1060),CHAR(10),CHAR(1),L1060)),LEN(INDEX($B$3:$B$168,K1060))+1))</x:f>
      </x:c>
    </x:row>
    <x:row r="1061">
      <x:c r="A1061"/>
      <x:c r="B1061"/>
      <x:c r="C1061"/>
      <x:c r="D1061" t="str">
        <x:f>IFERROR(IF(1059&lt;=$O$1,INDEX($A$3:$A$168,MATCH(1059,$I$3:$I$168,0)),IF(1059&lt;=$O$1+$O$2,INDEX($F$3:$F$1994,MATCH(1059-$O$1,$G$3:$G$1994,0)),"")),"")</x:f>
      </x:c>
      <x:c r="E1061" t="str">
        <x:f>IF(K1061="","",IF(N1061&lt;=M1061,"",TRIM(CLEAN(MID(INDEX($B$3:$B$168,K1061),M1061,N1061-M1061)))))</x:f>
      </x:c>
      <x:c r="F1061" t="str">
        <x:f>IF(E1061="","",IF(E1061=TRIM(INDEX($A$3:$A$168,K1061)),"",IF(RIGHT(TRIM(INDEX($A$3:$A$168,K1061)),1)="]",LEFT(TRIM(INDEX($A$3:$A$168,K1061)),LEN(TRIM(INDEX($A$3:$A$168,K1061)))-1)&amp;", "&amp;SUBSTITUTE(SUBSTITUTE(SUBSTITUTE(E1061," [",", "),"[",", "),"]","")&amp;"]",TRIM(INDEX($A$3:$A$168,K1061))&amp;" ["&amp;SUBSTITUTE(SUBSTITUTE(SUBSTITUTE(E1061," [",", "),"[",", "),"]","")&amp;"]")))</x:f>
      </x:c>
      <x:c r="G1061" t="str">
        <x:f>IF(F1061&lt;&gt;"",ROWS($F$3:F1061)-COUNTBLANK($F$3:F1061),"")</x:f>
      </x:c>
      <x:c r="H1061"/>
      <x:c r="I1061"/>
      <x:c r="J1061"/>
      <x:c r="K1061" t="str">
        <x:f>IF(ROW()-ROW($K$2)&lt;=SUM($J$3:$J$168),COUNTIF($H$3:$H$168,"&lt;"&amp;(ROW()-ROW($K$2))),"")</x:f>
      </x:c>
      <x:c r="L1061" t="str">
        <x:f>IF(K1061="","",ROW()-ROW($L$2)-INDEX($H$3:$H$168,K1061))</x:f>
      </x:c>
      <x:c r="M1061" t="str">
        <x:f>IF(K1061="","",IF(L1061=1,1,FIND(CHAR(1),SUBSTITUTE(INDEX($B$3:$B$168,K1061),CHAR(10),CHAR(1),L1061-1))+1))</x:f>
      </x:c>
      <x:c r="N1061" t="str">
        <x:f>IF(K1061="","",IFERROR(FIND(CHAR(1),SUBSTITUTE(INDEX($B$3:$B$168,K1061),CHAR(10),CHAR(1),L1061)),LEN(INDEX($B$3:$B$168,K1061))+1))</x:f>
      </x:c>
    </x:row>
    <x:row r="1062">
      <x:c r="A1062"/>
      <x:c r="B1062"/>
      <x:c r="C1062"/>
      <x:c r="D1062" t="str">
        <x:f>IFERROR(IF(1060&lt;=$O$1,INDEX($A$3:$A$168,MATCH(1060,$I$3:$I$168,0)),IF(1060&lt;=$O$1+$O$2,INDEX($F$3:$F$1994,MATCH(1060-$O$1,$G$3:$G$1994,0)),"")),"")</x:f>
      </x:c>
      <x:c r="E1062" t="str">
        <x:f>IF(K1062="","",IF(N1062&lt;=M1062,"",TRIM(CLEAN(MID(INDEX($B$3:$B$168,K1062),M1062,N1062-M1062)))))</x:f>
      </x:c>
      <x:c r="F1062" t="str">
        <x:f>IF(E1062="","",IF(E1062=TRIM(INDEX($A$3:$A$168,K1062)),"",IF(RIGHT(TRIM(INDEX($A$3:$A$168,K1062)),1)="]",LEFT(TRIM(INDEX($A$3:$A$168,K1062)),LEN(TRIM(INDEX($A$3:$A$168,K1062)))-1)&amp;", "&amp;SUBSTITUTE(SUBSTITUTE(SUBSTITUTE(E1062," [",", "),"[",", "),"]","")&amp;"]",TRIM(INDEX($A$3:$A$168,K1062))&amp;" ["&amp;SUBSTITUTE(SUBSTITUTE(SUBSTITUTE(E1062," [",", "),"[",", "),"]","")&amp;"]")))</x:f>
      </x:c>
      <x:c r="G1062" t="str">
        <x:f>IF(F1062&lt;&gt;"",ROWS($F$3:F1062)-COUNTBLANK($F$3:F1062),"")</x:f>
      </x:c>
      <x:c r="H1062"/>
      <x:c r="I1062"/>
      <x:c r="J1062"/>
      <x:c r="K1062" t="str">
        <x:f>IF(ROW()-ROW($K$2)&lt;=SUM($J$3:$J$168),COUNTIF($H$3:$H$168,"&lt;"&amp;(ROW()-ROW($K$2))),"")</x:f>
      </x:c>
      <x:c r="L1062" t="str">
        <x:f>IF(K1062="","",ROW()-ROW($L$2)-INDEX($H$3:$H$168,K1062))</x:f>
      </x:c>
      <x:c r="M1062" t="str">
        <x:f>IF(K1062="","",IF(L1062=1,1,FIND(CHAR(1),SUBSTITUTE(INDEX($B$3:$B$168,K1062),CHAR(10),CHAR(1),L1062-1))+1))</x:f>
      </x:c>
      <x:c r="N1062" t="str">
        <x:f>IF(K1062="","",IFERROR(FIND(CHAR(1),SUBSTITUTE(INDEX($B$3:$B$168,K1062),CHAR(10),CHAR(1),L1062)),LEN(INDEX($B$3:$B$168,K1062))+1))</x:f>
      </x:c>
    </x:row>
    <x:row r="1063">
      <x:c r="A1063"/>
      <x:c r="B1063"/>
      <x:c r="C1063"/>
      <x:c r="D1063" t="str">
        <x:f>IFERROR(IF(1061&lt;=$O$1,INDEX($A$3:$A$168,MATCH(1061,$I$3:$I$168,0)),IF(1061&lt;=$O$1+$O$2,INDEX($F$3:$F$1994,MATCH(1061-$O$1,$G$3:$G$1994,0)),"")),"")</x:f>
      </x:c>
      <x:c r="E1063" t="str">
        <x:f>IF(K1063="","",IF(N1063&lt;=M1063,"",TRIM(CLEAN(MID(INDEX($B$3:$B$168,K1063),M1063,N1063-M1063)))))</x:f>
      </x:c>
      <x:c r="F1063" t="str">
        <x:f>IF(E1063="","",IF(E1063=TRIM(INDEX($A$3:$A$168,K1063)),"",IF(RIGHT(TRIM(INDEX($A$3:$A$168,K1063)),1)="]",LEFT(TRIM(INDEX($A$3:$A$168,K1063)),LEN(TRIM(INDEX($A$3:$A$168,K1063)))-1)&amp;", "&amp;SUBSTITUTE(SUBSTITUTE(SUBSTITUTE(E1063," [",", "),"[",", "),"]","")&amp;"]",TRIM(INDEX($A$3:$A$168,K1063))&amp;" ["&amp;SUBSTITUTE(SUBSTITUTE(SUBSTITUTE(E1063," [",", "),"[",", "),"]","")&amp;"]")))</x:f>
      </x:c>
      <x:c r="G1063" t="str">
        <x:f>IF(F1063&lt;&gt;"",ROWS($F$3:F1063)-COUNTBLANK($F$3:F1063),"")</x:f>
      </x:c>
      <x:c r="H1063"/>
      <x:c r="I1063"/>
      <x:c r="J1063"/>
      <x:c r="K1063" t="str">
        <x:f>IF(ROW()-ROW($K$2)&lt;=SUM($J$3:$J$168),COUNTIF($H$3:$H$168,"&lt;"&amp;(ROW()-ROW($K$2))),"")</x:f>
      </x:c>
      <x:c r="L1063" t="str">
        <x:f>IF(K1063="","",ROW()-ROW($L$2)-INDEX($H$3:$H$168,K1063))</x:f>
      </x:c>
      <x:c r="M1063" t="str">
        <x:f>IF(K1063="","",IF(L1063=1,1,FIND(CHAR(1),SUBSTITUTE(INDEX($B$3:$B$168,K1063),CHAR(10),CHAR(1),L1063-1))+1))</x:f>
      </x:c>
      <x:c r="N1063" t="str">
        <x:f>IF(K1063="","",IFERROR(FIND(CHAR(1),SUBSTITUTE(INDEX($B$3:$B$168,K1063),CHAR(10),CHAR(1),L1063)),LEN(INDEX($B$3:$B$168,K1063))+1))</x:f>
      </x:c>
    </x:row>
    <x:row r="1064">
      <x:c r="A1064"/>
      <x:c r="B1064"/>
      <x:c r="C1064"/>
      <x:c r="D1064" t="str">
        <x:f>IFERROR(IF(1062&lt;=$O$1,INDEX($A$3:$A$168,MATCH(1062,$I$3:$I$168,0)),IF(1062&lt;=$O$1+$O$2,INDEX($F$3:$F$1994,MATCH(1062-$O$1,$G$3:$G$1994,0)),"")),"")</x:f>
      </x:c>
      <x:c r="E1064" t="str">
        <x:f>IF(K1064="","",IF(N1064&lt;=M1064,"",TRIM(CLEAN(MID(INDEX($B$3:$B$168,K1064),M1064,N1064-M1064)))))</x:f>
      </x:c>
      <x:c r="F1064" t="str">
        <x:f>IF(E1064="","",IF(E1064=TRIM(INDEX($A$3:$A$168,K1064)),"",IF(RIGHT(TRIM(INDEX($A$3:$A$168,K1064)),1)="]",LEFT(TRIM(INDEX($A$3:$A$168,K1064)),LEN(TRIM(INDEX($A$3:$A$168,K1064)))-1)&amp;", "&amp;SUBSTITUTE(SUBSTITUTE(SUBSTITUTE(E1064," [",", "),"[",", "),"]","")&amp;"]",TRIM(INDEX($A$3:$A$168,K1064))&amp;" ["&amp;SUBSTITUTE(SUBSTITUTE(SUBSTITUTE(E1064," [",", "),"[",", "),"]","")&amp;"]")))</x:f>
      </x:c>
      <x:c r="G1064" t="str">
        <x:f>IF(F1064&lt;&gt;"",ROWS($F$3:F1064)-COUNTBLANK($F$3:F1064),"")</x:f>
      </x:c>
      <x:c r="H1064"/>
      <x:c r="I1064"/>
      <x:c r="J1064"/>
      <x:c r="K1064" t="str">
        <x:f>IF(ROW()-ROW($K$2)&lt;=SUM($J$3:$J$168),COUNTIF($H$3:$H$168,"&lt;"&amp;(ROW()-ROW($K$2))),"")</x:f>
      </x:c>
      <x:c r="L1064" t="str">
        <x:f>IF(K1064="","",ROW()-ROW($L$2)-INDEX($H$3:$H$168,K1064))</x:f>
      </x:c>
      <x:c r="M1064" t="str">
        <x:f>IF(K1064="","",IF(L1064=1,1,FIND(CHAR(1),SUBSTITUTE(INDEX($B$3:$B$168,K1064),CHAR(10),CHAR(1),L1064-1))+1))</x:f>
      </x:c>
      <x:c r="N1064" t="str">
        <x:f>IF(K1064="","",IFERROR(FIND(CHAR(1),SUBSTITUTE(INDEX($B$3:$B$168,K1064),CHAR(10),CHAR(1),L1064)),LEN(INDEX($B$3:$B$168,K1064))+1))</x:f>
      </x:c>
    </x:row>
    <x:row r="1065">
      <x:c r="A1065"/>
      <x:c r="B1065"/>
      <x:c r="C1065"/>
      <x:c r="D1065" t="str">
        <x:f>IFERROR(IF(1063&lt;=$O$1,INDEX($A$3:$A$168,MATCH(1063,$I$3:$I$168,0)),IF(1063&lt;=$O$1+$O$2,INDEX($F$3:$F$1994,MATCH(1063-$O$1,$G$3:$G$1994,0)),"")),"")</x:f>
      </x:c>
      <x:c r="E1065" t="str">
        <x:f>IF(K1065="","",IF(N1065&lt;=M1065,"",TRIM(CLEAN(MID(INDEX($B$3:$B$168,K1065),M1065,N1065-M1065)))))</x:f>
      </x:c>
      <x:c r="F1065" t="str">
        <x:f>IF(E1065="","",IF(E1065=TRIM(INDEX($A$3:$A$168,K1065)),"",IF(RIGHT(TRIM(INDEX($A$3:$A$168,K1065)),1)="]",LEFT(TRIM(INDEX($A$3:$A$168,K1065)),LEN(TRIM(INDEX($A$3:$A$168,K1065)))-1)&amp;", "&amp;SUBSTITUTE(SUBSTITUTE(SUBSTITUTE(E1065," [",", "),"[",", "),"]","")&amp;"]",TRIM(INDEX($A$3:$A$168,K1065))&amp;" ["&amp;SUBSTITUTE(SUBSTITUTE(SUBSTITUTE(E1065," [",", "),"[",", "),"]","")&amp;"]")))</x:f>
      </x:c>
      <x:c r="G1065" t="str">
        <x:f>IF(F1065&lt;&gt;"",ROWS($F$3:F1065)-COUNTBLANK($F$3:F1065),"")</x:f>
      </x:c>
      <x:c r="H1065"/>
      <x:c r="I1065"/>
      <x:c r="J1065"/>
      <x:c r="K1065" t="str">
        <x:f>IF(ROW()-ROW($K$2)&lt;=SUM($J$3:$J$168),COUNTIF($H$3:$H$168,"&lt;"&amp;(ROW()-ROW($K$2))),"")</x:f>
      </x:c>
      <x:c r="L1065" t="str">
        <x:f>IF(K1065="","",ROW()-ROW($L$2)-INDEX($H$3:$H$168,K1065))</x:f>
      </x:c>
      <x:c r="M1065" t="str">
        <x:f>IF(K1065="","",IF(L1065=1,1,FIND(CHAR(1),SUBSTITUTE(INDEX($B$3:$B$168,K1065),CHAR(10),CHAR(1),L1065-1))+1))</x:f>
      </x:c>
      <x:c r="N1065" t="str">
        <x:f>IF(K1065="","",IFERROR(FIND(CHAR(1),SUBSTITUTE(INDEX($B$3:$B$168,K1065),CHAR(10),CHAR(1),L1065)),LEN(INDEX($B$3:$B$168,K1065))+1))</x:f>
      </x:c>
    </x:row>
    <x:row r="1066">
      <x:c r="A1066"/>
      <x:c r="B1066"/>
      <x:c r="C1066"/>
      <x:c r="D1066" t="str">
        <x:f>IFERROR(IF(1064&lt;=$O$1,INDEX($A$3:$A$168,MATCH(1064,$I$3:$I$168,0)),IF(1064&lt;=$O$1+$O$2,INDEX($F$3:$F$1994,MATCH(1064-$O$1,$G$3:$G$1994,0)),"")),"")</x:f>
      </x:c>
      <x:c r="E1066" t="str">
        <x:f>IF(K1066="","",IF(N1066&lt;=M1066,"",TRIM(CLEAN(MID(INDEX($B$3:$B$168,K1066),M1066,N1066-M1066)))))</x:f>
      </x:c>
      <x:c r="F1066" t="str">
        <x:f>IF(E1066="","",IF(E1066=TRIM(INDEX($A$3:$A$168,K1066)),"",IF(RIGHT(TRIM(INDEX($A$3:$A$168,K1066)),1)="]",LEFT(TRIM(INDEX($A$3:$A$168,K1066)),LEN(TRIM(INDEX($A$3:$A$168,K1066)))-1)&amp;", "&amp;SUBSTITUTE(SUBSTITUTE(SUBSTITUTE(E1066," [",", "),"[",", "),"]","")&amp;"]",TRIM(INDEX($A$3:$A$168,K1066))&amp;" ["&amp;SUBSTITUTE(SUBSTITUTE(SUBSTITUTE(E1066," [",", "),"[",", "),"]","")&amp;"]")))</x:f>
      </x:c>
      <x:c r="G1066" t="str">
        <x:f>IF(F1066&lt;&gt;"",ROWS($F$3:F1066)-COUNTBLANK($F$3:F1066),"")</x:f>
      </x:c>
      <x:c r="H1066"/>
      <x:c r="I1066"/>
      <x:c r="J1066"/>
      <x:c r="K1066" t="str">
        <x:f>IF(ROW()-ROW($K$2)&lt;=SUM($J$3:$J$168),COUNTIF($H$3:$H$168,"&lt;"&amp;(ROW()-ROW($K$2))),"")</x:f>
      </x:c>
      <x:c r="L1066" t="str">
        <x:f>IF(K1066="","",ROW()-ROW($L$2)-INDEX($H$3:$H$168,K1066))</x:f>
      </x:c>
      <x:c r="M1066" t="str">
        <x:f>IF(K1066="","",IF(L1066=1,1,FIND(CHAR(1),SUBSTITUTE(INDEX($B$3:$B$168,K1066),CHAR(10),CHAR(1),L1066-1))+1))</x:f>
      </x:c>
      <x:c r="N1066" t="str">
        <x:f>IF(K1066="","",IFERROR(FIND(CHAR(1),SUBSTITUTE(INDEX($B$3:$B$168,K1066),CHAR(10),CHAR(1),L1066)),LEN(INDEX($B$3:$B$168,K1066))+1))</x:f>
      </x:c>
    </x:row>
    <x:row r="1067">
      <x:c r="A1067"/>
      <x:c r="B1067"/>
      <x:c r="C1067"/>
      <x:c r="D1067" t="str">
        <x:f>IFERROR(IF(1065&lt;=$O$1,INDEX($A$3:$A$168,MATCH(1065,$I$3:$I$168,0)),IF(1065&lt;=$O$1+$O$2,INDEX($F$3:$F$1994,MATCH(1065-$O$1,$G$3:$G$1994,0)),"")),"")</x:f>
      </x:c>
      <x:c r="E1067" t="str">
        <x:f>IF(K1067="","",IF(N1067&lt;=M1067,"",TRIM(CLEAN(MID(INDEX($B$3:$B$168,K1067),M1067,N1067-M1067)))))</x:f>
      </x:c>
      <x:c r="F1067" t="str">
        <x:f>IF(E1067="","",IF(E1067=TRIM(INDEX($A$3:$A$168,K1067)),"",IF(RIGHT(TRIM(INDEX($A$3:$A$168,K1067)),1)="]",LEFT(TRIM(INDEX($A$3:$A$168,K1067)),LEN(TRIM(INDEX($A$3:$A$168,K1067)))-1)&amp;", "&amp;SUBSTITUTE(SUBSTITUTE(SUBSTITUTE(E1067," [",", "),"[",", "),"]","")&amp;"]",TRIM(INDEX($A$3:$A$168,K1067))&amp;" ["&amp;SUBSTITUTE(SUBSTITUTE(SUBSTITUTE(E1067," [",", "),"[",", "),"]","")&amp;"]")))</x:f>
      </x:c>
      <x:c r="G1067" t="str">
        <x:f>IF(F1067&lt;&gt;"",ROWS($F$3:F1067)-COUNTBLANK($F$3:F1067),"")</x:f>
      </x:c>
      <x:c r="H1067"/>
      <x:c r="I1067"/>
      <x:c r="J1067"/>
      <x:c r="K1067" t="str">
        <x:f>IF(ROW()-ROW($K$2)&lt;=SUM($J$3:$J$168),COUNTIF($H$3:$H$168,"&lt;"&amp;(ROW()-ROW($K$2))),"")</x:f>
      </x:c>
      <x:c r="L1067" t="str">
        <x:f>IF(K1067="","",ROW()-ROW($L$2)-INDEX($H$3:$H$168,K1067))</x:f>
      </x:c>
      <x:c r="M1067" t="str">
        <x:f>IF(K1067="","",IF(L1067=1,1,FIND(CHAR(1),SUBSTITUTE(INDEX($B$3:$B$168,K1067),CHAR(10),CHAR(1),L1067-1))+1))</x:f>
      </x:c>
      <x:c r="N1067" t="str">
        <x:f>IF(K1067="","",IFERROR(FIND(CHAR(1),SUBSTITUTE(INDEX($B$3:$B$168,K1067),CHAR(10),CHAR(1),L1067)),LEN(INDEX($B$3:$B$168,K1067))+1))</x:f>
      </x:c>
    </x:row>
    <x:row r="1068">
      <x:c r="A1068"/>
      <x:c r="B1068"/>
      <x:c r="C1068"/>
      <x:c r="D1068" t="str">
        <x:f>IFERROR(IF(1066&lt;=$O$1,INDEX($A$3:$A$168,MATCH(1066,$I$3:$I$168,0)),IF(1066&lt;=$O$1+$O$2,INDEX($F$3:$F$1994,MATCH(1066-$O$1,$G$3:$G$1994,0)),"")),"")</x:f>
      </x:c>
      <x:c r="E1068" t="str">
        <x:f>IF(K1068="","",IF(N1068&lt;=M1068,"",TRIM(CLEAN(MID(INDEX($B$3:$B$168,K1068),M1068,N1068-M1068)))))</x:f>
      </x:c>
      <x:c r="F1068" t="str">
        <x:f>IF(E1068="","",IF(E1068=TRIM(INDEX($A$3:$A$168,K1068)),"",IF(RIGHT(TRIM(INDEX($A$3:$A$168,K1068)),1)="]",LEFT(TRIM(INDEX($A$3:$A$168,K1068)),LEN(TRIM(INDEX($A$3:$A$168,K1068)))-1)&amp;", "&amp;SUBSTITUTE(SUBSTITUTE(SUBSTITUTE(E1068," [",", "),"[",", "),"]","")&amp;"]",TRIM(INDEX($A$3:$A$168,K1068))&amp;" ["&amp;SUBSTITUTE(SUBSTITUTE(SUBSTITUTE(E1068," [",", "),"[",", "),"]","")&amp;"]")))</x:f>
      </x:c>
      <x:c r="G1068" t="str">
        <x:f>IF(F1068&lt;&gt;"",ROWS($F$3:F1068)-COUNTBLANK($F$3:F1068),"")</x:f>
      </x:c>
      <x:c r="H1068"/>
      <x:c r="I1068"/>
      <x:c r="J1068"/>
      <x:c r="K1068" t="str">
        <x:f>IF(ROW()-ROW($K$2)&lt;=SUM($J$3:$J$168),COUNTIF($H$3:$H$168,"&lt;"&amp;(ROW()-ROW($K$2))),"")</x:f>
      </x:c>
      <x:c r="L1068" t="str">
        <x:f>IF(K1068="","",ROW()-ROW($L$2)-INDEX($H$3:$H$168,K1068))</x:f>
      </x:c>
      <x:c r="M1068" t="str">
        <x:f>IF(K1068="","",IF(L1068=1,1,FIND(CHAR(1),SUBSTITUTE(INDEX($B$3:$B$168,K1068),CHAR(10),CHAR(1),L1068-1))+1))</x:f>
      </x:c>
      <x:c r="N1068" t="str">
        <x:f>IF(K1068="","",IFERROR(FIND(CHAR(1),SUBSTITUTE(INDEX($B$3:$B$168,K1068),CHAR(10),CHAR(1),L1068)),LEN(INDEX($B$3:$B$168,K1068))+1))</x:f>
      </x:c>
    </x:row>
    <x:row r="1069">
      <x:c r="A1069"/>
      <x:c r="B1069"/>
      <x:c r="C1069"/>
      <x:c r="D1069" t="str">
        <x:f>IFERROR(IF(1067&lt;=$O$1,INDEX($A$3:$A$168,MATCH(1067,$I$3:$I$168,0)),IF(1067&lt;=$O$1+$O$2,INDEX($F$3:$F$1994,MATCH(1067-$O$1,$G$3:$G$1994,0)),"")),"")</x:f>
      </x:c>
      <x:c r="E1069" t="str">
        <x:f>IF(K1069="","",IF(N1069&lt;=M1069,"",TRIM(CLEAN(MID(INDEX($B$3:$B$168,K1069),M1069,N1069-M1069)))))</x:f>
      </x:c>
      <x:c r="F1069" t="str">
        <x:f>IF(E1069="","",IF(E1069=TRIM(INDEX($A$3:$A$168,K1069)),"",IF(RIGHT(TRIM(INDEX($A$3:$A$168,K1069)),1)="]",LEFT(TRIM(INDEX($A$3:$A$168,K1069)),LEN(TRIM(INDEX($A$3:$A$168,K1069)))-1)&amp;", "&amp;SUBSTITUTE(SUBSTITUTE(SUBSTITUTE(E1069," [",", "),"[",", "),"]","")&amp;"]",TRIM(INDEX($A$3:$A$168,K1069))&amp;" ["&amp;SUBSTITUTE(SUBSTITUTE(SUBSTITUTE(E1069," [",", "),"[",", "),"]","")&amp;"]")))</x:f>
      </x:c>
      <x:c r="G1069" t="str">
        <x:f>IF(F1069&lt;&gt;"",ROWS($F$3:F1069)-COUNTBLANK($F$3:F1069),"")</x:f>
      </x:c>
      <x:c r="H1069"/>
      <x:c r="I1069"/>
      <x:c r="J1069"/>
      <x:c r="K1069" t="str">
        <x:f>IF(ROW()-ROW($K$2)&lt;=SUM($J$3:$J$168),COUNTIF($H$3:$H$168,"&lt;"&amp;(ROW()-ROW($K$2))),"")</x:f>
      </x:c>
      <x:c r="L1069" t="str">
        <x:f>IF(K1069="","",ROW()-ROW($L$2)-INDEX($H$3:$H$168,K1069))</x:f>
      </x:c>
      <x:c r="M1069" t="str">
        <x:f>IF(K1069="","",IF(L1069=1,1,FIND(CHAR(1),SUBSTITUTE(INDEX($B$3:$B$168,K1069),CHAR(10),CHAR(1),L1069-1))+1))</x:f>
      </x:c>
      <x:c r="N1069" t="str">
        <x:f>IF(K1069="","",IFERROR(FIND(CHAR(1),SUBSTITUTE(INDEX($B$3:$B$168,K1069),CHAR(10),CHAR(1),L1069)),LEN(INDEX($B$3:$B$168,K1069))+1))</x:f>
      </x:c>
    </x:row>
    <x:row r="1070">
      <x:c r="A1070"/>
      <x:c r="B1070"/>
      <x:c r="C1070"/>
      <x:c r="D1070" t="str">
        <x:f>IFERROR(IF(1068&lt;=$O$1,INDEX($A$3:$A$168,MATCH(1068,$I$3:$I$168,0)),IF(1068&lt;=$O$1+$O$2,INDEX($F$3:$F$1994,MATCH(1068-$O$1,$G$3:$G$1994,0)),"")),"")</x:f>
      </x:c>
      <x:c r="E1070" t="str">
        <x:f>IF(K1070="","",IF(N1070&lt;=M1070,"",TRIM(CLEAN(MID(INDEX($B$3:$B$168,K1070),M1070,N1070-M1070)))))</x:f>
      </x:c>
      <x:c r="F1070" t="str">
        <x:f>IF(E1070="","",IF(E1070=TRIM(INDEX($A$3:$A$168,K1070)),"",IF(RIGHT(TRIM(INDEX($A$3:$A$168,K1070)),1)="]",LEFT(TRIM(INDEX($A$3:$A$168,K1070)),LEN(TRIM(INDEX($A$3:$A$168,K1070)))-1)&amp;", "&amp;SUBSTITUTE(SUBSTITUTE(SUBSTITUTE(E1070," [",", "),"[",", "),"]","")&amp;"]",TRIM(INDEX($A$3:$A$168,K1070))&amp;" ["&amp;SUBSTITUTE(SUBSTITUTE(SUBSTITUTE(E1070," [",", "),"[",", "),"]","")&amp;"]")))</x:f>
      </x:c>
      <x:c r="G1070" t="str">
        <x:f>IF(F1070&lt;&gt;"",ROWS($F$3:F1070)-COUNTBLANK($F$3:F1070),"")</x:f>
      </x:c>
      <x:c r="H1070"/>
      <x:c r="I1070"/>
      <x:c r="J1070"/>
      <x:c r="K1070" t="str">
        <x:f>IF(ROW()-ROW($K$2)&lt;=SUM($J$3:$J$168),COUNTIF($H$3:$H$168,"&lt;"&amp;(ROW()-ROW($K$2))),"")</x:f>
      </x:c>
      <x:c r="L1070" t="str">
        <x:f>IF(K1070="","",ROW()-ROW($L$2)-INDEX($H$3:$H$168,K1070))</x:f>
      </x:c>
      <x:c r="M1070" t="str">
        <x:f>IF(K1070="","",IF(L1070=1,1,FIND(CHAR(1),SUBSTITUTE(INDEX($B$3:$B$168,K1070),CHAR(10),CHAR(1),L1070-1))+1))</x:f>
      </x:c>
      <x:c r="N1070" t="str">
        <x:f>IF(K1070="","",IFERROR(FIND(CHAR(1),SUBSTITUTE(INDEX($B$3:$B$168,K1070),CHAR(10),CHAR(1),L1070)),LEN(INDEX($B$3:$B$168,K1070))+1))</x:f>
      </x:c>
    </x:row>
    <x:row r="1071">
      <x:c r="A1071"/>
      <x:c r="B1071"/>
      <x:c r="C1071"/>
      <x:c r="D1071" t="str">
        <x:f>IFERROR(IF(1069&lt;=$O$1,INDEX($A$3:$A$168,MATCH(1069,$I$3:$I$168,0)),IF(1069&lt;=$O$1+$O$2,INDEX($F$3:$F$1994,MATCH(1069-$O$1,$G$3:$G$1994,0)),"")),"")</x:f>
      </x:c>
      <x:c r="E1071" t="str">
        <x:f>IF(K1071="","",IF(N1071&lt;=M1071,"",TRIM(CLEAN(MID(INDEX($B$3:$B$168,K1071),M1071,N1071-M1071)))))</x:f>
      </x:c>
      <x:c r="F1071" t="str">
        <x:f>IF(E1071="","",IF(E1071=TRIM(INDEX($A$3:$A$168,K1071)),"",IF(RIGHT(TRIM(INDEX($A$3:$A$168,K1071)),1)="]",LEFT(TRIM(INDEX($A$3:$A$168,K1071)),LEN(TRIM(INDEX($A$3:$A$168,K1071)))-1)&amp;", "&amp;SUBSTITUTE(SUBSTITUTE(SUBSTITUTE(E1071," [",", "),"[",", "),"]","")&amp;"]",TRIM(INDEX($A$3:$A$168,K1071))&amp;" ["&amp;SUBSTITUTE(SUBSTITUTE(SUBSTITUTE(E1071," [",", "),"[",", "),"]","")&amp;"]")))</x:f>
      </x:c>
      <x:c r="G1071" t="str">
        <x:f>IF(F1071&lt;&gt;"",ROWS($F$3:F1071)-COUNTBLANK($F$3:F1071),"")</x:f>
      </x:c>
      <x:c r="H1071"/>
      <x:c r="I1071"/>
      <x:c r="J1071"/>
      <x:c r="K1071" t="str">
        <x:f>IF(ROW()-ROW($K$2)&lt;=SUM($J$3:$J$168),COUNTIF($H$3:$H$168,"&lt;"&amp;(ROW()-ROW($K$2))),"")</x:f>
      </x:c>
      <x:c r="L1071" t="str">
        <x:f>IF(K1071="","",ROW()-ROW($L$2)-INDEX($H$3:$H$168,K1071))</x:f>
      </x:c>
      <x:c r="M1071" t="str">
        <x:f>IF(K1071="","",IF(L1071=1,1,FIND(CHAR(1),SUBSTITUTE(INDEX($B$3:$B$168,K1071),CHAR(10),CHAR(1),L1071-1))+1))</x:f>
      </x:c>
      <x:c r="N1071" t="str">
        <x:f>IF(K1071="","",IFERROR(FIND(CHAR(1),SUBSTITUTE(INDEX($B$3:$B$168,K1071),CHAR(10),CHAR(1),L1071)),LEN(INDEX($B$3:$B$168,K1071))+1))</x:f>
      </x:c>
    </x:row>
    <x:row r="1072">
      <x:c r="A1072"/>
      <x:c r="B1072"/>
      <x:c r="C1072"/>
      <x:c r="D1072" t="str">
        <x:f>IFERROR(IF(1070&lt;=$O$1,INDEX($A$3:$A$168,MATCH(1070,$I$3:$I$168,0)),IF(1070&lt;=$O$1+$O$2,INDEX($F$3:$F$1994,MATCH(1070-$O$1,$G$3:$G$1994,0)),"")),"")</x:f>
      </x:c>
      <x:c r="E1072" t="str">
        <x:f>IF(K1072="","",IF(N1072&lt;=M1072,"",TRIM(CLEAN(MID(INDEX($B$3:$B$168,K1072),M1072,N1072-M1072)))))</x:f>
      </x:c>
      <x:c r="F1072" t="str">
        <x:f>IF(E1072="","",IF(E1072=TRIM(INDEX($A$3:$A$168,K1072)),"",IF(RIGHT(TRIM(INDEX($A$3:$A$168,K1072)),1)="]",LEFT(TRIM(INDEX($A$3:$A$168,K1072)),LEN(TRIM(INDEX($A$3:$A$168,K1072)))-1)&amp;", "&amp;SUBSTITUTE(SUBSTITUTE(SUBSTITUTE(E1072," [",", "),"[",", "),"]","")&amp;"]",TRIM(INDEX($A$3:$A$168,K1072))&amp;" ["&amp;SUBSTITUTE(SUBSTITUTE(SUBSTITUTE(E1072," [",", "),"[",", "),"]","")&amp;"]")))</x:f>
      </x:c>
      <x:c r="G1072" t="str">
        <x:f>IF(F1072&lt;&gt;"",ROWS($F$3:F1072)-COUNTBLANK($F$3:F1072),"")</x:f>
      </x:c>
      <x:c r="H1072"/>
      <x:c r="I1072"/>
      <x:c r="J1072"/>
      <x:c r="K1072" t="str">
        <x:f>IF(ROW()-ROW($K$2)&lt;=SUM($J$3:$J$168),COUNTIF($H$3:$H$168,"&lt;"&amp;(ROW()-ROW($K$2))),"")</x:f>
      </x:c>
      <x:c r="L1072" t="str">
        <x:f>IF(K1072="","",ROW()-ROW($L$2)-INDEX($H$3:$H$168,K1072))</x:f>
      </x:c>
      <x:c r="M1072" t="str">
        <x:f>IF(K1072="","",IF(L1072=1,1,FIND(CHAR(1),SUBSTITUTE(INDEX($B$3:$B$168,K1072),CHAR(10),CHAR(1),L1072-1))+1))</x:f>
      </x:c>
      <x:c r="N1072" t="str">
        <x:f>IF(K1072="","",IFERROR(FIND(CHAR(1),SUBSTITUTE(INDEX($B$3:$B$168,K1072),CHAR(10),CHAR(1),L1072)),LEN(INDEX($B$3:$B$168,K1072))+1))</x:f>
      </x:c>
    </x:row>
    <x:row r="1073">
      <x:c r="A1073"/>
      <x:c r="B1073"/>
      <x:c r="C1073"/>
      <x:c r="D1073" t="str">
        <x:f>IFERROR(IF(1071&lt;=$O$1,INDEX($A$3:$A$168,MATCH(1071,$I$3:$I$168,0)),IF(1071&lt;=$O$1+$O$2,INDEX($F$3:$F$1994,MATCH(1071-$O$1,$G$3:$G$1994,0)),"")),"")</x:f>
      </x:c>
      <x:c r="E1073" t="str">
        <x:f>IF(K1073="","",IF(N1073&lt;=M1073,"",TRIM(CLEAN(MID(INDEX($B$3:$B$168,K1073),M1073,N1073-M1073)))))</x:f>
      </x:c>
      <x:c r="F1073" t="str">
        <x:f>IF(E1073="","",IF(E1073=TRIM(INDEX($A$3:$A$168,K1073)),"",IF(RIGHT(TRIM(INDEX($A$3:$A$168,K1073)),1)="]",LEFT(TRIM(INDEX($A$3:$A$168,K1073)),LEN(TRIM(INDEX($A$3:$A$168,K1073)))-1)&amp;", "&amp;SUBSTITUTE(SUBSTITUTE(SUBSTITUTE(E1073," [",", "),"[",", "),"]","")&amp;"]",TRIM(INDEX($A$3:$A$168,K1073))&amp;" ["&amp;SUBSTITUTE(SUBSTITUTE(SUBSTITUTE(E1073," [",", "),"[",", "),"]","")&amp;"]")))</x:f>
      </x:c>
      <x:c r="G1073" t="str">
        <x:f>IF(F1073&lt;&gt;"",ROWS($F$3:F1073)-COUNTBLANK($F$3:F1073),"")</x:f>
      </x:c>
      <x:c r="H1073"/>
      <x:c r="I1073"/>
      <x:c r="J1073"/>
      <x:c r="K1073" t="str">
        <x:f>IF(ROW()-ROW($K$2)&lt;=SUM($J$3:$J$168),COUNTIF($H$3:$H$168,"&lt;"&amp;(ROW()-ROW($K$2))),"")</x:f>
      </x:c>
      <x:c r="L1073" t="str">
        <x:f>IF(K1073="","",ROW()-ROW($L$2)-INDEX($H$3:$H$168,K1073))</x:f>
      </x:c>
      <x:c r="M1073" t="str">
        <x:f>IF(K1073="","",IF(L1073=1,1,FIND(CHAR(1),SUBSTITUTE(INDEX($B$3:$B$168,K1073),CHAR(10),CHAR(1),L1073-1))+1))</x:f>
      </x:c>
      <x:c r="N1073" t="str">
        <x:f>IF(K1073="","",IFERROR(FIND(CHAR(1),SUBSTITUTE(INDEX($B$3:$B$168,K1073),CHAR(10),CHAR(1),L1073)),LEN(INDEX($B$3:$B$168,K1073))+1))</x:f>
      </x:c>
    </x:row>
    <x:row r="1074">
      <x:c r="A1074"/>
      <x:c r="B1074"/>
      <x:c r="C1074"/>
      <x:c r="D1074" t="str">
        <x:f>IFERROR(IF(1072&lt;=$O$1,INDEX($A$3:$A$168,MATCH(1072,$I$3:$I$168,0)),IF(1072&lt;=$O$1+$O$2,INDEX($F$3:$F$1994,MATCH(1072-$O$1,$G$3:$G$1994,0)),"")),"")</x:f>
      </x:c>
      <x:c r="E1074" t="str">
        <x:f>IF(K1074="","",IF(N1074&lt;=M1074,"",TRIM(CLEAN(MID(INDEX($B$3:$B$168,K1074),M1074,N1074-M1074)))))</x:f>
      </x:c>
      <x:c r="F1074" t="str">
        <x:f>IF(E1074="","",IF(E1074=TRIM(INDEX($A$3:$A$168,K1074)),"",IF(RIGHT(TRIM(INDEX($A$3:$A$168,K1074)),1)="]",LEFT(TRIM(INDEX($A$3:$A$168,K1074)),LEN(TRIM(INDEX($A$3:$A$168,K1074)))-1)&amp;", "&amp;SUBSTITUTE(SUBSTITUTE(SUBSTITUTE(E1074," [",", "),"[",", "),"]","")&amp;"]",TRIM(INDEX($A$3:$A$168,K1074))&amp;" ["&amp;SUBSTITUTE(SUBSTITUTE(SUBSTITUTE(E1074," [",", "),"[",", "),"]","")&amp;"]")))</x:f>
      </x:c>
      <x:c r="G1074" t="str">
        <x:f>IF(F1074&lt;&gt;"",ROWS($F$3:F1074)-COUNTBLANK($F$3:F1074),"")</x:f>
      </x:c>
      <x:c r="H1074"/>
      <x:c r="I1074"/>
      <x:c r="J1074"/>
      <x:c r="K1074" t="str">
        <x:f>IF(ROW()-ROW($K$2)&lt;=SUM($J$3:$J$168),COUNTIF($H$3:$H$168,"&lt;"&amp;(ROW()-ROW($K$2))),"")</x:f>
      </x:c>
      <x:c r="L1074" t="str">
        <x:f>IF(K1074="","",ROW()-ROW($L$2)-INDEX($H$3:$H$168,K1074))</x:f>
      </x:c>
      <x:c r="M1074" t="str">
        <x:f>IF(K1074="","",IF(L1074=1,1,FIND(CHAR(1),SUBSTITUTE(INDEX($B$3:$B$168,K1074),CHAR(10),CHAR(1),L1074-1))+1))</x:f>
      </x:c>
      <x:c r="N1074" t="str">
        <x:f>IF(K1074="","",IFERROR(FIND(CHAR(1),SUBSTITUTE(INDEX($B$3:$B$168,K1074),CHAR(10),CHAR(1),L1074)),LEN(INDEX($B$3:$B$168,K1074))+1))</x:f>
      </x:c>
    </x:row>
    <x:row r="1075">
      <x:c r="A1075"/>
      <x:c r="B1075"/>
      <x:c r="C1075"/>
      <x:c r="D1075" t="str">
        <x:f>IFERROR(IF(1073&lt;=$O$1,INDEX($A$3:$A$168,MATCH(1073,$I$3:$I$168,0)),IF(1073&lt;=$O$1+$O$2,INDEX($F$3:$F$1994,MATCH(1073-$O$1,$G$3:$G$1994,0)),"")),"")</x:f>
      </x:c>
      <x:c r="E1075" t="str">
        <x:f>IF(K1075="","",IF(N1075&lt;=M1075,"",TRIM(CLEAN(MID(INDEX($B$3:$B$168,K1075),M1075,N1075-M1075)))))</x:f>
      </x:c>
      <x:c r="F1075" t="str">
        <x:f>IF(E1075="","",IF(E1075=TRIM(INDEX($A$3:$A$168,K1075)),"",IF(RIGHT(TRIM(INDEX($A$3:$A$168,K1075)),1)="]",LEFT(TRIM(INDEX($A$3:$A$168,K1075)),LEN(TRIM(INDEX($A$3:$A$168,K1075)))-1)&amp;", "&amp;SUBSTITUTE(SUBSTITUTE(SUBSTITUTE(E1075," [",", "),"[",", "),"]","")&amp;"]",TRIM(INDEX($A$3:$A$168,K1075))&amp;" ["&amp;SUBSTITUTE(SUBSTITUTE(SUBSTITUTE(E1075," [",", "),"[",", "),"]","")&amp;"]")))</x:f>
      </x:c>
      <x:c r="G1075" t="str">
        <x:f>IF(F1075&lt;&gt;"",ROWS($F$3:F1075)-COUNTBLANK($F$3:F1075),"")</x:f>
      </x:c>
      <x:c r="H1075"/>
      <x:c r="I1075"/>
      <x:c r="J1075"/>
      <x:c r="K1075" t="str">
        <x:f>IF(ROW()-ROW($K$2)&lt;=SUM($J$3:$J$168),COUNTIF($H$3:$H$168,"&lt;"&amp;(ROW()-ROW($K$2))),"")</x:f>
      </x:c>
      <x:c r="L1075" t="str">
        <x:f>IF(K1075="","",ROW()-ROW($L$2)-INDEX($H$3:$H$168,K1075))</x:f>
      </x:c>
      <x:c r="M1075" t="str">
        <x:f>IF(K1075="","",IF(L1075=1,1,FIND(CHAR(1),SUBSTITUTE(INDEX($B$3:$B$168,K1075),CHAR(10),CHAR(1),L1075-1))+1))</x:f>
      </x:c>
      <x:c r="N1075" t="str">
        <x:f>IF(K1075="","",IFERROR(FIND(CHAR(1),SUBSTITUTE(INDEX($B$3:$B$168,K1075),CHAR(10),CHAR(1),L1075)),LEN(INDEX($B$3:$B$168,K1075))+1))</x:f>
      </x:c>
    </x:row>
    <x:row r="1076">
      <x:c r="A1076"/>
      <x:c r="B1076"/>
      <x:c r="C1076"/>
      <x:c r="D1076" t="str">
        <x:f>IFERROR(IF(1074&lt;=$O$1,INDEX($A$3:$A$168,MATCH(1074,$I$3:$I$168,0)),IF(1074&lt;=$O$1+$O$2,INDEX($F$3:$F$1994,MATCH(1074-$O$1,$G$3:$G$1994,0)),"")),"")</x:f>
      </x:c>
      <x:c r="E1076" t="str">
        <x:f>IF(K1076="","",IF(N1076&lt;=M1076,"",TRIM(CLEAN(MID(INDEX($B$3:$B$168,K1076),M1076,N1076-M1076)))))</x:f>
      </x:c>
      <x:c r="F1076" t="str">
        <x:f>IF(E1076="","",IF(E1076=TRIM(INDEX($A$3:$A$168,K1076)),"",IF(RIGHT(TRIM(INDEX($A$3:$A$168,K1076)),1)="]",LEFT(TRIM(INDEX($A$3:$A$168,K1076)),LEN(TRIM(INDEX($A$3:$A$168,K1076)))-1)&amp;", "&amp;SUBSTITUTE(SUBSTITUTE(SUBSTITUTE(E1076," [",", "),"[",", "),"]","")&amp;"]",TRIM(INDEX($A$3:$A$168,K1076))&amp;" ["&amp;SUBSTITUTE(SUBSTITUTE(SUBSTITUTE(E1076," [",", "),"[",", "),"]","")&amp;"]")))</x:f>
      </x:c>
      <x:c r="G1076" t="str">
        <x:f>IF(F1076&lt;&gt;"",ROWS($F$3:F1076)-COUNTBLANK($F$3:F1076),"")</x:f>
      </x:c>
      <x:c r="H1076"/>
      <x:c r="I1076"/>
      <x:c r="J1076"/>
      <x:c r="K1076" t="str">
        <x:f>IF(ROW()-ROW($K$2)&lt;=SUM($J$3:$J$168),COUNTIF($H$3:$H$168,"&lt;"&amp;(ROW()-ROW($K$2))),"")</x:f>
      </x:c>
      <x:c r="L1076" t="str">
        <x:f>IF(K1076="","",ROW()-ROW($L$2)-INDEX($H$3:$H$168,K1076))</x:f>
      </x:c>
      <x:c r="M1076" t="str">
        <x:f>IF(K1076="","",IF(L1076=1,1,FIND(CHAR(1),SUBSTITUTE(INDEX($B$3:$B$168,K1076),CHAR(10),CHAR(1),L1076-1))+1))</x:f>
      </x:c>
      <x:c r="N1076" t="str">
        <x:f>IF(K1076="","",IFERROR(FIND(CHAR(1),SUBSTITUTE(INDEX($B$3:$B$168,K1076),CHAR(10),CHAR(1),L1076)),LEN(INDEX($B$3:$B$168,K1076))+1))</x:f>
      </x:c>
    </x:row>
    <x:row r="1077">
      <x:c r="A1077"/>
      <x:c r="B1077"/>
      <x:c r="C1077"/>
      <x:c r="D1077" t="str">
        <x:f>IFERROR(IF(1075&lt;=$O$1,INDEX($A$3:$A$168,MATCH(1075,$I$3:$I$168,0)),IF(1075&lt;=$O$1+$O$2,INDEX($F$3:$F$1994,MATCH(1075-$O$1,$G$3:$G$1994,0)),"")),"")</x:f>
      </x:c>
      <x:c r="E1077" t="str">
        <x:f>IF(K1077="","",IF(N1077&lt;=M1077,"",TRIM(CLEAN(MID(INDEX($B$3:$B$168,K1077),M1077,N1077-M1077)))))</x:f>
      </x:c>
      <x:c r="F1077" t="str">
        <x:f>IF(E1077="","",IF(E1077=TRIM(INDEX($A$3:$A$168,K1077)),"",IF(RIGHT(TRIM(INDEX($A$3:$A$168,K1077)),1)="]",LEFT(TRIM(INDEX($A$3:$A$168,K1077)),LEN(TRIM(INDEX($A$3:$A$168,K1077)))-1)&amp;", "&amp;SUBSTITUTE(SUBSTITUTE(SUBSTITUTE(E1077," [",", "),"[",", "),"]","")&amp;"]",TRIM(INDEX($A$3:$A$168,K1077))&amp;" ["&amp;SUBSTITUTE(SUBSTITUTE(SUBSTITUTE(E1077," [",", "),"[",", "),"]","")&amp;"]")))</x:f>
      </x:c>
      <x:c r="G1077" t="str">
        <x:f>IF(F1077&lt;&gt;"",ROWS($F$3:F1077)-COUNTBLANK($F$3:F1077),"")</x:f>
      </x:c>
      <x:c r="H1077"/>
      <x:c r="I1077"/>
      <x:c r="J1077"/>
      <x:c r="K1077" t="str">
        <x:f>IF(ROW()-ROW($K$2)&lt;=SUM($J$3:$J$168),COUNTIF($H$3:$H$168,"&lt;"&amp;(ROW()-ROW($K$2))),"")</x:f>
      </x:c>
      <x:c r="L1077" t="str">
        <x:f>IF(K1077="","",ROW()-ROW($L$2)-INDEX($H$3:$H$168,K1077))</x:f>
      </x:c>
      <x:c r="M1077" t="str">
        <x:f>IF(K1077="","",IF(L1077=1,1,FIND(CHAR(1),SUBSTITUTE(INDEX($B$3:$B$168,K1077),CHAR(10),CHAR(1),L1077-1))+1))</x:f>
      </x:c>
      <x:c r="N1077" t="str">
        <x:f>IF(K1077="","",IFERROR(FIND(CHAR(1),SUBSTITUTE(INDEX($B$3:$B$168,K1077),CHAR(10),CHAR(1),L1077)),LEN(INDEX($B$3:$B$168,K1077))+1))</x:f>
      </x:c>
    </x:row>
    <x:row r="1078">
      <x:c r="A1078"/>
      <x:c r="B1078"/>
      <x:c r="C1078"/>
      <x:c r="D1078" t="str">
        <x:f>IFERROR(IF(1076&lt;=$O$1,INDEX($A$3:$A$168,MATCH(1076,$I$3:$I$168,0)),IF(1076&lt;=$O$1+$O$2,INDEX($F$3:$F$1994,MATCH(1076-$O$1,$G$3:$G$1994,0)),"")),"")</x:f>
      </x:c>
      <x:c r="E1078" t="str">
        <x:f>IF(K1078="","",IF(N1078&lt;=M1078,"",TRIM(CLEAN(MID(INDEX($B$3:$B$168,K1078),M1078,N1078-M1078)))))</x:f>
      </x:c>
      <x:c r="F1078" t="str">
        <x:f>IF(E1078="","",IF(E1078=TRIM(INDEX($A$3:$A$168,K1078)),"",IF(RIGHT(TRIM(INDEX($A$3:$A$168,K1078)),1)="]",LEFT(TRIM(INDEX($A$3:$A$168,K1078)),LEN(TRIM(INDEX($A$3:$A$168,K1078)))-1)&amp;", "&amp;SUBSTITUTE(SUBSTITUTE(SUBSTITUTE(E1078," [",", "),"[",", "),"]","")&amp;"]",TRIM(INDEX($A$3:$A$168,K1078))&amp;" ["&amp;SUBSTITUTE(SUBSTITUTE(SUBSTITUTE(E1078," [",", "),"[",", "),"]","")&amp;"]")))</x:f>
      </x:c>
      <x:c r="G1078" t="str">
        <x:f>IF(F1078&lt;&gt;"",ROWS($F$3:F1078)-COUNTBLANK($F$3:F1078),"")</x:f>
      </x:c>
      <x:c r="H1078"/>
      <x:c r="I1078"/>
      <x:c r="J1078"/>
      <x:c r="K1078" t="str">
        <x:f>IF(ROW()-ROW($K$2)&lt;=SUM($J$3:$J$168),COUNTIF($H$3:$H$168,"&lt;"&amp;(ROW()-ROW($K$2))),"")</x:f>
      </x:c>
      <x:c r="L1078" t="str">
        <x:f>IF(K1078="","",ROW()-ROW($L$2)-INDEX($H$3:$H$168,K1078))</x:f>
      </x:c>
      <x:c r="M1078" t="str">
        <x:f>IF(K1078="","",IF(L1078=1,1,FIND(CHAR(1),SUBSTITUTE(INDEX($B$3:$B$168,K1078),CHAR(10),CHAR(1),L1078-1))+1))</x:f>
      </x:c>
      <x:c r="N1078" t="str">
        <x:f>IF(K1078="","",IFERROR(FIND(CHAR(1),SUBSTITUTE(INDEX($B$3:$B$168,K1078),CHAR(10),CHAR(1),L1078)),LEN(INDEX($B$3:$B$168,K1078))+1))</x:f>
      </x:c>
    </x:row>
    <x:row r="1079">
      <x:c r="A1079"/>
      <x:c r="B1079"/>
      <x:c r="C1079"/>
      <x:c r="D1079" t="str">
        <x:f>IFERROR(IF(1077&lt;=$O$1,INDEX($A$3:$A$168,MATCH(1077,$I$3:$I$168,0)),IF(1077&lt;=$O$1+$O$2,INDEX($F$3:$F$1994,MATCH(1077-$O$1,$G$3:$G$1994,0)),"")),"")</x:f>
      </x:c>
      <x:c r="E1079" t="str">
        <x:f>IF(K1079="","",IF(N1079&lt;=M1079,"",TRIM(CLEAN(MID(INDEX($B$3:$B$168,K1079),M1079,N1079-M1079)))))</x:f>
      </x:c>
      <x:c r="F1079" t="str">
        <x:f>IF(E1079="","",IF(E1079=TRIM(INDEX($A$3:$A$168,K1079)),"",IF(RIGHT(TRIM(INDEX($A$3:$A$168,K1079)),1)="]",LEFT(TRIM(INDEX($A$3:$A$168,K1079)),LEN(TRIM(INDEX($A$3:$A$168,K1079)))-1)&amp;", "&amp;SUBSTITUTE(SUBSTITUTE(SUBSTITUTE(E1079," [",", "),"[",", "),"]","")&amp;"]",TRIM(INDEX($A$3:$A$168,K1079))&amp;" ["&amp;SUBSTITUTE(SUBSTITUTE(SUBSTITUTE(E1079," [",", "),"[",", "),"]","")&amp;"]")))</x:f>
      </x:c>
      <x:c r="G1079" t="str">
        <x:f>IF(F1079&lt;&gt;"",ROWS($F$3:F1079)-COUNTBLANK($F$3:F1079),"")</x:f>
      </x:c>
      <x:c r="H1079"/>
      <x:c r="I1079"/>
      <x:c r="J1079"/>
      <x:c r="K1079" t="str">
        <x:f>IF(ROW()-ROW($K$2)&lt;=SUM($J$3:$J$168),COUNTIF($H$3:$H$168,"&lt;"&amp;(ROW()-ROW($K$2))),"")</x:f>
      </x:c>
      <x:c r="L1079" t="str">
        <x:f>IF(K1079="","",ROW()-ROW($L$2)-INDEX($H$3:$H$168,K1079))</x:f>
      </x:c>
      <x:c r="M1079" t="str">
        <x:f>IF(K1079="","",IF(L1079=1,1,FIND(CHAR(1),SUBSTITUTE(INDEX($B$3:$B$168,K1079),CHAR(10),CHAR(1),L1079-1))+1))</x:f>
      </x:c>
      <x:c r="N1079" t="str">
        <x:f>IF(K1079="","",IFERROR(FIND(CHAR(1),SUBSTITUTE(INDEX($B$3:$B$168,K1079),CHAR(10),CHAR(1),L1079)),LEN(INDEX($B$3:$B$168,K1079))+1))</x:f>
      </x:c>
    </x:row>
    <x:row r="1080">
      <x:c r="A1080"/>
      <x:c r="B1080"/>
      <x:c r="C1080"/>
      <x:c r="D1080" t="str">
        <x:f>IFERROR(IF(1078&lt;=$O$1,INDEX($A$3:$A$168,MATCH(1078,$I$3:$I$168,0)),IF(1078&lt;=$O$1+$O$2,INDEX($F$3:$F$1994,MATCH(1078-$O$1,$G$3:$G$1994,0)),"")),"")</x:f>
      </x:c>
      <x:c r="E1080" t="str">
        <x:f>IF(K1080="","",IF(N1080&lt;=M1080,"",TRIM(CLEAN(MID(INDEX($B$3:$B$168,K1080),M1080,N1080-M1080)))))</x:f>
      </x:c>
      <x:c r="F1080" t="str">
        <x:f>IF(E1080="","",IF(E1080=TRIM(INDEX($A$3:$A$168,K1080)),"",IF(RIGHT(TRIM(INDEX($A$3:$A$168,K1080)),1)="]",LEFT(TRIM(INDEX($A$3:$A$168,K1080)),LEN(TRIM(INDEX($A$3:$A$168,K1080)))-1)&amp;", "&amp;SUBSTITUTE(SUBSTITUTE(SUBSTITUTE(E1080," [",", "),"[",", "),"]","")&amp;"]",TRIM(INDEX($A$3:$A$168,K1080))&amp;" ["&amp;SUBSTITUTE(SUBSTITUTE(SUBSTITUTE(E1080," [",", "),"[",", "),"]","")&amp;"]")))</x:f>
      </x:c>
      <x:c r="G1080" t="str">
        <x:f>IF(F1080&lt;&gt;"",ROWS($F$3:F1080)-COUNTBLANK($F$3:F1080),"")</x:f>
      </x:c>
      <x:c r="H1080"/>
      <x:c r="I1080"/>
      <x:c r="J1080"/>
      <x:c r="K1080" t="str">
        <x:f>IF(ROW()-ROW($K$2)&lt;=SUM($J$3:$J$168),COUNTIF($H$3:$H$168,"&lt;"&amp;(ROW()-ROW($K$2))),"")</x:f>
      </x:c>
      <x:c r="L1080" t="str">
        <x:f>IF(K1080="","",ROW()-ROW($L$2)-INDEX($H$3:$H$168,K1080))</x:f>
      </x:c>
      <x:c r="M1080" t="str">
        <x:f>IF(K1080="","",IF(L1080=1,1,FIND(CHAR(1),SUBSTITUTE(INDEX($B$3:$B$168,K1080),CHAR(10),CHAR(1),L1080-1))+1))</x:f>
      </x:c>
      <x:c r="N1080" t="str">
        <x:f>IF(K1080="","",IFERROR(FIND(CHAR(1),SUBSTITUTE(INDEX($B$3:$B$168,K1080),CHAR(10),CHAR(1),L1080)),LEN(INDEX($B$3:$B$168,K1080))+1))</x:f>
      </x:c>
    </x:row>
    <x:row r="1081">
      <x:c r="A1081"/>
      <x:c r="B1081"/>
      <x:c r="C1081"/>
      <x:c r="D1081" t="str">
        <x:f>IFERROR(IF(1079&lt;=$O$1,INDEX($A$3:$A$168,MATCH(1079,$I$3:$I$168,0)),IF(1079&lt;=$O$1+$O$2,INDEX($F$3:$F$1994,MATCH(1079-$O$1,$G$3:$G$1994,0)),"")),"")</x:f>
      </x:c>
      <x:c r="E1081" t="str">
        <x:f>IF(K1081="","",IF(N1081&lt;=M1081,"",TRIM(CLEAN(MID(INDEX($B$3:$B$168,K1081),M1081,N1081-M1081)))))</x:f>
      </x:c>
      <x:c r="F1081" t="str">
        <x:f>IF(E1081="","",IF(E1081=TRIM(INDEX($A$3:$A$168,K1081)),"",IF(RIGHT(TRIM(INDEX($A$3:$A$168,K1081)),1)="]",LEFT(TRIM(INDEX($A$3:$A$168,K1081)),LEN(TRIM(INDEX($A$3:$A$168,K1081)))-1)&amp;", "&amp;SUBSTITUTE(SUBSTITUTE(SUBSTITUTE(E1081," [",", "),"[",", "),"]","")&amp;"]",TRIM(INDEX($A$3:$A$168,K1081))&amp;" ["&amp;SUBSTITUTE(SUBSTITUTE(SUBSTITUTE(E1081," [",", "),"[",", "),"]","")&amp;"]")))</x:f>
      </x:c>
      <x:c r="G1081" t="str">
        <x:f>IF(F1081&lt;&gt;"",ROWS($F$3:F1081)-COUNTBLANK($F$3:F1081),"")</x:f>
      </x:c>
      <x:c r="H1081"/>
      <x:c r="I1081"/>
      <x:c r="J1081"/>
      <x:c r="K1081" t="str">
        <x:f>IF(ROW()-ROW($K$2)&lt;=SUM($J$3:$J$168),COUNTIF($H$3:$H$168,"&lt;"&amp;(ROW()-ROW($K$2))),"")</x:f>
      </x:c>
      <x:c r="L1081" t="str">
        <x:f>IF(K1081="","",ROW()-ROW($L$2)-INDEX($H$3:$H$168,K1081))</x:f>
      </x:c>
      <x:c r="M1081" t="str">
        <x:f>IF(K1081="","",IF(L1081=1,1,FIND(CHAR(1),SUBSTITUTE(INDEX($B$3:$B$168,K1081),CHAR(10),CHAR(1),L1081-1))+1))</x:f>
      </x:c>
      <x:c r="N1081" t="str">
        <x:f>IF(K1081="","",IFERROR(FIND(CHAR(1),SUBSTITUTE(INDEX($B$3:$B$168,K1081),CHAR(10),CHAR(1),L1081)),LEN(INDEX($B$3:$B$168,K1081))+1))</x:f>
      </x:c>
    </x:row>
    <x:row r="1082">
      <x:c r="A1082"/>
      <x:c r="B1082"/>
      <x:c r="C1082"/>
      <x:c r="D1082" t="str">
        <x:f>IFERROR(IF(1080&lt;=$O$1,INDEX($A$3:$A$168,MATCH(1080,$I$3:$I$168,0)),IF(1080&lt;=$O$1+$O$2,INDEX($F$3:$F$1994,MATCH(1080-$O$1,$G$3:$G$1994,0)),"")),"")</x:f>
      </x:c>
      <x:c r="E1082" t="str">
        <x:f>IF(K1082="","",IF(N1082&lt;=M1082,"",TRIM(CLEAN(MID(INDEX($B$3:$B$168,K1082),M1082,N1082-M1082)))))</x:f>
      </x:c>
      <x:c r="F1082" t="str">
        <x:f>IF(E1082="","",IF(E1082=TRIM(INDEX($A$3:$A$168,K1082)),"",IF(RIGHT(TRIM(INDEX($A$3:$A$168,K1082)),1)="]",LEFT(TRIM(INDEX($A$3:$A$168,K1082)),LEN(TRIM(INDEX($A$3:$A$168,K1082)))-1)&amp;", "&amp;SUBSTITUTE(SUBSTITUTE(SUBSTITUTE(E1082," [",", "),"[",", "),"]","")&amp;"]",TRIM(INDEX($A$3:$A$168,K1082))&amp;" ["&amp;SUBSTITUTE(SUBSTITUTE(SUBSTITUTE(E1082," [",", "),"[",", "),"]","")&amp;"]")))</x:f>
      </x:c>
      <x:c r="G1082" t="str">
        <x:f>IF(F1082&lt;&gt;"",ROWS($F$3:F1082)-COUNTBLANK($F$3:F1082),"")</x:f>
      </x:c>
      <x:c r="H1082"/>
      <x:c r="I1082"/>
      <x:c r="J1082"/>
      <x:c r="K1082" t="str">
        <x:f>IF(ROW()-ROW($K$2)&lt;=SUM($J$3:$J$168),COUNTIF($H$3:$H$168,"&lt;"&amp;(ROW()-ROW($K$2))),"")</x:f>
      </x:c>
      <x:c r="L1082" t="str">
        <x:f>IF(K1082="","",ROW()-ROW($L$2)-INDEX($H$3:$H$168,K1082))</x:f>
      </x:c>
      <x:c r="M1082" t="str">
        <x:f>IF(K1082="","",IF(L1082=1,1,FIND(CHAR(1),SUBSTITUTE(INDEX($B$3:$B$168,K1082),CHAR(10),CHAR(1),L1082-1))+1))</x:f>
      </x:c>
      <x:c r="N1082" t="str">
        <x:f>IF(K1082="","",IFERROR(FIND(CHAR(1),SUBSTITUTE(INDEX($B$3:$B$168,K1082),CHAR(10),CHAR(1),L1082)),LEN(INDEX($B$3:$B$168,K1082))+1))</x:f>
      </x:c>
    </x:row>
    <x:row r="1083">
      <x:c r="A1083"/>
      <x:c r="B1083"/>
      <x:c r="C1083"/>
      <x:c r="D1083" t="str">
        <x:f>IFERROR(IF(1081&lt;=$O$1,INDEX($A$3:$A$168,MATCH(1081,$I$3:$I$168,0)),IF(1081&lt;=$O$1+$O$2,INDEX($F$3:$F$1994,MATCH(1081-$O$1,$G$3:$G$1994,0)),"")),"")</x:f>
      </x:c>
      <x:c r="E1083" t="str">
        <x:f>IF(K1083="","",IF(N1083&lt;=M1083,"",TRIM(CLEAN(MID(INDEX($B$3:$B$168,K1083),M1083,N1083-M1083)))))</x:f>
      </x:c>
      <x:c r="F1083" t="str">
        <x:f>IF(E1083="","",IF(E1083=TRIM(INDEX($A$3:$A$168,K1083)),"",IF(RIGHT(TRIM(INDEX($A$3:$A$168,K1083)),1)="]",LEFT(TRIM(INDEX($A$3:$A$168,K1083)),LEN(TRIM(INDEX($A$3:$A$168,K1083)))-1)&amp;", "&amp;SUBSTITUTE(SUBSTITUTE(SUBSTITUTE(E1083," [",", "),"[",", "),"]","")&amp;"]",TRIM(INDEX($A$3:$A$168,K1083))&amp;" ["&amp;SUBSTITUTE(SUBSTITUTE(SUBSTITUTE(E1083," [",", "),"[",", "),"]","")&amp;"]")))</x:f>
      </x:c>
      <x:c r="G1083" t="str">
        <x:f>IF(F1083&lt;&gt;"",ROWS($F$3:F1083)-COUNTBLANK($F$3:F1083),"")</x:f>
      </x:c>
      <x:c r="H1083"/>
      <x:c r="I1083"/>
      <x:c r="J1083"/>
      <x:c r="K1083" t="str">
        <x:f>IF(ROW()-ROW($K$2)&lt;=SUM($J$3:$J$168),COUNTIF($H$3:$H$168,"&lt;"&amp;(ROW()-ROW($K$2))),"")</x:f>
      </x:c>
      <x:c r="L1083" t="str">
        <x:f>IF(K1083="","",ROW()-ROW($L$2)-INDEX($H$3:$H$168,K1083))</x:f>
      </x:c>
      <x:c r="M1083" t="str">
        <x:f>IF(K1083="","",IF(L1083=1,1,FIND(CHAR(1),SUBSTITUTE(INDEX($B$3:$B$168,K1083),CHAR(10),CHAR(1),L1083-1))+1))</x:f>
      </x:c>
      <x:c r="N1083" t="str">
        <x:f>IF(K1083="","",IFERROR(FIND(CHAR(1),SUBSTITUTE(INDEX($B$3:$B$168,K1083),CHAR(10),CHAR(1),L1083)),LEN(INDEX($B$3:$B$168,K1083))+1))</x:f>
      </x:c>
    </x:row>
    <x:row r="1084">
      <x:c r="A1084"/>
      <x:c r="B1084"/>
      <x:c r="C1084"/>
      <x:c r="D1084" t="str">
        <x:f>IFERROR(IF(1082&lt;=$O$1,INDEX($A$3:$A$168,MATCH(1082,$I$3:$I$168,0)),IF(1082&lt;=$O$1+$O$2,INDEX($F$3:$F$1994,MATCH(1082-$O$1,$G$3:$G$1994,0)),"")),"")</x:f>
      </x:c>
      <x:c r="E1084" t="str">
        <x:f>IF(K1084="","",IF(N1084&lt;=M1084,"",TRIM(CLEAN(MID(INDEX($B$3:$B$168,K1084),M1084,N1084-M1084)))))</x:f>
      </x:c>
      <x:c r="F1084" t="str">
        <x:f>IF(E1084="","",IF(E1084=TRIM(INDEX($A$3:$A$168,K1084)),"",IF(RIGHT(TRIM(INDEX($A$3:$A$168,K1084)),1)="]",LEFT(TRIM(INDEX($A$3:$A$168,K1084)),LEN(TRIM(INDEX($A$3:$A$168,K1084)))-1)&amp;", "&amp;SUBSTITUTE(SUBSTITUTE(SUBSTITUTE(E1084," [",", "),"[",", "),"]","")&amp;"]",TRIM(INDEX($A$3:$A$168,K1084))&amp;" ["&amp;SUBSTITUTE(SUBSTITUTE(SUBSTITUTE(E1084," [",", "),"[",", "),"]","")&amp;"]")))</x:f>
      </x:c>
      <x:c r="G1084" t="str">
        <x:f>IF(F1084&lt;&gt;"",ROWS($F$3:F1084)-COUNTBLANK($F$3:F1084),"")</x:f>
      </x:c>
      <x:c r="H1084"/>
      <x:c r="I1084"/>
      <x:c r="J1084"/>
      <x:c r="K1084" t="str">
        <x:f>IF(ROW()-ROW($K$2)&lt;=SUM($J$3:$J$168),COUNTIF($H$3:$H$168,"&lt;"&amp;(ROW()-ROW($K$2))),"")</x:f>
      </x:c>
      <x:c r="L1084" t="str">
        <x:f>IF(K1084="","",ROW()-ROW($L$2)-INDEX($H$3:$H$168,K1084))</x:f>
      </x:c>
      <x:c r="M1084" t="str">
        <x:f>IF(K1084="","",IF(L1084=1,1,FIND(CHAR(1),SUBSTITUTE(INDEX($B$3:$B$168,K1084),CHAR(10),CHAR(1),L1084-1))+1))</x:f>
      </x:c>
      <x:c r="N1084" t="str">
        <x:f>IF(K1084="","",IFERROR(FIND(CHAR(1),SUBSTITUTE(INDEX($B$3:$B$168,K1084),CHAR(10),CHAR(1),L1084)),LEN(INDEX($B$3:$B$168,K1084))+1))</x:f>
      </x:c>
    </x:row>
    <x:row r="1085">
      <x:c r="A1085"/>
      <x:c r="B1085"/>
      <x:c r="C1085"/>
      <x:c r="D1085" t="str">
        <x:f>IFERROR(IF(1083&lt;=$O$1,INDEX($A$3:$A$168,MATCH(1083,$I$3:$I$168,0)),IF(1083&lt;=$O$1+$O$2,INDEX($F$3:$F$1994,MATCH(1083-$O$1,$G$3:$G$1994,0)),"")),"")</x:f>
      </x:c>
      <x:c r="E1085" t="str">
        <x:f>IF(K1085="","",IF(N1085&lt;=M1085,"",TRIM(CLEAN(MID(INDEX($B$3:$B$168,K1085),M1085,N1085-M1085)))))</x:f>
      </x:c>
      <x:c r="F1085" t="str">
        <x:f>IF(E1085="","",IF(E1085=TRIM(INDEX($A$3:$A$168,K1085)),"",IF(RIGHT(TRIM(INDEX($A$3:$A$168,K1085)),1)="]",LEFT(TRIM(INDEX($A$3:$A$168,K1085)),LEN(TRIM(INDEX($A$3:$A$168,K1085)))-1)&amp;", "&amp;SUBSTITUTE(SUBSTITUTE(SUBSTITUTE(E1085," [",", "),"[",", "),"]","")&amp;"]",TRIM(INDEX($A$3:$A$168,K1085))&amp;" ["&amp;SUBSTITUTE(SUBSTITUTE(SUBSTITUTE(E1085," [",", "),"[",", "),"]","")&amp;"]")))</x:f>
      </x:c>
      <x:c r="G1085" t="str">
        <x:f>IF(F1085&lt;&gt;"",ROWS($F$3:F1085)-COUNTBLANK($F$3:F1085),"")</x:f>
      </x:c>
      <x:c r="H1085"/>
      <x:c r="I1085"/>
      <x:c r="J1085"/>
      <x:c r="K1085" t="str">
        <x:f>IF(ROW()-ROW($K$2)&lt;=SUM($J$3:$J$168),COUNTIF($H$3:$H$168,"&lt;"&amp;(ROW()-ROW($K$2))),"")</x:f>
      </x:c>
      <x:c r="L1085" t="str">
        <x:f>IF(K1085="","",ROW()-ROW($L$2)-INDEX($H$3:$H$168,K1085))</x:f>
      </x:c>
      <x:c r="M1085" t="str">
        <x:f>IF(K1085="","",IF(L1085=1,1,FIND(CHAR(1),SUBSTITUTE(INDEX($B$3:$B$168,K1085),CHAR(10),CHAR(1),L1085-1))+1))</x:f>
      </x:c>
      <x:c r="N1085" t="str">
        <x:f>IF(K1085="","",IFERROR(FIND(CHAR(1),SUBSTITUTE(INDEX($B$3:$B$168,K1085),CHAR(10),CHAR(1),L1085)),LEN(INDEX($B$3:$B$168,K1085))+1))</x:f>
      </x:c>
    </x:row>
    <x:row r="1086">
      <x:c r="A1086"/>
      <x:c r="B1086"/>
      <x:c r="C1086"/>
      <x:c r="D1086" t="str">
        <x:f>IFERROR(IF(1084&lt;=$O$1,INDEX($A$3:$A$168,MATCH(1084,$I$3:$I$168,0)),IF(1084&lt;=$O$1+$O$2,INDEX($F$3:$F$1994,MATCH(1084-$O$1,$G$3:$G$1994,0)),"")),"")</x:f>
      </x:c>
      <x:c r="E1086" t="str">
        <x:f>IF(K1086="","",IF(N1086&lt;=M1086,"",TRIM(CLEAN(MID(INDEX($B$3:$B$168,K1086),M1086,N1086-M1086)))))</x:f>
      </x:c>
      <x:c r="F1086" t="str">
        <x:f>IF(E1086="","",IF(E1086=TRIM(INDEX($A$3:$A$168,K1086)),"",IF(RIGHT(TRIM(INDEX($A$3:$A$168,K1086)),1)="]",LEFT(TRIM(INDEX($A$3:$A$168,K1086)),LEN(TRIM(INDEX($A$3:$A$168,K1086)))-1)&amp;", "&amp;SUBSTITUTE(SUBSTITUTE(SUBSTITUTE(E1086," [",", "),"[",", "),"]","")&amp;"]",TRIM(INDEX($A$3:$A$168,K1086))&amp;" ["&amp;SUBSTITUTE(SUBSTITUTE(SUBSTITUTE(E1086," [",", "),"[",", "),"]","")&amp;"]")))</x:f>
      </x:c>
      <x:c r="G1086" t="str">
        <x:f>IF(F1086&lt;&gt;"",ROWS($F$3:F1086)-COUNTBLANK($F$3:F1086),"")</x:f>
      </x:c>
      <x:c r="H1086"/>
      <x:c r="I1086"/>
      <x:c r="J1086"/>
      <x:c r="K1086" t="str">
        <x:f>IF(ROW()-ROW($K$2)&lt;=SUM($J$3:$J$168),COUNTIF($H$3:$H$168,"&lt;"&amp;(ROW()-ROW($K$2))),"")</x:f>
      </x:c>
      <x:c r="L1086" t="str">
        <x:f>IF(K1086="","",ROW()-ROW($L$2)-INDEX($H$3:$H$168,K1086))</x:f>
      </x:c>
      <x:c r="M1086" t="str">
        <x:f>IF(K1086="","",IF(L1086=1,1,FIND(CHAR(1),SUBSTITUTE(INDEX($B$3:$B$168,K1086),CHAR(10),CHAR(1),L1086-1))+1))</x:f>
      </x:c>
      <x:c r="N1086" t="str">
        <x:f>IF(K1086="","",IFERROR(FIND(CHAR(1),SUBSTITUTE(INDEX($B$3:$B$168,K1086),CHAR(10),CHAR(1),L1086)),LEN(INDEX($B$3:$B$168,K1086))+1))</x:f>
      </x:c>
    </x:row>
    <x:row r="1087">
      <x:c r="A1087"/>
      <x:c r="B1087"/>
      <x:c r="C1087"/>
      <x:c r="D1087" t="str">
        <x:f>IFERROR(IF(1085&lt;=$O$1,INDEX($A$3:$A$168,MATCH(1085,$I$3:$I$168,0)),IF(1085&lt;=$O$1+$O$2,INDEX($F$3:$F$1994,MATCH(1085-$O$1,$G$3:$G$1994,0)),"")),"")</x:f>
      </x:c>
      <x:c r="E1087" t="str">
        <x:f>IF(K1087="","",IF(N1087&lt;=M1087,"",TRIM(CLEAN(MID(INDEX($B$3:$B$168,K1087),M1087,N1087-M1087)))))</x:f>
      </x:c>
      <x:c r="F1087" t="str">
        <x:f>IF(E1087="","",IF(E1087=TRIM(INDEX($A$3:$A$168,K1087)),"",IF(RIGHT(TRIM(INDEX($A$3:$A$168,K1087)),1)="]",LEFT(TRIM(INDEX($A$3:$A$168,K1087)),LEN(TRIM(INDEX($A$3:$A$168,K1087)))-1)&amp;", "&amp;SUBSTITUTE(SUBSTITUTE(SUBSTITUTE(E1087," [",", "),"[",", "),"]","")&amp;"]",TRIM(INDEX($A$3:$A$168,K1087))&amp;" ["&amp;SUBSTITUTE(SUBSTITUTE(SUBSTITUTE(E1087," [",", "),"[",", "),"]","")&amp;"]")))</x:f>
      </x:c>
      <x:c r="G1087" t="str">
        <x:f>IF(F1087&lt;&gt;"",ROWS($F$3:F1087)-COUNTBLANK($F$3:F1087),"")</x:f>
      </x:c>
      <x:c r="H1087"/>
      <x:c r="I1087"/>
      <x:c r="J1087"/>
      <x:c r="K1087" t="str">
        <x:f>IF(ROW()-ROW($K$2)&lt;=SUM($J$3:$J$168),COUNTIF($H$3:$H$168,"&lt;"&amp;(ROW()-ROW($K$2))),"")</x:f>
      </x:c>
      <x:c r="L1087" t="str">
        <x:f>IF(K1087="","",ROW()-ROW($L$2)-INDEX($H$3:$H$168,K1087))</x:f>
      </x:c>
      <x:c r="M1087" t="str">
        <x:f>IF(K1087="","",IF(L1087=1,1,FIND(CHAR(1),SUBSTITUTE(INDEX($B$3:$B$168,K1087),CHAR(10),CHAR(1),L1087-1))+1))</x:f>
      </x:c>
      <x:c r="N1087" t="str">
        <x:f>IF(K1087="","",IFERROR(FIND(CHAR(1),SUBSTITUTE(INDEX($B$3:$B$168,K1087),CHAR(10),CHAR(1),L1087)),LEN(INDEX($B$3:$B$168,K1087))+1))</x:f>
      </x:c>
    </x:row>
    <x:row r="1088">
      <x:c r="A1088"/>
      <x:c r="B1088"/>
      <x:c r="C1088"/>
      <x:c r="D1088" t="str">
        <x:f>IFERROR(IF(1086&lt;=$O$1,INDEX($A$3:$A$168,MATCH(1086,$I$3:$I$168,0)),IF(1086&lt;=$O$1+$O$2,INDEX($F$3:$F$1994,MATCH(1086-$O$1,$G$3:$G$1994,0)),"")),"")</x:f>
      </x:c>
      <x:c r="E1088" t="str">
        <x:f>IF(K1088="","",IF(N1088&lt;=M1088,"",TRIM(CLEAN(MID(INDEX($B$3:$B$168,K1088),M1088,N1088-M1088)))))</x:f>
      </x:c>
      <x:c r="F1088" t="str">
        <x:f>IF(E1088="","",IF(E1088=TRIM(INDEX($A$3:$A$168,K1088)),"",IF(RIGHT(TRIM(INDEX($A$3:$A$168,K1088)),1)="]",LEFT(TRIM(INDEX($A$3:$A$168,K1088)),LEN(TRIM(INDEX($A$3:$A$168,K1088)))-1)&amp;", "&amp;SUBSTITUTE(SUBSTITUTE(SUBSTITUTE(E1088," [",", "),"[",", "),"]","")&amp;"]",TRIM(INDEX($A$3:$A$168,K1088))&amp;" ["&amp;SUBSTITUTE(SUBSTITUTE(SUBSTITUTE(E1088," [",", "),"[",", "),"]","")&amp;"]")))</x:f>
      </x:c>
      <x:c r="G1088" t="str">
        <x:f>IF(F1088&lt;&gt;"",ROWS($F$3:F1088)-COUNTBLANK($F$3:F1088),"")</x:f>
      </x:c>
      <x:c r="H1088"/>
      <x:c r="I1088"/>
      <x:c r="J1088"/>
      <x:c r="K1088" t="str">
        <x:f>IF(ROW()-ROW($K$2)&lt;=SUM($J$3:$J$168),COUNTIF($H$3:$H$168,"&lt;"&amp;(ROW()-ROW($K$2))),"")</x:f>
      </x:c>
      <x:c r="L1088" t="str">
        <x:f>IF(K1088="","",ROW()-ROW($L$2)-INDEX($H$3:$H$168,K1088))</x:f>
      </x:c>
      <x:c r="M1088" t="str">
        <x:f>IF(K1088="","",IF(L1088=1,1,FIND(CHAR(1),SUBSTITUTE(INDEX($B$3:$B$168,K1088),CHAR(10),CHAR(1),L1088-1))+1))</x:f>
      </x:c>
      <x:c r="N1088" t="str">
        <x:f>IF(K1088="","",IFERROR(FIND(CHAR(1),SUBSTITUTE(INDEX($B$3:$B$168,K1088),CHAR(10),CHAR(1),L1088)),LEN(INDEX($B$3:$B$168,K1088))+1))</x:f>
      </x:c>
    </x:row>
    <x:row r="1089">
      <x:c r="A1089"/>
      <x:c r="B1089"/>
      <x:c r="C1089"/>
      <x:c r="D1089" t="str">
        <x:f>IFERROR(IF(1087&lt;=$O$1,INDEX($A$3:$A$168,MATCH(1087,$I$3:$I$168,0)),IF(1087&lt;=$O$1+$O$2,INDEX($F$3:$F$1994,MATCH(1087-$O$1,$G$3:$G$1994,0)),"")),"")</x:f>
      </x:c>
      <x:c r="E1089" t="str">
        <x:f>IF(K1089="","",IF(N1089&lt;=M1089,"",TRIM(CLEAN(MID(INDEX($B$3:$B$168,K1089),M1089,N1089-M1089)))))</x:f>
      </x:c>
      <x:c r="F1089" t="str">
        <x:f>IF(E1089="","",IF(E1089=TRIM(INDEX($A$3:$A$168,K1089)),"",IF(RIGHT(TRIM(INDEX($A$3:$A$168,K1089)),1)="]",LEFT(TRIM(INDEX($A$3:$A$168,K1089)),LEN(TRIM(INDEX($A$3:$A$168,K1089)))-1)&amp;", "&amp;SUBSTITUTE(SUBSTITUTE(SUBSTITUTE(E1089," [",", "),"[",", "),"]","")&amp;"]",TRIM(INDEX($A$3:$A$168,K1089))&amp;" ["&amp;SUBSTITUTE(SUBSTITUTE(SUBSTITUTE(E1089," [",", "),"[",", "),"]","")&amp;"]")))</x:f>
      </x:c>
      <x:c r="G1089" t="str">
        <x:f>IF(F1089&lt;&gt;"",ROWS($F$3:F1089)-COUNTBLANK($F$3:F1089),"")</x:f>
      </x:c>
      <x:c r="H1089"/>
      <x:c r="I1089"/>
      <x:c r="J1089"/>
      <x:c r="K1089" t="str">
        <x:f>IF(ROW()-ROW($K$2)&lt;=SUM($J$3:$J$168),COUNTIF($H$3:$H$168,"&lt;"&amp;(ROW()-ROW($K$2))),"")</x:f>
      </x:c>
      <x:c r="L1089" t="str">
        <x:f>IF(K1089="","",ROW()-ROW($L$2)-INDEX($H$3:$H$168,K1089))</x:f>
      </x:c>
      <x:c r="M1089" t="str">
        <x:f>IF(K1089="","",IF(L1089=1,1,FIND(CHAR(1),SUBSTITUTE(INDEX($B$3:$B$168,K1089),CHAR(10),CHAR(1),L1089-1))+1))</x:f>
      </x:c>
      <x:c r="N1089" t="str">
        <x:f>IF(K1089="","",IFERROR(FIND(CHAR(1),SUBSTITUTE(INDEX($B$3:$B$168,K1089),CHAR(10),CHAR(1),L1089)),LEN(INDEX($B$3:$B$168,K1089))+1))</x:f>
      </x:c>
    </x:row>
    <x:row r="1090">
      <x:c r="A1090"/>
      <x:c r="B1090"/>
      <x:c r="C1090"/>
      <x:c r="D1090" t="str">
        <x:f>IFERROR(IF(1088&lt;=$O$1,INDEX($A$3:$A$168,MATCH(1088,$I$3:$I$168,0)),IF(1088&lt;=$O$1+$O$2,INDEX($F$3:$F$1994,MATCH(1088-$O$1,$G$3:$G$1994,0)),"")),"")</x:f>
      </x:c>
      <x:c r="E1090" t="str">
        <x:f>IF(K1090="","",IF(N1090&lt;=M1090,"",TRIM(CLEAN(MID(INDEX($B$3:$B$168,K1090),M1090,N1090-M1090)))))</x:f>
      </x:c>
      <x:c r="F1090" t="str">
        <x:f>IF(E1090="","",IF(E1090=TRIM(INDEX($A$3:$A$168,K1090)),"",IF(RIGHT(TRIM(INDEX($A$3:$A$168,K1090)),1)="]",LEFT(TRIM(INDEX($A$3:$A$168,K1090)),LEN(TRIM(INDEX($A$3:$A$168,K1090)))-1)&amp;", "&amp;SUBSTITUTE(SUBSTITUTE(SUBSTITUTE(E1090," [",", "),"[",", "),"]","")&amp;"]",TRIM(INDEX($A$3:$A$168,K1090))&amp;" ["&amp;SUBSTITUTE(SUBSTITUTE(SUBSTITUTE(E1090," [",", "),"[",", "),"]","")&amp;"]")))</x:f>
      </x:c>
      <x:c r="G1090" t="str">
        <x:f>IF(F1090&lt;&gt;"",ROWS($F$3:F1090)-COUNTBLANK($F$3:F1090),"")</x:f>
      </x:c>
      <x:c r="H1090"/>
      <x:c r="I1090"/>
      <x:c r="J1090"/>
      <x:c r="K1090" t="str">
        <x:f>IF(ROW()-ROW($K$2)&lt;=SUM($J$3:$J$168),COUNTIF($H$3:$H$168,"&lt;"&amp;(ROW()-ROW($K$2))),"")</x:f>
      </x:c>
      <x:c r="L1090" t="str">
        <x:f>IF(K1090="","",ROW()-ROW($L$2)-INDEX($H$3:$H$168,K1090))</x:f>
      </x:c>
      <x:c r="M1090" t="str">
        <x:f>IF(K1090="","",IF(L1090=1,1,FIND(CHAR(1),SUBSTITUTE(INDEX($B$3:$B$168,K1090),CHAR(10),CHAR(1),L1090-1))+1))</x:f>
      </x:c>
      <x:c r="N1090" t="str">
        <x:f>IF(K1090="","",IFERROR(FIND(CHAR(1),SUBSTITUTE(INDEX($B$3:$B$168,K1090),CHAR(10),CHAR(1),L1090)),LEN(INDEX($B$3:$B$168,K1090))+1))</x:f>
      </x:c>
    </x:row>
    <x:row r="1091">
      <x:c r="A1091"/>
      <x:c r="B1091"/>
      <x:c r="C1091"/>
      <x:c r="D1091" t="str">
        <x:f>IFERROR(IF(1089&lt;=$O$1,INDEX($A$3:$A$168,MATCH(1089,$I$3:$I$168,0)),IF(1089&lt;=$O$1+$O$2,INDEX($F$3:$F$1994,MATCH(1089-$O$1,$G$3:$G$1994,0)),"")),"")</x:f>
      </x:c>
      <x:c r="E1091" t="str">
        <x:f>IF(K1091="","",IF(N1091&lt;=M1091,"",TRIM(CLEAN(MID(INDEX($B$3:$B$168,K1091),M1091,N1091-M1091)))))</x:f>
      </x:c>
      <x:c r="F1091" t="str">
        <x:f>IF(E1091="","",IF(E1091=TRIM(INDEX($A$3:$A$168,K1091)),"",IF(RIGHT(TRIM(INDEX($A$3:$A$168,K1091)),1)="]",LEFT(TRIM(INDEX($A$3:$A$168,K1091)),LEN(TRIM(INDEX($A$3:$A$168,K1091)))-1)&amp;", "&amp;SUBSTITUTE(SUBSTITUTE(SUBSTITUTE(E1091," [",", "),"[",", "),"]","")&amp;"]",TRIM(INDEX($A$3:$A$168,K1091))&amp;" ["&amp;SUBSTITUTE(SUBSTITUTE(SUBSTITUTE(E1091," [",", "),"[",", "),"]","")&amp;"]")))</x:f>
      </x:c>
      <x:c r="G1091" t="str">
        <x:f>IF(F1091&lt;&gt;"",ROWS($F$3:F1091)-COUNTBLANK($F$3:F1091),"")</x:f>
      </x:c>
      <x:c r="H1091"/>
      <x:c r="I1091"/>
      <x:c r="J1091"/>
      <x:c r="K1091" t="str">
        <x:f>IF(ROW()-ROW($K$2)&lt;=SUM($J$3:$J$168),COUNTIF($H$3:$H$168,"&lt;"&amp;(ROW()-ROW($K$2))),"")</x:f>
      </x:c>
      <x:c r="L1091" t="str">
        <x:f>IF(K1091="","",ROW()-ROW($L$2)-INDEX($H$3:$H$168,K1091))</x:f>
      </x:c>
      <x:c r="M1091" t="str">
        <x:f>IF(K1091="","",IF(L1091=1,1,FIND(CHAR(1),SUBSTITUTE(INDEX($B$3:$B$168,K1091),CHAR(10),CHAR(1),L1091-1))+1))</x:f>
      </x:c>
      <x:c r="N1091" t="str">
        <x:f>IF(K1091="","",IFERROR(FIND(CHAR(1),SUBSTITUTE(INDEX($B$3:$B$168,K1091),CHAR(10),CHAR(1),L1091)),LEN(INDEX($B$3:$B$168,K1091))+1))</x:f>
      </x:c>
    </x:row>
    <x:row r="1092">
      <x:c r="A1092"/>
      <x:c r="B1092"/>
      <x:c r="C1092"/>
      <x:c r="D1092" t="str">
        <x:f>IFERROR(IF(1090&lt;=$O$1,INDEX($A$3:$A$168,MATCH(1090,$I$3:$I$168,0)),IF(1090&lt;=$O$1+$O$2,INDEX($F$3:$F$1994,MATCH(1090-$O$1,$G$3:$G$1994,0)),"")),"")</x:f>
      </x:c>
      <x:c r="E1092" t="str">
        <x:f>IF(K1092="","",IF(N1092&lt;=M1092,"",TRIM(CLEAN(MID(INDEX($B$3:$B$168,K1092),M1092,N1092-M1092)))))</x:f>
      </x:c>
      <x:c r="F1092" t="str">
        <x:f>IF(E1092="","",IF(E1092=TRIM(INDEX($A$3:$A$168,K1092)),"",IF(RIGHT(TRIM(INDEX($A$3:$A$168,K1092)),1)="]",LEFT(TRIM(INDEX($A$3:$A$168,K1092)),LEN(TRIM(INDEX($A$3:$A$168,K1092)))-1)&amp;", "&amp;SUBSTITUTE(SUBSTITUTE(SUBSTITUTE(E1092," [",", "),"[",", "),"]","")&amp;"]",TRIM(INDEX($A$3:$A$168,K1092))&amp;" ["&amp;SUBSTITUTE(SUBSTITUTE(SUBSTITUTE(E1092," [",", "),"[",", "),"]","")&amp;"]")))</x:f>
      </x:c>
      <x:c r="G1092" t="str">
        <x:f>IF(F1092&lt;&gt;"",ROWS($F$3:F1092)-COUNTBLANK($F$3:F1092),"")</x:f>
      </x:c>
      <x:c r="H1092"/>
      <x:c r="I1092"/>
      <x:c r="J1092"/>
      <x:c r="K1092" t="str">
        <x:f>IF(ROW()-ROW($K$2)&lt;=SUM($J$3:$J$168),COUNTIF($H$3:$H$168,"&lt;"&amp;(ROW()-ROW($K$2))),"")</x:f>
      </x:c>
      <x:c r="L1092" t="str">
        <x:f>IF(K1092="","",ROW()-ROW($L$2)-INDEX($H$3:$H$168,K1092))</x:f>
      </x:c>
      <x:c r="M1092" t="str">
        <x:f>IF(K1092="","",IF(L1092=1,1,FIND(CHAR(1),SUBSTITUTE(INDEX($B$3:$B$168,K1092),CHAR(10),CHAR(1),L1092-1))+1))</x:f>
      </x:c>
      <x:c r="N1092" t="str">
        <x:f>IF(K1092="","",IFERROR(FIND(CHAR(1),SUBSTITUTE(INDEX($B$3:$B$168,K1092),CHAR(10),CHAR(1),L1092)),LEN(INDEX($B$3:$B$168,K1092))+1))</x:f>
      </x:c>
    </x:row>
    <x:row r="1093">
      <x:c r="A1093"/>
      <x:c r="B1093"/>
      <x:c r="C1093"/>
      <x:c r="D1093" t="str">
        <x:f>IFERROR(IF(1091&lt;=$O$1,INDEX($A$3:$A$168,MATCH(1091,$I$3:$I$168,0)),IF(1091&lt;=$O$1+$O$2,INDEX($F$3:$F$1994,MATCH(1091-$O$1,$G$3:$G$1994,0)),"")),"")</x:f>
      </x:c>
      <x:c r="E1093" t="str">
        <x:f>IF(K1093="","",IF(N1093&lt;=M1093,"",TRIM(CLEAN(MID(INDEX($B$3:$B$168,K1093),M1093,N1093-M1093)))))</x:f>
      </x:c>
      <x:c r="F1093" t="str">
        <x:f>IF(E1093="","",IF(E1093=TRIM(INDEX($A$3:$A$168,K1093)),"",IF(RIGHT(TRIM(INDEX($A$3:$A$168,K1093)),1)="]",LEFT(TRIM(INDEX($A$3:$A$168,K1093)),LEN(TRIM(INDEX($A$3:$A$168,K1093)))-1)&amp;", "&amp;SUBSTITUTE(SUBSTITUTE(SUBSTITUTE(E1093," [",", "),"[",", "),"]","")&amp;"]",TRIM(INDEX($A$3:$A$168,K1093))&amp;" ["&amp;SUBSTITUTE(SUBSTITUTE(SUBSTITUTE(E1093," [",", "),"[",", "),"]","")&amp;"]")))</x:f>
      </x:c>
      <x:c r="G1093" t="str">
        <x:f>IF(F1093&lt;&gt;"",ROWS($F$3:F1093)-COUNTBLANK($F$3:F1093),"")</x:f>
      </x:c>
      <x:c r="H1093"/>
      <x:c r="I1093"/>
      <x:c r="J1093"/>
      <x:c r="K1093" t="str">
        <x:f>IF(ROW()-ROW($K$2)&lt;=SUM($J$3:$J$168),COUNTIF($H$3:$H$168,"&lt;"&amp;(ROW()-ROW($K$2))),"")</x:f>
      </x:c>
      <x:c r="L1093" t="str">
        <x:f>IF(K1093="","",ROW()-ROW($L$2)-INDEX($H$3:$H$168,K1093))</x:f>
      </x:c>
      <x:c r="M1093" t="str">
        <x:f>IF(K1093="","",IF(L1093=1,1,FIND(CHAR(1),SUBSTITUTE(INDEX($B$3:$B$168,K1093),CHAR(10),CHAR(1),L1093-1))+1))</x:f>
      </x:c>
      <x:c r="N1093" t="str">
        <x:f>IF(K1093="","",IFERROR(FIND(CHAR(1),SUBSTITUTE(INDEX($B$3:$B$168,K1093),CHAR(10),CHAR(1),L1093)),LEN(INDEX($B$3:$B$168,K1093))+1))</x:f>
      </x:c>
    </x:row>
    <x:row r="1094">
      <x:c r="A1094"/>
      <x:c r="B1094"/>
      <x:c r="C1094"/>
      <x:c r="D1094" t="str">
        <x:f>IFERROR(IF(1092&lt;=$O$1,INDEX($A$3:$A$168,MATCH(1092,$I$3:$I$168,0)),IF(1092&lt;=$O$1+$O$2,INDEX($F$3:$F$1994,MATCH(1092-$O$1,$G$3:$G$1994,0)),"")),"")</x:f>
      </x:c>
      <x:c r="E1094" t="str">
        <x:f>IF(K1094="","",IF(N1094&lt;=M1094,"",TRIM(CLEAN(MID(INDEX($B$3:$B$168,K1094),M1094,N1094-M1094)))))</x:f>
      </x:c>
      <x:c r="F1094" t="str">
        <x:f>IF(E1094="","",IF(E1094=TRIM(INDEX($A$3:$A$168,K1094)),"",IF(RIGHT(TRIM(INDEX($A$3:$A$168,K1094)),1)="]",LEFT(TRIM(INDEX($A$3:$A$168,K1094)),LEN(TRIM(INDEX($A$3:$A$168,K1094)))-1)&amp;", "&amp;SUBSTITUTE(SUBSTITUTE(SUBSTITUTE(E1094," [",", "),"[",", "),"]","")&amp;"]",TRIM(INDEX($A$3:$A$168,K1094))&amp;" ["&amp;SUBSTITUTE(SUBSTITUTE(SUBSTITUTE(E1094," [",", "),"[",", "),"]","")&amp;"]")))</x:f>
      </x:c>
      <x:c r="G1094" t="str">
        <x:f>IF(F1094&lt;&gt;"",ROWS($F$3:F1094)-COUNTBLANK($F$3:F1094),"")</x:f>
      </x:c>
      <x:c r="H1094"/>
      <x:c r="I1094"/>
      <x:c r="J1094"/>
      <x:c r="K1094" t="str">
        <x:f>IF(ROW()-ROW($K$2)&lt;=SUM($J$3:$J$168),COUNTIF($H$3:$H$168,"&lt;"&amp;(ROW()-ROW($K$2))),"")</x:f>
      </x:c>
      <x:c r="L1094" t="str">
        <x:f>IF(K1094="","",ROW()-ROW($L$2)-INDEX($H$3:$H$168,K1094))</x:f>
      </x:c>
      <x:c r="M1094" t="str">
        <x:f>IF(K1094="","",IF(L1094=1,1,FIND(CHAR(1),SUBSTITUTE(INDEX($B$3:$B$168,K1094),CHAR(10),CHAR(1),L1094-1))+1))</x:f>
      </x:c>
      <x:c r="N1094" t="str">
        <x:f>IF(K1094="","",IFERROR(FIND(CHAR(1),SUBSTITUTE(INDEX($B$3:$B$168,K1094),CHAR(10),CHAR(1),L1094)),LEN(INDEX($B$3:$B$168,K1094))+1))</x:f>
      </x:c>
    </x:row>
    <x:row r="1095">
      <x:c r="A1095"/>
      <x:c r="B1095"/>
      <x:c r="C1095"/>
      <x:c r="D1095" t="str">
        <x:f>IFERROR(IF(1093&lt;=$O$1,INDEX($A$3:$A$168,MATCH(1093,$I$3:$I$168,0)),IF(1093&lt;=$O$1+$O$2,INDEX($F$3:$F$1994,MATCH(1093-$O$1,$G$3:$G$1994,0)),"")),"")</x:f>
      </x:c>
      <x:c r="E1095" t="str">
        <x:f>IF(K1095="","",IF(N1095&lt;=M1095,"",TRIM(CLEAN(MID(INDEX($B$3:$B$168,K1095),M1095,N1095-M1095)))))</x:f>
      </x:c>
      <x:c r="F1095" t="str">
        <x:f>IF(E1095="","",IF(E1095=TRIM(INDEX($A$3:$A$168,K1095)),"",IF(RIGHT(TRIM(INDEX($A$3:$A$168,K1095)),1)="]",LEFT(TRIM(INDEX($A$3:$A$168,K1095)),LEN(TRIM(INDEX($A$3:$A$168,K1095)))-1)&amp;", "&amp;SUBSTITUTE(SUBSTITUTE(SUBSTITUTE(E1095," [",", "),"[",", "),"]","")&amp;"]",TRIM(INDEX($A$3:$A$168,K1095))&amp;" ["&amp;SUBSTITUTE(SUBSTITUTE(SUBSTITUTE(E1095," [",", "),"[",", "),"]","")&amp;"]")))</x:f>
      </x:c>
      <x:c r="G1095" t="str">
        <x:f>IF(F1095&lt;&gt;"",ROWS($F$3:F1095)-COUNTBLANK($F$3:F1095),"")</x:f>
      </x:c>
      <x:c r="H1095"/>
      <x:c r="I1095"/>
      <x:c r="J1095"/>
      <x:c r="K1095" t="str">
        <x:f>IF(ROW()-ROW($K$2)&lt;=SUM($J$3:$J$168),COUNTIF($H$3:$H$168,"&lt;"&amp;(ROW()-ROW($K$2))),"")</x:f>
      </x:c>
      <x:c r="L1095" t="str">
        <x:f>IF(K1095="","",ROW()-ROW($L$2)-INDEX($H$3:$H$168,K1095))</x:f>
      </x:c>
      <x:c r="M1095" t="str">
        <x:f>IF(K1095="","",IF(L1095=1,1,FIND(CHAR(1),SUBSTITUTE(INDEX($B$3:$B$168,K1095),CHAR(10),CHAR(1),L1095-1))+1))</x:f>
      </x:c>
      <x:c r="N1095" t="str">
        <x:f>IF(K1095="","",IFERROR(FIND(CHAR(1),SUBSTITUTE(INDEX($B$3:$B$168,K1095),CHAR(10),CHAR(1),L1095)),LEN(INDEX($B$3:$B$168,K1095))+1))</x:f>
      </x:c>
    </x:row>
    <x:row r="1096">
      <x:c r="A1096"/>
      <x:c r="B1096"/>
      <x:c r="C1096"/>
      <x:c r="D1096" t="str">
        <x:f>IFERROR(IF(1094&lt;=$O$1,INDEX($A$3:$A$168,MATCH(1094,$I$3:$I$168,0)),IF(1094&lt;=$O$1+$O$2,INDEX($F$3:$F$1994,MATCH(1094-$O$1,$G$3:$G$1994,0)),"")),"")</x:f>
      </x:c>
      <x:c r="E1096" t="str">
        <x:f>IF(K1096="","",IF(N1096&lt;=M1096,"",TRIM(CLEAN(MID(INDEX($B$3:$B$168,K1096),M1096,N1096-M1096)))))</x:f>
      </x:c>
      <x:c r="F1096" t="str">
        <x:f>IF(E1096="","",IF(E1096=TRIM(INDEX($A$3:$A$168,K1096)),"",IF(RIGHT(TRIM(INDEX($A$3:$A$168,K1096)),1)="]",LEFT(TRIM(INDEX($A$3:$A$168,K1096)),LEN(TRIM(INDEX($A$3:$A$168,K1096)))-1)&amp;", "&amp;SUBSTITUTE(SUBSTITUTE(SUBSTITUTE(E1096," [",", "),"[",", "),"]","")&amp;"]",TRIM(INDEX($A$3:$A$168,K1096))&amp;" ["&amp;SUBSTITUTE(SUBSTITUTE(SUBSTITUTE(E1096," [",", "),"[",", "),"]","")&amp;"]")))</x:f>
      </x:c>
      <x:c r="G1096" t="str">
        <x:f>IF(F1096&lt;&gt;"",ROWS($F$3:F1096)-COUNTBLANK($F$3:F1096),"")</x:f>
      </x:c>
      <x:c r="H1096"/>
      <x:c r="I1096"/>
      <x:c r="J1096"/>
      <x:c r="K1096" t="str">
        <x:f>IF(ROW()-ROW($K$2)&lt;=SUM($J$3:$J$168),COUNTIF($H$3:$H$168,"&lt;"&amp;(ROW()-ROW($K$2))),"")</x:f>
      </x:c>
      <x:c r="L1096" t="str">
        <x:f>IF(K1096="","",ROW()-ROW($L$2)-INDEX($H$3:$H$168,K1096))</x:f>
      </x:c>
      <x:c r="M1096" t="str">
        <x:f>IF(K1096="","",IF(L1096=1,1,FIND(CHAR(1),SUBSTITUTE(INDEX($B$3:$B$168,K1096),CHAR(10),CHAR(1),L1096-1))+1))</x:f>
      </x:c>
      <x:c r="N1096" t="str">
        <x:f>IF(K1096="","",IFERROR(FIND(CHAR(1),SUBSTITUTE(INDEX($B$3:$B$168,K1096),CHAR(10),CHAR(1),L1096)),LEN(INDEX($B$3:$B$168,K1096))+1))</x:f>
      </x:c>
    </x:row>
    <x:row r="1097">
      <x:c r="A1097"/>
      <x:c r="B1097"/>
      <x:c r="C1097"/>
      <x:c r="D1097" t="str">
        <x:f>IFERROR(IF(1095&lt;=$O$1,INDEX($A$3:$A$168,MATCH(1095,$I$3:$I$168,0)),IF(1095&lt;=$O$1+$O$2,INDEX($F$3:$F$1994,MATCH(1095-$O$1,$G$3:$G$1994,0)),"")),"")</x:f>
      </x:c>
      <x:c r="E1097" t="str">
        <x:f>IF(K1097="","",IF(N1097&lt;=M1097,"",TRIM(CLEAN(MID(INDEX($B$3:$B$168,K1097),M1097,N1097-M1097)))))</x:f>
      </x:c>
      <x:c r="F1097" t="str">
        <x:f>IF(E1097="","",IF(E1097=TRIM(INDEX($A$3:$A$168,K1097)),"",IF(RIGHT(TRIM(INDEX($A$3:$A$168,K1097)),1)="]",LEFT(TRIM(INDEX($A$3:$A$168,K1097)),LEN(TRIM(INDEX($A$3:$A$168,K1097)))-1)&amp;", "&amp;SUBSTITUTE(SUBSTITUTE(SUBSTITUTE(E1097," [",", "),"[",", "),"]","")&amp;"]",TRIM(INDEX($A$3:$A$168,K1097))&amp;" ["&amp;SUBSTITUTE(SUBSTITUTE(SUBSTITUTE(E1097," [",", "),"[",", "),"]","")&amp;"]")))</x:f>
      </x:c>
      <x:c r="G1097" t="str">
        <x:f>IF(F1097&lt;&gt;"",ROWS($F$3:F1097)-COUNTBLANK($F$3:F1097),"")</x:f>
      </x:c>
      <x:c r="H1097"/>
      <x:c r="I1097"/>
      <x:c r="J1097"/>
      <x:c r="K1097" t="str">
        <x:f>IF(ROW()-ROW($K$2)&lt;=SUM($J$3:$J$168),COUNTIF($H$3:$H$168,"&lt;"&amp;(ROW()-ROW($K$2))),"")</x:f>
      </x:c>
      <x:c r="L1097" t="str">
        <x:f>IF(K1097="","",ROW()-ROW($L$2)-INDEX($H$3:$H$168,K1097))</x:f>
      </x:c>
      <x:c r="M1097" t="str">
        <x:f>IF(K1097="","",IF(L1097=1,1,FIND(CHAR(1),SUBSTITUTE(INDEX($B$3:$B$168,K1097),CHAR(10),CHAR(1),L1097-1))+1))</x:f>
      </x:c>
      <x:c r="N1097" t="str">
        <x:f>IF(K1097="","",IFERROR(FIND(CHAR(1),SUBSTITUTE(INDEX($B$3:$B$168,K1097),CHAR(10),CHAR(1),L1097)),LEN(INDEX($B$3:$B$168,K1097))+1))</x:f>
      </x:c>
    </x:row>
    <x:row r="1098">
      <x:c r="A1098"/>
      <x:c r="B1098"/>
      <x:c r="C1098"/>
      <x:c r="D1098" t="str">
        <x:f>IFERROR(IF(1096&lt;=$O$1,INDEX($A$3:$A$168,MATCH(1096,$I$3:$I$168,0)),IF(1096&lt;=$O$1+$O$2,INDEX($F$3:$F$1994,MATCH(1096-$O$1,$G$3:$G$1994,0)),"")),"")</x:f>
      </x:c>
      <x:c r="E1098" t="str">
        <x:f>IF(K1098="","",IF(N1098&lt;=M1098,"",TRIM(CLEAN(MID(INDEX($B$3:$B$168,K1098),M1098,N1098-M1098)))))</x:f>
      </x:c>
      <x:c r="F1098" t="str">
        <x:f>IF(E1098="","",IF(E1098=TRIM(INDEX($A$3:$A$168,K1098)),"",IF(RIGHT(TRIM(INDEX($A$3:$A$168,K1098)),1)="]",LEFT(TRIM(INDEX($A$3:$A$168,K1098)),LEN(TRIM(INDEX($A$3:$A$168,K1098)))-1)&amp;", "&amp;SUBSTITUTE(SUBSTITUTE(SUBSTITUTE(E1098," [",", "),"[",", "),"]","")&amp;"]",TRIM(INDEX($A$3:$A$168,K1098))&amp;" ["&amp;SUBSTITUTE(SUBSTITUTE(SUBSTITUTE(E1098," [",", "),"[",", "),"]","")&amp;"]")))</x:f>
      </x:c>
      <x:c r="G1098" t="str">
        <x:f>IF(F1098&lt;&gt;"",ROWS($F$3:F1098)-COUNTBLANK($F$3:F1098),"")</x:f>
      </x:c>
      <x:c r="H1098"/>
      <x:c r="I1098"/>
      <x:c r="J1098"/>
      <x:c r="K1098" t="str">
        <x:f>IF(ROW()-ROW($K$2)&lt;=SUM($J$3:$J$168),COUNTIF($H$3:$H$168,"&lt;"&amp;(ROW()-ROW($K$2))),"")</x:f>
      </x:c>
      <x:c r="L1098" t="str">
        <x:f>IF(K1098="","",ROW()-ROW($L$2)-INDEX($H$3:$H$168,K1098))</x:f>
      </x:c>
      <x:c r="M1098" t="str">
        <x:f>IF(K1098="","",IF(L1098=1,1,FIND(CHAR(1),SUBSTITUTE(INDEX($B$3:$B$168,K1098),CHAR(10),CHAR(1),L1098-1))+1))</x:f>
      </x:c>
      <x:c r="N1098" t="str">
        <x:f>IF(K1098="","",IFERROR(FIND(CHAR(1),SUBSTITUTE(INDEX($B$3:$B$168,K1098),CHAR(10),CHAR(1),L1098)),LEN(INDEX($B$3:$B$168,K1098))+1))</x:f>
      </x:c>
    </x:row>
    <x:row r="1099">
      <x:c r="A1099"/>
      <x:c r="B1099"/>
      <x:c r="C1099"/>
      <x:c r="D1099" t="str">
        <x:f>IFERROR(IF(1097&lt;=$O$1,INDEX($A$3:$A$168,MATCH(1097,$I$3:$I$168,0)),IF(1097&lt;=$O$1+$O$2,INDEX($F$3:$F$1994,MATCH(1097-$O$1,$G$3:$G$1994,0)),"")),"")</x:f>
      </x:c>
      <x:c r="E1099" t="str">
        <x:f>IF(K1099="","",IF(N1099&lt;=M1099,"",TRIM(CLEAN(MID(INDEX($B$3:$B$168,K1099),M1099,N1099-M1099)))))</x:f>
      </x:c>
      <x:c r="F1099" t="str">
        <x:f>IF(E1099="","",IF(E1099=TRIM(INDEX($A$3:$A$168,K1099)),"",IF(RIGHT(TRIM(INDEX($A$3:$A$168,K1099)),1)="]",LEFT(TRIM(INDEX($A$3:$A$168,K1099)),LEN(TRIM(INDEX($A$3:$A$168,K1099)))-1)&amp;", "&amp;SUBSTITUTE(SUBSTITUTE(SUBSTITUTE(E1099," [",", "),"[",", "),"]","")&amp;"]",TRIM(INDEX($A$3:$A$168,K1099))&amp;" ["&amp;SUBSTITUTE(SUBSTITUTE(SUBSTITUTE(E1099," [",", "),"[",", "),"]","")&amp;"]")))</x:f>
      </x:c>
      <x:c r="G1099" t="str">
        <x:f>IF(F1099&lt;&gt;"",ROWS($F$3:F1099)-COUNTBLANK($F$3:F1099),"")</x:f>
      </x:c>
      <x:c r="H1099"/>
      <x:c r="I1099"/>
      <x:c r="J1099"/>
      <x:c r="K1099" t="str">
        <x:f>IF(ROW()-ROW($K$2)&lt;=SUM($J$3:$J$168),COUNTIF($H$3:$H$168,"&lt;"&amp;(ROW()-ROW($K$2))),"")</x:f>
      </x:c>
      <x:c r="L1099" t="str">
        <x:f>IF(K1099="","",ROW()-ROW($L$2)-INDEX($H$3:$H$168,K1099))</x:f>
      </x:c>
      <x:c r="M1099" t="str">
        <x:f>IF(K1099="","",IF(L1099=1,1,FIND(CHAR(1),SUBSTITUTE(INDEX($B$3:$B$168,K1099),CHAR(10),CHAR(1),L1099-1))+1))</x:f>
      </x:c>
      <x:c r="N1099" t="str">
        <x:f>IF(K1099="","",IFERROR(FIND(CHAR(1),SUBSTITUTE(INDEX($B$3:$B$168,K1099),CHAR(10),CHAR(1),L1099)),LEN(INDEX($B$3:$B$168,K1099))+1))</x:f>
      </x:c>
    </x:row>
    <x:row r="1100">
      <x:c r="A1100"/>
      <x:c r="B1100"/>
      <x:c r="C1100"/>
      <x:c r="D1100" t="str">
        <x:f>IFERROR(IF(1098&lt;=$O$1,INDEX($A$3:$A$168,MATCH(1098,$I$3:$I$168,0)),IF(1098&lt;=$O$1+$O$2,INDEX($F$3:$F$1994,MATCH(1098-$O$1,$G$3:$G$1994,0)),"")),"")</x:f>
      </x:c>
      <x:c r="E1100" t="str">
        <x:f>IF(K1100="","",IF(N1100&lt;=M1100,"",TRIM(CLEAN(MID(INDEX($B$3:$B$168,K1100),M1100,N1100-M1100)))))</x:f>
      </x:c>
      <x:c r="F1100" t="str">
        <x:f>IF(E1100="","",IF(E1100=TRIM(INDEX($A$3:$A$168,K1100)),"",IF(RIGHT(TRIM(INDEX($A$3:$A$168,K1100)),1)="]",LEFT(TRIM(INDEX($A$3:$A$168,K1100)),LEN(TRIM(INDEX($A$3:$A$168,K1100)))-1)&amp;", "&amp;SUBSTITUTE(SUBSTITUTE(SUBSTITUTE(E1100," [",", "),"[",", "),"]","")&amp;"]",TRIM(INDEX($A$3:$A$168,K1100))&amp;" ["&amp;SUBSTITUTE(SUBSTITUTE(SUBSTITUTE(E1100," [",", "),"[",", "),"]","")&amp;"]")))</x:f>
      </x:c>
      <x:c r="G1100" t="str">
        <x:f>IF(F1100&lt;&gt;"",ROWS($F$3:F1100)-COUNTBLANK($F$3:F1100),"")</x:f>
      </x:c>
      <x:c r="H1100"/>
      <x:c r="I1100"/>
      <x:c r="J1100"/>
      <x:c r="K1100" t="str">
        <x:f>IF(ROW()-ROW($K$2)&lt;=SUM($J$3:$J$168),COUNTIF($H$3:$H$168,"&lt;"&amp;(ROW()-ROW($K$2))),"")</x:f>
      </x:c>
      <x:c r="L1100" t="str">
        <x:f>IF(K1100="","",ROW()-ROW($L$2)-INDEX($H$3:$H$168,K1100))</x:f>
      </x:c>
      <x:c r="M1100" t="str">
        <x:f>IF(K1100="","",IF(L1100=1,1,FIND(CHAR(1),SUBSTITUTE(INDEX($B$3:$B$168,K1100),CHAR(10),CHAR(1),L1100-1))+1))</x:f>
      </x:c>
      <x:c r="N1100" t="str">
        <x:f>IF(K1100="","",IFERROR(FIND(CHAR(1),SUBSTITUTE(INDEX($B$3:$B$168,K1100),CHAR(10),CHAR(1),L1100)),LEN(INDEX($B$3:$B$168,K1100))+1))</x:f>
      </x:c>
    </x:row>
    <x:row r="1101">
      <x:c r="A1101"/>
      <x:c r="B1101"/>
      <x:c r="C1101"/>
      <x:c r="D1101" t="str">
        <x:f>IFERROR(IF(1099&lt;=$O$1,INDEX($A$3:$A$168,MATCH(1099,$I$3:$I$168,0)),IF(1099&lt;=$O$1+$O$2,INDEX($F$3:$F$1994,MATCH(1099-$O$1,$G$3:$G$1994,0)),"")),"")</x:f>
      </x:c>
      <x:c r="E1101" t="str">
        <x:f>IF(K1101="","",IF(N1101&lt;=M1101,"",TRIM(CLEAN(MID(INDEX($B$3:$B$168,K1101),M1101,N1101-M1101)))))</x:f>
      </x:c>
      <x:c r="F1101" t="str">
        <x:f>IF(E1101="","",IF(E1101=TRIM(INDEX($A$3:$A$168,K1101)),"",IF(RIGHT(TRIM(INDEX($A$3:$A$168,K1101)),1)="]",LEFT(TRIM(INDEX($A$3:$A$168,K1101)),LEN(TRIM(INDEX($A$3:$A$168,K1101)))-1)&amp;", "&amp;SUBSTITUTE(SUBSTITUTE(SUBSTITUTE(E1101," [",", "),"[",", "),"]","")&amp;"]",TRIM(INDEX($A$3:$A$168,K1101))&amp;" ["&amp;SUBSTITUTE(SUBSTITUTE(SUBSTITUTE(E1101," [",", "),"[",", "),"]","")&amp;"]")))</x:f>
      </x:c>
      <x:c r="G1101" t="str">
        <x:f>IF(F1101&lt;&gt;"",ROWS($F$3:F1101)-COUNTBLANK($F$3:F1101),"")</x:f>
      </x:c>
      <x:c r="H1101"/>
      <x:c r="I1101"/>
      <x:c r="J1101"/>
      <x:c r="K1101" t="str">
        <x:f>IF(ROW()-ROW($K$2)&lt;=SUM($J$3:$J$168),COUNTIF($H$3:$H$168,"&lt;"&amp;(ROW()-ROW($K$2))),"")</x:f>
      </x:c>
      <x:c r="L1101" t="str">
        <x:f>IF(K1101="","",ROW()-ROW($L$2)-INDEX($H$3:$H$168,K1101))</x:f>
      </x:c>
      <x:c r="M1101" t="str">
        <x:f>IF(K1101="","",IF(L1101=1,1,FIND(CHAR(1),SUBSTITUTE(INDEX($B$3:$B$168,K1101),CHAR(10),CHAR(1),L1101-1))+1))</x:f>
      </x:c>
      <x:c r="N1101" t="str">
        <x:f>IF(K1101="","",IFERROR(FIND(CHAR(1),SUBSTITUTE(INDEX($B$3:$B$168,K1101),CHAR(10),CHAR(1),L1101)),LEN(INDEX($B$3:$B$168,K1101))+1))</x:f>
      </x:c>
    </x:row>
    <x:row r="1102">
      <x:c r="A1102"/>
      <x:c r="B1102"/>
      <x:c r="C1102"/>
      <x:c r="D1102" t="str">
        <x:f>IFERROR(IF(1100&lt;=$O$1,INDEX($A$3:$A$168,MATCH(1100,$I$3:$I$168,0)),IF(1100&lt;=$O$1+$O$2,INDEX($F$3:$F$1994,MATCH(1100-$O$1,$G$3:$G$1994,0)),"")),"")</x:f>
      </x:c>
      <x:c r="E1102" t="str">
        <x:f>IF(K1102="","",IF(N1102&lt;=M1102,"",TRIM(CLEAN(MID(INDEX($B$3:$B$168,K1102),M1102,N1102-M1102)))))</x:f>
      </x:c>
      <x:c r="F1102" t="str">
        <x:f>IF(E1102="","",IF(E1102=TRIM(INDEX($A$3:$A$168,K1102)),"",IF(RIGHT(TRIM(INDEX($A$3:$A$168,K1102)),1)="]",LEFT(TRIM(INDEX($A$3:$A$168,K1102)),LEN(TRIM(INDEX($A$3:$A$168,K1102)))-1)&amp;", "&amp;SUBSTITUTE(SUBSTITUTE(SUBSTITUTE(E1102," [",", "),"[",", "),"]","")&amp;"]",TRIM(INDEX($A$3:$A$168,K1102))&amp;" ["&amp;SUBSTITUTE(SUBSTITUTE(SUBSTITUTE(E1102," [",", "),"[",", "),"]","")&amp;"]")))</x:f>
      </x:c>
      <x:c r="G1102" t="str">
        <x:f>IF(F1102&lt;&gt;"",ROWS($F$3:F1102)-COUNTBLANK($F$3:F1102),"")</x:f>
      </x:c>
      <x:c r="H1102"/>
      <x:c r="I1102"/>
      <x:c r="J1102"/>
      <x:c r="K1102" t="str">
        <x:f>IF(ROW()-ROW($K$2)&lt;=SUM($J$3:$J$168),COUNTIF($H$3:$H$168,"&lt;"&amp;(ROW()-ROW($K$2))),"")</x:f>
      </x:c>
      <x:c r="L1102" t="str">
        <x:f>IF(K1102="","",ROW()-ROW($L$2)-INDEX($H$3:$H$168,K1102))</x:f>
      </x:c>
      <x:c r="M1102" t="str">
        <x:f>IF(K1102="","",IF(L1102=1,1,FIND(CHAR(1),SUBSTITUTE(INDEX($B$3:$B$168,K1102),CHAR(10),CHAR(1),L1102-1))+1))</x:f>
      </x:c>
      <x:c r="N1102" t="str">
        <x:f>IF(K1102="","",IFERROR(FIND(CHAR(1),SUBSTITUTE(INDEX($B$3:$B$168,K1102),CHAR(10),CHAR(1),L1102)),LEN(INDEX($B$3:$B$168,K1102))+1))</x:f>
      </x:c>
    </x:row>
    <x:row r="1103">
      <x:c r="A1103"/>
      <x:c r="B1103"/>
      <x:c r="C1103"/>
      <x:c r="D1103" t="str">
        <x:f>IFERROR(IF(1101&lt;=$O$1,INDEX($A$3:$A$168,MATCH(1101,$I$3:$I$168,0)),IF(1101&lt;=$O$1+$O$2,INDEX($F$3:$F$1994,MATCH(1101-$O$1,$G$3:$G$1994,0)),"")),"")</x:f>
      </x:c>
      <x:c r="E1103" t="str">
        <x:f>IF(K1103="","",IF(N1103&lt;=M1103,"",TRIM(CLEAN(MID(INDEX($B$3:$B$168,K1103),M1103,N1103-M1103)))))</x:f>
      </x:c>
      <x:c r="F1103" t="str">
        <x:f>IF(E1103="","",IF(E1103=TRIM(INDEX($A$3:$A$168,K1103)),"",IF(RIGHT(TRIM(INDEX($A$3:$A$168,K1103)),1)="]",LEFT(TRIM(INDEX($A$3:$A$168,K1103)),LEN(TRIM(INDEX($A$3:$A$168,K1103)))-1)&amp;", "&amp;SUBSTITUTE(SUBSTITUTE(SUBSTITUTE(E1103," [",", "),"[",", "),"]","")&amp;"]",TRIM(INDEX($A$3:$A$168,K1103))&amp;" ["&amp;SUBSTITUTE(SUBSTITUTE(SUBSTITUTE(E1103," [",", "),"[",", "),"]","")&amp;"]")))</x:f>
      </x:c>
      <x:c r="G1103" t="str">
        <x:f>IF(F1103&lt;&gt;"",ROWS($F$3:F1103)-COUNTBLANK($F$3:F1103),"")</x:f>
      </x:c>
      <x:c r="H1103"/>
      <x:c r="I1103"/>
      <x:c r="J1103"/>
      <x:c r="K1103" t="str">
        <x:f>IF(ROW()-ROW($K$2)&lt;=SUM($J$3:$J$168),COUNTIF($H$3:$H$168,"&lt;"&amp;(ROW()-ROW($K$2))),"")</x:f>
      </x:c>
      <x:c r="L1103" t="str">
        <x:f>IF(K1103="","",ROW()-ROW($L$2)-INDEX($H$3:$H$168,K1103))</x:f>
      </x:c>
      <x:c r="M1103" t="str">
        <x:f>IF(K1103="","",IF(L1103=1,1,FIND(CHAR(1),SUBSTITUTE(INDEX($B$3:$B$168,K1103),CHAR(10),CHAR(1),L1103-1))+1))</x:f>
      </x:c>
      <x:c r="N1103" t="str">
        <x:f>IF(K1103="","",IFERROR(FIND(CHAR(1),SUBSTITUTE(INDEX($B$3:$B$168,K1103),CHAR(10),CHAR(1),L1103)),LEN(INDEX($B$3:$B$168,K1103))+1))</x:f>
      </x:c>
    </x:row>
    <x:row r="1104">
      <x:c r="A1104"/>
      <x:c r="B1104"/>
      <x:c r="C1104"/>
      <x:c r="D1104" t="str">
        <x:f>IFERROR(IF(1102&lt;=$O$1,INDEX($A$3:$A$168,MATCH(1102,$I$3:$I$168,0)),IF(1102&lt;=$O$1+$O$2,INDEX($F$3:$F$1994,MATCH(1102-$O$1,$G$3:$G$1994,0)),"")),"")</x:f>
      </x:c>
      <x:c r="E1104" t="str">
        <x:f>IF(K1104="","",IF(N1104&lt;=M1104,"",TRIM(CLEAN(MID(INDEX($B$3:$B$168,K1104),M1104,N1104-M1104)))))</x:f>
      </x:c>
      <x:c r="F1104" t="str">
        <x:f>IF(E1104="","",IF(E1104=TRIM(INDEX($A$3:$A$168,K1104)),"",IF(RIGHT(TRIM(INDEX($A$3:$A$168,K1104)),1)="]",LEFT(TRIM(INDEX($A$3:$A$168,K1104)),LEN(TRIM(INDEX($A$3:$A$168,K1104)))-1)&amp;", "&amp;SUBSTITUTE(SUBSTITUTE(SUBSTITUTE(E1104," [",", "),"[",", "),"]","")&amp;"]",TRIM(INDEX($A$3:$A$168,K1104))&amp;" ["&amp;SUBSTITUTE(SUBSTITUTE(SUBSTITUTE(E1104," [",", "),"[",", "),"]","")&amp;"]")))</x:f>
      </x:c>
      <x:c r="G1104" t="str">
        <x:f>IF(F1104&lt;&gt;"",ROWS($F$3:F1104)-COUNTBLANK($F$3:F1104),"")</x:f>
      </x:c>
      <x:c r="H1104"/>
      <x:c r="I1104"/>
      <x:c r="J1104"/>
      <x:c r="K1104" t="str">
        <x:f>IF(ROW()-ROW($K$2)&lt;=SUM($J$3:$J$168),COUNTIF($H$3:$H$168,"&lt;"&amp;(ROW()-ROW($K$2))),"")</x:f>
      </x:c>
      <x:c r="L1104" t="str">
        <x:f>IF(K1104="","",ROW()-ROW($L$2)-INDEX($H$3:$H$168,K1104))</x:f>
      </x:c>
      <x:c r="M1104" t="str">
        <x:f>IF(K1104="","",IF(L1104=1,1,FIND(CHAR(1),SUBSTITUTE(INDEX($B$3:$B$168,K1104),CHAR(10),CHAR(1),L1104-1))+1))</x:f>
      </x:c>
      <x:c r="N1104" t="str">
        <x:f>IF(K1104="","",IFERROR(FIND(CHAR(1),SUBSTITUTE(INDEX($B$3:$B$168,K1104),CHAR(10),CHAR(1),L1104)),LEN(INDEX($B$3:$B$168,K1104))+1))</x:f>
      </x:c>
    </x:row>
    <x:row r="1105">
      <x:c r="A1105"/>
      <x:c r="B1105"/>
      <x:c r="C1105"/>
      <x:c r="D1105" t="str">
        <x:f>IFERROR(IF(1103&lt;=$O$1,INDEX($A$3:$A$168,MATCH(1103,$I$3:$I$168,0)),IF(1103&lt;=$O$1+$O$2,INDEX($F$3:$F$1994,MATCH(1103-$O$1,$G$3:$G$1994,0)),"")),"")</x:f>
      </x:c>
      <x:c r="E1105" t="str">
        <x:f>IF(K1105="","",IF(N1105&lt;=M1105,"",TRIM(CLEAN(MID(INDEX($B$3:$B$168,K1105),M1105,N1105-M1105)))))</x:f>
      </x:c>
      <x:c r="F1105" t="str">
        <x:f>IF(E1105="","",IF(E1105=TRIM(INDEX($A$3:$A$168,K1105)),"",IF(RIGHT(TRIM(INDEX($A$3:$A$168,K1105)),1)="]",LEFT(TRIM(INDEX($A$3:$A$168,K1105)),LEN(TRIM(INDEX($A$3:$A$168,K1105)))-1)&amp;", "&amp;SUBSTITUTE(SUBSTITUTE(SUBSTITUTE(E1105," [",", "),"[",", "),"]","")&amp;"]",TRIM(INDEX($A$3:$A$168,K1105))&amp;" ["&amp;SUBSTITUTE(SUBSTITUTE(SUBSTITUTE(E1105," [",", "),"[",", "),"]","")&amp;"]")))</x:f>
      </x:c>
      <x:c r="G1105" t="str">
        <x:f>IF(F1105&lt;&gt;"",ROWS($F$3:F1105)-COUNTBLANK($F$3:F1105),"")</x:f>
      </x:c>
      <x:c r="H1105"/>
      <x:c r="I1105"/>
      <x:c r="J1105"/>
      <x:c r="K1105" t="str">
        <x:f>IF(ROW()-ROW($K$2)&lt;=SUM($J$3:$J$168),COUNTIF($H$3:$H$168,"&lt;"&amp;(ROW()-ROW($K$2))),"")</x:f>
      </x:c>
      <x:c r="L1105" t="str">
        <x:f>IF(K1105="","",ROW()-ROW($L$2)-INDEX($H$3:$H$168,K1105))</x:f>
      </x:c>
      <x:c r="M1105" t="str">
        <x:f>IF(K1105="","",IF(L1105=1,1,FIND(CHAR(1),SUBSTITUTE(INDEX($B$3:$B$168,K1105),CHAR(10),CHAR(1),L1105-1))+1))</x:f>
      </x:c>
      <x:c r="N1105" t="str">
        <x:f>IF(K1105="","",IFERROR(FIND(CHAR(1),SUBSTITUTE(INDEX($B$3:$B$168,K1105),CHAR(10),CHAR(1),L1105)),LEN(INDEX($B$3:$B$168,K1105))+1))</x:f>
      </x:c>
    </x:row>
    <x:row r="1106">
      <x:c r="A1106"/>
      <x:c r="B1106"/>
      <x:c r="C1106"/>
      <x:c r="D1106" t="str">
        <x:f>IFERROR(IF(1104&lt;=$O$1,INDEX($A$3:$A$168,MATCH(1104,$I$3:$I$168,0)),IF(1104&lt;=$O$1+$O$2,INDEX($F$3:$F$1994,MATCH(1104-$O$1,$G$3:$G$1994,0)),"")),"")</x:f>
      </x:c>
      <x:c r="E1106" t="str">
        <x:f>IF(K1106="","",IF(N1106&lt;=M1106,"",TRIM(CLEAN(MID(INDEX($B$3:$B$168,K1106),M1106,N1106-M1106)))))</x:f>
      </x:c>
      <x:c r="F1106" t="str">
        <x:f>IF(E1106="","",IF(E1106=TRIM(INDEX($A$3:$A$168,K1106)),"",IF(RIGHT(TRIM(INDEX($A$3:$A$168,K1106)),1)="]",LEFT(TRIM(INDEX($A$3:$A$168,K1106)),LEN(TRIM(INDEX($A$3:$A$168,K1106)))-1)&amp;", "&amp;SUBSTITUTE(SUBSTITUTE(SUBSTITUTE(E1106," [",", "),"[",", "),"]","")&amp;"]",TRIM(INDEX($A$3:$A$168,K1106))&amp;" ["&amp;SUBSTITUTE(SUBSTITUTE(SUBSTITUTE(E1106," [",", "),"[",", "),"]","")&amp;"]")))</x:f>
      </x:c>
      <x:c r="G1106" t="str">
        <x:f>IF(F1106&lt;&gt;"",ROWS($F$3:F1106)-COUNTBLANK($F$3:F1106),"")</x:f>
      </x:c>
      <x:c r="H1106"/>
      <x:c r="I1106"/>
      <x:c r="J1106"/>
      <x:c r="K1106" t="str">
        <x:f>IF(ROW()-ROW($K$2)&lt;=SUM($J$3:$J$168),COUNTIF($H$3:$H$168,"&lt;"&amp;(ROW()-ROW($K$2))),"")</x:f>
      </x:c>
      <x:c r="L1106" t="str">
        <x:f>IF(K1106="","",ROW()-ROW($L$2)-INDEX($H$3:$H$168,K1106))</x:f>
      </x:c>
      <x:c r="M1106" t="str">
        <x:f>IF(K1106="","",IF(L1106=1,1,FIND(CHAR(1),SUBSTITUTE(INDEX($B$3:$B$168,K1106),CHAR(10),CHAR(1),L1106-1))+1))</x:f>
      </x:c>
      <x:c r="N1106" t="str">
        <x:f>IF(K1106="","",IFERROR(FIND(CHAR(1),SUBSTITUTE(INDEX($B$3:$B$168,K1106),CHAR(10),CHAR(1),L1106)),LEN(INDEX($B$3:$B$168,K1106))+1))</x:f>
      </x:c>
    </x:row>
    <x:row r="1107">
      <x:c r="A1107"/>
      <x:c r="B1107"/>
      <x:c r="C1107"/>
      <x:c r="D1107" t="str">
        <x:f>IFERROR(IF(1105&lt;=$O$1,INDEX($A$3:$A$168,MATCH(1105,$I$3:$I$168,0)),IF(1105&lt;=$O$1+$O$2,INDEX($F$3:$F$1994,MATCH(1105-$O$1,$G$3:$G$1994,0)),"")),"")</x:f>
      </x:c>
      <x:c r="E1107" t="str">
        <x:f>IF(K1107="","",IF(N1107&lt;=M1107,"",TRIM(CLEAN(MID(INDEX($B$3:$B$168,K1107),M1107,N1107-M1107)))))</x:f>
      </x:c>
      <x:c r="F1107" t="str">
        <x:f>IF(E1107="","",IF(E1107=TRIM(INDEX($A$3:$A$168,K1107)),"",IF(RIGHT(TRIM(INDEX($A$3:$A$168,K1107)),1)="]",LEFT(TRIM(INDEX($A$3:$A$168,K1107)),LEN(TRIM(INDEX($A$3:$A$168,K1107)))-1)&amp;", "&amp;SUBSTITUTE(SUBSTITUTE(SUBSTITUTE(E1107," [",", "),"[",", "),"]","")&amp;"]",TRIM(INDEX($A$3:$A$168,K1107))&amp;" ["&amp;SUBSTITUTE(SUBSTITUTE(SUBSTITUTE(E1107," [",", "),"[",", "),"]","")&amp;"]")))</x:f>
      </x:c>
      <x:c r="G1107" t="str">
        <x:f>IF(F1107&lt;&gt;"",ROWS($F$3:F1107)-COUNTBLANK($F$3:F1107),"")</x:f>
      </x:c>
      <x:c r="H1107"/>
      <x:c r="I1107"/>
      <x:c r="J1107"/>
      <x:c r="K1107" t="str">
        <x:f>IF(ROW()-ROW($K$2)&lt;=SUM($J$3:$J$168),COUNTIF($H$3:$H$168,"&lt;"&amp;(ROW()-ROW($K$2))),"")</x:f>
      </x:c>
      <x:c r="L1107" t="str">
        <x:f>IF(K1107="","",ROW()-ROW($L$2)-INDEX($H$3:$H$168,K1107))</x:f>
      </x:c>
      <x:c r="M1107" t="str">
        <x:f>IF(K1107="","",IF(L1107=1,1,FIND(CHAR(1),SUBSTITUTE(INDEX($B$3:$B$168,K1107),CHAR(10),CHAR(1),L1107-1))+1))</x:f>
      </x:c>
      <x:c r="N1107" t="str">
        <x:f>IF(K1107="","",IFERROR(FIND(CHAR(1),SUBSTITUTE(INDEX($B$3:$B$168,K1107),CHAR(10),CHAR(1),L1107)),LEN(INDEX($B$3:$B$168,K1107))+1))</x:f>
      </x:c>
    </x:row>
    <x:row r="1108">
      <x:c r="A1108"/>
      <x:c r="B1108"/>
      <x:c r="C1108"/>
      <x:c r="D1108" t="str">
        <x:f>IFERROR(IF(1106&lt;=$O$1,INDEX($A$3:$A$168,MATCH(1106,$I$3:$I$168,0)),IF(1106&lt;=$O$1+$O$2,INDEX($F$3:$F$1994,MATCH(1106-$O$1,$G$3:$G$1994,0)),"")),"")</x:f>
      </x:c>
      <x:c r="E1108" t="str">
        <x:f>IF(K1108="","",IF(N1108&lt;=M1108,"",TRIM(CLEAN(MID(INDEX($B$3:$B$168,K1108),M1108,N1108-M1108)))))</x:f>
      </x:c>
      <x:c r="F1108" t="str">
        <x:f>IF(E1108="","",IF(E1108=TRIM(INDEX($A$3:$A$168,K1108)),"",IF(RIGHT(TRIM(INDEX($A$3:$A$168,K1108)),1)="]",LEFT(TRIM(INDEX($A$3:$A$168,K1108)),LEN(TRIM(INDEX($A$3:$A$168,K1108)))-1)&amp;", "&amp;SUBSTITUTE(SUBSTITUTE(SUBSTITUTE(E1108," [",", "),"[",", "),"]","")&amp;"]",TRIM(INDEX($A$3:$A$168,K1108))&amp;" ["&amp;SUBSTITUTE(SUBSTITUTE(SUBSTITUTE(E1108," [",", "),"[",", "),"]","")&amp;"]")))</x:f>
      </x:c>
      <x:c r="G1108" t="str">
        <x:f>IF(F1108&lt;&gt;"",ROWS($F$3:F1108)-COUNTBLANK($F$3:F1108),"")</x:f>
      </x:c>
      <x:c r="H1108"/>
      <x:c r="I1108"/>
      <x:c r="J1108"/>
      <x:c r="K1108" t="str">
        <x:f>IF(ROW()-ROW($K$2)&lt;=SUM($J$3:$J$168),COUNTIF($H$3:$H$168,"&lt;"&amp;(ROW()-ROW($K$2))),"")</x:f>
      </x:c>
      <x:c r="L1108" t="str">
        <x:f>IF(K1108="","",ROW()-ROW($L$2)-INDEX($H$3:$H$168,K1108))</x:f>
      </x:c>
      <x:c r="M1108" t="str">
        <x:f>IF(K1108="","",IF(L1108=1,1,FIND(CHAR(1),SUBSTITUTE(INDEX($B$3:$B$168,K1108),CHAR(10),CHAR(1),L1108-1))+1))</x:f>
      </x:c>
      <x:c r="N1108" t="str">
        <x:f>IF(K1108="","",IFERROR(FIND(CHAR(1),SUBSTITUTE(INDEX($B$3:$B$168,K1108),CHAR(10),CHAR(1),L1108)),LEN(INDEX($B$3:$B$168,K1108))+1))</x:f>
      </x:c>
    </x:row>
    <x:row r="1109">
      <x:c r="A1109"/>
      <x:c r="B1109"/>
      <x:c r="C1109"/>
      <x:c r="D1109" t="str">
        <x:f>IFERROR(IF(1107&lt;=$O$1,INDEX($A$3:$A$168,MATCH(1107,$I$3:$I$168,0)),IF(1107&lt;=$O$1+$O$2,INDEX($F$3:$F$1994,MATCH(1107-$O$1,$G$3:$G$1994,0)),"")),"")</x:f>
      </x:c>
      <x:c r="E1109" t="str">
        <x:f>IF(K1109="","",IF(N1109&lt;=M1109,"",TRIM(CLEAN(MID(INDEX($B$3:$B$168,K1109),M1109,N1109-M1109)))))</x:f>
      </x:c>
      <x:c r="F1109" t="str">
        <x:f>IF(E1109="","",IF(E1109=TRIM(INDEX($A$3:$A$168,K1109)),"",IF(RIGHT(TRIM(INDEX($A$3:$A$168,K1109)),1)="]",LEFT(TRIM(INDEX($A$3:$A$168,K1109)),LEN(TRIM(INDEX($A$3:$A$168,K1109)))-1)&amp;", "&amp;SUBSTITUTE(SUBSTITUTE(SUBSTITUTE(E1109," [",", "),"[",", "),"]","")&amp;"]",TRIM(INDEX($A$3:$A$168,K1109))&amp;" ["&amp;SUBSTITUTE(SUBSTITUTE(SUBSTITUTE(E1109," [",", "),"[",", "),"]","")&amp;"]")))</x:f>
      </x:c>
      <x:c r="G1109" t="str">
        <x:f>IF(F1109&lt;&gt;"",ROWS($F$3:F1109)-COUNTBLANK($F$3:F1109),"")</x:f>
      </x:c>
      <x:c r="H1109"/>
      <x:c r="I1109"/>
      <x:c r="J1109"/>
      <x:c r="K1109" t="str">
        <x:f>IF(ROW()-ROW($K$2)&lt;=SUM($J$3:$J$168),COUNTIF($H$3:$H$168,"&lt;"&amp;(ROW()-ROW($K$2))),"")</x:f>
      </x:c>
      <x:c r="L1109" t="str">
        <x:f>IF(K1109="","",ROW()-ROW($L$2)-INDEX($H$3:$H$168,K1109))</x:f>
      </x:c>
      <x:c r="M1109" t="str">
        <x:f>IF(K1109="","",IF(L1109=1,1,FIND(CHAR(1),SUBSTITUTE(INDEX($B$3:$B$168,K1109),CHAR(10),CHAR(1),L1109-1))+1))</x:f>
      </x:c>
      <x:c r="N1109" t="str">
        <x:f>IF(K1109="","",IFERROR(FIND(CHAR(1),SUBSTITUTE(INDEX($B$3:$B$168,K1109),CHAR(10),CHAR(1),L1109)),LEN(INDEX($B$3:$B$168,K1109))+1))</x:f>
      </x:c>
    </x:row>
    <x:row r="1110">
      <x:c r="A1110"/>
      <x:c r="B1110"/>
      <x:c r="C1110"/>
      <x:c r="D1110" t="str">
        <x:f>IFERROR(IF(1108&lt;=$O$1,INDEX($A$3:$A$168,MATCH(1108,$I$3:$I$168,0)),IF(1108&lt;=$O$1+$O$2,INDEX($F$3:$F$1994,MATCH(1108-$O$1,$G$3:$G$1994,0)),"")),"")</x:f>
      </x:c>
      <x:c r="E1110" t="str">
        <x:f>IF(K1110="","",IF(N1110&lt;=M1110,"",TRIM(CLEAN(MID(INDEX($B$3:$B$168,K1110),M1110,N1110-M1110)))))</x:f>
      </x:c>
      <x:c r="F1110" t="str">
        <x:f>IF(E1110="","",IF(E1110=TRIM(INDEX($A$3:$A$168,K1110)),"",IF(RIGHT(TRIM(INDEX($A$3:$A$168,K1110)),1)="]",LEFT(TRIM(INDEX($A$3:$A$168,K1110)),LEN(TRIM(INDEX($A$3:$A$168,K1110)))-1)&amp;", "&amp;SUBSTITUTE(SUBSTITUTE(SUBSTITUTE(E1110," [",", "),"[",", "),"]","")&amp;"]",TRIM(INDEX($A$3:$A$168,K1110))&amp;" ["&amp;SUBSTITUTE(SUBSTITUTE(SUBSTITUTE(E1110," [",", "),"[",", "),"]","")&amp;"]")))</x:f>
      </x:c>
      <x:c r="G1110" t="str">
        <x:f>IF(F1110&lt;&gt;"",ROWS($F$3:F1110)-COUNTBLANK($F$3:F1110),"")</x:f>
      </x:c>
      <x:c r="H1110"/>
      <x:c r="I1110"/>
      <x:c r="J1110"/>
      <x:c r="K1110" t="str">
        <x:f>IF(ROW()-ROW($K$2)&lt;=SUM($J$3:$J$168),COUNTIF($H$3:$H$168,"&lt;"&amp;(ROW()-ROW($K$2))),"")</x:f>
      </x:c>
      <x:c r="L1110" t="str">
        <x:f>IF(K1110="","",ROW()-ROW($L$2)-INDEX($H$3:$H$168,K1110))</x:f>
      </x:c>
      <x:c r="M1110" t="str">
        <x:f>IF(K1110="","",IF(L1110=1,1,FIND(CHAR(1),SUBSTITUTE(INDEX($B$3:$B$168,K1110),CHAR(10),CHAR(1),L1110-1))+1))</x:f>
      </x:c>
      <x:c r="N1110" t="str">
        <x:f>IF(K1110="","",IFERROR(FIND(CHAR(1),SUBSTITUTE(INDEX($B$3:$B$168,K1110),CHAR(10),CHAR(1),L1110)),LEN(INDEX($B$3:$B$168,K1110))+1))</x:f>
      </x:c>
    </x:row>
    <x:row r="1111">
      <x:c r="A1111"/>
      <x:c r="B1111"/>
      <x:c r="C1111"/>
      <x:c r="D1111" t="str">
        <x:f>IFERROR(IF(1109&lt;=$O$1,INDEX($A$3:$A$168,MATCH(1109,$I$3:$I$168,0)),IF(1109&lt;=$O$1+$O$2,INDEX($F$3:$F$1994,MATCH(1109-$O$1,$G$3:$G$1994,0)),"")),"")</x:f>
      </x:c>
      <x:c r="E1111" t="str">
        <x:f>IF(K1111="","",IF(N1111&lt;=M1111,"",TRIM(CLEAN(MID(INDEX($B$3:$B$168,K1111),M1111,N1111-M1111)))))</x:f>
      </x:c>
      <x:c r="F1111" t="str">
        <x:f>IF(E1111="","",IF(E1111=TRIM(INDEX($A$3:$A$168,K1111)),"",IF(RIGHT(TRIM(INDEX($A$3:$A$168,K1111)),1)="]",LEFT(TRIM(INDEX($A$3:$A$168,K1111)),LEN(TRIM(INDEX($A$3:$A$168,K1111)))-1)&amp;", "&amp;SUBSTITUTE(SUBSTITUTE(SUBSTITUTE(E1111," [",", "),"[",", "),"]","")&amp;"]",TRIM(INDEX($A$3:$A$168,K1111))&amp;" ["&amp;SUBSTITUTE(SUBSTITUTE(SUBSTITUTE(E1111," [",", "),"[",", "),"]","")&amp;"]")))</x:f>
      </x:c>
      <x:c r="G1111" t="str">
        <x:f>IF(F1111&lt;&gt;"",ROWS($F$3:F1111)-COUNTBLANK($F$3:F1111),"")</x:f>
      </x:c>
      <x:c r="H1111"/>
      <x:c r="I1111"/>
      <x:c r="J1111"/>
      <x:c r="K1111" t="str">
        <x:f>IF(ROW()-ROW($K$2)&lt;=SUM($J$3:$J$168),COUNTIF($H$3:$H$168,"&lt;"&amp;(ROW()-ROW($K$2))),"")</x:f>
      </x:c>
      <x:c r="L1111" t="str">
        <x:f>IF(K1111="","",ROW()-ROW($L$2)-INDEX($H$3:$H$168,K1111))</x:f>
      </x:c>
      <x:c r="M1111" t="str">
        <x:f>IF(K1111="","",IF(L1111=1,1,FIND(CHAR(1),SUBSTITUTE(INDEX($B$3:$B$168,K1111),CHAR(10),CHAR(1),L1111-1))+1))</x:f>
      </x:c>
      <x:c r="N1111" t="str">
        <x:f>IF(K1111="","",IFERROR(FIND(CHAR(1),SUBSTITUTE(INDEX($B$3:$B$168,K1111),CHAR(10),CHAR(1),L1111)),LEN(INDEX($B$3:$B$168,K1111))+1))</x:f>
      </x:c>
    </x:row>
    <x:row r="1112">
      <x:c r="A1112"/>
      <x:c r="B1112"/>
      <x:c r="C1112"/>
      <x:c r="D1112" t="str">
        <x:f>IFERROR(IF(1110&lt;=$O$1,INDEX($A$3:$A$168,MATCH(1110,$I$3:$I$168,0)),IF(1110&lt;=$O$1+$O$2,INDEX($F$3:$F$1994,MATCH(1110-$O$1,$G$3:$G$1994,0)),"")),"")</x:f>
      </x:c>
      <x:c r="E1112" t="str">
        <x:f>IF(K1112="","",IF(N1112&lt;=M1112,"",TRIM(CLEAN(MID(INDEX($B$3:$B$168,K1112),M1112,N1112-M1112)))))</x:f>
      </x:c>
      <x:c r="F1112" t="str">
        <x:f>IF(E1112="","",IF(E1112=TRIM(INDEX($A$3:$A$168,K1112)),"",IF(RIGHT(TRIM(INDEX($A$3:$A$168,K1112)),1)="]",LEFT(TRIM(INDEX($A$3:$A$168,K1112)),LEN(TRIM(INDEX($A$3:$A$168,K1112)))-1)&amp;", "&amp;SUBSTITUTE(SUBSTITUTE(SUBSTITUTE(E1112," [",", "),"[",", "),"]","")&amp;"]",TRIM(INDEX($A$3:$A$168,K1112))&amp;" ["&amp;SUBSTITUTE(SUBSTITUTE(SUBSTITUTE(E1112," [",", "),"[",", "),"]","")&amp;"]")))</x:f>
      </x:c>
      <x:c r="G1112" t="str">
        <x:f>IF(F1112&lt;&gt;"",ROWS($F$3:F1112)-COUNTBLANK($F$3:F1112),"")</x:f>
      </x:c>
      <x:c r="H1112"/>
      <x:c r="I1112"/>
      <x:c r="J1112"/>
      <x:c r="K1112" t="str">
        <x:f>IF(ROW()-ROW($K$2)&lt;=SUM($J$3:$J$168),COUNTIF($H$3:$H$168,"&lt;"&amp;(ROW()-ROW($K$2))),"")</x:f>
      </x:c>
      <x:c r="L1112" t="str">
        <x:f>IF(K1112="","",ROW()-ROW($L$2)-INDEX($H$3:$H$168,K1112))</x:f>
      </x:c>
      <x:c r="M1112" t="str">
        <x:f>IF(K1112="","",IF(L1112=1,1,FIND(CHAR(1),SUBSTITUTE(INDEX($B$3:$B$168,K1112),CHAR(10),CHAR(1),L1112-1))+1))</x:f>
      </x:c>
      <x:c r="N1112" t="str">
        <x:f>IF(K1112="","",IFERROR(FIND(CHAR(1),SUBSTITUTE(INDEX($B$3:$B$168,K1112),CHAR(10),CHAR(1),L1112)),LEN(INDEX($B$3:$B$168,K1112))+1))</x:f>
      </x:c>
    </x:row>
    <x:row r="1113">
      <x:c r="A1113"/>
      <x:c r="B1113"/>
      <x:c r="C1113"/>
      <x:c r="D1113" t="str">
        <x:f>IFERROR(IF(1111&lt;=$O$1,INDEX($A$3:$A$168,MATCH(1111,$I$3:$I$168,0)),IF(1111&lt;=$O$1+$O$2,INDEX($F$3:$F$1994,MATCH(1111-$O$1,$G$3:$G$1994,0)),"")),"")</x:f>
      </x:c>
      <x:c r="E1113" t="str">
        <x:f>IF(K1113="","",IF(N1113&lt;=M1113,"",TRIM(CLEAN(MID(INDEX($B$3:$B$168,K1113),M1113,N1113-M1113)))))</x:f>
      </x:c>
      <x:c r="F1113" t="str">
        <x:f>IF(E1113="","",IF(E1113=TRIM(INDEX($A$3:$A$168,K1113)),"",IF(RIGHT(TRIM(INDEX($A$3:$A$168,K1113)),1)="]",LEFT(TRIM(INDEX($A$3:$A$168,K1113)),LEN(TRIM(INDEX($A$3:$A$168,K1113)))-1)&amp;", "&amp;SUBSTITUTE(SUBSTITUTE(SUBSTITUTE(E1113," [",", "),"[",", "),"]","")&amp;"]",TRIM(INDEX($A$3:$A$168,K1113))&amp;" ["&amp;SUBSTITUTE(SUBSTITUTE(SUBSTITUTE(E1113," [",", "),"[",", "),"]","")&amp;"]")))</x:f>
      </x:c>
      <x:c r="G1113" t="str">
        <x:f>IF(F1113&lt;&gt;"",ROWS($F$3:F1113)-COUNTBLANK($F$3:F1113),"")</x:f>
      </x:c>
      <x:c r="H1113"/>
      <x:c r="I1113"/>
      <x:c r="J1113"/>
      <x:c r="K1113" t="str">
        <x:f>IF(ROW()-ROW($K$2)&lt;=SUM($J$3:$J$168),COUNTIF($H$3:$H$168,"&lt;"&amp;(ROW()-ROW($K$2))),"")</x:f>
      </x:c>
      <x:c r="L1113" t="str">
        <x:f>IF(K1113="","",ROW()-ROW($L$2)-INDEX($H$3:$H$168,K1113))</x:f>
      </x:c>
      <x:c r="M1113" t="str">
        <x:f>IF(K1113="","",IF(L1113=1,1,FIND(CHAR(1),SUBSTITUTE(INDEX($B$3:$B$168,K1113),CHAR(10),CHAR(1),L1113-1))+1))</x:f>
      </x:c>
      <x:c r="N1113" t="str">
        <x:f>IF(K1113="","",IFERROR(FIND(CHAR(1),SUBSTITUTE(INDEX($B$3:$B$168,K1113),CHAR(10),CHAR(1),L1113)),LEN(INDEX($B$3:$B$168,K1113))+1))</x:f>
      </x:c>
    </x:row>
    <x:row r="1114">
      <x:c r="A1114"/>
      <x:c r="B1114"/>
      <x:c r="C1114"/>
      <x:c r="D1114" t="str">
        <x:f>IFERROR(IF(1112&lt;=$O$1,INDEX($A$3:$A$168,MATCH(1112,$I$3:$I$168,0)),IF(1112&lt;=$O$1+$O$2,INDEX($F$3:$F$1994,MATCH(1112-$O$1,$G$3:$G$1994,0)),"")),"")</x:f>
      </x:c>
      <x:c r="E1114" t="str">
        <x:f>IF(K1114="","",IF(N1114&lt;=M1114,"",TRIM(CLEAN(MID(INDEX($B$3:$B$168,K1114),M1114,N1114-M1114)))))</x:f>
      </x:c>
      <x:c r="F1114" t="str">
        <x:f>IF(E1114="","",IF(E1114=TRIM(INDEX($A$3:$A$168,K1114)),"",IF(RIGHT(TRIM(INDEX($A$3:$A$168,K1114)),1)="]",LEFT(TRIM(INDEX($A$3:$A$168,K1114)),LEN(TRIM(INDEX($A$3:$A$168,K1114)))-1)&amp;", "&amp;SUBSTITUTE(SUBSTITUTE(SUBSTITUTE(E1114," [",", "),"[",", "),"]","")&amp;"]",TRIM(INDEX($A$3:$A$168,K1114))&amp;" ["&amp;SUBSTITUTE(SUBSTITUTE(SUBSTITUTE(E1114," [",", "),"[",", "),"]","")&amp;"]")))</x:f>
      </x:c>
      <x:c r="G1114" t="str">
        <x:f>IF(F1114&lt;&gt;"",ROWS($F$3:F1114)-COUNTBLANK($F$3:F1114),"")</x:f>
      </x:c>
      <x:c r="H1114"/>
      <x:c r="I1114"/>
      <x:c r="J1114"/>
      <x:c r="K1114" t="str">
        <x:f>IF(ROW()-ROW($K$2)&lt;=SUM($J$3:$J$168),COUNTIF($H$3:$H$168,"&lt;"&amp;(ROW()-ROW($K$2))),"")</x:f>
      </x:c>
      <x:c r="L1114" t="str">
        <x:f>IF(K1114="","",ROW()-ROW($L$2)-INDEX($H$3:$H$168,K1114))</x:f>
      </x:c>
      <x:c r="M1114" t="str">
        <x:f>IF(K1114="","",IF(L1114=1,1,FIND(CHAR(1),SUBSTITUTE(INDEX($B$3:$B$168,K1114),CHAR(10),CHAR(1),L1114-1))+1))</x:f>
      </x:c>
      <x:c r="N1114" t="str">
        <x:f>IF(K1114="","",IFERROR(FIND(CHAR(1),SUBSTITUTE(INDEX($B$3:$B$168,K1114),CHAR(10),CHAR(1),L1114)),LEN(INDEX($B$3:$B$168,K1114))+1))</x:f>
      </x:c>
    </x:row>
    <x:row r="1115">
      <x:c r="A1115"/>
      <x:c r="B1115"/>
      <x:c r="C1115"/>
      <x:c r="D1115" t="str">
        <x:f>IFERROR(IF(1113&lt;=$O$1,INDEX($A$3:$A$168,MATCH(1113,$I$3:$I$168,0)),IF(1113&lt;=$O$1+$O$2,INDEX($F$3:$F$1994,MATCH(1113-$O$1,$G$3:$G$1994,0)),"")),"")</x:f>
      </x:c>
      <x:c r="E1115" t="str">
        <x:f>IF(K1115="","",IF(N1115&lt;=M1115,"",TRIM(CLEAN(MID(INDEX($B$3:$B$168,K1115),M1115,N1115-M1115)))))</x:f>
      </x:c>
      <x:c r="F1115" t="str">
        <x:f>IF(E1115="","",IF(E1115=TRIM(INDEX($A$3:$A$168,K1115)),"",IF(RIGHT(TRIM(INDEX($A$3:$A$168,K1115)),1)="]",LEFT(TRIM(INDEX($A$3:$A$168,K1115)),LEN(TRIM(INDEX($A$3:$A$168,K1115)))-1)&amp;", "&amp;SUBSTITUTE(SUBSTITUTE(SUBSTITUTE(E1115," [",", "),"[",", "),"]","")&amp;"]",TRIM(INDEX($A$3:$A$168,K1115))&amp;" ["&amp;SUBSTITUTE(SUBSTITUTE(SUBSTITUTE(E1115," [",", "),"[",", "),"]","")&amp;"]")))</x:f>
      </x:c>
      <x:c r="G1115" t="str">
        <x:f>IF(F1115&lt;&gt;"",ROWS($F$3:F1115)-COUNTBLANK($F$3:F1115),"")</x:f>
      </x:c>
      <x:c r="H1115"/>
      <x:c r="I1115"/>
      <x:c r="J1115"/>
      <x:c r="K1115" t="str">
        <x:f>IF(ROW()-ROW($K$2)&lt;=SUM($J$3:$J$168),COUNTIF($H$3:$H$168,"&lt;"&amp;(ROW()-ROW($K$2))),"")</x:f>
      </x:c>
      <x:c r="L1115" t="str">
        <x:f>IF(K1115="","",ROW()-ROW($L$2)-INDEX($H$3:$H$168,K1115))</x:f>
      </x:c>
      <x:c r="M1115" t="str">
        <x:f>IF(K1115="","",IF(L1115=1,1,FIND(CHAR(1),SUBSTITUTE(INDEX($B$3:$B$168,K1115),CHAR(10),CHAR(1),L1115-1))+1))</x:f>
      </x:c>
      <x:c r="N1115" t="str">
        <x:f>IF(K1115="","",IFERROR(FIND(CHAR(1),SUBSTITUTE(INDEX($B$3:$B$168,K1115),CHAR(10),CHAR(1),L1115)),LEN(INDEX($B$3:$B$168,K1115))+1))</x:f>
      </x:c>
    </x:row>
    <x:row r="1116">
      <x:c r="A1116"/>
      <x:c r="B1116"/>
      <x:c r="C1116"/>
      <x:c r="D1116" t="str">
        <x:f>IFERROR(IF(1114&lt;=$O$1,INDEX($A$3:$A$168,MATCH(1114,$I$3:$I$168,0)),IF(1114&lt;=$O$1+$O$2,INDEX($F$3:$F$1994,MATCH(1114-$O$1,$G$3:$G$1994,0)),"")),"")</x:f>
      </x:c>
      <x:c r="E1116" t="str">
        <x:f>IF(K1116="","",IF(N1116&lt;=M1116,"",TRIM(CLEAN(MID(INDEX($B$3:$B$168,K1116),M1116,N1116-M1116)))))</x:f>
      </x:c>
      <x:c r="F1116" t="str">
        <x:f>IF(E1116="","",IF(E1116=TRIM(INDEX($A$3:$A$168,K1116)),"",IF(RIGHT(TRIM(INDEX($A$3:$A$168,K1116)),1)="]",LEFT(TRIM(INDEX($A$3:$A$168,K1116)),LEN(TRIM(INDEX($A$3:$A$168,K1116)))-1)&amp;", "&amp;SUBSTITUTE(SUBSTITUTE(SUBSTITUTE(E1116," [",", "),"[",", "),"]","")&amp;"]",TRIM(INDEX($A$3:$A$168,K1116))&amp;" ["&amp;SUBSTITUTE(SUBSTITUTE(SUBSTITUTE(E1116," [",", "),"[",", "),"]","")&amp;"]")))</x:f>
      </x:c>
      <x:c r="G1116" t="str">
        <x:f>IF(F1116&lt;&gt;"",ROWS($F$3:F1116)-COUNTBLANK($F$3:F1116),"")</x:f>
      </x:c>
      <x:c r="H1116"/>
      <x:c r="I1116"/>
      <x:c r="J1116"/>
      <x:c r="K1116" t="str">
        <x:f>IF(ROW()-ROW($K$2)&lt;=SUM($J$3:$J$168),COUNTIF($H$3:$H$168,"&lt;"&amp;(ROW()-ROW($K$2))),"")</x:f>
      </x:c>
      <x:c r="L1116" t="str">
        <x:f>IF(K1116="","",ROW()-ROW($L$2)-INDEX($H$3:$H$168,K1116))</x:f>
      </x:c>
      <x:c r="M1116" t="str">
        <x:f>IF(K1116="","",IF(L1116=1,1,FIND(CHAR(1),SUBSTITUTE(INDEX($B$3:$B$168,K1116),CHAR(10),CHAR(1),L1116-1))+1))</x:f>
      </x:c>
      <x:c r="N1116" t="str">
        <x:f>IF(K1116="","",IFERROR(FIND(CHAR(1),SUBSTITUTE(INDEX($B$3:$B$168,K1116),CHAR(10),CHAR(1),L1116)),LEN(INDEX($B$3:$B$168,K1116))+1))</x:f>
      </x:c>
    </x:row>
    <x:row r="1117">
      <x:c r="A1117"/>
      <x:c r="B1117"/>
      <x:c r="C1117"/>
      <x:c r="D1117" t="str">
        <x:f>IFERROR(IF(1115&lt;=$O$1,INDEX($A$3:$A$168,MATCH(1115,$I$3:$I$168,0)),IF(1115&lt;=$O$1+$O$2,INDEX($F$3:$F$1994,MATCH(1115-$O$1,$G$3:$G$1994,0)),"")),"")</x:f>
      </x:c>
      <x:c r="E1117" t="str">
        <x:f>IF(K1117="","",IF(N1117&lt;=M1117,"",TRIM(CLEAN(MID(INDEX($B$3:$B$168,K1117),M1117,N1117-M1117)))))</x:f>
      </x:c>
      <x:c r="F1117" t="str">
        <x:f>IF(E1117="","",IF(E1117=TRIM(INDEX($A$3:$A$168,K1117)),"",IF(RIGHT(TRIM(INDEX($A$3:$A$168,K1117)),1)="]",LEFT(TRIM(INDEX($A$3:$A$168,K1117)),LEN(TRIM(INDEX($A$3:$A$168,K1117)))-1)&amp;", "&amp;SUBSTITUTE(SUBSTITUTE(SUBSTITUTE(E1117," [",", "),"[",", "),"]","")&amp;"]",TRIM(INDEX($A$3:$A$168,K1117))&amp;" ["&amp;SUBSTITUTE(SUBSTITUTE(SUBSTITUTE(E1117," [",", "),"[",", "),"]","")&amp;"]")))</x:f>
      </x:c>
      <x:c r="G1117" t="str">
        <x:f>IF(F1117&lt;&gt;"",ROWS($F$3:F1117)-COUNTBLANK($F$3:F1117),"")</x:f>
      </x:c>
      <x:c r="H1117"/>
      <x:c r="I1117"/>
      <x:c r="J1117"/>
      <x:c r="K1117" t="str">
        <x:f>IF(ROW()-ROW($K$2)&lt;=SUM($J$3:$J$168),COUNTIF($H$3:$H$168,"&lt;"&amp;(ROW()-ROW($K$2))),"")</x:f>
      </x:c>
      <x:c r="L1117" t="str">
        <x:f>IF(K1117="","",ROW()-ROW($L$2)-INDEX($H$3:$H$168,K1117))</x:f>
      </x:c>
      <x:c r="M1117" t="str">
        <x:f>IF(K1117="","",IF(L1117=1,1,FIND(CHAR(1),SUBSTITUTE(INDEX($B$3:$B$168,K1117),CHAR(10),CHAR(1),L1117-1))+1))</x:f>
      </x:c>
      <x:c r="N1117" t="str">
        <x:f>IF(K1117="","",IFERROR(FIND(CHAR(1),SUBSTITUTE(INDEX($B$3:$B$168,K1117),CHAR(10),CHAR(1),L1117)),LEN(INDEX($B$3:$B$168,K1117))+1))</x:f>
      </x:c>
    </x:row>
    <x:row r="1118">
      <x:c r="A1118"/>
      <x:c r="B1118"/>
      <x:c r="C1118"/>
      <x:c r="D1118" t="str">
        <x:f>IFERROR(IF(1116&lt;=$O$1,INDEX($A$3:$A$168,MATCH(1116,$I$3:$I$168,0)),IF(1116&lt;=$O$1+$O$2,INDEX($F$3:$F$1994,MATCH(1116-$O$1,$G$3:$G$1994,0)),"")),"")</x:f>
      </x:c>
      <x:c r="E1118" t="str">
        <x:f>IF(K1118="","",IF(N1118&lt;=M1118,"",TRIM(CLEAN(MID(INDEX($B$3:$B$168,K1118),M1118,N1118-M1118)))))</x:f>
      </x:c>
      <x:c r="F1118" t="str">
        <x:f>IF(E1118="","",IF(E1118=TRIM(INDEX($A$3:$A$168,K1118)),"",IF(RIGHT(TRIM(INDEX($A$3:$A$168,K1118)),1)="]",LEFT(TRIM(INDEX($A$3:$A$168,K1118)),LEN(TRIM(INDEX($A$3:$A$168,K1118)))-1)&amp;", "&amp;SUBSTITUTE(SUBSTITUTE(SUBSTITUTE(E1118," [",", "),"[",", "),"]","")&amp;"]",TRIM(INDEX($A$3:$A$168,K1118))&amp;" ["&amp;SUBSTITUTE(SUBSTITUTE(SUBSTITUTE(E1118," [",", "),"[",", "),"]","")&amp;"]")))</x:f>
      </x:c>
      <x:c r="G1118" t="str">
        <x:f>IF(F1118&lt;&gt;"",ROWS($F$3:F1118)-COUNTBLANK($F$3:F1118),"")</x:f>
      </x:c>
      <x:c r="H1118"/>
      <x:c r="I1118"/>
      <x:c r="J1118"/>
      <x:c r="K1118" t="str">
        <x:f>IF(ROW()-ROW($K$2)&lt;=SUM($J$3:$J$168),COUNTIF($H$3:$H$168,"&lt;"&amp;(ROW()-ROW($K$2))),"")</x:f>
      </x:c>
      <x:c r="L1118" t="str">
        <x:f>IF(K1118="","",ROW()-ROW($L$2)-INDEX($H$3:$H$168,K1118))</x:f>
      </x:c>
      <x:c r="M1118" t="str">
        <x:f>IF(K1118="","",IF(L1118=1,1,FIND(CHAR(1),SUBSTITUTE(INDEX($B$3:$B$168,K1118),CHAR(10),CHAR(1),L1118-1))+1))</x:f>
      </x:c>
      <x:c r="N1118" t="str">
        <x:f>IF(K1118="","",IFERROR(FIND(CHAR(1),SUBSTITUTE(INDEX($B$3:$B$168,K1118),CHAR(10),CHAR(1),L1118)),LEN(INDEX($B$3:$B$168,K1118))+1))</x:f>
      </x:c>
    </x:row>
    <x:row r="1119">
      <x:c r="A1119"/>
      <x:c r="B1119"/>
      <x:c r="C1119"/>
      <x:c r="D1119" t="str">
        <x:f>IFERROR(IF(1117&lt;=$O$1,INDEX($A$3:$A$168,MATCH(1117,$I$3:$I$168,0)),IF(1117&lt;=$O$1+$O$2,INDEX($F$3:$F$1994,MATCH(1117-$O$1,$G$3:$G$1994,0)),"")),"")</x:f>
      </x:c>
      <x:c r="E1119" t="str">
        <x:f>IF(K1119="","",IF(N1119&lt;=M1119,"",TRIM(CLEAN(MID(INDEX($B$3:$B$168,K1119),M1119,N1119-M1119)))))</x:f>
      </x:c>
      <x:c r="F1119" t="str">
        <x:f>IF(E1119="","",IF(E1119=TRIM(INDEX($A$3:$A$168,K1119)),"",IF(RIGHT(TRIM(INDEX($A$3:$A$168,K1119)),1)="]",LEFT(TRIM(INDEX($A$3:$A$168,K1119)),LEN(TRIM(INDEX($A$3:$A$168,K1119)))-1)&amp;", "&amp;SUBSTITUTE(SUBSTITUTE(SUBSTITUTE(E1119," [",", "),"[",", "),"]","")&amp;"]",TRIM(INDEX($A$3:$A$168,K1119))&amp;" ["&amp;SUBSTITUTE(SUBSTITUTE(SUBSTITUTE(E1119," [",", "),"[",", "),"]","")&amp;"]")))</x:f>
      </x:c>
      <x:c r="G1119" t="str">
        <x:f>IF(F1119&lt;&gt;"",ROWS($F$3:F1119)-COUNTBLANK($F$3:F1119),"")</x:f>
      </x:c>
      <x:c r="H1119"/>
      <x:c r="I1119"/>
      <x:c r="J1119"/>
      <x:c r="K1119" t="str">
        <x:f>IF(ROW()-ROW($K$2)&lt;=SUM($J$3:$J$168),COUNTIF($H$3:$H$168,"&lt;"&amp;(ROW()-ROW($K$2))),"")</x:f>
      </x:c>
      <x:c r="L1119" t="str">
        <x:f>IF(K1119="","",ROW()-ROW($L$2)-INDEX($H$3:$H$168,K1119))</x:f>
      </x:c>
      <x:c r="M1119" t="str">
        <x:f>IF(K1119="","",IF(L1119=1,1,FIND(CHAR(1),SUBSTITUTE(INDEX($B$3:$B$168,K1119),CHAR(10),CHAR(1),L1119-1))+1))</x:f>
      </x:c>
      <x:c r="N1119" t="str">
        <x:f>IF(K1119="","",IFERROR(FIND(CHAR(1),SUBSTITUTE(INDEX($B$3:$B$168,K1119),CHAR(10),CHAR(1),L1119)),LEN(INDEX($B$3:$B$168,K1119))+1))</x:f>
      </x:c>
    </x:row>
    <x:row r="1120">
      <x:c r="A1120"/>
      <x:c r="B1120"/>
      <x:c r="C1120"/>
      <x:c r="D1120" t="str">
        <x:f>IFERROR(IF(1118&lt;=$O$1,INDEX($A$3:$A$168,MATCH(1118,$I$3:$I$168,0)),IF(1118&lt;=$O$1+$O$2,INDEX($F$3:$F$1994,MATCH(1118-$O$1,$G$3:$G$1994,0)),"")),"")</x:f>
      </x:c>
      <x:c r="E1120" t="str">
        <x:f>IF(K1120="","",IF(N1120&lt;=M1120,"",TRIM(CLEAN(MID(INDEX($B$3:$B$168,K1120),M1120,N1120-M1120)))))</x:f>
      </x:c>
      <x:c r="F1120" t="str">
        <x:f>IF(E1120="","",IF(E1120=TRIM(INDEX($A$3:$A$168,K1120)),"",IF(RIGHT(TRIM(INDEX($A$3:$A$168,K1120)),1)="]",LEFT(TRIM(INDEX($A$3:$A$168,K1120)),LEN(TRIM(INDEX($A$3:$A$168,K1120)))-1)&amp;", "&amp;SUBSTITUTE(SUBSTITUTE(SUBSTITUTE(E1120," [",", "),"[",", "),"]","")&amp;"]",TRIM(INDEX($A$3:$A$168,K1120))&amp;" ["&amp;SUBSTITUTE(SUBSTITUTE(SUBSTITUTE(E1120," [",", "),"[",", "),"]","")&amp;"]")))</x:f>
      </x:c>
      <x:c r="G1120" t="str">
        <x:f>IF(F1120&lt;&gt;"",ROWS($F$3:F1120)-COUNTBLANK($F$3:F1120),"")</x:f>
      </x:c>
      <x:c r="H1120"/>
      <x:c r="I1120"/>
      <x:c r="J1120"/>
      <x:c r="K1120" t="str">
        <x:f>IF(ROW()-ROW($K$2)&lt;=SUM($J$3:$J$168),COUNTIF($H$3:$H$168,"&lt;"&amp;(ROW()-ROW($K$2))),"")</x:f>
      </x:c>
      <x:c r="L1120" t="str">
        <x:f>IF(K1120="","",ROW()-ROW($L$2)-INDEX($H$3:$H$168,K1120))</x:f>
      </x:c>
      <x:c r="M1120" t="str">
        <x:f>IF(K1120="","",IF(L1120=1,1,FIND(CHAR(1),SUBSTITUTE(INDEX($B$3:$B$168,K1120),CHAR(10),CHAR(1),L1120-1))+1))</x:f>
      </x:c>
      <x:c r="N1120" t="str">
        <x:f>IF(K1120="","",IFERROR(FIND(CHAR(1),SUBSTITUTE(INDEX($B$3:$B$168,K1120),CHAR(10),CHAR(1),L1120)),LEN(INDEX($B$3:$B$168,K1120))+1))</x:f>
      </x:c>
    </x:row>
    <x:row r="1121">
      <x:c r="A1121"/>
      <x:c r="B1121"/>
      <x:c r="C1121"/>
      <x:c r="D1121" t="str">
        <x:f>IFERROR(IF(1119&lt;=$O$1,INDEX($A$3:$A$168,MATCH(1119,$I$3:$I$168,0)),IF(1119&lt;=$O$1+$O$2,INDEX($F$3:$F$1994,MATCH(1119-$O$1,$G$3:$G$1994,0)),"")),"")</x:f>
      </x:c>
      <x:c r="E1121" t="str">
        <x:f>IF(K1121="","",IF(N1121&lt;=M1121,"",TRIM(CLEAN(MID(INDEX($B$3:$B$168,K1121),M1121,N1121-M1121)))))</x:f>
      </x:c>
      <x:c r="F1121" t="str">
        <x:f>IF(E1121="","",IF(E1121=TRIM(INDEX($A$3:$A$168,K1121)),"",IF(RIGHT(TRIM(INDEX($A$3:$A$168,K1121)),1)="]",LEFT(TRIM(INDEX($A$3:$A$168,K1121)),LEN(TRIM(INDEX($A$3:$A$168,K1121)))-1)&amp;", "&amp;SUBSTITUTE(SUBSTITUTE(SUBSTITUTE(E1121," [",", "),"[",", "),"]","")&amp;"]",TRIM(INDEX($A$3:$A$168,K1121))&amp;" ["&amp;SUBSTITUTE(SUBSTITUTE(SUBSTITUTE(E1121," [",", "),"[",", "),"]","")&amp;"]")))</x:f>
      </x:c>
      <x:c r="G1121" t="str">
        <x:f>IF(F1121&lt;&gt;"",ROWS($F$3:F1121)-COUNTBLANK($F$3:F1121),"")</x:f>
      </x:c>
      <x:c r="H1121"/>
      <x:c r="I1121"/>
      <x:c r="J1121"/>
      <x:c r="K1121" t="str">
        <x:f>IF(ROW()-ROW($K$2)&lt;=SUM($J$3:$J$168),COUNTIF($H$3:$H$168,"&lt;"&amp;(ROW()-ROW($K$2))),"")</x:f>
      </x:c>
      <x:c r="L1121" t="str">
        <x:f>IF(K1121="","",ROW()-ROW($L$2)-INDEX($H$3:$H$168,K1121))</x:f>
      </x:c>
      <x:c r="M1121" t="str">
        <x:f>IF(K1121="","",IF(L1121=1,1,FIND(CHAR(1),SUBSTITUTE(INDEX($B$3:$B$168,K1121),CHAR(10),CHAR(1),L1121-1))+1))</x:f>
      </x:c>
      <x:c r="N1121" t="str">
        <x:f>IF(K1121="","",IFERROR(FIND(CHAR(1),SUBSTITUTE(INDEX($B$3:$B$168,K1121),CHAR(10),CHAR(1),L1121)),LEN(INDEX($B$3:$B$168,K1121))+1))</x:f>
      </x:c>
    </x:row>
    <x:row r="1122">
      <x:c r="A1122"/>
      <x:c r="B1122"/>
      <x:c r="C1122"/>
      <x:c r="D1122" t="str">
        <x:f>IFERROR(IF(1120&lt;=$O$1,INDEX($A$3:$A$168,MATCH(1120,$I$3:$I$168,0)),IF(1120&lt;=$O$1+$O$2,INDEX($F$3:$F$1994,MATCH(1120-$O$1,$G$3:$G$1994,0)),"")),"")</x:f>
      </x:c>
      <x:c r="E1122" t="str">
        <x:f>IF(K1122="","",IF(N1122&lt;=M1122,"",TRIM(CLEAN(MID(INDEX($B$3:$B$168,K1122),M1122,N1122-M1122)))))</x:f>
      </x:c>
      <x:c r="F1122" t="str">
        <x:f>IF(E1122="","",IF(E1122=TRIM(INDEX($A$3:$A$168,K1122)),"",IF(RIGHT(TRIM(INDEX($A$3:$A$168,K1122)),1)="]",LEFT(TRIM(INDEX($A$3:$A$168,K1122)),LEN(TRIM(INDEX($A$3:$A$168,K1122)))-1)&amp;", "&amp;SUBSTITUTE(SUBSTITUTE(SUBSTITUTE(E1122," [",", "),"[",", "),"]","")&amp;"]",TRIM(INDEX($A$3:$A$168,K1122))&amp;" ["&amp;SUBSTITUTE(SUBSTITUTE(SUBSTITUTE(E1122," [",", "),"[",", "),"]","")&amp;"]")))</x:f>
      </x:c>
      <x:c r="G1122" t="str">
        <x:f>IF(F1122&lt;&gt;"",ROWS($F$3:F1122)-COUNTBLANK($F$3:F1122),"")</x:f>
      </x:c>
      <x:c r="H1122"/>
      <x:c r="I1122"/>
      <x:c r="J1122"/>
      <x:c r="K1122" t="str">
        <x:f>IF(ROW()-ROW($K$2)&lt;=SUM($J$3:$J$168),COUNTIF($H$3:$H$168,"&lt;"&amp;(ROW()-ROW($K$2))),"")</x:f>
      </x:c>
      <x:c r="L1122" t="str">
        <x:f>IF(K1122="","",ROW()-ROW($L$2)-INDEX($H$3:$H$168,K1122))</x:f>
      </x:c>
      <x:c r="M1122" t="str">
        <x:f>IF(K1122="","",IF(L1122=1,1,FIND(CHAR(1),SUBSTITUTE(INDEX($B$3:$B$168,K1122),CHAR(10),CHAR(1),L1122-1))+1))</x:f>
      </x:c>
      <x:c r="N1122" t="str">
        <x:f>IF(K1122="","",IFERROR(FIND(CHAR(1),SUBSTITUTE(INDEX($B$3:$B$168,K1122),CHAR(10),CHAR(1),L1122)),LEN(INDEX($B$3:$B$168,K1122))+1))</x:f>
      </x:c>
    </x:row>
    <x:row r="1123">
      <x:c r="A1123"/>
      <x:c r="B1123"/>
      <x:c r="C1123"/>
      <x:c r="D1123" t="str">
        <x:f>IFERROR(IF(1121&lt;=$O$1,INDEX($A$3:$A$168,MATCH(1121,$I$3:$I$168,0)),IF(1121&lt;=$O$1+$O$2,INDEX($F$3:$F$1994,MATCH(1121-$O$1,$G$3:$G$1994,0)),"")),"")</x:f>
      </x:c>
      <x:c r="E1123" t="str">
        <x:f>IF(K1123="","",IF(N1123&lt;=M1123,"",TRIM(CLEAN(MID(INDEX($B$3:$B$168,K1123),M1123,N1123-M1123)))))</x:f>
      </x:c>
      <x:c r="F1123" t="str">
        <x:f>IF(E1123="","",IF(E1123=TRIM(INDEX($A$3:$A$168,K1123)),"",IF(RIGHT(TRIM(INDEX($A$3:$A$168,K1123)),1)="]",LEFT(TRIM(INDEX($A$3:$A$168,K1123)),LEN(TRIM(INDEX($A$3:$A$168,K1123)))-1)&amp;", "&amp;SUBSTITUTE(SUBSTITUTE(SUBSTITUTE(E1123," [",", "),"[",", "),"]","")&amp;"]",TRIM(INDEX($A$3:$A$168,K1123))&amp;" ["&amp;SUBSTITUTE(SUBSTITUTE(SUBSTITUTE(E1123," [",", "),"[",", "),"]","")&amp;"]")))</x:f>
      </x:c>
      <x:c r="G1123" t="str">
        <x:f>IF(F1123&lt;&gt;"",ROWS($F$3:F1123)-COUNTBLANK($F$3:F1123),"")</x:f>
      </x:c>
      <x:c r="H1123"/>
      <x:c r="I1123"/>
      <x:c r="J1123"/>
      <x:c r="K1123" t="str">
        <x:f>IF(ROW()-ROW($K$2)&lt;=SUM($J$3:$J$168),COUNTIF($H$3:$H$168,"&lt;"&amp;(ROW()-ROW($K$2))),"")</x:f>
      </x:c>
      <x:c r="L1123" t="str">
        <x:f>IF(K1123="","",ROW()-ROW($L$2)-INDEX($H$3:$H$168,K1123))</x:f>
      </x:c>
      <x:c r="M1123" t="str">
        <x:f>IF(K1123="","",IF(L1123=1,1,FIND(CHAR(1),SUBSTITUTE(INDEX($B$3:$B$168,K1123),CHAR(10),CHAR(1),L1123-1))+1))</x:f>
      </x:c>
      <x:c r="N1123" t="str">
        <x:f>IF(K1123="","",IFERROR(FIND(CHAR(1),SUBSTITUTE(INDEX($B$3:$B$168,K1123),CHAR(10),CHAR(1),L1123)),LEN(INDEX($B$3:$B$168,K1123))+1))</x:f>
      </x:c>
    </x:row>
    <x:row r="1124">
      <x:c r="A1124"/>
      <x:c r="B1124"/>
      <x:c r="C1124"/>
      <x:c r="D1124" t="str">
        <x:f>IFERROR(IF(1122&lt;=$O$1,INDEX($A$3:$A$168,MATCH(1122,$I$3:$I$168,0)),IF(1122&lt;=$O$1+$O$2,INDEX($F$3:$F$1994,MATCH(1122-$O$1,$G$3:$G$1994,0)),"")),"")</x:f>
      </x:c>
      <x:c r="E1124" t="str">
        <x:f>IF(K1124="","",IF(N1124&lt;=M1124,"",TRIM(CLEAN(MID(INDEX($B$3:$B$168,K1124),M1124,N1124-M1124)))))</x:f>
      </x:c>
      <x:c r="F1124" t="str">
        <x:f>IF(E1124="","",IF(E1124=TRIM(INDEX($A$3:$A$168,K1124)),"",IF(RIGHT(TRIM(INDEX($A$3:$A$168,K1124)),1)="]",LEFT(TRIM(INDEX($A$3:$A$168,K1124)),LEN(TRIM(INDEX($A$3:$A$168,K1124)))-1)&amp;", "&amp;SUBSTITUTE(SUBSTITUTE(SUBSTITUTE(E1124," [",", "),"[",", "),"]","")&amp;"]",TRIM(INDEX($A$3:$A$168,K1124))&amp;" ["&amp;SUBSTITUTE(SUBSTITUTE(SUBSTITUTE(E1124," [",", "),"[",", "),"]","")&amp;"]")))</x:f>
      </x:c>
      <x:c r="G1124" t="str">
        <x:f>IF(F1124&lt;&gt;"",ROWS($F$3:F1124)-COUNTBLANK($F$3:F1124),"")</x:f>
      </x:c>
      <x:c r="H1124"/>
      <x:c r="I1124"/>
      <x:c r="J1124"/>
      <x:c r="K1124" t="str">
        <x:f>IF(ROW()-ROW($K$2)&lt;=SUM($J$3:$J$168),COUNTIF($H$3:$H$168,"&lt;"&amp;(ROW()-ROW($K$2))),"")</x:f>
      </x:c>
      <x:c r="L1124" t="str">
        <x:f>IF(K1124="","",ROW()-ROW($L$2)-INDEX($H$3:$H$168,K1124))</x:f>
      </x:c>
      <x:c r="M1124" t="str">
        <x:f>IF(K1124="","",IF(L1124=1,1,FIND(CHAR(1),SUBSTITUTE(INDEX($B$3:$B$168,K1124),CHAR(10),CHAR(1),L1124-1))+1))</x:f>
      </x:c>
      <x:c r="N1124" t="str">
        <x:f>IF(K1124="","",IFERROR(FIND(CHAR(1),SUBSTITUTE(INDEX($B$3:$B$168,K1124),CHAR(10),CHAR(1),L1124)),LEN(INDEX($B$3:$B$168,K1124))+1))</x:f>
      </x:c>
    </x:row>
    <x:row r="1125">
      <x:c r="A1125"/>
      <x:c r="B1125"/>
      <x:c r="C1125"/>
      <x:c r="D1125" t="str">
        <x:f>IFERROR(IF(1123&lt;=$O$1,INDEX($A$3:$A$168,MATCH(1123,$I$3:$I$168,0)),IF(1123&lt;=$O$1+$O$2,INDEX($F$3:$F$1994,MATCH(1123-$O$1,$G$3:$G$1994,0)),"")),"")</x:f>
      </x:c>
      <x:c r="E1125" t="str">
        <x:f>IF(K1125="","",IF(N1125&lt;=M1125,"",TRIM(CLEAN(MID(INDEX($B$3:$B$168,K1125),M1125,N1125-M1125)))))</x:f>
      </x:c>
      <x:c r="F1125" t="str">
        <x:f>IF(E1125="","",IF(E1125=TRIM(INDEX($A$3:$A$168,K1125)),"",IF(RIGHT(TRIM(INDEX($A$3:$A$168,K1125)),1)="]",LEFT(TRIM(INDEX($A$3:$A$168,K1125)),LEN(TRIM(INDEX($A$3:$A$168,K1125)))-1)&amp;", "&amp;SUBSTITUTE(SUBSTITUTE(SUBSTITUTE(E1125," [",", "),"[",", "),"]","")&amp;"]",TRIM(INDEX($A$3:$A$168,K1125))&amp;" ["&amp;SUBSTITUTE(SUBSTITUTE(SUBSTITUTE(E1125," [",", "),"[",", "),"]","")&amp;"]")))</x:f>
      </x:c>
      <x:c r="G1125" t="str">
        <x:f>IF(F1125&lt;&gt;"",ROWS($F$3:F1125)-COUNTBLANK($F$3:F1125),"")</x:f>
      </x:c>
      <x:c r="H1125"/>
      <x:c r="I1125"/>
      <x:c r="J1125"/>
      <x:c r="K1125" t="str">
        <x:f>IF(ROW()-ROW($K$2)&lt;=SUM($J$3:$J$168),COUNTIF($H$3:$H$168,"&lt;"&amp;(ROW()-ROW($K$2))),"")</x:f>
      </x:c>
      <x:c r="L1125" t="str">
        <x:f>IF(K1125="","",ROW()-ROW($L$2)-INDEX($H$3:$H$168,K1125))</x:f>
      </x:c>
      <x:c r="M1125" t="str">
        <x:f>IF(K1125="","",IF(L1125=1,1,FIND(CHAR(1),SUBSTITUTE(INDEX($B$3:$B$168,K1125),CHAR(10),CHAR(1),L1125-1))+1))</x:f>
      </x:c>
      <x:c r="N1125" t="str">
        <x:f>IF(K1125="","",IFERROR(FIND(CHAR(1),SUBSTITUTE(INDEX($B$3:$B$168,K1125),CHAR(10),CHAR(1),L1125)),LEN(INDEX($B$3:$B$168,K1125))+1))</x:f>
      </x:c>
    </x:row>
    <x:row r="1126">
      <x:c r="A1126"/>
      <x:c r="B1126"/>
      <x:c r="C1126"/>
      <x:c r="D1126" t="str">
        <x:f>IFERROR(IF(1124&lt;=$O$1,INDEX($A$3:$A$168,MATCH(1124,$I$3:$I$168,0)),IF(1124&lt;=$O$1+$O$2,INDEX($F$3:$F$1994,MATCH(1124-$O$1,$G$3:$G$1994,0)),"")),"")</x:f>
      </x:c>
      <x:c r="E1126" t="str">
        <x:f>IF(K1126="","",IF(N1126&lt;=M1126,"",TRIM(CLEAN(MID(INDEX($B$3:$B$168,K1126),M1126,N1126-M1126)))))</x:f>
      </x:c>
      <x:c r="F1126" t="str">
        <x:f>IF(E1126="","",IF(E1126=TRIM(INDEX($A$3:$A$168,K1126)),"",IF(RIGHT(TRIM(INDEX($A$3:$A$168,K1126)),1)="]",LEFT(TRIM(INDEX($A$3:$A$168,K1126)),LEN(TRIM(INDEX($A$3:$A$168,K1126)))-1)&amp;", "&amp;SUBSTITUTE(SUBSTITUTE(SUBSTITUTE(E1126," [",", "),"[",", "),"]","")&amp;"]",TRIM(INDEX($A$3:$A$168,K1126))&amp;" ["&amp;SUBSTITUTE(SUBSTITUTE(SUBSTITUTE(E1126," [",", "),"[",", "),"]","")&amp;"]")))</x:f>
      </x:c>
      <x:c r="G1126" t="str">
        <x:f>IF(F1126&lt;&gt;"",ROWS($F$3:F1126)-COUNTBLANK($F$3:F1126),"")</x:f>
      </x:c>
      <x:c r="H1126"/>
      <x:c r="I1126"/>
      <x:c r="J1126"/>
      <x:c r="K1126" t="str">
        <x:f>IF(ROW()-ROW($K$2)&lt;=SUM($J$3:$J$168),COUNTIF($H$3:$H$168,"&lt;"&amp;(ROW()-ROW($K$2))),"")</x:f>
      </x:c>
      <x:c r="L1126" t="str">
        <x:f>IF(K1126="","",ROW()-ROW($L$2)-INDEX($H$3:$H$168,K1126))</x:f>
      </x:c>
      <x:c r="M1126" t="str">
        <x:f>IF(K1126="","",IF(L1126=1,1,FIND(CHAR(1),SUBSTITUTE(INDEX($B$3:$B$168,K1126),CHAR(10),CHAR(1),L1126-1))+1))</x:f>
      </x:c>
      <x:c r="N1126" t="str">
        <x:f>IF(K1126="","",IFERROR(FIND(CHAR(1),SUBSTITUTE(INDEX($B$3:$B$168,K1126),CHAR(10),CHAR(1),L1126)),LEN(INDEX($B$3:$B$168,K1126))+1))</x:f>
      </x:c>
    </x:row>
    <x:row r="1127">
      <x:c r="A1127"/>
      <x:c r="B1127"/>
      <x:c r="C1127"/>
      <x:c r="D1127" t="str">
        <x:f>IFERROR(IF(1125&lt;=$O$1,INDEX($A$3:$A$168,MATCH(1125,$I$3:$I$168,0)),IF(1125&lt;=$O$1+$O$2,INDEX($F$3:$F$1994,MATCH(1125-$O$1,$G$3:$G$1994,0)),"")),"")</x:f>
      </x:c>
      <x:c r="E1127" t="str">
        <x:f>IF(K1127="","",IF(N1127&lt;=M1127,"",TRIM(CLEAN(MID(INDEX($B$3:$B$168,K1127),M1127,N1127-M1127)))))</x:f>
      </x:c>
      <x:c r="F1127" t="str">
        <x:f>IF(E1127="","",IF(E1127=TRIM(INDEX($A$3:$A$168,K1127)),"",IF(RIGHT(TRIM(INDEX($A$3:$A$168,K1127)),1)="]",LEFT(TRIM(INDEX($A$3:$A$168,K1127)),LEN(TRIM(INDEX($A$3:$A$168,K1127)))-1)&amp;", "&amp;SUBSTITUTE(SUBSTITUTE(SUBSTITUTE(E1127," [",", "),"[",", "),"]","")&amp;"]",TRIM(INDEX($A$3:$A$168,K1127))&amp;" ["&amp;SUBSTITUTE(SUBSTITUTE(SUBSTITUTE(E1127," [",", "),"[",", "),"]","")&amp;"]")))</x:f>
      </x:c>
      <x:c r="G1127" t="str">
        <x:f>IF(F1127&lt;&gt;"",ROWS($F$3:F1127)-COUNTBLANK($F$3:F1127),"")</x:f>
      </x:c>
      <x:c r="H1127"/>
      <x:c r="I1127"/>
      <x:c r="J1127"/>
      <x:c r="K1127" t="str">
        <x:f>IF(ROW()-ROW($K$2)&lt;=SUM($J$3:$J$168),COUNTIF($H$3:$H$168,"&lt;"&amp;(ROW()-ROW($K$2))),"")</x:f>
      </x:c>
      <x:c r="L1127" t="str">
        <x:f>IF(K1127="","",ROW()-ROW($L$2)-INDEX($H$3:$H$168,K1127))</x:f>
      </x:c>
      <x:c r="M1127" t="str">
        <x:f>IF(K1127="","",IF(L1127=1,1,FIND(CHAR(1),SUBSTITUTE(INDEX($B$3:$B$168,K1127),CHAR(10),CHAR(1),L1127-1))+1))</x:f>
      </x:c>
      <x:c r="N1127" t="str">
        <x:f>IF(K1127="","",IFERROR(FIND(CHAR(1),SUBSTITUTE(INDEX($B$3:$B$168,K1127),CHAR(10),CHAR(1),L1127)),LEN(INDEX($B$3:$B$168,K1127))+1))</x:f>
      </x:c>
    </x:row>
    <x:row r="1128">
      <x:c r="A1128"/>
      <x:c r="B1128"/>
      <x:c r="C1128"/>
      <x:c r="D1128" t="str">
        <x:f>IFERROR(IF(1126&lt;=$O$1,INDEX($A$3:$A$168,MATCH(1126,$I$3:$I$168,0)),IF(1126&lt;=$O$1+$O$2,INDEX($F$3:$F$1994,MATCH(1126-$O$1,$G$3:$G$1994,0)),"")),"")</x:f>
      </x:c>
      <x:c r="E1128" t="str">
        <x:f>IF(K1128="","",IF(N1128&lt;=M1128,"",TRIM(CLEAN(MID(INDEX($B$3:$B$168,K1128),M1128,N1128-M1128)))))</x:f>
      </x:c>
      <x:c r="F1128" t="str">
        <x:f>IF(E1128="","",IF(E1128=TRIM(INDEX($A$3:$A$168,K1128)),"",IF(RIGHT(TRIM(INDEX($A$3:$A$168,K1128)),1)="]",LEFT(TRIM(INDEX($A$3:$A$168,K1128)),LEN(TRIM(INDEX($A$3:$A$168,K1128)))-1)&amp;", "&amp;SUBSTITUTE(SUBSTITUTE(SUBSTITUTE(E1128," [",", "),"[",", "),"]","")&amp;"]",TRIM(INDEX($A$3:$A$168,K1128))&amp;" ["&amp;SUBSTITUTE(SUBSTITUTE(SUBSTITUTE(E1128," [",", "),"[",", "),"]","")&amp;"]")))</x:f>
      </x:c>
      <x:c r="G1128" t="str">
        <x:f>IF(F1128&lt;&gt;"",ROWS($F$3:F1128)-COUNTBLANK($F$3:F1128),"")</x:f>
      </x:c>
      <x:c r="H1128"/>
      <x:c r="I1128"/>
      <x:c r="J1128"/>
      <x:c r="K1128" t="str">
        <x:f>IF(ROW()-ROW($K$2)&lt;=SUM($J$3:$J$168),COUNTIF($H$3:$H$168,"&lt;"&amp;(ROW()-ROW($K$2))),"")</x:f>
      </x:c>
      <x:c r="L1128" t="str">
        <x:f>IF(K1128="","",ROW()-ROW($L$2)-INDEX($H$3:$H$168,K1128))</x:f>
      </x:c>
      <x:c r="M1128" t="str">
        <x:f>IF(K1128="","",IF(L1128=1,1,FIND(CHAR(1),SUBSTITUTE(INDEX($B$3:$B$168,K1128),CHAR(10),CHAR(1),L1128-1))+1))</x:f>
      </x:c>
      <x:c r="N1128" t="str">
        <x:f>IF(K1128="","",IFERROR(FIND(CHAR(1),SUBSTITUTE(INDEX($B$3:$B$168,K1128),CHAR(10),CHAR(1),L1128)),LEN(INDEX($B$3:$B$168,K1128))+1))</x:f>
      </x:c>
    </x:row>
    <x:row r="1129">
      <x:c r="A1129"/>
      <x:c r="B1129"/>
      <x:c r="C1129"/>
      <x:c r="D1129" t="str">
        <x:f>IFERROR(IF(1127&lt;=$O$1,INDEX($A$3:$A$168,MATCH(1127,$I$3:$I$168,0)),IF(1127&lt;=$O$1+$O$2,INDEX($F$3:$F$1994,MATCH(1127-$O$1,$G$3:$G$1994,0)),"")),"")</x:f>
      </x:c>
      <x:c r="E1129" t="str">
        <x:f>IF(K1129="","",IF(N1129&lt;=M1129,"",TRIM(CLEAN(MID(INDEX($B$3:$B$168,K1129),M1129,N1129-M1129)))))</x:f>
      </x:c>
      <x:c r="F1129" t="str">
        <x:f>IF(E1129="","",IF(E1129=TRIM(INDEX($A$3:$A$168,K1129)),"",IF(RIGHT(TRIM(INDEX($A$3:$A$168,K1129)),1)="]",LEFT(TRIM(INDEX($A$3:$A$168,K1129)),LEN(TRIM(INDEX($A$3:$A$168,K1129)))-1)&amp;", "&amp;SUBSTITUTE(SUBSTITUTE(SUBSTITUTE(E1129," [",", "),"[",", "),"]","")&amp;"]",TRIM(INDEX($A$3:$A$168,K1129))&amp;" ["&amp;SUBSTITUTE(SUBSTITUTE(SUBSTITUTE(E1129," [",", "),"[",", "),"]","")&amp;"]")))</x:f>
      </x:c>
      <x:c r="G1129" t="str">
        <x:f>IF(F1129&lt;&gt;"",ROWS($F$3:F1129)-COUNTBLANK($F$3:F1129),"")</x:f>
      </x:c>
      <x:c r="H1129"/>
      <x:c r="I1129"/>
      <x:c r="J1129"/>
      <x:c r="K1129" t="str">
        <x:f>IF(ROW()-ROW($K$2)&lt;=SUM($J$3:$J$168),COUNTIF($H$3:$H$168,"&lt;"&amp;(ROW()-ROW($K$2))),"")</x:f>
      </x:c>
      <x:c r="L1129" t="str">
        <x:f>IF(K1129="","",ROW()-ROW($L$2)-INDEX($H$3:$H$168,K1129))</x:f>
      </x:c>
      <x:c r="M1129" t="str">
        <x:f>IF(K1129="","",IF(L1129=1,1,FIND(CHAR(1),SUBSTITUTE(INDEX($B$3:$B$168,K1129),CHAR(10),CHAR(1),L1129-1))+1))</x:f>
      </x:c>
      <x:c r="N1129" t="str">
        <x:f>IF(K1129="","",IFERROR(FIND(CHAR(1),SUBSTITUTE(INDEX($B$3:$B$168,K1129),CHAR(10),CHAR(1),L1129)),LEN(INDEX($B$3:$B$168,K1129))+1))</x:f>
      </x:c>
    </x:row>
    <x:row r="1130">
      <x:c r="A1130"/>
      <x:c r="B1130"/>
      <x:c r="C1130"/>
      <x:c r="D1130" t="str">
        <x:f>IFERROR(IF(1128&lt;=$O$1,INDEX($A$3:$A$168,MATCH(1128,$I$3:$I$168,0)),IF(1128&lt;=$O$1+$O$2,INDEX($F$3:$F$1994,MATCH(1128-$O$1,$G$3:$G$1994,0)),"")),"")</x:f>
      </x:c>
      <x:c r="E1130" t="str">
        <x:f>IF(K1130="","",IF(N1130&lt;=M1130,"",TRIM(CLEAN(MID(INDEX($B$3:$B$168,K1130),M1130,N1130-M1130)))))</x:f>
      </x:c>
      <x:c r="F1130" t="str">
        <x:f>IF(E1130="","",IF(E1130=TRIM(INDEX($A$3:$A$168,K1130)),"",IF(RIGHT(TRIM(INDEX($A$3:$A$168,K1130)),1)="]",LEFT(TRIM(INDEX($A$3:$A$168,K1130)),LEN(TRIM(INDEX($A$3:$A$168,K1130)))-1)&amp;", "&amp;SUBSTITUTE(SUBSTITUTE(SUBSTITUTE(E1130," [",", "),"[",", "),"]","")&amp;"]",TRIM(INDEX($A$3:$A$168,K1130))&amp;" ["&amp;SUBSTITUTE(SUBSTITUTE(SUBSTITUTE(E1130," [",", "),"[",", "),"]","")&amp;"]")))</x:f>
      </x:c>
      <x:c r="G1130" t="str">
        <x:f>IF(F1130&lt;&gt;"",ROWS($F$3:F1130)-COUNTBLANK($F$3:F1130),"")</x:f>
      </x:c>
      <x:c r="H1130"/>
      <x:c r="I1130"/>
      <x:c r="J1130"/>
      <x:c r="K1130" t="str">
        <x:f>IF(ROW()-ROW($K$2)&lt;=SUM($J$3:$J$168),COUNTIF($H$3:$H$168,"&lt;"&amp;(ROW()-ROW($K$2))),"")</x:f>
      </x:c>
      <x:c r="L1130" t="str">
        <x:f>IF(K1130="","",ROW()-ROW($L$2)-INDEX($H$3:$H$168,K1130))</x:f>
      </x:c>
      <x:c r="M1130" t="str">
        <x:f>IF(K1130="","",IF(L1130=1,1,FIND(CHAR(1),SUBSTITUTE(INDEX($B$3:$B$168,K1130),CHAR(10),CHAR(1),L1130-1))+1))</x:f>
      </x:c>
      <x:c r="N1130" t="str">
        <x:f>IF(K1130="","",IFERROR(FIND(CHAR(1),SUBSTITUTE(INDEX($B$3:$B$168,K1130),CHAR(10),CHAR(1),L1130)),LEN(INDEX($B$3:$B$168,K1130))+1))</x:f>
      </x:c>
    </x:row>
    <x:row r="1131">
      <x:c r="A1131"/>
      <x:c r="B1131"/>
      <x:c r="C1131"/>
      <x:c r="D1131" t="str">
        <x:f>IFERROR(IF(1129&lt;=$O$1,INDEX($A$3:$A$168,MATCH(1129,$I$3:$I$168,0)),IF(1129&lt;=$O$1+$O$2,INDEX($F$3:$F$1994,MATCH(1129-$O$1,$G$3:$G$1994,0)),"")),"")</x:f>
      </x:c>
      <x:c r="E1131" t="str">
        <x:f>IF(K1131="","",IF(N1131&lt;=M1131,"",TRIM(CLEAN(MID(INDEX($B$3:$B$168,K1131),M1131,N1131-M1131)))))</x:f>
      </x:c>
      <x:c r="F1131" t="str">
        <x:f>IF(E1131="","",IF(E1131=TRIM(INDEX($A$3:$A$168,K1131)),"",IF(RIGHT(TRIM(INDEX($A$3:$A$168,K1131)),1)="]",LEFT(TRIM(INDEX($A$3:$A$168,K1131)),LEN(TRIM(INDEX($A$3:$A$168,K1131)))-1)&amp;", "&amp;SUBSTITUTE(SUBSTITUTE(SUBSTITUTE(E1131," [",", "),"[",", "),"]","")&amp;"]",TRIM(INDEX($A$3:$A$168,K1131))&amp;" ["&amp;SUBSTITUTE(SUBSTITUTE(SUBSTITUTE(E1131," [",", "),"[",", "),"]","")&amp;"]")))</x:f>
      </x:c>
      <x:c r="G1131" t="str">
        <x:f>IF(F1131&lt;&gt;"",ROWS($F$3:F1131)-COUNTBLANK($F$3:F1131),"")</x:f>
      </x:c>
      <x:c r="H1131"/>
      <x:c r="I1131"/>
      <x:c r="J1131"/>
      <x:c r="K1131" t="str">
        <x:f>IF(ROW()-ROW($K$2)&lt;=SUM($J$3:$J$168),COUNTIF($H$3:$H$168,"&lt;"&amp;(ROW()-ROW($K$2))),"")</x:f>
      </x:c>
      <x:c r="L1131" t="str">
        <x:f>IF(K1131="","",ROW()-ROW($L$2)-INDEX($H$3:$H$168,K1131))</x:f>
      </x:c>
      <x:c r="M1131" t="str">
        <x:f>IF(K1131="","",IF(L1131=1,1,FIND(CHAR(1),SUBSTITUTE(INDEX($B$3:$B$168,K1131),CHAR(10),CHAR(1),L1131-1))+1))</x:f>
      </x:c>
      <x:c r="N1131" t="str">
        <x:f>IF(K1131="","",IFERROR(FIND(CHAR(1),SUBSTITUTE(INDEX($B$3:$B$168,K1131),CHAR(10),CHAR(1),L1131)),LEN(INDEX($B$3:$B$168,K1131))+1))</x:f>
      </x:c>
    </x:row>
    <x:row r="1132">
      <x:c r="A1132"/>
      <x:c r="B1132"/>
      <x:c r="C1132"/>
      <x:c r="D1132" t="str">
        <x:f>IFERROR(IF(1130&lt;=$O$1,INDEX($A$3:$A$168,MATCH(1130,$I$3:$I$168,0)),IF(1130&lt;=$O$1+$O$2,INDEX($F$3:$F$1994,MATCH(1130-$O$1,$G$3:$G$1994,0)),"")),"")</x:f>
      </x:c>
      <x:c r="E1132" t="str">
        <x:f>IF(K1132="","",IF(N1132&lt;=M1132,"",TRIM(CLEAN(MID(INDEX($B$3:$B$168,K1132),M1132,N1132-M1132)))))</x:f>
      </x:c>
      <x:c r="F1132" t="str">
        <x:f>IF(E1132="","",IF(E1132=TRIM(INDEX($A$3:$A$168,K1132)),"",IF(RIGHT(TRIM(INDEX($A$3:$A$168,K1132)),1)="]",LEFT(TRIM(INDEX($A$3:$A$168,K1132)),LEN(TRIM(INDEX($A$3:$A$168,K1132)))-1)&amp;", "&amp;SUBSTITUTE(SUBSTITUTE(SUBSTITUTE(E1132," [",", "),"[",", "),"]","")&amp;"]",TRIM(INDEX($A$3:$A$168,K1132))&amp;" ["&amp;SUBSTITUTE(SUBSTITUTE(SUBSTITUTE(E1132," [",", "),"[",", "),"]","")&amp;"]")))</x:f>
      </x:c>
      <x:c r="G1132" t="str">
        <x:f>IF(F1132&lt;&gt;"",ROWS($F$3:F1132)-COUNTBLANK($F$3:F1132),"")</x:f>
      </x:c>
      <x:c r="H1132"/>
      <x:c r="I1132"/>
      <x:c r="J1132"/>
      <x:c r="K1132" t="str">
        <x:f>IF(ROW()-ROW($K$2)&lt;=SUM($J$3:$J$168),COUNTIF($H$3:$H$168,"&lt;"&amp;(ROW()-ROW($K$2))),"")</x:f>
      </x:c>
      <x:c r="L1132" t="str">
        <x:f>IF(K1132="","",ROW()-ROW($L$2)-INDEX($H$3:$H$168,K1132))</x:f>
      </x:c>
      <x:c r="M1132" t="str">
        <x:f>IF(K1132="","",IF(L1132=1,1,FIND(CHAR(1),SUBSTITUTE(INDEX($B$3:$B$168,K1132),CHAR(10),CHAR(1),L1132-1))+1))</x:f>
      </x:c>
      <x:c r="N1132" t="str">
        <x:f>IF(K1132="","",IFERROR(FIND(CHAR(1),SUBSTITUTE(INDEX($B$3:$B$168,K1132),CHAR(10),CHAR(1),L1132)),LEN(INDEX($B$3:$B$168,K1132))+1))</x:f>
      </x:c>
    </x:row>
    <x:row r="1133">
      <x:c r="A1133"/>
      <x:c r="B1133"/>
      <x:c r="C1133"/>
      <x:c r="D1133" t="str">
        <x:f>IFERROR(IF(1131&lt;=$O$1,INDEX($A$3:$A$168,MATCH(1131,$I$3:$I$168,0)),IF(1131&lt;=$O$1+$O$2,INDEX($F$3:$F$1994,MATCH(1131-$O$1,$G$3:$G$1994,0)),"")),"")</x:f>
      </x:c>
      <x:c r="E1133" t="str">
        <x:f>IF(K1133="","",IF(N1133&lt;=M1133,"",TRIM(CLEAN(MID(INDEX($B$3:$B$168,K1133),M1133,N1133-M1133)))))</x:f>
      </x:c>
      <x:c r="F1133" t="str">
        <x:f>IF(E1133="","",IF(E1133=TRIM(INDEX($A$3:$A$168,K1133)),"",IF(RIGHT(TRIM(INDEX($A$3:$A$168,K1133)),1)="]",LEFT(TRIM(INDEX($A$3:$A$168,K1133)),LEN(TRIM(INDEX($A$3:$A$168,K1133)))-1)&amp;", "&amp;SUBSTITUTE(SUBSTITUTE(SUBSTITUTE(E1133," [",", "),"[",", "),"]","")&amp;"]",TRIM(INDEX($A$3:$A$168,K1133))&amp;" ["&amp;SUBSTITUTE(SUBSTITUTE(SUBSTITUTE(E1133," [",", "),"[",", "),"]","")&amp;"]")))</x:f>
      </x:c>
      <x:c r="G1133" t="str">
        <x:f>IF(F1133&lt;&gt;"",ROWS($F$3:F1133)-COUNTBLANK($F$3:F1133),"")</x:f>
      </x:c>
      <x:c r="H1133"/>
      <x:c r="I1133"/>
      <x:c r="J1133"/>
      <x:c r="K1133" t="str">
        <x:f>IF(ROW()-ROW($K$2)&lt;=SUM($J$3:$J$168),COUNTIF($H$3:$H$168,"&lt;"&amp;(ROW()-ROW($K$2))),"")</x:f>
      </x:c>
      <x:c r="L1133" t="str">
        <x:f>IF(K1133="","",ROW()-ROW($L$2)-INDEX($H$3:$H$168,K1133))</x:f>
      </x:c>
      <x:c r="M1133" t="str">
        <x:f>IF(K1133="","",IF(L1133=1,1,FIND(CHAR(1),SUBSTITUTE(INDEX($B$3:$B$168,K1133),CHAR(10),CHAR(1),L1133-1))+1))</x:f>
      </x:c>
      <x:c r="N1133" t="str">
        <x:f>IF(K1133="","",IFERROR(FIND(CHAR(1),SUBSTITUTE(INDEX($B$3:$B$168,K1133),CHAR(10),CHAR(1),L1133)),LEN(INDEX($B$3:$B$168,K1133))+1))</x:f>
      </x:c>
    </x:row>
    <x:row r="1134">
      <x:c r="A1134"/>
      <x:c r="B1134"/>
      <x:c r="C1134"/>
      <x:c r="D1134" t="str">
        <x:f>IFERROR(IF(1132&lt;=$O$1,INDEX($A$3:$A$168,MATCH(1132,$I$3:$I$168,0)),IF(1132&lt;=$O$1+$O$2,INDEX($F$3:$F$1994,MATCH(1132-$O$1,$G$3:$G$1994,0)),"")),"")</x:f>
      </x:c>
      <x:c r="E1134" t="str">
        <x:f>IF(K1134="","",IF(N1134&lt;=M1134,"",TRIM(CLEAN(MID(INDEX($B$3:$B$168,K1134),M1134,N1134-M1134)))))</x:f>
      </x:c>
      <x:c r="F1134" t="str">
        <x:f>IF(E1134="","",IF(E1134=TRIM(INDEX($A$3:$A$168,K1134)),"",IF(RIGHT(TRIM(INDEX($A$3:$A$168,K1134)),1)="]",LEFT(TRIM(INDEX($A$3:$A$168,K1134)),LEN(TRIM(INDEX($A$3:$A$168,K1134)))-1)&amp;", "&amp;SUBSTITUTE(SUBSTITUTE(SUBSTITUTE(E1134," [",", "),"[",", "),"]","")&amp;"]",TRIM(INDEX($A$3:$A$168,K1134))&amp;" ["&amp;SUBSTITUTE(SUBSTITUTE(SUBSTITUTE(E1134," [",", "),"[",", "),"]","")&amp;"]")))</x:f>
      </x:c>
      <x:c r="G1134" t="str">
        <x:f>IF(F1134&lt;&gt;"",ROWS($F$3:F1134)-COUNTBLANK($F$3:F1134),"")</x:f>
      </x:c>
      <x:c r="H1134"/>
      <x:c r="I1134"/>
      <x:c r="J1134"/>
      <x:c r="K1134" t="str">
        <x:f>IF(ROW()-ROW($K$2)&lt;=SUM($J$3:$J$168),COUNTIF($H$3:$H$168,"&lt;"&amp;(ROW()-ROW($K$2))),"")</x:f>
      </x:c>
      <x:c r="L1134" t="str">
        <x:f>IF(K1134="","",ROW()-ROW($L$2)-INDEX($H$3:$H$168,K1134))</x:f>
      </x:c>
      <x:c r="M1134" t="str">
        <x:f>IF(K1134="","",IF(L1134=1,1,FIND(CHAR(1),SUBSTITUTE(INDEX($B$3:$B$168,K1134),CHAR(10),CHAR(1),L1134-1))+1))</x:f>
      </x:c>
      <x:c r="N1134" t="str">
        <x:f>IF(K1134="","",IFERROR(FIND(CHAR(1),SUBSTITUTE(INDEX($B$3:$B$168,K1134),CHAR(10),CHAR(1),L1134)),LEN(INDEX($B$3:$B$168,K1134))+1))</x:f>
      </x:c>
    </x:row>
    <x:row r="1135">
      <x:c r="A1135"/>
      <x:c r="B1135"/>
      <x:c r="C1135"/>
      <x:c r="D1135" t="str">
        <x:f>IFERROR(IF(1133&lt;=$O$1,INDEX($A$3:$A$168,MATCH(1133,$I$3:$I$168,0)),IF(1133&lt;=$O$1+$O$2,INDEX($F$3:$F$1994,MATCH(1133-$O$1,$G$3:$G$1994,0)),"")),"")</x:f>
      </x:c>
      <x:c r="E1135" t="str">
        <x:f>IF(K1135="","",IF(N1135&lt;=M1135,"",TRIM(CLEAN(MID(INDEX($B$3:$B$168,K1135),M1135,N1135-M1135)))))</x:f>
      </x:c>
      <x:c r="F1135" t="str">
        <x:f>IF(E1135="","",IF(E1135=TRIM(INDEX($A$3:$A$168,K1135)),"",IF(RIGHT(TRIM(INDEX($A$3:$A$168,K1135)),1)="]",LEFT(TRIM(INDEX($A$3:$A$168,K1135)),LEN(TRIM(INDEX($A$3:$A$168,K1135)))-1)&amp;", "&amp;SUBSTITUTE(SUBSTITUTE(SUBSTITUTE(E1135," [",", "),"[",", "),"]","")&amp;"]",TRIM(INDEX($A$3:$A$168,K1135))&amp;" ["&amp;SUBSTITUTE(SUBSTITUTE(SUBSTITUTE(E1135," [",", "),"[",", "),"]","")&amp;"]")))</x:f>
      </x:c>
      <x:c r="G1135" t="str">
        <x:f>IF(F1135&lt;&gt;"",ROWS($F$3:F1135)-COUNTBLANK($F$3:F1135),"")</x:f>
      </x:c>
      <x:c r="H1135"/>
      <x:c r="I1135"/>
      <x:c r="J1135"/>
      <x:c r="K1135" t="str">
        <x:f>IF(ROW()-ROW($K$2)&lt;=SUM($J$3:$J$168),COUNTIF($H$3:$H$168,"&lt;"&amp;(ROW()-ROW($K$2))),"")</x:f>
      </x:c>
      <x:c r="L1135" t="str">
        <x:f>IF(K1135="","",ROW()-ROW($L$2)-INDEX($H$3:$H$168,K1135))</x:f>
      </x:c>
      <x:c r="M1135" t="str">
        <x:f>IF(K1135="","",IF(L1135=1,1,FIND(CHAR(1),SUBSTITUTE(INDEX($B$3:$B$168,K1135),CHAR(10),CHAR(1),L1135-1))+1))</x:f>
      </x:c>
      <x:c r="N1135" t="str">
        <x:f>IF(K1135="","",IFERROR(FIND(CHAR(1),SUBSTITUTE(INDEX($B$3:$B$168,K1135),CHAR(10),CHAR(1),L1135)),LEN(INDEX($B$3:$B$168,K1135))+1))</x:f>
      </x:c>
    </x:row>
    <x:row r="1136">
      <x:c r="A1136"/>
      <x:c r="B1136"/>
      <x:c r="C1136"/>
      <x:c r="D1136" t="str">
        <x:f>IFERROR(IF(1134&lt;=$O$1,INDEX($A$3:$A$168,MATCH(1134,$I$3:$I$168,0)),IF(1134&lt;=$O$1+$O$2,INDEX($F$3:$F$1994,MATCH(1134-$O$1,$G$3:$G$1994,0)),"")),"")</x:f>
      </x:c>
      <x:c r="E1136" t="str">
        <x:f>IF(K1136="","",IF(N1136&lt;=M1136,"",TRIM(CLEAN(MID(INDEX($B$3:$B$168,K1136),M1136,N1136-M1136)))))</x:f>
      </x:c>
      <x:c r="F1136" t="str">
        <x:f>IF(E1136="","",IF(E1136=TRIM(INDEX($A$3:$A$168,K1136)),"",IF(RIGHT(TRIM(INDEX($A$3:$A$168,K1136)),1)="]",LEFT(TRIM(INDEX($A$3:$A$168,K1136)),LEN(TRIM(INDEX($A$3:$A$168,K1136)))-1)&amp;", "&amp;SUBSTITUTE(SUBSTITUTE(SUBSTITUTE(E1136," [",", "),"[",", "),"]","")&amp;"]",TRIM(INDEX($A$3:$A$168,K1136))&amp;" ["&amp;SUBSTITUTE(SUBSTITUTE(SUBSTITUTE(E1136," [",", "),"[",", "),"]","")&amp;"]")))</x:f>
      </x:c>
      <x:c r="G1136" t="str">
        <x:f>IF(F1136&lt;&gt;"",ROWS($F$3:F1136)-COUNTBLANK($F$3:F1136),"")</x:f>
      </x:c>
      <x:c r="H1136"/>
      <x:c r="I1136"/>
      <x:c r="J1136"/>
      <x:c r="K1136" t="str">
        <x:f>IF(ROW()-ROW($K$2)&lt;=SUM($J$3:$J$168),COUNTIF($H$3:$H$168,"&lt;"&amp;(ROW()-ROW($K$2))),"")</x:f>
      </x:c>
      <x:c r="L1136" t="str">
        <x:f>IF(K1136="","",ROW()-ROW($L$2)-INDEX($H$3:$H$168,K1136))</x:f>
      </x:c>
      <x:c r="M1136" t="str">
        <x:f>IF(K1136="","",IF(L1136=1,1,FIND(CHAR(1),SUBSTITUTE(INDEX($B$3:$B$168,K1136),CHAR(10),CHAR(1),L1136-1))+1))</x:f>
      </x:c>
      <x:c r="N1136" t="str">
        <x:f>IF(K1136="","",IFERROR(FIND(CHAR(1),SUBSTITUTE(INDEX($B$3:$B$168,K1136),CHAR(10),CHAR(1),L1136)),LEN(INDEX($B$3:$B$168,K1136))+1))</x:f>
      </x:c>
    </x:row>
    <x:row r="1137">
      <x:c r="A1137"/>
      <x:c r="B1137"/>
      <x:c r="C1137"/>
      <x:c r="D1137" t="str">
        <x:f>IFERROR(IF(1135&lt;=$O$1,INDEX($A$3:$A$168,MATCH(1135,$I$3:$I$168,0)),IF(1135&lt;=$O$1+$O$2,INDEX($F$3:$F$1994,MATCH(1135-$O$1,$G$3:$G$1994,0)),"")),"")</x:f>
      </x:c>
      <x:c r="E1137" t="str">
        <x:f>IF(K1137="","",IF(N1137&lt;=M1137,"",TRIM(CLEAN(MID(INDEX($B$3:$B$168,K1137),M1137,N1137-M1137)))))</x:f>
      </x:c>
      <x:c r="F1137" t="str">
        <x:f>IF(E1137="","",IF(E1137=TRIM(INDEX($A$3:$A$168,K1137)),"",IF(RIGHT(TRIM(INDEX($A$3:$A$168,K1137)),1)="]",LEFT(TRIM(INDEX($A$3:$A$168,K1137)),LEN(TRIM(INDEX($A$3:$A$168,K1137)))-1)&amp;", "&amp;SUBSTITUTE(SUBSTITUTE(SUBSTITUTE(E1137," [",", "),"[",", "),"]","")&amp;"]",TRIM(INDEX($A$3:$A$168,K1137))&amp;" ["&amp;SUBSTITUTE(SUBSTITUTE(SUBSTITUTE(E1137," [",", "),"[",", "),"]","")&amp;"]")))</x:f>
      </x:c>
      <x:c r="G1137" t="str">
        <x:f>IF(F1137&lt;&gt;"",ROWS($F$3:F1137)-COUNTBLANK($F$3:F1137),"")</x:f>
      </x:c>
      <x:c r="H1137"/>
      <x:c r="I1137"/>
      <x:c r="J1137"/>
      <x:c r="K1137" t="str">
        <x:f>IF(ROW()-ROW($K$2)&lt;=SUM($J$3:$J$168),COUNTIF($H$3:$H$168,"&lt;"&amp;(ROW()-ROW($K$2))),"")</x:f>
      </x:c>
      <x:c r="L1137" t="str">
        <x:f>IF(K1137="","",ROW()-ROW($L$2)-INDEX($H$3:$H$168,K1137))</x:f>
      </x:c>
      <x:c r="M1137" t="str">
        <x:f>IF(K1137="","",IF(L1137=1,1,FIND(CHAR(1),SUBSTITUTE(INDEX($B$3:$B$168,K1137),CHAR(10),CHAR(1),L1137-1))+1))</x:f>
      </x:c>
      <x:c r="N1137" t="str">
        <x:f>IF(K1137="","",IFERROR(FIND(CHAR(1),SUBSTITUTE(INDEX($B$3:$B$168,K1137),CHAR(10),CHAR(1),L1137)),LEN(INDEX($B$3:$B$168,K1137))+1))</x:f>
      </x:c>
    </x:row>
    <x:row r="1138">
      <x:c r="A1138"/>
      <x:c r="B1138"/>
      <x:c r="C1138"/>
      <x:c r="D1138" t="str">
        <x:f>IFERROR(IF(1136&lt;=$O$1,INDEX($A$3:$A$168,MATCH(1136,$I$3:$I$168,0)),IF(1136&lt;=$O$1+$O$2,INDEX($F$3:$F$1994,MATCH(1136-$O$1,$G$3:$G$1994,0)),"")),"")</x:f>
      </x:c>
      <x:c r="E1138" t="str">
        <x:f>IF(K1138="","",IF(N1138&lt;=M1138,"",TRIM(CLEAN(MID(INDEX($B$3:$B$168,K1138),M1138,N1138-M1138)))))</x:f>
      </x:c>
      <x:c r="F1138" t="str">
        <x:f>IF(E1138="","",IF(E1138=TRIM(INDEX($A$3:$A$168,K1138)),"",IF(RIGHT(TRIM(INDEX($A$3:$A$168,K1138)),1)="]",LEFT(TRIM(INDEX($A$3:$A$168,K1138)),LEN(TRIM(INDEX($A$3:$A$168,K1138)))-1)&amp;", "&amp;SUBSTITUTE(SUBSTITUTE(SUBSTITUTE(E1138," [",", "),"[",", "),"]","")&amp;"]",TRIM(INDEX($A$3:$A$168,K1138))&amp;" ["&amp;SUBSTITUTE(SUBSTITUTE(SUBSTITUTE(E1138," [",", "),"[",", "),"]","")&amp;"]")))</x:f>
      </x:c>
      <x:c r="G1138" t="str">
        <x:f>IF(F1138&lt;&gt;"",ROWS($F$3:F1138)-COUNTBLANK($F$3:F1138),"")</x:f>
      </x:c>
      <x:c r="H1138"/>
      <x:c r="I1138"/>
      <x:c r="J1138"/>
      <x:c r="K1138" t="str">
        <x:f>IF(ROW()-ROW($K$2)&lt;=SUM($J$3:$J$168),COUNTIF($H$3:$H$168,"&lt;"&amp;(ROW()-ROW($K$2))),"")</x:f>
      </x:c>
      <x:c r="L1138" t="str">
        <x:f>IF(K1138="","",ROW()-ROW($L$2)-INDEX($H$3:$H$168,K1138))</x:f>
      </x:c>
      <x:c r="M1138" t="str">
        <x:f>IF(K1138="","",IF(L1138=1,1,FIND(CHAR(1),SUBSTITUTE(INDEX($B$3:$B$168,K1138),CHAR(10),CHAR(1),L1138-1))+1))</x:f>
      </x:c>
      <x:c r="N1138" t="str">
        <x:f>IF(K1138="","",IFERROR(FIND(CHAR(1),SUBSTITUTE(INDEX($B$3:$B$168,K1138),CHAR(10),CHAR(1),L1138)),LEN(INDEX($B$3:$B$168,K1138))+1))</x:f>
      </x:c>
    </x:row>
    <x:row r="1139">
      <x:c r="A1139"/>
      <x:c r="B1139"/>
      <x:c r="C1139"/>
      <x:c r="D1139" t="str">
        <x:f>IFERROR(IF(1137&lt;=$O$1,INDEX($A$3:$A$168,MATCH(1137,$I$3:$I$168,0)),IF(1137&lt;=$O$1+$O$2,INDEX($F$3:$F$1994,MATCH(1137-$O$1,$G$3:$G$1994,0)),"")),"")</x:f>
      </x:c>
      <x:c r="E1139" t="str">
        <x:f>IF(K1139="","",IF(N1139&lt;=M1139,"",TRIM(CLEAN(MID(INDEX($B$3:$B$168,K1139),M1139,N1139-M1139)))))</x:f>
      </x:c>
      <x:c r="F1139" t="str">
        <x:f>IF(E1139="","",IF(E1139=TRIM(INDEX($A$3:$A$168,K1139)),"",IF(RIGHT(TRIM(INDEX($A$3:$A$168,K1139)),1)="]",LEFT(TRIM(INDEX($A$3:$A$168,K1139)),LEN(TRIM(INDEX($A$3:$A$168,K1139)))-1)&amp;", "&amp;SUBSTITUTE(SUBSTITUTE(SUBSTITUTE(E1139," [",", "),"[",", "),"]","")&amp;"]",TRIM(INDEX($A$3:$A$168,K1139))&amp;" ["&amp;SUBSTITUTE(SUBSTITUTE(SUBSTITUTE(E1139," [",", "),"[",", "),"]","")&amp;"]")))</x:f>
      </x:c>
      <x:c r="G1139" t="str">
        <x:f>IF(F1139&lt;&gt;"",ROWS($F$3:F1139)-COUNTBLANK($F$3:F1139),"")</x:f>
      </x:c>
      <x:c r="H1139"/>
      <x:c r="I1139"/>
      <x:c r="J1139"/>
      <x:c r="K1139" t="str">
        <x:f>IF(ROW()-ROW($K$2)&lt;=SUM($J$3:$J$168),COUNTIF($H$3:$H$168,"&lt;"&amp;(ROW()-ROW($K$2))),"")</x:f>
      </x:c>
      <x:c r="L1139" t="str">
        <x:f>IF(K1139="","",ROW()-ROW($L$2)-INDEX($H$3:$H$168,K1139))</x:f>
      </x:c>
      <x:c r="M1139" t="str">
        <x:f>IF(K1139="","",IF(L1139=1,1,FIND(CHAR(1),SUBSTITUTE(INDEX($B$3:$B$168,K1139),CHAR(10),CHAR(1),L1139-1))+1))</x:f>
      </x:c>
      <x:c r="N1139" t="str">
        <x:f>IF(K1139="","",IFERROR(FIND(CHAR(1),SUBSTITUTE(INDEX($B$3:$B$168,K1139),CHAR(10),CHAR(1),L1139)),LEN(INDEX($B$3:$B$168,K1139))+1))</x:f>
      </x:c>
    </x:row>
    <x:row r="1140">
      <x:c r="A1140"/>
      <x:c r="B1140"/>
      <x:c r="C1140"/>
      <x:c r="D1140" t="str">
        <x:f>IFERROR(IF(1138&lt;=$O$1,INDEX($A$3:$A$168,MATCH(1138,$I$3:$I$168,0)),IF(1138&lt;=$O$1+$O$2,INDEX($F$3:$F$1994,MATCH(1138-$O$1,$G$3:$G$1994,0)),"")),"")</x:f>
      </x:c>
      <x:c r="E1140" t="str">
        <x:f>IF(K1140="","",IF(N1140&lt;=M1140,"",TRIM(CLEAN(MID(INDEX($B$3:$B$168,K1140),M1140,N1140-M1140)))))</x:f>
      </x:c>
      <x:c r="F1140" t="str">
        <x:f>IF(E1140="","",IF(E1140=TRIM(INDEX($A$3:$A$168,K1140)),"",IF(RIGHT(TRIM(INDEX($A$3:$A$168,K1140)),1)="]",LEFT(TRIM(INDEX($A$3:$A$168,K1140)),LEN(TRIM(INDEX($A$3:$A$168,K1140)))-1)&amp;", "&amp;SUBSTITUTE(SUBSTITUTE(SUBSTITUTE(E1140," [",", "),"[",", "),"]","")&amp;"]",TRIM(INDEX($A$3:$A$168,K1140))&amp;" ["&amp;SUBSTITUTE(SUBSTITUTE(SUBSTITUTE(E1140," [",", "),"[",", "),"]","")&amp;"]")))</x:f>
      </x:c>
      <x:c r="G1140" t="str">
        <x:f>IF(F1140&lt;&gt;"",ROWS($F$3:F1140)-COUNTBLANK($F$3:F1140),"")</x:f>
      </x:c>
      <x:c r="H1140"/>
      <x:c r="I1140"/>
      <x:c r="J1140"/>
      <x:c r="K1140" t="str">
        <x:f>IF(ROW()-ROW($K$2)&lt;=SUM($J$3:$J$168),COUNTIF($H$3:$H$168,"&lt;"&amp;(ROW()-ROW($K$2))),"")</x:f>
      </x:c>
      <x:c r="L1140" t="str">
        <x:f>IF(K1140="","",ROW()-ROW($L$2)-INDEX($H$3:$H$168,K1140))</x:f>
      </x:c>
      <x:c r="M1140" t="str">
        <x:f>IF(K1140="","",IF(L1140=1,1,FIND(CHAR(1),SUBSTITUTE(INDEX($B$3:$B$168,K1140),CHAR(10),CHAR(1),L1140-1))+1))</x:f>
      </x:c>
      <x:c r="N1140" t="str">
        <x:f>IF(K1140="","",IFERROR(FIND(CHAR(1),SUBSTITUTE(INDEX($B$3:$B$168,K1140),CHAR(10),CHAR(1),L1140)),LEN(INDEX($B$3:$B$168,K1140))+1))</x:f>
      </x:c>
    </x:row>
    <x:row r="1141">
      <x:c r="A1141"/>
      <x:c r="B1141"/>
      <x:c r="C1141"/>
      <x:c r="D1141" t="str">
        <x:f>IFERROR(IF(1139&lt;=$O$1,INDEX($A$3:$A$168,MATCH(1139,$I$3:$I$168,0)),IF(1139&lt;=$O$1+$O$2,INDEX($F$3:$F$1994,MATCH(1139-$O$1,$G$3:$G$1994,0)),"")),"")</x:f>
      </x:c>
      <x:c r="E1141" t="str">
        <x:f>IF(K1141="","",IF(N1141&lt;=M1141,"",TRIM(CLEAN(MID(INDEX($B$3:$B$168,K1141),M1141,N1141-M1141)))))</x:f>
      </x:c>
      <x:c r="F1141" t="str">
        <x:f>IF(E1141="","",IF(E1141=TRIM(INDEX($A$3:$A$168,K1141)),"",IF(RIGHT(TRIM(INDEX($A$3:$A$168,K1141)),1)="]",LEFT(TRIM(INDEX($A$3:$A$168,K1141)),LEN(TRIM(INDEX($A$3:$A$168,K1141)))-1)&amp;", "&amp;SUBSTITUTE(SUBSTITUTE(SUBSTITUTE(E1141," [",", "),"[",", "),"]","")&amp;"]",TRIM(INDEX($A$3:$A$168,K1141))&amp;" ["&amp;SUBSTITUTE(SUBSTITUTE(SUBSTITUTE(E1141," [",", "),"[",", "),"]","")&amp;"]")))</x:f>
      </x:c>
      <x:c r="G1141" t="str">
        <x:f>IF(F1141&lt;&gt;"",ROWS($F$3:F1141)-COUNTBLANK($F$3:F1141),"")</x:f>
      </x:c>
      <x:c r="H1141"/>
      <x:c r="I1141"/>
      <x:c r="J1141"/>
      <x:c r="K1141" t="str">
        <x:f>IF(ROW()-ROW($K$2)&lt;=SUM($J$3:$J$168),COUNTIF($H$3:$H$168,"&lt;"&amp;(ROW()-ROW($K$2))),"")</x:f>
      </x:c>
      <x:c r="L1141" t="str">
        <x:f>IF(K1141="","",ROW()-ROW($L$2)-INDEX($H$3:$H$168,K1141))</x:f>
      </x:c>
      <x:c r="M1141" t="str">
        <x:f>IF(K1141="","",IF(L1141=1,1,FIND(CHAR(1),SUBSTITUTE(INDEX($B$3:$B$168,K1141),CHAR(10),CHAR(1),L1141-1))+1))</x:f>
      </x:c>
      <x:c r="N1141" t="str">
        <x:f>IF(K1141="","",IFERROR(FIND(CHAR(1),SUBSTITUTE(INDEX($B$3:$B$168,K1141),CHAR(10),CHAR(1),L1141)),LEN(INDEX($B$3:$B$168,K1141))+1))</x:f>
      </x:c>
    </x:row>
    <x:row r="1142">
      <x:c r="A1142"/>
      <x:c r="B1142"/>
      <x:c r="C1142"/>
      <x:c r="D1142" t="str">
        <x:f>IFERROR(IF(1140&lt;=$O$1,INDEX($A$3:$A$168,MATCH(1140,$I$3:$I$168,0)),IF(1140&lt;=$O$1+$O$2,INDEX($F$3:$F$1994,MATCH(1140-$O$1,$G$3:$G$1994,0)),"")),"")</x:f>
      </x:c>
      <x:c r="E1142" t="str">
        <x:f>IF(K1142="","",IF(N1142&lt;=M1142,"",TRIM(CLEAN(MID(INDEX($B$3:$B$168,K1142),M1142,N1142-M1142)))))</x:f>
      </x:c>
      <x:c r="F1142" t="str">
        <x:f>IF(E1142="","",IF(E1142=TRIM(INDEX($A$3:$A$168,K1142)),"",IF(RIGHT(TRIM(INDEX($A$3:$A$168,K1142)),1)="]",LEFT(TRIM(INDEX($A$3:$A$168,K1142)),LEN(TRIM(INDEX($A$3:$A$168,K1142)))-1)&amp;", "&amp;SUBSTITUTE(SUBSTITUTE(SUBSTITUTE(E1142," [",", "),"[",", "),"]","")&amp;"]",TRIM(INDEX($A$3:$A$168,K1142))&amp;" ["&amp;SUBSTITUTE(SUBSTITUTE(SUBSTITUTE(E1142," [",", "),"[",", "),"]","")&amp;"]")))</x:f>
      </x:c>
      <x:c r="G1142" t="str">
        <x:f>IF(F1142&lt;&gt;"",ROWS($F$3:F1142)-COUNTBLANK($F$3:F1142),"")</x:f>
      </x:c>
      <x:c r="H1142"/>
      <x:c r="I1142"/>
      <x:c r="J1142"/>
      <x:c r="K1142" t="str">
        <x:f>IF(ROW()-ROW($K$2)&lt;=SUM($J$3:$J$168),COUNTIF($H$3:$H$168,"&lt;"&amp;(ROW()-ROW($K$2))),"")</x:f>
      </x:c>
      <x:c r="L1142" t="str">
        <x:f>IF(K1142="","",ROW()-ROW($L$2)-INDEX($H$3:$H$168,K1142))</x:f>
      </x:c>
      <x:c r="M1142" t="str">
        <x:f>IF(K1142="","",IF(L1142=1,1,FIND(CHAR(1),SUBSTITUTE(INDEX($B$3:$B$168,K1142),CHAR(10),CHAR(1),L1142-1))+1))</x:f>
      </x:c>
      <x:c r="N1142" t="str">
        <x:f>IF(K1142="","",IFERROR(FIND(CHAR(1),SUBSTITUTE(INDEX($B$3:$B$168,K1142),CHAR(10),CHAR(1),L1142)),LEN(INDEX($B$3:$B$168,K1142))+1))</x:f>
      </x:c>
    </x:row>
    <x:row r="1143">
      <x:c r="A1143"/>
      <x:c r="B1143"/>
      <x:c r="C1143"/>
      <x:c r="D1143" t="str">
        <x:f>IFERROR(IF(1141&lt;=$O$1,INDEX($A$3:$A$168,MATCH(1141,$I$3:$I$168,0)),IF(1141&lt;=$O$1+$O$2,INDEX($F$3:$F$1994,MATCH(1141-$O$1,$G$3:$G$1994,0)),"")),"")</x:f>
      </x:c>
      <x:c r="E1143" t="str">
        <x:f>IF(K1143="","",IF(N1143&lt;=M1143,"",TRIM(CLEAN(MID(INDEX($B$3:$B$168,K1143),M1143,N1143-M1143)))))</x:f>
      </x:c>
      <x:c r="F1143" t="str">
        <x:f>IF(E1143="","",IF(E1143=TRIM(INDEX($A$3:$A$168,K1143)),"",IF(RIGHT(TRIM(INDEX($A$3:$A$168,K1143)),1)="]",LEFT(TRIM(INDEX($A$3:$A$168,K1143)),LEN(TRIM(INDEX($A$3:$A$168,K1143)))-1)&amp;", "&amp;SUBSTITUTE(SUBSTITUTE(SUBSTITUTE(E1143," [",", "),"[",", "),"]","")&amp;"]",TRIM(INDEX($A$3:$A$168,K1143))&amp;" ["&amp;SUBSTITUTE(SUBSTITUTE(SUBSTITUTE(E1143," [",", "),"[",", "),"]","")&amp;"]")))</x:f>
      </x:c>
      <x:c r="G1143" t="str">
        <x:f>IF(F1143&lt;&gt;"",ROWS($F$3:F1143)-COUNTBLANK($F$3:F1143),"")</x:f>
      </x:c>
      <x:c r="H1143"/>
      <x:c r="I1143"/>
      <x:c r="J1143"/>
      <x:c r="K1143" t="str">
        <x:f>IF(ROW()-ROW($K$2)&lt;=SUM($J$3:$J$168),COUNTIF($H$3:$H$168,"&lt;"&amp;(ROW()-ROW($K$2))),"")</x:f>
      </x:c>
      <x:c r="L1143" t="str">
        <x:f>IF(K1143="","",ROW()-ROW($L$2)-INDEX($H$3:$H$168,K1143))</x:f>
      </x:c>
      <x:c r="M1143" t="str">
        <x:f>IF(K1143="","",IF(L1143=1,1,FIND(CHAR(1),SUBSTITUTE(INDEX($B$3:$B$168,K1143),CHAR(10),CHAR(1),L1143-1))+1))</x:f>
      </x:c>
      <x:c r="N1143" t="str">
        <x:f>IF(K1143="","",IFERROR(FIND(CHAR(1),SUBSTITUTE(INDEX($B$3:$B$168,K1143),CHAR(10),CHAR(1),L1143)),LEN(INDEX($B$3:$B$168,K1143))+1))</x:f>
      </x:c>
    </x:row>
    <x:row r="1144">
      <x:c r="A1144"/>
      <x:c r="B1144"/>
      <x:c r="C1144"/>
      <x:c r="D1144" t="str">
        <x:f>IFERROR(IF(1142&lt;=$O$1,INDEX($A$3:$A$168,MATCH(1142,$I$3:$I$168,0)),IF(1142&lt;=$O$1+$O$2,INDEX($F$3:$F$1994,MATCH(1142-$O$1,$G$3:$G$1994,0)),"")),"")</x:f>
      </x:c>
      <x:c r="E1144" t="str">
        <x:f>IF(K1144="","",IF(N1144&lt;=M1144,"",TRIM(CLEAN(MID(INDEX($B$3:$B$168,K1144),M1144,N1144-M1144)))))</x:f>
      </x:c>
      <x:c r="F1144" t="str">
        <x:f>IF(E1144="","",IF(E1144=TRIM(INDEX($A$3:$A$168,K1144)),"",IF(RIGHT(TRIM(INDEX($A$3:$A$168,K1144)),1)="]",LEFT(TRIM(INDEX($A$3:$A$168,K1144)),LEN(TRIM(INDEX($A$3:$A$168,K1144)))-1)&amp;", "&amp;SUBSTITUTE(SUBSTITUTE(SUBSTITUTE(E1144," [",", "),"[",", "),"]","")&amp;"]",TRIM(INDEX($A$3:$A$168,K1144))&amp;" ["&amp;SUBSTITUTE(SUBSTITUTE(SUBSTITUTE(E1144," [",", "),"[",", "),"]","")&amp;"]")))</x:f>
      </x:c>
      <x:c r="G1144" t="str">
        <x:f>IF(F1144&lt;&gt;"",ROWS($F$3:F1144)-COUNTBLANK($F$3:F1144),"")</x:f>
      </x:c>
      <x:c r="H1144"/>
      <x:c r="I1144"/>
      <x:c r="J1144"/>
      <x:c r="K1144" t="str">
        <x:f>IF(ROW()-ROW($K$2)&lt;=SUM($J$3:$J$168),COUNTIF($H$3:$H$168,"&lt;"&amp;(ROW()-ROW($K$2))),"")</x:f>
      </x:c>
      <x:c r="L1144" t="str">
        <x:f>IF(K1144="","",ROW()-ROW($L$2)-INDEX($H$3:$H$168,K1144))</x:f>
      </x:c>
      <x:c r="M1144" t="str">
        <x:f>IF(K1144="","",IF(L1144=1,1,FIND(CHAR(1),SUBSTITUTE(INDEX($B$3:$B$168,K1144),CHAR(10),CHAR(1),L1144-1))+1))</x:f>
      </x:c>
      <x:c r="N1144" t="str">
        <x:f>IF(K1144="","",IFERROR(FIND(CHAR(1),SUBSTITUTE(INDEX($B$3:$B$168,K1144),CHAR(10),CHAR(1),L1144)),LEN(INDEX($B$3:$B$168,K1144))+1))</x:f>
      </x:c>
    </x:row>
    <x:row r="1145">
      <x:c r="A1145"/>
      <x:c r="B1145"/>
      <x:c r="C1145"/>
      <x:c r="D1145" t="str">
        <x:f>IFERROR(IF(1143&lt;=$O$1,INDEX($A$3:$A$168,MATCH(1143,$I$3:$I$168,0)),IF(1143&lt;=$O$1+$O$2,INDEX($F$3:$F$1994,MATCH(1143-$O$1,$G$3:$G$1994,0)),"")),"")</x:f>
      </x:c>
      <x:c r="E1145" t="str">
        <x:f>IF(K1145="","",IF(N1145&lt;=M1145,"",TRIM(CLEAN(MID(INDEX($B$3:$B$168,K1145),M1145,N1145-M1145)))))</x:f>
      </x:c>
      <x:c r="F1145" t="str">
        <x:f>IF(E1145="","",IF(E1145=TRIM(INDEX($A$3:$A$168,K1145)),"",IF(RIGHT(TRIM(INDEX($A$3:$A$168,K1145)),1)="]",LEFT(TRIM(INDEX($A$3:$A$168,K1145)),LEN(TRIM(INDEX($A$3:$A$168,K1145)))-1)&amp;", "&amp;SUBSTITUTE(SUBSTITUTE(SUBSTITUTE(E1145," [",", "),"[",", "),"]","")&amp;"]",TRIM(INDEX($A$3:$A$168,K1145))&amp;" ["&amp;SUBSTITUTE(SUBSTITUTE(SUBSTITUTE(E1145," [",", "),"[",", "),"]","")&amp;"]")))</x:f>
      </x:c>
      <x:c r="G1145" t="str">
        <x:f>IF(F1145&lt;&gt;"",ROWS($F$3:F1145)-COUNTBLANK($F$3:F1145),"")</x:f>
      </x:c>
      <x:c r="H1145"/>
      <x:c r="I1145"/>
      <x:c r="J1145"/>
      <x:c r="K1145" t="str">
        <x:f>IF(ROW()-ROW($K$2)&lt;=SUM($J$3:$J$168),COUNTIF($H$3:$H$168,"&lt;"&amp;(ROW()-ROW($K$2))),"")</x:f>
      </x:c>
      <x:c r="L1145" t="str">
        <x:f>IF(K1145="","",ROW()-ROW($L$2)-INDEX($H$3:$H$168,K1145))</x:f>
      </x:c>
      <x:c r="M1145" t="str">
        <x:f>IF(K1145="","",IF(L1145=1,1,FIND(CHAR(1),SUBSTITUTE(INDEX($B$3:$B$168,K1145),CHAR(10),CHAR(1),L1145-1))+1))</x:f>
      </x:c>
      <x:c r="N1145" t="str">
        <x:f>IF(K1145="","",IFERROR(FIND(CHAR(1),SUBSTITUTE(INDEX($B$3:$B$168,K1145),CHAR(10),CHAR(1),L1145)),LEN(INDEX($B$3:$B$168,K1145))+1))</x:f>
      </x:c>
    </x:row>
    <x:row r="1146">
      <x:c r="A1146"/>
      <x:c r="B1146"/>
      <x:c r="C1146"/>
      <x:c r="D1146" t="str">
        <x:f>IFERROR(IF(1144&lt;=$O$1,INDEX($A$3:$A$168,MATCH(1144,$I$3:$I$168,0)),IF(1144&lt;=$O$1+$O$2,INDEX($F$3:$F$1994,MATCH(1144-$O$1,$G$3:$G$1994,0)),"")),"")</x:f>
      </x:c>
      <x:c r="E1146" t="str">
        <x:f>IF(K1146="","",IF(N1146&lt;=M1146,"",TRIM(CLEAN(MID(INDEX($B$3:$B$168,K1146),M1146,N1146-M1146)))))</x:f>
      </x:c>
      <x:c r="F1146" t="str">
        <x:f>IF(E1146="","",IF(E1146=TRIM(INDEX($A$3:$A$168,K1146)),"",IF(RIGHT(TRIM(INDEX($A$3:$A$168,K1146)),1)="]",LEFT(TRIM(INDEX($A$3:$A$168,K1146)),LEN(TRIM(INDEX($A$3:$A$168,K1146)))-1)&amp;", "&amp;SUBSTITUTE(SUBSTITUTE(SUBSTITUTE(E1146," [",", "),"[",", "),"]","")&amp;"]",TRIM(INDEX($A$3:$A$168,K1146))&amp;" ["&amp;SUBSTITUTE(SUBSTITUTE(SUBSTITUTE(E1146," [",", "),"[",", "),"]","")&amp;"]")))</x:f>
      </x:c>
      <x:c r="G1146" t="str">
        <x:f>IF(F1146&lt;&gt;"",ROWS($F$3:F1146)-COUNTBLANK($F$3:F1146),"")</x:f>
      </x:c>
      <x:c r="H1146"/>
      <x:c r="I1146"/>
      <x:c r="J1146"/>
      <x:c r="K1146" t="str">
        <x:f>IF(ROW()-ROW($K$2)&lt;=SUM($J$3:$J$168),COUNTIF($H$3:$H$168,"&lt;"&amp;(ROW()-ROW($K$2))),"")</x:f>
      </x:c>
      <x:c r="L1146" t="str">
        <x:f>IF(K1146="","",ROW()-ROW($L$2)-INDEX($H$3:$H$168,K1146))</x:f>
      </x:c>
      <x:c r="M1146" t="str">
        <x:f>IF(K1146="","",IF(L1146=1,1,FIND(CHAR(1),SUBSTITUTE(INDEX($B$3:$B$168,K1146),CHAR(10),CHAR(1),L1146-1))+1))</x:f>
      </x:c>
      <x:c r="N1146" t="str">
        <x:f>IF(K1146="","",IFERROR(FIND(CHAR(1),SUBSTITUTE(INDEX($B$3:$B$168,K1146),CHAR(10),CHAR(1),L1146)),LEN(INDEX($B$3:$B$168,K1146))+1))</x:f>
      </x:c>
    </x:row>
    <x:row r="1147">
      <x:c r="A1147"/>
      <x:c r="B1147"/>
      <x:c r="C1147"/>
      <x:c r="D1147" t="str">
        <x:f>IFERROR(IF(1145&lt;=$O$1,INDEX($A$3:$A$168,MATCH(1145,$I$3:$I$168,0)),IF(1145&lt;=$O$1+$O$2,INDEX($F$3:$F$1994,MATCH(1145-$O$1,$G$3:$G$1994,0)),"")),"")</x:f>
      </x:c>
      <x:c r="E1147" t="str">
        <x:f>IF(K1147="","",IF(N1147&lt;=M1147,"",TRIM(CLEAN(MID(INDEX($B$3:$B$168,K1147),M1147,N1147-M1147)))))</x:f>
      </x:c>
      <x:c r="F1147" t="str">
        <x:f>IF(E1147="","",IF(E1147=TRIM(INDEX($A$3:$A$168,K1147)),"",IF(RIGHT(TRIM(INDEX($A$3:$A$168,K1147)),1)="]",LEFT(TRIM(INDEX($A$3:$A$168,K1147)),LEN(TRIM(INDEX($A$3:$A$168,K1147)))-1)&amp;", "&amp;SUBSTITUTE(SUBSTITUTE(SUBSTITUTE(E1147," [",", "),"[",", "),"]","")&amp;"]",TRIM(INDEX($A$3:$A$168,K1147))&amp;" ["&amp;SUBSTITUTE(SUBSTITUTE(SUBSTITUTE(E1147," [",", "),"[",", "),"]","")&amp;"]")))</x:f>
      </x:c>
      <x:c r="G1147" t="str">
        <x:f>IF(F1147&lt;&gt;"",ROWS($F$3:F1147)-COUNTBLANK($F$3:F1147),"")</x:f>
      </x:c>
      <x:c r="H1147"/>
      <x:c r="I1147"/>
      <x:c r="J1147"/>
      <x:c r="K1147" t="str">
        <x:f>IF(ROW()-ROW($K$2)&lt;=SUM($J$3:$J$168),COUNTIF($H$3:$H$168,"&lt;"&amp;(ROW()-ROW($K$2))),"")</x:f>
      </x:c>
      <x:c r="L1147" t="str">
        <x:f>IF(K1147="","",ROW()-ROW($L$2)-INDEX($H$3:$H$168,K1147))</x:f>
      </x:c>
      <x:c r="M1147" t="str">
        <x:f>IF(K1147="","",IF(L1147=1,1,FIND(CHAR(1),SUBSTITUTE(INDEX($B$3:$B$168,K1147),CHAR(10),CHAR(1),L1147-1))+1))</x:f>
      </x:c>
      <x:c r="N1147" t="str">
        <x:f>IF(K1147="","",IFERROR(FIND(CHAR(1),SUBSTITUTE(INDEX($B$3:$B$168,K1147),CHAR(10),CHAR(1),L1147)),LEN(INDEX($B$3:$B$168,K1147))+1))</x:f>
      </x:c>
    </x:row>
    <x:row r="1148">
      <x:c r="A1148"/>
      <x:c r="B1148"/>
      <x:c r="C1148"/>
      <x:c r="D1148" t="str">
        <x:f>IFERROR(IF(1146&lt;=$O$1,INDEX($A$3:$A$168,MATCH(1146,$I$3:$I$168,0)),IF(1146&lt;=$O$1+$O$2,INDEX($F$3:$F$1994,MATCH(1146-$O$1,$G$3:$G$1994,0)),"")),"")</x:f>
      </x:c>
      <x:c r="E1148" t="str">
        <x:f>IF(K1148="","",IF(N1148&lt;=M1148,"",TRIM(CLEAN(MID(INDEX($B$3:$B$168,K1148),M1148,N1148-M1148)))))</x:f>
      </x:c>
      <x:c r="F1148" t="str">
        <x:f>IF(E1148="","",IF(E1148=TRIM(INDEX($A$3:$A$168,K1148)),"",IF(RIGHT(TRIM(INDEX($A$3:$A$168,K1148)),1)="]",LEFT(TRIM(INDEX($A$3:$A$168,K1148)),LEN(TRIM(INDEX($A$3:$A$168,K1148)))-1)&amp;", "&amp;SUBSTITUTE(SUBSTITUTE(SUBSTITUTE(E1148," [",", "),"[",", "),"]","")&amp;"]",TRIM(INDEX($A$3:$A$168,K1148))&amp;" ["&amp;SUBSTITUTE(SUBSTITUTE(SUBSTITUTE(E1148," [",", "),"[",", "),"]","")&amp;"]")))</x:f>
      </x:c>
      <x:c r="G1148" t="str">
        <x:f>IF(F1148&lt;&gt;"",ROWS($F$3:F1148)-COUNTBLANK($F$3:F1148),"")</x:f>
      </x:c>
      <x:c r="H1148"/>
      <x:c r="I1148"/>
      <x:c r="J1148"/>
      <x:c r="K1148" t="str">
        <x:f>IF(ROW()-ROW($K$2)&lt;=SUM($J$3:$J$168),COUNTIF($H$3:$H$168,"&lt;"&amp;(ROW()-ROW($K$2))),"")</x:f>
      </x:c>
      <x:c r="L1148" t="str">
        <x:f>IF(K1148="","",ROW()-ROW($L$2)-INDEX($H$3:$H$168,K1148))</x:f>
      </x:c>
      <x:c r="M1148" t="str">
        <x:f>IF(K1148="","",IF(L1148=1,1,FIND(CHAR(1),SUBSTITUTE(INDEX($B$3:$B$168,K1148),CHAR(10),CHAR(1),L1148-1))+1))</x:f>
      </x:c>
      <x:c r="N1148" t="str">
        <x:f>IF(K1148="","",IFERROR(FIND(CHAR(1),SUBSTITUTE(INDEX($B$3:$B$168,K1148),CHAR(10),CHAR(1),L1148)),LEN(INDEX($B$3:$B$168,K1148))+1))</x:f>
      </x:c>
    </x:row>
    <x:row r="1149">
      <x:c r="A1149"/>
      <x:c r="B1149"/>
      <x:c r="C1149"/>
      <x:c r="D1149" t="str">
        <x:f>IFERROR(IF(1147&lt;=$O$1,INDEX($A$3:$A$168,MATCH(1147,$I$3:$I$168,0)),IF(1147&lt;=$O$1+$O$2,INDEX($F$3:$F$1994,MATCH(1147-$O$1,$G$3:$G$1994,0)),"")),"")</x:f>
      </x:c>
      <x:c r="E1149" t="str">
        <x:f>IF(K1149="","",IF(N1149&lt;=M1149,"",TRIM(CLEAN(MID(INDEX($B$3:$B$168,K1149),M1149,N1149-M1149)))))</x:f>
      </x:c>
      <x:c r="F1149" t="str">
        <x:f>IF(E1149="","",IF(E1149=TRIM(INDEX($A$3:$A$168,K1149)),"",IF(RIGHT(TRIM(INDEX($A$3:$A$168,K1149)),1)="]",LEFT(TRIM(INDEX($A$3:$A$168,K1149)),LEN(TRIM(INDEX($A$3:$A$168,K1149)))-1)&amp;", "&amp;SUBSTITUTE(SUBSTITUTE(SUBSTITUTE(E1149," [",", "),"[",", "),"]","")&amp;"]",TRIM(INDEX($A$3:$A$168,K1149))&amp;" ["&amp;SUBSTITUTE(SUBSTITUTE(SUBSTITUTE(E1149," [",", "),"[",", "),"]","")&amp;"]")))</x:f>
      </x:c>
      <x:c r="G1149" t="str">
        <x:f>IF(F1149&lt;&gt;"",ROWS($F$3:F1149)-COUNTBLANK($F$3:F1149),"")</x:f>
      </x:c>
      <x:c r="H1149"/>
      <x:c r="I1149"/>
      <x:c r="J1149"/>
      <x:c r="K1149" t="str">
        <x:f>IF(ROW()-ROW($K$2)&lt;=SUM($J$3:$J$168),COUNTIF($H$3:$H$168,"&lt;"&amp;(ROW()-ROW($K$2))),"")</x:f>
      </x:c>
      <x:c r="L1149" t="str">
        <x:f>IF(K1149="","",ROW()-ROW($L$2)-INDEX($H$3:$H$168,K1149))</x:f>
      </x:c>
      <x:c r="M1149" t="str">
        <x:f>IF(K1149="","",IF(L1149=1,1,FIND(CHAR(1),SUBSTITUTE(INDEX($B$3:$B$168,K1149),CHAR(10),CHAR(1),L1149-1))+1))</x:f>
      </x:c>
      <x:c r="N1149" t="str">
        <x:f>IF(K1149="","",IFERROR(FIND(CHAR(1),SUBSTITUTE(INDEX($B$3:$B$168,K1149),CHAR(10),CHAR(1),L1149)),LEN(INDEX($B$3:$B$168,K1149))+1))</x:f>
      </x:c>
    </x:row>
    <x:row r="1150">
      <x:c r="A1150"/>
      <x:c r="B1150"/>
      <x:c r="C1150"/>
      <x:c r="D1150" t="str">
        <x:f>IFERROR(IF(1148&lt;=$O$1,INDEX($A$3:$A$168,MATCH(1148,$I$3:$I$168,0)),IF(1148&lt;=$O$1+$O$2,INDEX($F$3:$F$1994,MATCH(1148-$O$1,$G$3:$G$1994,0)),"")),"")</x:f>
      </x:c>
      <x:c r="E1150" t="str">
        <x:f>IF(K1150="","",IF(N1150&lt;=M1150,"",TRIM(CLEAN(MID(INDEX($B$3:$B$168,K1150),M1150,N1150-M1150)))))</x:f>
      </x:c>
      <x:c r="F1150" t="str">
        <x:f>IF(E1150="","",IF(E1150=TRIM(INDEX($A$3:$A$168,K1150)),"",IF(RIGHT(TRIM(INDEX($A$3:$A$168,K1150)),1)="]",LEFT(TRIM(INDEX($A$3:$A$168,K1150)),LEN(TRIM(INDEX($A$3:$A$168,K1150)))-1)&amp;", "&amp;SUBSTITUTE(SUBSTITUTE(SUBSTITUTE(E1150," [",", "),"[",", "),"]","")&amp;"]",TRIM(INDEX($A$3:$A$168,K1150))&amp;" ["&amp;SUBSTITUTE(SUBSTITUTE(SUBSTITUTE(E1150," [",", "),"[",", "),"]","")&amp;"]")))</x:f>
      </x:c>
      <x:c r="G1150" t="str">
        <x:f>IF(F1150&lt;&gt;"",ROWS($F$3:F1150)-COUNTBLANK($F$3:F1150),"")</x:f>
      </x:c>
      <x:c r="H1150"/>
      <x:c r="I1150"/>
      <x:c r="J1150"/>
      <x:c r="K1150" t="str">
        <x:f>IF(ROW()-ROW($K$2)&lt;=SUM($J$3:$J$168),COUNTIF($H$3:$H$168,"&lt;"&amp;(ROW()-ROW($K$2))),"")</x:f>
      </x:c>
      <x:c r="L1150" t="str">
        <x:f>IF(K1150="","",ROW()-ROW($L$2)-INDEX($H$3:$H$168,K1150))</x:f>
      </x:c>
      <x:c r="M1150" t="str">
        <x:f>IF(K1150="","",IF(L1150=1,1,FIND(CHAR(1),SUBSTITUTE(INDEX($B$3:$B$168,K1150),CHAR(10),CHAR(1),L1150-1))+1))</x:f>
      </x:c>
      <x:c r="N1150" t="str">
        <x:f>IF(K1150="","",IFERROR(FIND(CHAR(1),SUBSTITUTE(INDEX($B$3:$B$168,K1150),CHAR(10),CHAR(1),L1150)),LEN(INDEX($B$3:$B$168,K1150))+1))</x:f>
      </x:c>
    </x:row>
    <x:row r="1151">
      <x:c r="A1151"/>
      <x:c r="B1151"/>
      <x:c r="C1151"/>
      <x:c r="D1151" t="str">
        <x:f>IFERROR(IF(1149&lt;=$O$1,INDEX($A$3:$A$168,MATCH(1149,$I$3:$I$168,0)),IF(1149&lt;=$O$1+$O$2,INDEX($F$3:$F$1994,MATCH(1149-$O$1,$G$3:$G$1994,0)),"")),"")</x:f>
      </x:c>
      <x:c r="E1151" t="str">
        <x:f>IF(K1151="","",IF(N1151&lt;=M1151,"",TRIM(CLEAN(MID(INDEX($B$3:$B$168,K1151),M1151,N1151-M1151)))))</x:f>
      </x:c>
      <x:c r="F1151" t="str">
        <x:f>IF(E1151="","",IF(E1151=TRIM(INDEX($A$3:$A$168,K1151)),"",IF(RIGHT(TRIM(INDEX($A$3:$A$168,K1151)),1)="]",LEFT(TRIM(INDEX($A$3:$A$168,K1151)),LEN(TRIM(INDEX($A$3:$A$168,K1151)))-1)&amp;", "&amp;SUBSTITUTE(SUBSTITUTE(SUBSTITUTE(E1151," [",", "),"[",", "),"]","")&amp;"]",TRIM(INDEX($A$3:$A$168,K1151))&amp;" ["&amp;SUBSTITUTE(SUBSTITUTE(SUBSTITUTE(E1151," [",", "),"[",", "),"]","")&amp;"]")))</x:f>
      </x:c>
      <x:c r="G1151" t="str">
        <x:f>IF(F1151&lt;&gt;"",ROWS($F$3:F1151)-COUNTBLANK($F$3:F1151),"")</x:f>
      </x:c>
      <x:c r="H1151"/>
      <x:c r="I1151"/>
      <x:c r="J1151"/>
      <x:c r="K1151" t="str">
        <x:f>IF(ROW()-ROW($K$2)&lt;=SUM($J$3:$J$168),COUNTIF($H$3:$H$168,"&lt;"&amp;(ROW()-ROW($K$2))),"")</x:f>
      </x:c>
      <x:c r="L1151" t="str">
        <x:f>IF(K1151="","",ROW()-ROW($L$2)-INDEX($H$3:$H$168,K1151))</x:f>
      </x:c>
      <x:c r="M1151" t="str">
        <x:f>IF(K1151="","",IF(L1151=1,1,FIND(CHAR(1),SUBSTITUTE(INDEX($B$3:$B$168,K1151),CHAR(10),CHAR(1),L1151-1))+1))</x:f>
      </x:c>
      <x:c r="N1151" t="str">
        <x:f>IF(K1151="","",IFERROR(FIND(CHAR(1),SUBSTITUTE(INDEX($B$3:$B$168,K1151),CHAR(10),CHAR(1),L1151)),LEN(INDEX($B$3:$B$168,K1151))+1))</x:f>
      </x:c>
    </x:row>
    <x:row r="1152">
      <x:c r="A1152"/>
      <x:c r="B1152"/>
      <x:c r="C1152"/>
      <x:c r="D1152" t="str">
        <x:f>IFERROR(IF(1150&lt;=$O$1,INDEX($A$3:$A$168,MATCH(1150,$I$3:$I$168,0)),IF(1150&lt;=$O$1+$O$2,INDEX($F$3:$F$1994,MATCH(1150-$O$1,$G$3:$G$1994,0)),"")),"")</x:f>
      </x:c>
      <x:c r="E1152" t="str">
        <x:f>IF(K1152="","",IF(N1152&lt;=M1152,"",TRIM(CLEAN(MID(INDEX($B$3:$B$168,K1152),M1152,N1152-M1152)))))</x:f>
      </x:c>
      <x:c r="F1152" t="str">
        <x:f>IF(E1152="","",IF(E1152=TRIM(INDEX($A$3:$A$168,K1152)),"",IF(RIGHT(TRIM(INDEX($A$3:$A$168,K1152)),1)="]",LEFT(TRIM(INDEX($A$3:$A$168,K1152)),LEN(TRIM(INDEX($A$3:$A$168,K1152)))-1)&amp;", "&amp;SUBSTITUTE(SUBSTITUTE(SUBSTITUTE(E1152," [",", "),"[",", "),"]","")&amp;"]",TRIM(INDEX($A$3:$A$168,K1152))&amp;" ["&amp;SUBSTITUTE(SUBSTITUTE(SUBSTITUTE(E1152," [",", "),"[",", "),"]","")&amp;"]")))</x:f>
      </x:c>
      <x:c r="G1152" t="str">
        <x:f>IF(F1152&lt;&gt;"",ROWS($F$3:F1152)-COUNTBLANK($F$3:F1152),"")</x:f>
      </x:c>
      <x:c r="H1152"/>
      <x:c r="I1152"/>
      <x:c r="J1152"/>
      <x:c r="K1152" t="str">
        <x:f>IF(ROW()-ROW($K$2)&lt;=SUM($J$3:$J$168),COUNTIF($H$3:$H$168,"&lt;"&amp;(ROW()-ROW($K$2))),"")</x:f>
      </x:c>
      <x:c r="L1152" t="str">
        <x:f>IF(K1152="","",ROW()-ROW($L$2)-INDEX($H$3:$H$168,K1152))</x:f>
      </x:c>
      <x:c r="M1152" t="str">
        <x:f>IF(K1152="","",IF(L1152=1,1,FIND(CHAR(1),SUBSTITUTE(INDEX($B$3:$B$168,K1152),CHAR(10),CHAR(1),L1152-1))+1))</x:f>
      </x:c>
      <x:c r="N1152" t="str">
        <x:f>IF(K1152="","",IFERROR(FIND(CHAR(1),SUBSTITUTE(INDEX($B$3:$B$168,K1152),CHAR(10),CHAR(1),L1152)),LEN(INDEX($B$3:$B$168,K1152))+1))</x:f>
      </x:c>
    </x:row>
    <x:row r="1153">
      <x:c r="A1153"/>
      <x:c r="B1153"/>
      <x:c r="C1153"/>
      <x:c r="D1153" t="str">
        <x:f>IFERROR(IF(1151&lt;=$O$1,INDEX($A$3:$A$168,MATCH(1151,$I$3:$I$168,0)),IF(1151&lt;=$O$1+$O$2,INDEX($F$3:$F$1994,MATCH(1151-$O$1,$G$3:$G$1994,0)),"")),"")</x:f>
      </x:c>
      <x:c r="E1153" t="str">
        <x:f>IF(K1153="","",IF(N1153&lt;=M1153,"",TRIM(CLEAN(MID(INDEX($B$3:$B$168,K1153),M1153,N1153-M1153)))))</x:f>
      </x:c>
      <x:c r="F1153" t="str">
        <x:f>IF(E1153="","",IF(E1153=TRIM(INDEX($A$3:$A$168,K1153)),"",IF(RIGHT(TRIM(INDEX($A$3:$A$168,K1153)),1)="]",LEFT(TRIM(INDEX($A$3:$A$168,K1153)),LEN(TRIM(INDEX($A$3:$A$168,K1153)))-1)&amp;", "&amp;SUBSTITUTE(SUBSTITUTE(SUBSTITUTE(E1153," [",", "),"[",", "),"]","")&amp;"]",TRIM(INDEX($A$3:$A$168,K1153))&amp;" ["&amp;SUBSTITUTE(SUBSTITUTE(SUBSTITUTE(E1153," [",", "),"[",", "),"]","")&amp;"]")))</x:f>
      </x:c>
      <x:c r="G1153" t="str">
        <x:f>IF(F1153&lt;&gt;"",ROWS($F$3:F1153)-COUNTBLANK($F$3:F1153),"")</x:f>
      </x:c>
      <x:c r="H1153"/>
      <x:c r="I1153"/>
      <x:c r="J1153"/>
      <x:c r="K1153" t="str">
        <x:f>IF(ROW()-ROW($K$2)&lt;=SUM($J$3:$J$168),COUNTIF($H$3:$H$168,"&lt;"&amp;(ROW()-ROW($K$2))),"")</x:f>
      </x:c>
      <x:c r="L1153" t="str">
        <x:f>IF(K1153="","",ROW()-ROW($L$2)-INDEX($H$3:$H$168,K1153))</x:f>
      </x:c>
      <x:c r="M1153" t="str">
        <x:f>IF(K1153="","",IF(L1153=1,1,FIND(CHAR(1),SUBSTITUTE(INDEX($B$3:$B$168,K1153),CHAR(10),CHAR(1),L1153-1))+1))</x:f>
      </x:c>
      <x:c r="N1153" t="str">
        <x:f>IF(K1153="","",IFERROR(FIND(CHAR(1),SUBSTITUTE(INDEX($B$3:$B$168,K1153),CHAR(10),CHAR(1),L1153)),LEN(INDEX($B$3:$B$168,K1153))+1))</x:f>
      </x:c>
    </x:row>
    <x:row r="1154">
      <x:c r="A1154"/>
      <x:c r="B1154"/>
      <x:c r="C1154"/>
      <x:c r="D1154" t="str">
        <x:f>IFERROR(IF(1152&lt;=$O$1,INDEX($A$3:$A$168,MATCH(1152,$I$3:$I$168,0)),IF(1152&lt;=$O$1+$O$2,INDEX($F$3:$F$1994,MATCH(1152-$O$1,$G$3:$G$1994,0)),"")),"")</x:f>
      </x:c>
      <x:c r="E1154" t="str">
        <x:f>IF(K1154="","",IF(N1154&lt;=M1154,"",TRIM(CLEAN(MID(INDEX($B$3:$B$168,K1154),M1154,N1154-M1154)))))</x:f>
      </x:c>
      <x:c r="F1154" t="str">
        <x:f>IF(E1154="","",IF(E1154=TRIM(INDEX($A$3:$A$168,K1154)),"",IF(RIGHT(TRIM(INDEX($A$3:$A$168,K1154)),1)="]",LEFT(TRIM(INDEX($A$3:$A$168,K1154)),LEN(TRIM(INDEX($A$3:$A$168,K1154)))-1)&amp;", "&amp;SUBSTITUTE(SUBSTITUTE(SUBSTITUTE(E1154," [",", "),"[",", "),"]","")&amp;"]",TRIM(INDEX($A$3:$A$168,K1154))&amp;" ["&amp;SUBSTITUTE(SUBSTITUTE(SUBSTITUTE(E1154," [",", "),"[",", "),"]","")&amp;"]")))</x:f>
      </x:c>
      <x:c r="G1154" t="str">
        <x:f>IF(F1154&lt;&gt;"",ROWS($F$3:F1154)-COUNTBLANK($F$3:F1154),"")</x:f>
      </x:c>
      <x:c r="H1154"/>
      <x:c r="I1154"/>
      <x:c r="J1154"/>
      <x:c r="K1154" t="str">
        <x:f>IF(ROW()-ROW($K$2)&lt;=SUM($J$3:$J$168),COUNTIF($H$3:$H$168,"&lt;"&amp;(ROW()-ROW($K$2))),"")</x:f>
      </x:c>
      <x:c r="L1154" t="str">
        <x:f>IF(K1154="","",ROW()-ROW($L$2)-INDEX($H$3:$H$168,K1154))</x:f>
      </x:c>
      <x:c r="M1154" t="str">
        <x:f>IF(K1154="","",IF(L1154=1,1,FIND(CHAR(1),SUBSTITUTE(INDEX($B$3:$B$168,K1154),CHAR(10),CHAR(1),L1154-1))+1))</x:f>
      </x:c>
      <x:c r="N1154" t="str">
        <x:f>IF(K1154="","",IFERROR(FIND(CHAR(1),SUBSTITUTE(INDEX($B$3:$B$168,K1154),CHAR(10),CHAR(1),L1154)),LEN(INDEX($B$3:$B$168,K1154))+1))</x:f>
      </x:c>
    </x:row>
    <x:row r="1155">
      <x:c r="A1155"/>
      <x:c r="B1155"/>
      <x:c r="C1155"/>
      <x:c r="D1155" t="str">
        <x:f>IFERROR(IF(1153&lt;=$O$1,INDEX($A$3:$A$168,MATCH(1153,$I$3:$I$168,0)),IF(1153&lt;=$O$1+$O$2,INDEX($F$3:$F$1994,MATCH(1153-$O$1,$G$3:$G$1994,0)),"")),"")</x:f>
      </x:c>
      <x:c r="E1155" t="str">
        <x:f>IF(K1155="","",IF(N1155&lt;=M1155,"",TRIM(CLEAN(MID(INDEX($B$3:$B$168,K1155),M1155,N1155-M1155)))))</x:f>
      </x:c>
      <x:c r="F1155" t="str">
        <x:f>IF(E1155="","",IF(E1155=TRIM(INDEX($A$3:$A$168,K1155)),"",IF(RIGHT(TRIM(INDEX($A$3:$A$168,K1155)),1)="]",LEFT(TRIM(INDEX($A$3:$A$168,K1155)),LEN(TRIM(INDEX($A$3:$A$168,K1155)))-1)&amp;", "&amp;SUBSTITUTE(SUBSTITUTE(SUBSTITUTE(E1155," [",", "),"[",", "),"]","")&amp;"]",TRIM(INDEX($A$3:$A$168,K1155))&amp;" ["&amp;SUBSTITUTE(SUBSTITUTE(SUBSTITUTE(E1155," [",", "),"[",", "),"]","")&amp;"]")))</x:f>
      </x:c>
      <x:c r="G1155" t="str">
        <x:f>IF(F1155&lt;&gt;"",ROWS($F$3:F1155)-COUNTBLANK($F$3:F1155),"")</x:f>
      </x:c>
      <x:c r="H1155"/>
      <x:c r="I1155"/>
      <x:c r="J1155"/>
      <x:c r="K1155" t="str">
        <x:f>IF(ROW()-ROW($K$2)&lt;=SUM($J$3:$J$168),COUNTIF($H$3:$H$168,"&lt;"&amp;(ROW()-ROW($K$2))),"")</x:f>
      </x:c>
      <x:c r="L1155" t="str">
        <x:f>IF(K1155="","",ROW()-ROW($L$2)-INDEX($H$3:$H$168,K1155))</x:f>
      </x:c>
      <x:c r="M1155" t="str">
        <x:f>IF(K1155="","",IF(L1155=1,1,FIND(CHAR(1),SUBSTITUTE(INDEX($B$3:$B$168,K1155),CHAR(10),CHAR(1),L1155-1))+1))</x:f>
      </x:c>
      <x:c r="N1155" t="str">
        <x:f>IF(K1155="","",IFERROR(FIND(CHAR(1),SUBSTITUTE(INDEX($B$3:$B$168,K1155),CHAR(10),CHAR(1),L1155)),LEN(INDEX($B$3:$B$168,K1155))+1))</x:f>
      </x:c>
    </x:row>
    <x:row r="1156">
      <x:c r="A1156"/>
      <x:c r="B1156"/>
      <x:c r="C1156"/>
      <x:c r="D1156" t="str">
        <x:f>IFERROR(IF(1154&lt;=$O$1,INDEX($A$3:$A$168,MATCH(1154,$I$3:$I$168,0)),IF(1154&lt;=$O$1+$O$2,INDEX($F$3:$F$1994,MATCH(1154-$O$1,$G$3:$G$1994,0)),"")),"")</x:f>
      </x:c>
      <x:c r="E1156" t="str">
        <x:f>IF(K1156="","",IF(N1156&lt;=M1156,"",TRIM(CLEAN(MID(INDEX($B$3:$B$168,K1156),M1156,N1156-M1156)))))</x:f>
      </x:c>
      <x:c r="F1156" t="str">
        <x:f>IF(E1156="","",IF(E1156=TRIM(INDEX($A$3:$A$168,K1156)),"",IF(RIGHT(TRIM(INDEX($A$3:$A$168,K1156)),1)="]",LEFT(TRIM(INDEX($A$3:$A$168,K1156)),LEN(TRIM(INDEX($A$3:$A$168,K1156)))-1)&amp;", "&amp;SUBSTITUTE(SUBSTITUTE(SUBSTITUTE(E1156," [",", "),"[",", "),"]","")&amp;"]",TRIM(INDEX($A$3:$A$168,K1156))&amp;" ["&amp;SUBSTITUTE(SUBSTITUTE(SUBSTITUTE(E1156," [",", "),"[",", "),"]","")&amp;"]")))</x:f>
      </x:c>
      <x:c r="G1156" t="str">
        <x:f>IF(F1156&lt;&gt;"",ROWS($F$3:F1156)-COUNTBLANK($F$3:F1156),"")</x:f>
      </x:c>
      <x:c r="H1156"/>
      <x:c r="I1156"/>
      <x:c r="J1156"/>
      <x:c r="K1156" t="str">
        <x:f>IF(ROW()-ROW($K$2)&lt;=SUM($J$3:$J$168),COUNTIF($H$3:$H$168,"&lt;"&amp;(ROW()-ROW($K$2))),"")</x:f>
      </x:c>
      <x:c r="L1156" t="str">
        <x:f>IF(K1156="","",ROW()-ROW($L$2)-INDEX($H$3:$H$168,K1156))</x:f>
      </x:c>
      <x:c r="M1156" t="str">
        <x:f>IF(K1156="","",IF(L1156=1,1,FIND(CHAR(1),SUBSTITUTE(INDEX($B$3:$B$168,K1156),CHAR(10),CHAR(1),L1156-1))+1))</x:f>
      </x:c>
      <x:c r="N1156" t="str">
        <x:f>IF(K1156="","",IFERROR(FIND(CHAR(1),SUBSTITUTE(INDEX($B$3:$B$168,K1156),CHAR(10),CHAR(1),L1156)),LEN(INDEX($B$3:$B$168,K1156))+1))</x:f>
      </x:c>
    </x:row>
    <x:row r="1157">
      <x:c r="A1157"/>
      <x:c r="B1157"/>
      <x:c r="C1157"/>
      <x:c r="D1157" t="str">
        <x:f>IFERROR(IF(1155&lt;=$O$1,INDEX($A$3:$A$168,MATCH(1155,$I$3:$I$168,0)),IF(1155&lt;=$O$1+$O$2,INDEX($F$3:$F$1994,MATCH(1155-$O$1,$G$3:$G$1994,0)),"")),"")</x:f>
      </x:c>
      <x:c r="E1157" t="str">
        <x:f>IF(K1157="","",IF(N1157&lt;=M1157,"",TRIM(CLEAN(MID(INDEX($B$3:$B$168,K1157),M1157,N1157-M1157)))))</x:f>
      </x:c>
      <x:c r="F1157" t="str">
        <x:f>IF(E1157="","",IF(E1157=TRIM(INDEX($A$3:$A$168,K1157)),"",IF(RIGHT(TRIM(INDEX($A$3:$A$168,K1157)),1)="]",LEFT(TRIM(INDEX($A$3:$A$168,K1157)),LEN(TRIM(INDEX($A$3:$A$168,K1157)))-1)&amp;", "&amp;SUBSTITUTE(SUBSTITUTE(SUBSTITUTE(E1157," [",", "),"[",", "),"]","")&amp;"]",TRIM(INDEX($A$3:$A$168,K1157))&amp;" ["&amp;SUBSTITUTE(SUBSTITUTE(SUBSTITUTE(E1157," [",", "),"[",", "),"]","")&amp;"]")))</x:f>
      </x:c>
      <x:c r="G1157" t="str">
        <x:f>IF(F1157&lt;&gt;"",ROWS($F$3:F1157)-COUNTBLANK($F$3:F1157),"")</x:f>
      </x:c>
      <x:c r="H1157"/>
      <x:c r="I1157"/>
      <x:c r="J1157"/>
      <x:c r="K1157" t="str">
        <x:f>IF(ROW()-ROW($K$2)&lt;=SUM($J$3:$J$168),COUNTIF($H$3:$H$168,"&lt;"&amp;(ROW()-ROW($K$2))),"")</x:f>
      </x:c>
      <x:c r="L1157" t="str">
        <x:f>IF(K1157="","",ROW()-ROW($L$2)-INDEX($H$3:$H$168,K1157))</x:f>
      </x:c>
      <x:c r="M1157" t="str">
        <x:f>IF(K1157="","",IF(L1157=1,1,FIND(CHAR(1),SUBSTITUTE(INDEX($B$3:$B$168,K1157),CHAR(10),CHAR(1),L1157-1))+1))</x:f>
      </x:c>
      <x:c r="N1157" t="str">
        <x:f>IF(K1157="","",IFERROR(FIND(CHAR(1),SUBSTITUTE(INDEX($B$3:$B$168,K1157),CHAR(10),CHAR(1),L1157)),LEN(INDEX($B$3:$B$168,K1157))+1))</x:f>
      </x:c>
    </x:row>
    <x:row r="1158">
      <x:c r="A1158"/>
      <x:c r="B1158"/>
      <x:c r="C1158"/>
      <x:c r="D1158" t="str">
        <x:f>IFERROR(IF(1156&lt;=$O$1,INDEX($A$3:$A$168,MATCH(1156,$I$3:$I$168,0)),IF(1156&lt;=$O$1+$O$2,INDEX($F$3:$F$1994,MATCH(1156-$O$1,$G$3:$G$1994,0)),"")),"")</x:f>
      </x:c>
      <x:c r="E1158" t="str">
        <x:f>IF(K1158="","",IF(N1158&lt;=M1158,"",TRIM(CLEAN(MID(INDEX($B$3:$B$168,K1158),M1158,N1158-M1158)))))</x:f>
      </x:c>
      <x:c r="F1158" t="str">
        <x:f>IF(E1158="","",IF(E1158=TRIM(INDEX($A$3:$A$168,K1158)),"",IF(RIGHT(TRIM(INDEX($A$3:$A$168,K1158)),1)="]",LEFT(TRIM(INDEX($A$3:$A$168,K1158)),LEN(TRIM(INDEX($A$3:$A$168,K1158)))-1)&amp;", "&amp;SUBSTITUTE(SUBSTITUTE(SUBSTITUTE(E1158," [",", "),"[",", "),"]","")&amp;"]",TRIM(INDEX($A$3:$A$168,K1158))&amp;" ["&amp;SUBSTITUTE(SUBSTITUTE(SUBSTITUTE(E1158," [",", "),"[",", "),"]","")&amp;"]")))</x:f>
      </x:c>
      <x:c r="G1158" t="str">
        <x:f>IF(F1158&lt;&gt;"",ROWS($F$3:F1158)-COUNTBLANK($F$3:F1158),"")</x:f>
      </x:c>
      <x:c r="H1158"/>
      <x:c r="I1158"/>
      <x:c r="J1158"/>
      <x:c r="K1158" t="str">
        <x:f>IF(ROW()-ROW($K$2)&lt;=SUM($J$3:$J$168),COUNTIF($H$3:$H$168,"&lt;"&amp;(ROW()-ROW($K$2))),"")</x:f>
      </x:c>
      <x:c r="L1158" t="str">
        <x:f>IF(K1158="","",ROW()-ROW($L$2)-INDEX($H$3:$H$168,K1158))</x:f>
      </x:c>
      <x:c r="M1158" t="str">
        <x:f>IF(K1158="","",IF(L1158=1,1,FIND(CHAR(1),SUBSTITUTE(INDEX($B$3:$B$168,K1158),CHAR(10),CHAR(1),L1158-1))+1))</x:f>
      </x:c>
      <x:c r="N1158" t="str">
        <x:f>IF(K1158="","",IFERROR(FIND(CHAR(1),SUBSTITUTE(INDEX($B$3:$B$168,K1158),CHAR(10),CHAR(1),L1158)),LEN(INDEX($B$3:$B$168,K1158))+1))</x:f>
      </x:c>
    </x:row>
    <x:row r="1159">
      <x:c r="A1159"/>
      <x:c r="B1159"/>
      <x:c r="C1159"/>
      <x:c r="D1159" t="str">
        <x:f>IFERROR(IF(1157&lt;=$O$1,INDEX($A$3:$A$168,MATCH(1157,$I$3:$I$168,0)),IF(1157&lt;=$O$1+$O$2,INDEX($F$3:$F$1994,MATCH(1157-$O$1,$G$3:$G$1994,0)),"")),"")</x:f>
      </x:c>
      <x:c r="E1159" t="str">
        <x:f>IF(K1159="","",IF(N1159&lt;=M1159,"",TRIM(CLEAN(MID(INDEX($B$3:$B$168,K1159),M1159,N1159-M1159)))))</x:f>
      </x:c>
      <x:c r="F1159" t="str">
        <x:f>IF(E1159="","",IF(E1159=TRIM(INDEX($A$3:$A$168,K1159)),"",IF(RIGHT(TRIM(INDEX($A$3:$A$168,K1159)),1)="]",LEFT(TRIM(INDEX($A$3:$A$168,K1159)),LEN(TRIM(INDEX($A$3:$A$168,K1159)))-1)&amp;", "&amp;SUBSTITUTE(SUBSTITUTE(SUBSTITUTE(E1159," [",", "),"[",", "),"]","")&amp;"]",TRIM(INDEX($A$3:$A$168,K1159))&amp;" ["&amp;SUBSTITUTE(SUBSTITUTE(SUBSTITUTE(E1159," [",", "),"[",", "),"]","")&amp;"]")))</x:f>
      </x:c>
      <x:c r="G1159" t="str">
        <x:f>IF(F1159&lt;&gt;"",ROWS($F$3:F1159)-COUNTBLANK($F$3:F1159),"")</x:f>
      </x:c>
      <x:c r="H1159"/>
      <x:c r="I1159"/>
      <x:c r="J1159"/>
      <x:c r="K1159" t="str">
        <x:f>IF(ROW()-ROW($K$2)&lt;=SUM($J$3:$J$168),COUNTIF($H$3:$H$168,"&lt;"&amp;(ROW()-ROW($K$2))),"")</x:f>
      </x:c>
      <x:c r="L1159" t="str">
        <x:f>IF(K1159="","",ROW()-ROW($L$2)-INDEX($H$3:$H$168,K1159))</x:f>
      </x:c>
      <x:c r="M1159" t="str">
        <x:f>IF(K1159="","",IF(L1159=1,1,FIND(CHAR(1),SUBSTITUTE(INDEX($B$3:$B$168,K1159),CHAR(10),CHAR(1),L1159-1))+1))</x:f>
      </x:c>
      <x:c r="N1159" t="str">
        <x:f>IF(K1159="","",IFERROR(FIND(CHAR(1),SUBSTITUTE(INDEX($B$3:$B$168,K1159),CHAR(10),CHAR(1),L1159)),LEN(INDEX($B$3:$B$168,K1159))+1))</x:f>
      </x:c>
    </x:row>
    <x:row r="1160">
      <x:c r="A1160"/>
      <x:c r="B1160"/>
      <x:c r="C1160"/>
      <x:c r="D1160" t="str">
        <x:f>IFERROR(IF(1158&lt;=$O$1,INDEX($A$3:$A$168,MATCH(1158,$I$3:$I$168,0)),IF(1158&lt;=$O$1+$O$2,INDEX($F$3:$F$1994,MATCH(1158-$O$1,$G$3:$G$1994,0)),"")),"")</x:f>
      </x:c>
      <x:c r="E1160" t="str">
        <x:f>IF(K1160="","",IF(N1160&lt;=M1160,"",TRIM(CLEAN(MID(INDEX($B$3:$B$168,K1160),M1160,N1160-M1160)))))</x:f>
      </x:c>
      <x:c r="F1160" t="str">
        <x:f>IF(E1160="","",IF(E1160=TRIM(INDEX($A$3:$A$168,K1160)),"",IF(RIGHT(TRIM(INDEX($A$3:$A$168,K1160)),1)="]",LEFT(TRIM(INDEX($A$3:$A$168,K1160)),LEN(TRIM(INDEX($A$3:$A$168,K1160)))-1)&amp;", "&amp;SUBSTITUTE(SUBSTITUTE(SUBSTITUTE(E1160," [",", "),"[",", "),"]","")&amp;"]",TRIM(INDEX($A$3:$A$168,K1160))&amp;" ["&amp;SUBSTITUTE(SUBSTITUTE(SUBSTITUTE(E1160," [",", "),"[",", "),"]","")&amp;"]")))</x:f>
      </x:c>
      <x:c r="G1160" t="str">
        <x:f>IF(F1160&lt;&gt;"",ROWS($F$3:F1160)-COUNTBLANK($F$3:F1160),"")</x:f>
      </x:c>
      <x:c r="H1160"/>
      <x:c r="I1160"/>
      <x:c r="J1160"/>
      <x:c r="K1160" t="str">
        <x:f>IF(ROW()-ROW($K$2)&lt;=SUM($J$3:$J$168),COUNTIF($H$3:$H$168,"&lt;"&amp;(ROW()-ROW($K$2))),"")</x:f>
      </x:c>
      <x:c r="L1160" t="str">
        <x:f>IF(K1160="","",ROW()-ROW($L$2)-INDEX($H$3:$H$168,K1160))</x:f>
      </x:c>
      <x:c r="M1160" t="str">
        <x:f>IF(K1160="","",IF(L1160=1,1,FIND(CHAR(1),SUBSTITUTE(INDEX($B$3:$B$168,K1160),CHAR(10),CHAR(1),L1160-1))+1))</x:f>
      </x:c>
      <x:c r="N1160" t="str">
        <x:f>IF(K1160="","",IFERROR(FIND(CHAR(1),SUBSTITUTE(INDEX($B$3:$B$168,K1160),CHAR(10),CHAR(1),L1160)),LEN(INDEX($B$3:$B$168,K1160))+1))</x:f>
      </x:c>
    </x:row>
    <x:row r="1161">
      <x:c r="A1161"/>
      <x:c r="B1161"/>
      <x:c r="C1161"/>
      <x:c r="D1161" t="str">
        <x:f>IFERROR(IF(1159&lt;=$O$1,INDEX($A$3:$A$168,MATCH(1159,$I$3:$I$168,0)),IF(1159&lt;=$O$1+$O$2,INDEX($F$3:$F$1994,MATCH(1159-$O$1,$G$3:$G$1994,0)),"")),"")</x:f>
      </x:c>
      <x:c r="E1161" t="str">
        <x:f>IF(K1161="","",IF(N1161&lt;=M1161,"",TRIM(CLEAN(MID(INDEX($B$3:$B$168,K1161),M1161,N1161-M1161)))))</x:f>
      </x:c>
      <x:c r="F1161" t="str">
        <x:f>IF(E1161="","",IF(E1161=TRIM(INDEX($A$3:$A$168,K1161)),"",IF(RIGHT(TRIM(INDEX($A$3:$A$168,K1161)),1)="]",LEFT(TRIM(INDEX($A$3:$A$168,K1161)),LEN(TRIM(INDEX($A$3:$A$168,K1161)))-1)&amp;", "&amp;SUBSTITUTE(SUBSTITUTE(SUBSTITUTE(E1161," [",", "),"[",", "),"]","")&amp;"]",TRIM(INDEX($A$3:$A$168,K1161))&amp;" ["&amp;SUBSTITUTE(SUBSTITUTE(SUBSTITUTE(E1161," [",", "),"[",", "),"]","")&amp;"]")))</x:f>
      </x:c>
      <x:c r="G1161" t="str">
        <x:f>IF(F1161&lt;&gt;"",ROWS($F$3:F1161)-COUNTBLANK($F$3:F1161),"")</x:f>
      </x:c>
      <x:c r="H1161"/>
      <x:c r="I1161"/>
      <x:c r="J1161"/>
      <x:c r="K1161" t="str">
        <x:f>IF(ROW()-ROW($K$2)&lt;=SUM($J$3:$J$168),COUNTIF($H$3:$H$168,"&lt;"&amp;(ROW()-ROW($K$2))),"")</x:f>
      </x:c>
      <x:c r="L1161" t="str">
        <x:f>IF(K1161="","",ROW()-ROW($L$2)-INDEX($H$3:$H$168,K1161))</x:f>
      </x:c>
      <x:c r="M1161" t="str">
        <x:f>IF(K1161="","",IF(L1161=1,1,FIND(CHAR(1),SUBSTITUTE(INDEX($B$3:$B$168,K1161),CHAR(10),CHAR(1),L1161-1))+1))</x:f>
      </x:c>
      <x:c r="N1161" t="str">
        <x:f>IF(K1161="","",IFERROR(FIND(CHAR(1),SUBSTITUTE(INDEX($B$3:$B$168,K1161),CHAR(10),CHAR(1),L1161)),LEN(INDEX($B$3:$B$168,K1161))+1))</x:f>
      </x:c>
    </x:row>
    <x:row r="1162">
      <x:c r="A1162"/>
      <x:c r="B1162"/>
      <x:c r="C1162"/>
      <x:c r="D1162" t="str">
        <x:f>IFERROR(IF(1160&lt;=$O$1,INDEX($A$3:$A$168,MATCH(1160,$I$3:$I$168,0)),IF(1160&lt;=$O$1+$O$2,INDEX($F$3:$F$1994,MATCH(1160-$O$1,$G$3:$G$1994,0)),"")),"")</x:f>
      </x:c>
      <x:c r="E1162" t="str">
        <x:f>IF(K1162="","",IF(N1162&lt;=M1162,"",TRIM(CLEAN(MID(INDEX($B$3:$B$168,K1162),M1162,N1162-M1162)))))</x:f>
      </x:c>
      <x:c r="F1162" t="str">
        <x:f>IF(E1162="","",IF(E1162=TRIM(INDEX($A$3:$A$168,K1162)),"",IF(RIGHT(TRIM(INDEX($A$3:$A$168,K1162)),1)="]",LEFT(TRIM(INDEX($A$3:$A$168,K1162)),LEN(TRIM(INDEX($A$3:$A$168,K1162)))-1)&amp;", "&amp;SUBSTITUTE(SUBSTITUTE(SUBSTITUTE(E1162," [",", "),"[",", "),"]","")&amp;"]",TRIM(INDEX($A$3:$A$168,K1162))&amp;" ["&amp;SUBSTITUTE(SUBSTITUTE(SUBSTITUTE(E1162," [",", "),"[",", "),"]","")&amp;"]")))</x:f>
      </x:c>
      <x:c r="G1162" t="str">
        <x:f>IF(F1162&lt;&gt;"",ROWS($F$3:F1162)-COUNTBLANK($F$3:F1162),"")</x:f>
      </x:c>
      <x:c r="H1162"/>
      <x:c r="I1162"/>
      <x:c r="J1162"/>
      <x:c r="K1162" t="str">
        <x:f>IF(ROW()-ROW($K$2)&lt;=SUM($J$3:$J$168),COUNTIF($H$3:$H$168,"&lt;"&amp;(ROW()-ROW($K$2))),"")</x:f>
      </x:c>
      <x:c r="L1162" t="str">
        <x:f>IF(K1162="","",ROW()-ROW($L$2)-INDEX($H$3:$H$168,K1162))</x:f>
      </x:c>
      <x:c r="M1162" t="str">
        <x:f>IF(K1162="","",IF(L1162=1,1,FIND(CHAR(1),SUBSTITUTE(INDEX($B$3:$B$168,K1162),CHAR(10),CHAR(1),L1162-1))+1))</x:f>
      </x:c>
      <x:c r="N1162" t="str">
        <x:f>IF(K1162="","",IFERROR(FIND(CHAR(1),SUBSTITUTE(INDEX($B$3:$B$168,K1162),CHAR(10),CHAR(1),L1162)),LEN(INDEX($B$3:$B$168,K1162))+1))</x:f>
      </x:c>
    </x:row>
    <x:row r="1163">
      <x:c r="A1163"/>
      <x:c r="B1163"/>
      <x:c r="C1163"/>
      <x:c r="D1163" t="str">
        <x:f>IFERROR(IF(1161&lt;=$O$1,INDEX($A$3:$A$168,MATCH(1161,$I$3:$I$168,0)),IF(1161&lt;=$O$1+$O$2,INDEX($F$3:$F$1994,MATCH(1161-$O$1,$G$3:$G$1994,0)),"")),"")</x:f>
      </x:c>
      <x:c r="E1163" t="str">
        <x:f>IF(K1163="","",IF(N1163&lt;=M1163,"",TRIM(CLEAN(MID(INDEX($B$3:$B$168,K1163),M1163,N1163-M1163)))))</x:f>
      </x:c>
      <x:c r="F1163" t="str">
        <x:f>IF(E1163="","",IF(E1163=TRIM(INDEX($A$3:$A$168,K1163)),"",IF(RIGHT(TRIM(INDEX($A$3:$A$168,K1163)),1)="]",LEFT(TRIM(INDEX($A$3:$A$168,K1163)),LEN(TRIM(INDEX($A$3:$A$168,K1163)))-1)&amp;", "&amp;SUBSTITUTE(SUBSTITUTE(SUBSTITUTE(E1163," [",", "),"[",", "),"]","")&amp;"]",TRIM(INDEX($A$3:$A$168,K1163))&amp;" ["&amp;SUBSTITUTE(SUBSTITUTE(SUBSTITUTE(E1163," [",", "),"[",", "),"]","")&amp;"]")))</x:f>
      </x:c>
      <x:c r="G1163" t="str">
        <x:f>IF(F1163&lt;&gt;"",ROWS($F$3:F1163)-COUNTBLANK($F$3:F1163),"")</x:f>
      </x:c>
      <x:c r="H1163"/>
      <x:c r="I1163"/>
      <x:c r="J1163"/>
      <x:c r="K1163" t="str">
        <x:f>IF(ROW()-ROW($K$2)&lt;=SUM($J$3:$J$168),COUNTIF($H$3:$H$168,"&lt;"&amp;(ROW()-ROW($K$2))),"")</x:f>
      </x:c>
      <x:c r="L1163" t="str">
        <x:f>IF(K1163="","",ROW()-ROW($L$2)-INDEX($H$3:$H$168,K1163))</x:f>
      </x:c>
      <x:c r="M1163" t="str">
        <x:f>IF(K1163="","",IF(L1163=1,1,FIND(CHAR(1),SUBSTITUTE(INDEX($B$3:$B$168,K1163),CHAR(10),CHAR(1),L1163-1))+1))</x:f>
      </x:c>
      <x:c r="N1163" t="str">
        <x:f>IF(K1163="","",IFERROR(FIND(CHAR(1),SUBSTITUTE(INDEX($B$3:$B$168,K1163),CHAR(10),CHAR(1),L1163)),LEN(INDEX($B$3:$B$168,K1163))+1))</x:f>
      </x:c>
    </x:row>
    <x:row r="1164">
      <x:c r="A1164"/>
      <x:c r="B1164"/>
      <x:c r="C1164"/>
      <x:c r="D1164" t="str">
        <x:f>IFERROR(IF(1162&lt;=$O$1,INDEX($A$3:$A$168,MATCH(1162,$I$3:$I$168,0)),IF(1162&lt;=$O$1+$O$2,INDEX($F$3:$F$1994,MATCH(1162-$O$1,$G$3:$G$1994,0)),"")),"")</x:f>
      </x:c>
      <x:c r="E1164" t="str">
        <x:f>IF(K1164="","",IF(N1164&lt;=M1164,"",TRIM(CLEAN(MID(INDEX($B$3:$B$168,K1164),M1164,N1164-M1164)))))</x:f>
      </x:c>
      <x:c r="F1164" t="str">
        <x:f>IF(E1164="","",IF(E1164=TRIM(INDEX($A$3:$A$168,K1164)),"",IF(RIGHT(TRIM(INDEX($A$3:$A$168,K1164)),1)="]",LEFT(TRIM(INDEX($A$3:$A$168,K1164)),LEN(TRIM(INDEX($A$3:$A$168,K1164)))-1)&amp;", "&amp;SUBSTITUTE(SUBSTITUTE(SUBSTITUTE(E1164," [",", "),"[",", "),"]","")&amp;"]",TRIM(INDEX($A$3:$A$168,K1164))&amp;" ["&amp;SUBSTITUTE(SUBSTITUTE(SUBSTITUTE(E1164," [",", "),"[",", "),"]","")&amp;"]")))</x:f>
      </x:c>
      <x:c r="G1164" t="str">
        <x:f>IF(F1164&lt;&gt;"",ROWS($F$3:F1164)-COUNTBLANK($F$3:F1164),"")</x:f>
      </x:c>
      <x:c r="H1164"/>
      <x:c r="I1164"/>
      <x:c r="J1164"/>
      <x:c r="K1164" t="str">
        <x:f>IF(ROW()-ROW($K$2)&lt;=SUM($J$3:$J$168),COUNTIF($H$3:$H$168,"&lt;"&amp;(ROW()-ROW($K$2))),"")</x:f>
      </x:c>
      <x:c r="L1164" t="str">
        <x:f>IF(K1164="","",ROW()-ROW($L$2)-INDEX($H$3:$H$168,K1164))</x:f>
      </x:c>
      <x:c r="M1164" t="str">
        <x:f>IF(K1164="","",IF(L1164=1,1,FIND(CHAR(1),SUBSTITUTE(INDEX($B$3:$B$168,K1164),CHAR(10),CHAR(1),L1164-1))+1))</x:f>
      </x:c>
      <x:c r="N1164" t="str">
        <x:f>IF(K1164="","",IFERROR(FIND(CHAR(1),SUBSTITUTE(INDEX($B$3:$B$168,K1164),CHAR(10),CHAR(1),L1164)),LEN(INDEX($B$3:$B$168,K1164))+1))</x:f>
      </x:c>
    </x:row>
    <x:row r="1165">
      <x:c r="A1165"/>
      <x:c r="B1165"/>
      <x:c r="C1165"/>
      <x:c r="D1165" t="str">
        <x:f>IFERROR(IF(1163&lt;=$O$1,INDEX($A$3:$A$168,MATCH(1163,$I$3:$I$168,0)),IF(1163&lt;=$O$1+$O$2,INDEX($F$3:$F$1994,MATCH(1163-$O$1,$G$3:$G$1994,0)),"")),"")</x:f>
      </x:c>
      <x:c r="E1165" t="str">
        <x:f>IF(K1165="","",IF(N1165&lt;=M1165,"",TRIM(CLEAN(MID(INDEX($B$3:$B$168,K1165),M1165,N1165-M1165)))))</x:f>
      </x:c>
      <x:c r="F1165" t="str">
        <x:f>IF(E1165="","",IF(E1165=TRIM(INDEX($A$3:$A$168,K1165)),"",IF(RIGHT(TRIM(INDEX($A$3:$A$168,K1165)),1)="]",LEFT(TRIM(INDEX($A$3:$A$168,K1165)),LEN(TRIM(INDEX($A$3:$A$168,K1165)))-1)&amp;", "&amp;SUBSTITUTE(SUBSTITUTE(SUBSTITUTE(E1165," [",", "),"[",", "),"]","")&amp;"]",TRIM(INDEX($A$3:$A$168,K1165))&amp;" ["&amp;SUBSTITUTE(SUBSTITUTE(SUBSTITUTE(E1165," [",", "),"[",", "),"]","")&amp;"]")))</x:f>
      </x:c>
      <x:c r="G1165" t="str">
        <x:f>IF(F1165&lt;&gt;"",ROWS($F$3:F1165)-COUNTBLANK($F$3:F1165),"")</x:f>
      </x:c>
      <x:c r="H1165"/>
      <x:c r="I1165"/>
      <x:c r="J1165"/>
      <x:c r="K1165" t="str">
        <x:f>IF(ROW()-ROW($K$2)&lt;=SUM($J$3:$J$168),COUNTIF($H$3:$H$168,"&lt;"&amp;(ROW()-ROW($K$2))),"")</x:f>
      </x:c>
      <x:c r="L1165" t="str">
        <x:f>IF(K1165="","",ROW()-ROW($L$2)-INDEX($H$3:$H$168,K1165))</x:f>
      </x:c>
      <x:c r="M1165" t="str">
        <x:f>IF(K1165="","",IF(L1165=1,1,FIND(CHAR(1),SUBSTITUTE(INDEX($B$3:$B$168,K1165),CHAR(10),CHAR(1),L1165-1))+1))</x:f>
      </x:c>
      <x:c r="N1165" t="str">
        <x:f>IF(K1165="","",IFERROR(FIND(CHAR(1),SUBSTITUTE(INDEX($B$3:$B$168,K1165),CHAR(10),CHAR(1),L1165)),LEN(INDEX($B$3:$B$168,K1165))+1))</x:f>
      </x:c>
    </x:row>
    <x:row r="1166">
      <x:c r="A1166"/>
      <x:c r="B1166"/>
      <x:c r="C1166"/>
      <x:c r="D1166" t="str">
        <x:f>IFERROR(IF(1164&lt;=$O$1,INDEX($A$3:$A$168,MATCH(1164,$I$3:$I$168,0)),IF(1164&lt;=$O$1+$O$2,INDEX($F$3:$F$1994,MATCH(1164-$O$1,$G$3:$G$1994,0)),"")),"")</x:f>
      </x:c>
      <x:c r="E1166" t="str">
        <x:f>IF(K1166="","",IF(N1166&lt;=M1166,"",TRIM(CLEAN(MID(INDEX($B$3:$B$168,K1166),M1166,N1166-M1166)))))</x:f>
      </x:c>
      <x:c r="F1166" t="str">
        <x:f>IF(E1166="","",IF(E1166=TRIM(INDEX($A$3:$A$168,K1166)),"",IF(RIGHT(TRIM(INDEX($A$3:$A$168,K1166)),1)="]",LEFT(TRIM(INDEX($A$3:$A$168,K1166)),LEN(TRIM(INDEX($A$3:$A$168,K1166)))-1)&amp;", "&amp;SUBSTITUTE(SUBSTITUTE(SUBSTITUTE(E1166," [",", "),"[",", "),"]","")&amp;"]",TRIM(INDEX($A$3:$A$168,K1166))&amp;" ["&amp;SUBSTITUTE(SUBSTITUTE(SUBSTITUTE(E1166," [",", "),"[",", "),"]","")&amp;"]")))</x:f>
      </x:c>
      <x:c r="G1166" t="str">
        <x:f>IF(F1166&lt;&gt;"",ROWS($F$3:F1166)-COUNTBLANK($F$3:F1166),"")</x:f>
      </x:c>
      <x:c r="H1166"/>
      <x:c r="I1166"/>
      <x:c r="J1166"/>
      <x:c r="K1166" t="str">
        <x:f>IF(ROW()-ROW($K$2)&lt;=SUM($J$3:$J$168),COUNTIF($H$3:$H$168,"&lt;"&amp;(ROW()-ROW($K$2))),"")</x:f>
      </x:c>
      <x:c r="L1166" t="str">
        <x:f>IF(K1166="","",ROW()-ROW($L$2)-INDEX($H$3:$H$168,K1166))</x:f>
      </x:c>
      <x:c r="M1166" t="str">
        <x:f>IF(K1166="","",IF(L1166=1,1,FIND(CHAR(1),SUBSTITUTE(INDEX($B$3:$B$168,K1166),CHAR(10),CHAR(1),L1166-1))+1))</x:f>
      </x:c>
      <x:c r="N1166" t="str">
        <x:f>IF(K1166="","",IFERROR(FIND(CHAR(1),SUBSTITUTE(INDEX($B$3:$B$168,K1166),CHAR(10),CHAR(1),L1166)),LEN(INDEX($B$3:$B$168,K1166))+1))</x:f>
      </x:c>
    </x:row>
    <x:row r="1167">
      <x:c r="A1167"/>
      <x:c r="B1167"/>
      <x:c r="C1167"/>
      <x:c r="D1167" t="str">
        <x:f>IFERROR(IF(1165&lt;=$O$1,INDEX($A$3:$A$168,MATCH(1165,$I$3:$I$168,0)),IF(1165&lt;=$O$1+$O$2,INDEX($F$3:$F$1994,MATCH(1165-$O$1,$G$3:$G$1994,0)),"")),"")</x:f>
      </x:c>
      <x:c r="E1167" t="str">
        <x:f>IF(K1167="","",IF(N1167&lt;=M1167,"",TRIM(CLEAN(MID(INDEX($B$3:$B$168,K1167),M1167,N1167-M1167)))))</x:f>
      </x:c>
      <x:c r="F1167" t="str">
        <x:f>IF(E1167="","",IF(E1167=TRIM(INDEX($A$3:$A$168,K1167)),"",IF(RIGHT(TRIM(INDEX($A$3:$A$168,K1167)),1)="]",LEFT(TRIM(INDEX($A$3:$A$168,K1167)),LEN(TRIM(INDEX($A$3:$A$168,K1167)))-1)&amp;", "&amp;SUBSTITUTE(SUBSTITUTE(SUBSTITUTE(E1167," [",", "),"[",", "),"]","")&amp;"]",TRIM(INDEX($A$3:$A$168,K1167))&amp;" ["&amp;SUBSTITUTE(SUBSTITUTE(SUBSTITUTE(E1167," [",", "),"[",", "),"]","")&amp;"]")))</x:f>
      </x:c>
      <x:c r="G1167" t="str">
        <x:f>IF(F1167&lt;&gt;"",ROWS($F$3:F1167)-COUNTBLANK($F$3:F1167),"")</x:f>
      </x:c>
      <x:c r="H1167"/>
      <x:c r="I1167"/>
      <x:c r="J1167"/>
      <x:c r="K1167" t="str">
        <x:f>IF(ROW()-ROW($K$2)&lt;=SUM($J$3:$J$168),COUNTIF($H$3:$H$168,"&lt;"&amp;(ROW()-ROW($K$2))),"")</x:f>
      </x:c>
      <x:c r="L1167" t="str">
        <x:f>IF(K1167="","",ROW()-ROW($L$2)-INDEX($H$3:$H$168,K1167))</x:f>
      </x:c>
      <x:c r="M1167" t="str">
        <x:f>IF(K1167="","",IF(L1167=1,1,FIND(CHAR(1),SUBSTITUTE(INDEX($B$3:$B$168,K1167),CHAR(10),CHAR(1),L1167-1))+1))</x:f>
      </x:c>
      <x:c r="N1167" t="str">
        <x:f>IF(K1167="","",IFERROR(FIND(CHAR(1),SUBSTITUTE(INDEX($B$3:$B$168,K1167),CHAR(10),CHAR(1),L1167)),LEN(INDEX($B$3:$B$168,K1167))+1))</x:f>
      </x:c>
    </x:row>
    <x:row r="1168">
      <x:c r="A1168"/>
      <x:c r="B1168"/>
      <x:c r="C1168"/>
      <x:c r="D1168" t="str">
        <x:f>IFERROR(IF(1166&lt;=$O$1,INDEX($A$3:$A$168,MATCH(1166,$I$3:$I$168,0)),IF(1166&lt;=$O$1+$O$2,INDEX($F$3:$F$1994,MATCH(1166-$O$1,$G$3:$G$1994,0)),"")),"")</x:f>
      </x:c>
      <x:c r="E1168" t="str">
        <x:f>IF(K1168="","",IF(N1168&lt;=M1168,"",TRIM(CLEAN(MID(INDEX($B$3:$B$168,K1168),M1168,N1168-M1168)))))</x:f>
      </x:c>
      <x:c r="F1168" t="str">
        <x:f>IF(E1168="","",IF(E1168=TRIM(INDEX($A$3:$A$168,K1168)),"",IF(RIGHT(TRIM(INDEX($A$3:$A$168,K1168)),1)="]",LEFT(TRIM(INDEX($A$3:$A$168,K1168)),LEN(TRIM(INDEX($A$3:$A$168,K1168)))-1)&amp;", "&amp;SUBSTITUTE(SUBSTITUTE(SUBSTITUTE(E1168," [",", "),"[",", "),"]","")&amp;"]",TRIM(INDEX($A$3:$A$168,K1168))&amp;" ["&amp;SUBSTITUTE(SUBSTITUTE(SUBSTITUTE(E1168," [",", "),"[",", "),"]","")&amp;"]")))</x:f>
      </x:c>
      <x:c r="G1168" t="str">
        <x:f>IF(F1168&lt;&gt;"",ROWS($F$3:F1168)-COUNTBLANK($F$3:F1168),"")</x:f>
      </x:c>
      <x:c r="H1168"/>
      <x:c r="I1168"/>
      <x:c r="J1168"/>
      <x:c r="K1168" t="str">
        <x:f>IF(ROW()-ROW($K$2)&lt;=SUM($J$3:$J$168),COUNTIF($H$3:$H$168,"&lt;"&amp;(ROW()-ROW($K$2))),"")</x:f>
      </x:c>
      <x:c r="L1168" t="str">
        <x:f>IF(K1168="","",ROW()-ROW($L$2)-INDEX($H$3:$H$168,K1168))</x:f>
      </x:c>
      <x:c r="M1168" t="str">
        <x:f>IF(K1168="","",IF(L1168=1,1,FIND(CHAR(1),SUBSTITUTE(INDEX($B$3:$B$168,K1168),CHAR(10),CHAR(1),L1168-1))+1))</x:f>
      </x:c>
      <x:c r="N1168" t="str">
        <x:f>IF(K1168="","",IFERROR(FIND(CHAR(1),SUBSTITUTE(INDEX($B$3:$B$168,K1168),CHAR(10),CHAR(1),L1168)),LEN(INDEX($B$3:$B$168,K1168))+1))</x:f>
      </x:c>
    </x:row>
    <x:row r="1169">
      <x:c r="A1169"/>
      <x:c r="B1169"/>
      <x:c r="C1169"/>
      <x:c r="D1169" t="str">
        <x:f>IFERROR(IF(1167&lt;=$O$1,INDEX($A$3:$A$168,MATCH(1167,$I$3:$I$168,0)),IF(1167&lt;=$O$1+$O$2,INDEX($F$3:$F$1994,MATCH(1167-$O$1,$G$3:$G$1994,0)),"")),"")</x:f>
      </x:c>
      <x:c r="E1169" t="str">
        <x:f>IF(K1169="","",IF(N1169&lt;=M1169,"",TRIM(CLEAN(MID(INDEX($B$3:$B$168,K1169),M1169,N1169-M1169)))))</x:f>
      </x:c>
      <x:c r="F1169" t="str">
        <x:f>IF(E1169="","",IF(E1169=TRIM(INDEX($A$3:$A$168,K1169)),"",IF(RIGHT(TRIM(INDEX($A$3:$A$168,K1169)),1)="]",LEFT(TRIM(INDEX($A$3:$A$168,K1169)),LEN(TRIM(INDEX($A$3:$A$168,K1169)))-1)&amp;", "&amp;SUBSTITUTE(SUBSTITUTE(SUBSTITUTE(E1169," [",", "),"[",", "),"]","")&amp;"]",TRIM(INDEX($A$3:$A$168,K1169))&amp;" ["&amp;SUBSTITUTE(SUBSTITUTE(SUBSTITUTE(E1169," [",", "),"[",", "),"]","")&amp;"]")))</x:f>
      </x:c>
      <x:c r="G1169" t="str">
        <x:f>IF(F1169&lt;&gt;"",ROWS($F$3:F1169)-COUNTBLANK($F$3:F1169),"")</x:f>
      </x:c>
      <x:c r="H1169"/>
      <x:c r="I1169"/>
      <x:c r="J1169"/>
      <x:c r="K1169" t="str">
        <x:f>IF(ROW()-ROW($K$2)&lt;=SUM($J$3:$J$168),COUNTIF($H$3:$H$168,"&lt;"&amp;(ROW()-ROW($K$2))),"")</x:f>
      </x:c>
      <x:c r="L1169" t="str">
        <x:f>IF(K1169="","",ROW()-ROW($L$2)-INDEX($H$3:$H$168,K1169))</x:f>
      </x:c>
      <x:c r="M1169" t="str">
        <x:f>IF(K1169="","",IF(L1169=1,1,FIND(CHAR(1),SUBSTITUTE(INDEX($B$3:$B$168,K1169),CHAR(10),CHAR(1),L1169-1))+1))</x:f>
      </x:c>
      <x:c r="N1169" t="str">
        <x:f>IF(K1169="","",IFERROR(FIND(CHAR(1),SUBSTITUTE(INDEX($B$3:$B$168,K1169),CHAR(10),CHAR(1),L1169)),LEN(INDEX($B$3:$B$168,K1169))+1))</x:f>
      </x:c>
    </x:row>
    <x:row r="1170">
      <x:c r="A1170"/>
      <x:c r="B1170"/>
      <x:c r="C1170"/>
      <x:c r="D1170" t="str">
        <x:f>IFERROR(IF(1168&lt;=$O$1,INDEX($A$3:$A$168,MATCH(1168,$I$3:$I$168,0)),IF(1168&lt;=$O$1+$O$2,INDEX($F$3:$F$1994,MATCH(1168-$O$1,$G$3:$G$1994,0)),"")),"")</x:f>
      </x:c>
      <x:c r="E1170" t="str">
        <x:f>IF(K1170="","",IF(N1170&lt;=M1170,"",TRIM(CLEAN(MID(INDEX($B$3:$B$168,K1170),M1170,N1170-M1170)))))</x:f>
      </x:c>
      <x:c r="F1170" t="str">
        <x:f>IF(E1170="","",IF(E1170=TRIM(INDEX($A$3:$A$168,K1170)),"",IF(RIGHT(TRIM(INDEX($A$3:$A$168,K1170)),1)="]",LEFT(TRIM(INDEX($A$3:$A$168,K1170)),LEN(TRIM(INDEX($A$3:$A$168,K1170)))-1)&amp;", "&amp;SUBSTITUTE(SUBSTITUTE(SUBSTITUTE(E1170," [",", "),"[",", "),"]","")&amp;"]",TRIM(INDEX($A$3:$A$168,K1170))&amp;" ["&amp;SUBSTITUTE(SUBSTITUTE(SUBSTITUTE(E1170," [",", "),"[",", "),"]","")&amp;"]")))</x:f>
      </x:c>
      <x:c r="G1170" t="str">
        <x:f>IF(F1170&lt;&gt;"",ROWS($F$3:F1170)-COUNTBLANK($F$3:F1170),"")</x:f>
      </x:c>
      <x:c r="H1170"/>
      <x:c r="I1170"/>
      <x:c r="J1170"/>
      <x:c r="K1170" t="str">
        <x:f>IF(ROW()-ROW($K$2)&lt;=SUM($J$3:$J$168),COUNTIF($H$3:$H$168,"&lt;"&amp;(ROW()-ROW($K$2))),"")</x:f>
      </x:c>
      <x:c r="L1170" t="str">
        <x:f>IF(K1170="","",ROW()-ROW($L$2)-INDEX($H$3:$H$168,K1170))</x:f>
      </x:c>
      <x:c r="M1170" t="str">
        <x:f>IF(K1170="","",IF(L1170=1,1,FIND(CHAR(1),SUBSTITUTE(INDEX($B$3:$B$168,K1170),CHAR(10),CHAR(1),L1170-1))+1))</x:f>
      </x:c>
      <x:c r="N1170" t="str">
        <x:f>IF(K1170="","",IFERROR(FIND(CHAR(1),SUBSTITUTE(INDEX($B$3:$B$168,K1170),CHAR(10),CHAR(1),L1170)),LEN(INDEX($B$3:$B$168,K1170))+1))</x:f>
      </x:c>
    </x:row>
    <x:row r="1171">
      <x:c r="A1171"/>
      <x:c r="B1171"/>
      <x:c r="C1171"/>
      <x:c r="D1171" t="str">
        <x:f>IFERROR(IF(1169&lt;=$O$1,INDEX($A$3:$A$168,MATCH(1169,$I$3:$I$168,0)),IF(1169&lt;=$O$1+$O$2,INDEX($F$3:$F$1994,MATCH(1169-$O$1,$G$3:$G$1994,0)),"")),"")</x:f>
      </x:c>
      <x:c r="E1171" t="str">
        <x:f>IF(K1171="","",IF(N1171&lt;=M1171,"",TRIM(CLEAN(MID(INDEX($B$3:$B$168,K1171),M1171,N1171-M1171)))))</x:f>
      </x:c>
      <x:c r="F1171" t="str">
        <x:f>IF(E1171="","",IF(E1171=TRIM(INDEX($A$3:$A$168,K1171)),"",IF(RIGHT(TRIM(INDEX($A$3:$A$168,K1171)),1)="]",LEFT(TRIM(INDEX($A$3:$A$168,K1171)),LEN(TRIM(INDEX($A$3:$A$168,K1171)))-1)&amp;", "&amp;SUBSTITUTE(SUBSTITUTE(SUBSTITUTE(E1171," [",", "),"[",", "),"]","")&amp;"]",TRIM(INDEX($A$3:$A$168,K1171))&amp;" ["&amp;SUBSTITUTE(SUBSTITUTE(SUBSTITUTE(E1171," [",", "),"[",", "),"]","")&amp;"]")))</x:f>
      </x:c>
      <x:c r="G1171" t="str">
        <x:f>IF(F1171&lt;&gt;"",ROWS($F$3:F1171)-COUNTBLANK($F$3:F1171),"")</x:f>
      </x:c>
      <x:c r="H1171"/>
      <x:c r="I1171"/>
      <x:c r="J1171"/>
      <x:c r="K1171" t="str">
        <x:f>IF(ROW()-ROW($K$2)&lt;=SUM($J$3:$J$168),COUNTIF($H$3:$H$168,"&lt;"&amp;(ROW()-ROW($K$2))),"")</x:f>
      </x:c>
      <x:c r="L1171" t="str">
        <x:f>IF(K1171="","",ROW()-ROW($L$2)-INDEX($H$3:$H$168,K1171))</x:f>
      </x:c>
      <x:c r="M1171" t="str">
        <x:f>IF(K1171="","",IF(L1171=1,1,FIND(CHAR(1),SUBSTITUTE(INDEX($B$3:$B$168,K1171),CHAR(10),CHAR(1),L1171-1))+1))</x:f>
      </x:c>
      <x:c r="N1171" t="str">
        <x:f>IF(K1171="","",IFERROR(FIND(CHAR(1),SUBSTITUTE(INDEX($B$3:$B$168,K1171),CHAR(10),CHAR(1),L1171)),LEN(INDEX($B$3:$B$168,K1171))+1))</x:f>
      </x:c>
    </x:row>
    <x:row r="1172">
      <x:c r="A1172"/>
      <x:c r="B1172"/>
      <x:c r="C1172"/>
      <x:c r="D1172" t="str">
        <x:f>IFERROR(IF(1170&lt;=$O$1,INDEX($A$3:$A$168,MATCH(1170,$I$3:$I$168,0)),IF(1170&lt;=$O$1+$O$2,INDEX($F$3:$F$1994,MATCH(1170-$O$1,$G$3:$G$1994,0)),"")),"")</x:f>
      </x:c>
      <x:c r="E1172" t="str">
        <x:f>IF(K1172="","",IF(N1172&lt;=M1172,"",TRIM(CLEAN(MID(INDEX($B$3:$B$168,K1172),M1172,N1172-M1172)))))</x:f>
      </x:c>
      <x:c r="F1172" t="str">
        <x:f>IF(E1172="","",IF(E1172=TRIM(INDEX($A$3:$A$168,K1172)),"",IF(RIGHT(TRIM(INDEX($A$3:$A$168,K1172)),1)="]",LEFT(TRIM(INDEX($A$3:$A$168,K1172)),LEN(TRIM(INDEX($A$3:$A$168,K1172)))-1)&amp;", "&amp;SUBSTITUTE(SUBSTITUTE(SUBSTITUTE(E1172," [",", "),"[",", "),"]","")&amp;"]",TRIM(INDEX($A$3:$A$168,K1172))&amp;" ["&amp;SUBSTITUTE(SUBSTITUTE(SUBSTITUTE(E1172," [",", "),"[",", "),"]","")&amp;"]")))</x:f>
      </x:c>
      <x:c r="G1172" t="str">
        <x:f>IF(F1172&lt;&gt;"",ROWS($F$3:F1172)-COUNTBLANK($F$3:F1172),"")</x:f>
      </x:c>
      <x:c r="H1172"/>
      <x:c r="I1172"/>
      <x:c r="J1172"/>
      <x:c r="K1172" t="str">
        <x:f>IF(ROW()-ROW($K$2)&lt;=SUM($J$3:$J$168),COUNTIF($H$3:$H$168,"&lt;"&amp;(ROW()-ROW($K$2))),"")</x:f>
      </x:c>
      <x:c r="L1172" t="str">
        <x:f>IF(K1172="","",ROW()-ROW($L$2)-INDEX($H$3:$H$168,K1172))</x:f>
      </x:c>
      <x:c r="M1172" t="str">
        <x:f>IF(K1172="","",IF(L1172=1,1,FIND(CHAR(1),SUBSTITUTE(INDEX($B$3:$B$168,K1172),CHAR(10),CHAR(1),L1172-1))+1))</x:f>
      </x:c>
      <x:c r="N1172" t="str">
        <x:f>IF(K1172="","",IFERROR(FIND(CHAR(1),SUBSTITUTE(INDEX($B$3:$B$168,K1172),CHAR(10),CHAR(1),L1172)),LEN(INDEX($B$3:$B$168,K1172))+1))</x:f>
      </x:c>
    </x:row>
    <x:row r="1173">
      <x:c r="A1173"/>
      <x:c r="B1173"/>
      <x:c r="C1173"/>
      <x:c r="D1173" t="str">
        <x:f>IFERROR(IF(1171&lt;=$O$1,INDEX($A$3:$A$168,MATCH(1171,$I$3:$I$168,0)),IF(1171&lt;=$O$1+$O$2,INDEX($F$3:$F$1994,MATCH(1171-$O$1,$G$3:$G$1994,0)),"")),"")</x:f>
      </x:c>
      <x:c r="E1173" t="str">
        <x:f>IF(K1173="","",IF(N1173&lt;=M1173,"",TRIM(CLEAN(MID(INDEX($B$3:$B$168,K1173),M1173,N1173-M1173)))))</x:f>
      </x:c>
      <x:c r="F1173" t="str">
        <x:f>IF(E1173="","",IF(E1173=TRIM(INDEX($A$3:$A$168,K1173)),"",IF(RIGHT(TRIM(INDEX($A$3:$A$168,K1173)),1)="]",LEFT(TRIM(INDEX($A$3:$A$168,K1173)),LEN(TRIM(INDEX($A$3:$A$168,K1173)))-1)&amp;", "&amp;SUBSTITUTE(SUBSTITUTE(SUBSTITUTE(E1173," [",", "),"[",", "),"]","")&amp;"]",TRIM(INDEX($A$3:$A$168,K1173))&amp;" ["&amp;SUBSTITUTE(SUBSTITUTE(SUBSTITUTE(E1173," [",", "),"[",", "),"]","")&amp;"]")))</x:f>
      </x:c>
      <x:c r="G1173" t="str">
        <x:f>IF(F1173&lt;&gt;"",ROWS($F$3:F1173)-COUNTBLANK($F$3:F1173),"")</x:f>
      </x:c>
      <x:c r="H1173"/>
      <x:c r="I1173"/>
      <x:c r="J1173"/>
      <x:c r="K1173" t="str">
        <x:f>IF(ROW()-ROW($K$2)&lt;=SUM($J$3:$J$168),COUNTIF($H$3:$H$168,"&lt;"&amp;(ROW()-ROW($K$2))),"")</x:f>
      </x:c>
      <x:c r="L1173" t="str">
        <x:f>IF(K1173="","",ROW()-ROW($L$2)-INDEX($H$3:$H$168,K1173))</x:f>
      </x:c>
      <x:c r="M1173" t="str">
        <x:f>IF(K1173="","",IF(L1173=1,1,FIND(CHAR(1),SUBSTITUTE(INDEX($B$3:$B$168,K1173),CHAR(10),CHAR(1),L1173-1))+1))</x:f>
      </x:c>
      <x:c r="N1173" t="str">
        <x:f>IF(K1173="","",IFERROR(FIND(CHAR(1),SUBSTITUTE(INDEX($B$3:$B$168,K1173),CHAR(10),CHAR(1),L1173)),LEN(INDEX($B$3:$B$168,K1173))+1))</x:f>
      </x:c>
    </x:row>
    <x:row r="1174">
      <x:c r="A1174"/>
      <x:c r="B1174"/>
      <x:c r="C1174"/>
      <x:c r="D1174" t="str">
        <x:f>IFERROR(IF(1172&lt;=$O$1,INDEX($A$3:$A$168,MATCH(1172,$I$3:$I$168,0)),IF(1172&lt;=$O$1+$O$2,INDEX($F$3:$F$1994,MATCH(1172-$O$1,$G$3:$G$1994,0)),"")),"")</x:f>
      </x:c>
      <x:c r="E1174" t="str">
        <x:f>IF(K1174="","",IF(N1174&lt;=M1174,"",TRIM(CLEAN(MID(INDEX($B$3:$B$168,K1174),M1174,N1174-M1174)))))</x:f>
      </x:c>
      <x:c r="F1174" t="str">
        <x:f>IF(E1174="","",IF(E1174=TRIM(INDEX($A$3:$A$168,K1174)),"",IF(RIGHT(TRIM(INDEX($A$3:$A$168,K1174)),1)="]",LEFT(TRIM(INDEX($A$3:$A$168,K1174)),LEN(TRIM(INDEX($A$3:$A$168,K1174)))-1)&amp;", "&amp;SUBSTITUTE(SUBSTITUTE(SUBSTITUTE(E1174," [",", "),"[",", "),"]","")&amp;"]",TRIM(INDEX($A$3:$A$168,K1174))&amp;" ["&amp;SUBSTITUTE(SUBSTITUTE(SUBSTITUTE(E1174," [",", "),"[",", "),"]","")&amp;"]")))</x:f>
      </x:c>
      <x:c r="G1174" t="str">
        <x:f>IF(F1174&lt;&gt;"",ROWS($F$3:F1174)-COUNTBLANK($F$3:F1174),"")</x:f>
      </x:c>
      <x:c r="H1174"/>
      <x:c r="I1174"/>
      <x:c r="J1174"/>
      <x:c r="K1174" t="str">
        <x:f>IF(ROW()-ROW($K$2)&lt;=SUM($J$3:$J$168),COUNTIF($H$3:$H$168,"&lt;"&amp;(ROW()-ROW($K$2))),"")</x:f>
      </x:c>
      <x:c r="L1174" t="str">
        <x:f>IF(K1174="","",ROW()-ROW($L$2)-INDEX($H$3:$H$168,K1174))</x:f>
      </x:c>
      <x:c r="M1174" t="str">
        <x:f>IF(K1174="","",IF(L1174=1,1,FIND(CHAR(1),SUBSTITUTE(INDEX($B$3:$B$168,K1174),CHAR(10),CHAR(1),L1174-1))+1))</x:f>
      </x:c>
      <x:c r="N1174" t="str">
        <x:f>IF(K1174="","",IFERROR(FIND(CHAR(1),SUBSTITUTE(INDEX($B$3:$B$168,K1174),CHAR(10),CHAR(1),L1174)),LEN(INDEX($B$3:$B$168,K1174))+1))</x:f>
      </x:c>
    </x:row>
    <x:row r="1175">
      <x:c r="A1175"/>
      <x:c r="B1175"/>
      <x:c r="C1175"/>
      <x:c r="D1175" t="str">
        <x:f>IFERROR(IF(1173&lt;=$O$1,INDEX($A$3:$A$168,MATCH(1173,$I$3:$I$168,0)),IF(1173&lt;=$O$1+$O$2,INDEX($F$3:$F$1994,MATCH(1173-$O$1,$G$3:$G$1994,0)),"")),"")</x:f>
      </x:c>
      <x:c r="E1175" t="str">
        <x:f>IF(K1175="","",IF(N1175&lt;=M1175,"",TRIM(CLEAN(MID(INDEX($B$3:$B$168,K1175),M1175,N1175-M1175)))))</x:f>
      </x:c>
      <x:c r="F1175" t="str">
        <x:f>IF(E1175="","",IF(E1175=TRIM(INDEX($A$3:$A$168,K1175)),"",IF(RIGHT(TRIM(INDEX($A$3:$A$168,K1175)),1)="]",LEFT(TRIM(INDEX($A$3:$A$168,K1175)),LEN(TRIM(INDEX($A$3:$A$168,K1175)))-1)&amp;", "&amp;SUBSTITUTE(SUBSTITUTE(SUBSTITUTE(E1175," [",", "),"[",", "),"]","")&amp;"]",TRIM(INDEX($A$3:$A$168,K1175))&amp;" ["&amp;SUBSTITUTE(SUBSTITUTE(SUBSTITUTE(E1175," [",", "),"[",", "),"]","")&amp;"]")))</x:f>
      </x:c>
      <x:c r="G1175" t="str">
        <x:f>IF(F1175&lt;&gt;"",ROWS($F$3:F1175)-COUNTBLANK($F$3:F1175),"")</x:f>
      </x:c>
      <x:c r="H1175"/>
      <x:c r="I1175"/>
      <x:c r="J1175"/>
      <x:c r="K1175" t="str">
        <x:f>IF(ROW()-ROW($K$2)&lt;=SUM($J$3:$J$168),COUNTIF($H$3:$H$168,"&lt;"&amp;(ROW()-ROW($K$2))),"")</x:f>
      </x:c>
      <x:c r="L1175" t="str">
        <x:f>IF(K1175="","",ROW()-ROW($L$2)-INDEX($H$3:$H$168,K1175))</x:f>
      </x:c>
      <x:c r="M1175" t="str">
        <x:f>IF(K1175="","",IF(L1175=1,1,FIND(CHAR(1),SUBSTITUTE(INDEX($B$3:$B$168,K1175),CHAR(10),CHAR(1),L1175-1))+1))</x:f>
      </x:c>
      <x:c r="N1175" t="str">
        <x:f>IF(K1175="","",IFERROR(FIND(CHAR(1),SUBSTITUTE(INDEX($B$3:$B$168,K1175),CHAR(10),CHAR(1),L1175)),LEN(INDEX($B$3:$B$168,K1175))+1))</x:f>
      </x:c>
    </x:row>
    <x:row r="1176">
      <x:c r="A1176"/>
      <x:c r="B1176"/>
      <x:c r="C1176"/>
      <x:c r="D1176" t="str">
        <x:f>IFERROR(IF(1174&lt;=$O$1,INDEX($A$3:$A$168,MATCH(1174,$I$3:$I$168,0)),IF(1174&lt;=$O$1+$O$2,INDEX($F$3:$F$1994,MATCH(1174-$O$1,$G$3:$G$1994,0)),"")),"")</x:f>
      </x:c>
      <x:c r="E1176" t="str">
        <x:f>IF(K1176="","",IF(N1176&lt;=M1176,"",TRIM(CLEAN(MID(INDEX($B$3:$B$168,K1176),M1176,N1176-M1176)))))</x:f>
      </x:c>
      <x:c r="F1176" t="str">
        <x:f>IF(E1176="","",IF(E1176=TRIM(INDEX($A$3:$A$168,K1176)),"",IF(RIGHT(TRIM(INDEX($A$3:$A$168,K1176)),1)="]",LEFT(TRIM(INDEX($A$3:$A$168,K1176)),LEN(TRIM(INDEX($A$3:$A$168,K1176)))-1)&amp;", "&amp;SUBSTITUTE(SUBSTITUTE(SUBSTITUTE(E1176," [",", "),"[",", "),"]","")&amp;"]",TRIM(INDEX($A$3:$A$168,K1176))&amp;" ["&amp;SUBSTITUTE(SUBSTITUTE(SUBSTITUTE(E1176," [",", "),"[",", "),"]","")&amp;"]")))</x:f>
      </x:c>
      <x:c r="G1176" t="str">
        <x:f>IF(F1176&lt;&gt;"",ROWS($F$3:F1176)-COUNTBLANK($F$3:F1176),"")</x:f>
      </x:c>
      <x:c r="H1176"/>
      <x:c r="I1176"/>
      <x:c r="J1176"/>
      <x:c r="K1176" t="str">
        <x:f>IF(ROW()-ROW($K$2)&lt;=SUM($J$3:$J$168),COUNTIF($H$3:$H$168,"&lt;"&amp;(ROW()-ROW($K$2))),"")</x:f>
      </x:c>
      <x:c r="L1176" t="str">
        <x:f>IF(K1176="","",ROW()-ROW($L$2)-INDEX($H$3:$H$168,K1176))</x:f>
      </x:c>
      <x:c r="M1176" t="str">
        <x:f>IF(K1176="","",IF(L1176=1,1,FIND(CHAR(1),SUBSTITUTE(INDEX($B$3:$B$168,K1176),CHAR(10),CHAR(1),L1176-1))+1))</x:f>
      </x:c>
      <x:c r="N1176" t="str">
        <x:f>IF(K1176="","",IFERROR(FIND(CHAR(1),SUBSTITUTE(INDEX($B$3:$B$168,K1176),CHAR(10),CHAR(1),L1176)),LEN(INDEX($B$3:$B$168,K1176))+1))</x:f>
      </x:c>
    </x:row>
    <x:row r="1177">
      <x:c r="A1177"/>
      <x:c r="B1177"/>
      <x:c r="C1177"/>
      <x:c r="D1177" t="str">
        <x:f>IFERROR(IF(1175&lt;=$O$1,INDEX($A$3:$A$168,MATCH(1175,$I$3:$I$168,0)),IF(1175&lt;=$O$1+$O$2,INDEX($F$3:$F$1994,MATCH(1175-$O$1,$G$3:$G$1994,0)),"")),"")</x:f>
      </x:c>
      <x:c r="E1177" t="str">
        <x:f>IF(K1177="","",IF(N1177&lt;=M1177,"",TRIM(CLEAN(MID(INDEX($B$3:$B$168,K1177),M1177,N1177-M1177)))))</x:f>
      </x:c>
      <x:c r="F1177" t="str">
        <x:f>IF(E1177="","",IF(E1177=TRIM(INDEX($A$3:$A$168,K1177)),"",IF(RIGHT(TRIM(INDEX($A$3:$A$168,K1177)),1)="]",LEFT(TRIM(INDEX($A$3:$A$168,K1177)),LEN(TRIM(INDEX($A$3:$A$168,K1177)))-1)&amp;", "&amp;SUBSTITUTE(SUBSTITUTE(SUBSTITUTE(E1177," [",", "),"[",", "),"]","")&amp;"]",TRIM(INDEX($A$3:$A$168,K1177))&amp;" ["&amp;SUBSTITUTE(SUBSTITUTE(SUBSTITUTE(E1177," [",", "),"[",", "),"]","")&amp;"]")))</x:f>
      </x:c>
      <x:c r="G1177" t="str">
        <x:f>IF(F1177&lt;&gt;"",ROWS($F$3:F1177)-COUNTBLANK($F$3:F1177),"")</x:f>
      </x:c>
      <x:c r="H1177"/>
      <x:c r="I1177"/>
      <x:c r="J1177"/>
      <x:c r="K1177" t="str">
        <x:f>IF(ROW()-ROW($K$2)&lt;=SUM($J$3:$J$168),COUNTIF($H$3:$H$168,"&lt;"&amp;(ROW()-ROW($K$2))),"")</x:f>
      </x:c>
      <x:c r="L1177" t="str">
        <x:f>IF(K1177="","",ROW()-ROW($L$2)-INDEX($H$3:$H$168,K1177))</x:f>
      </x:c>
      <x:c r="M1177" t="str">
        <x:f>IF(K1177="","",IF(L1177=1,1,FIND(CHAR(1),SUBSTITUTE(INDEX($B$3:$B$168,K1177),CHAR(10),CHAR(1),L1177-1))+1))</x:f>
      </x:c>
      <x:c r="N1177" t="str">
        <x:f>IF(K1177="","",IFERROR(FIND(CHAR(1),SUBSTITUTE(INDEX($B$3:$B$168,K1177),CHAR(10),CHAR(1),L1177)),LEN(INDEX($B$3:$B$168,K1177))+1))</x:f>
      </x:c>
    </x:row>
    <x:row r="1178">
      <x:c r="A1178"/>
      <x:c r="B1178"/>
      <x:c r="C1178"/>
      <x:c r="D1178" t="str">
        <x:f>IFERROR(IF(1176&lt;=$O$1,INDEX($A$3:$A$168,MATCH(1176,$I$3:$I$168,0)),IF(1176&lt;=$O$1+$O$2,INDEX($F$3:$F$1994,MATCH(1176-$O$1,$G$3:$G$1994,0)),"")),"")</x:f>
      </x:c>
      <x:c r="E1178" t="str">
        <x:f>IF(K1178="","",IF(N1178&lt;=M1178,"",TRIM(CLEAN(MID(INDEX($B$3:$B$168,K1178),M1178,N1178-M1178)))))</x:f>
      </x:c>
      <x:c r="F1178" t="str">
        <x:f>IF(E1178="","",IF(E1178=TRIM(INDEX($A$3:$A$168,K1178)),"",IF(RIGHT(TRIM(INDEX($A$3:$A$168,K1178)),1)="]",LEFT(TRIM(INDEX($A$3:$A$168,K1178)),LEN(TRIM(INDEX($A$3:$A$168,K1178)))-1)&amp;", "&amp;SUBSTITUTE(SUBSTITUTE(SUBSTITUTE(E1178," [",", "),"[",", "),"]","")&amp;"]",TRIM(INDEX($A$3:$A$168,K1178))&amp;" ["&amp;SUBSTITUTE(SUBSTITUTE(SUBSTITUTE(E1178," [",", "),"[",", "),"]","")&amp;"]")))</x:f>
      </x:c>
      <x:c r="G1178" t="str">
        <x:f>IF(F1178&lt;&gt;"",ROWS($F$3:F1178)-COUNTBLANK($F$3:F1178),"")</x:f>
      </x:c>
      <x:c r="H1178"/>
      <x:c r="I1178"/>
      <x:c r="J1178"/>
      <x:c r="K1178" t="str">
        <x:f>IF(ROW()-ROW($K$2)&lt;=SUM($J$3:$J$168),COUNTIF($H$3:$H$168,"&lt;"&amp;(ROW()-ROW($K$2))),"")</x:f>
      </x:c>
      <x:c r="L1178" t="str">
        <x:f>IF(K1178="","",ROW()-ROW($L$2)-INDEX($H$3:$H$168,K1178))</x:f>
      </x:c>
      <x:c r="M1178" t="str">
        <x:f>IF(K1178="","",IF(L1178=1,1,FIND(CHAR(1),SUBSTITUTE(INDEX($B$3:$B$168,K1178),CHAR(10),CHAR(1),L1178-1))+1))</x:f>
      </x:c>
      <x:c r="N1178" t="str">
        <x:f>IF(K1178="","",IFERROR(FIND(CHAR(1),SUBSTITUTE(INDEX($B$3:$B$168,K1178),CHAR(10),CHAR(1),L1178)),LEN(INDEX($B$3:$B$168,K1178))+1))</x:f>
      </x:c>
    </x:row>
    <x:row r="1179">
      <x:c r="A1179"/>
      <x:c r="B1179"/>
      <x:c r="C1179"/>
      <x:c r="D1179" t="str">
        <x:f>IFERROR(IF(1177&lt;=$O$1,INDEX($A$3:$A$168,MATCH(1177,$I$3:$I$168,0)),IF(1177&lt;=$O$1+$O$2,INDEX($F$3:$F$1994,MATCH(1177-$O$1,$G$3:$G$1994,0)),"")),"")</x:f>
      </x:c>
      <x:c r="E1179" t="str">
        <x:f>IF(K1179="","",IF(N1179&lt;=M1179,"",TRIM(CLEAN(MID(INDEX($B$3:$B$168,K1179),M1179,N1179-M1179)))))</x:f>
      </x:c>
      <x:c r="F1179" t="str">
        <x:f>IF(E1179="","",IF(E1179=TRIM(INDEX($A$3:$A$168,K1179)),"",IF(RIGHT(TRIM(INDEX($A$3:$A$168,K1179)),1)="]",LEFT(TRIM(INDEX($A$3:$A$168,K1179)),LEN(TRIM(INDEX($A$3:$A$168,K1179)))-1)&amp;", "&amp;SUBSTITUTE(SUBSTITUTE(SUBSTITUTE(E1179," [",", "),"[",", "),"]","")&amp;"]",TRIM(INDEX($A$3:$A$168,K1179))&amp;" ["&amp;SUBSTITUTE(SUBSTITUTE(SUBSTITUTE(E1179," [",", "),"[",", "),"]","")&amp;"]")))</x:f>
      </x:c>
      <x:c r="G1179" t="str">
        <x:f>IF(F1179&lt;&gt;"",ROWS($F$3:F1179)-COUNTBLANK($F$3:F1179),"")</x:f>
      </x:c>
      <x:c r="H1179"/>
      <x:c r="I1179"/>
      <x:c r="J1179"/>
      <x:c r="K1179" t="str">
        <x:f>IF(ROW()-ROW($K$2)&lt;=SUM($J$3:$J$168),COUNTIF($H$3:$H$168,"&lt;"&amp;(ROW()-ROW($K$2))),"")</x:f>
      </x:c>
      <x:c r="L1179" t="str">
        <x:f>IF(K1179="","",ROW()-ROW($L$2)-INDEX($H$3:$H$168,K1179))</x:f>
      </x:c>
      <x:c r="M1179" t="str">
        <x:f>IF(K1179="","",IF(L1179=1,1,FIND(CHAR(1),SUBSTITUTE(INDEX($B$3:$B$168,K1179),CHAR(10),CHAR(1),L1179-1))+1))</x:f>
      </x:c>
      <x:c r="N1179" t="str">
        <x:f>IF(K1179="","",IFERROR(FIND(CHAR(1),SUBSTITUTE(INDEX($B$3:$B$168,K1179),CHAR(10),CHAR(1),L1179)),LEN(INDEX($B$3:$B$168,K1179))+1))</x:f>
      </x:c>
    </x:row>
    <x:row r="1180">
      <x:c r="A1180"/>
      <x:c r="B1180"/>
      <x:c r="C1180"/>
      <x:c r="D1180" t="str">
        <x:f>IFERROR(IF(1178&lt;=$O$1,INDEX($A$3:$A$168,MATCH(1178,$I$3:$I$168,0)),IF(1178&lt;=$O$1+$O$2,INDEX($F$3:$F$1994,MATCH(1178-$O$1,$G$3:$G$1994,0)),"")),"")</x:f>
      </x:c>
      <x:c r="E1180" t="str">
        <x:f>IF(K1180="","",IF(N1180&lt;=M1180,"",TRIM(CLEAN(MID(INDEX($B$3:$B$168,K1180),M1180,N1180-M1180)))))</x:f>
      </x:c>
      <x:c r="F1180" t="str">
        <x:f>IF(E1180="","",IF(E1180=TRIM(INDEX($A$3:$A$168,K1180)),"",IF(RIGHT(TRIM(INDEX($A$3:$A$168,K1180)),1)="]",LEFT(TRIM(INDEX($A$3:$A$168,K1180)),LEN(TRIM(INDEX($A$3:$A$168,K1180)))-1)&amp;", "&amp;SUBSTITUTE(SUBSTITUTE(SUBSTITUTE(E1180," [",", "),"[",", "),"]","")&amp;"]",TRIM(INDEX($A$3:$A$168,K1180))&amp;" ["&amp;SUBSTITUTE(SUBSTITUTE(SUBSTITUTE(E1180," [",", "),"[",", "),"]","")&amp;"]")))</x:f>
      </x:c>
      <x:c r="G1180" t="str">
        <x:f>IF(F1180&lt;&gt;"",ROWS($F$3:F1180)-COUNTBLANK($F$3:F1180),"")</x:f>
      </x:c>
      <x:c r="H1180"/>
      <x:c r="I1180"/>
      <x:c r="J1180"/>
      <x:c r="K1180" t="str">
        <x:f>IF(ROW()-ROW($K$2)&lt;=SUM($J$3:$J$168),COUNTIF($H$3:$H$168,"&lt;"&amp;(ROW()-ROW($K$2))),"")</x:f>
      </x:c>
      <x:c r="L1180" t="str">
        <x:f>IF(K1180="","",ROW()-ROW($L$2)-INDEX($H$3:$H$168,K1180))</x:f>
      </x:c>
      <x:c r="M1180" t="str">
        <x:f>IF(K1180="","",IF(L1180=1,1,FIND(CHAR(1),SUBSTITUTE(INDEX($B$3:$B$168,K1180),CHAR(10),CHAR(1),L1180-1))+1))</x:f>
      </x:c>
      <x:c r="N1180" t="str">
        <x:f>IF(K1180="","",IFERROR(FIND(CHAR(1),SUBSTITUTE(INDEX($B$3:$B$168,K1180),CHAR(10),CHAR(1),L1180)),LEN(INDEX($B$3:$B$168,K1180))+1))</x:f>
      </x:c>
    </x:row>
    <x:row r="1181">
      <x:c r="A1181"/>
      <x:c r="B1181"/>
      <x:c r="C1181"/>
      <x:c r="D1181" t="str">
        <x:f>IFERROR(IF(1179&lt;=$O$1,INDEX($A$3:$A$168,MATCH(1179,$I$3:$I$168,0)),IF(1179&lt;=$O$1+$O$2,INDEX($F$3:$F$1994,MATCH(1179-$O$1,$G$3:$G$1994,0)),"")),"")</x:f>
      </x:c>
      <x:c r="E1181" t="str">
        <x:f>IF(K1181="","",IF(N1181&lt;=M1181,"",TRIM(CLEAN(MID(INDEX($B$3:$B$168,K1181),M1181,N1181-M1181)))))</x:f>
      </x:c>
      <x:c r="F1181" t="str">
        <x:f>IF(E1181="","",IF(E1181=TRIM(INDEX($A$3:$A$168,K1181)),"",IF(RIGHT(TRIM(INDEX($A$3:$A$168,K1181)),1)="]",LEFT(TRIM(INDEX($A$3:$A$168,K1181)),LEN(TRIM(INDEX($A$3:$A$168,K1181)))-1)&amp;", "&amp;SUBSTITUTE(SUBSTITUTE(SUBSTITUTE(E1181," [",", "),"[",", "),"]","")&amp;"]",TRIM(INDEX($A$3:$A$168,K1181))&amp;" ["&amp;SUBSTITUTE(SUBSTITUTE(SUBSTITUTE(E1181," [",", "),"[",", "),"]","")&amp;"]")))</x:f>
      </x:c>
      <x:c r="G1181" t="str">
        <x:f>IF(F1181&lt;&gt;"",ROWS($F$3:F1181)-COUNTBLANK($F$3:F1181),"")</x:f>
      </x:c>
      <x:c r="H1181"/>
      <x:c r="I1181"/>
      <x:c r="J1181"/>
      <x:c r="K1181" t="str">
        <x:f>IF(ROW()-ROW($K$2)&lt;=SUM($J$3:$J$168),COUNTIF($H$3:$H$168,"&lt;"&amp;(ROW()-ROW($K$2))),"")</x:f>
      </x:c>
      <x:c r="L1181" t="str">
        <x:f>IF(K1181="","",ROW()-ROW($L$2)-INDEX($H$3:$H$168,K1181))</x:f>
      </x:c>
      <x:c r="M1181" t="str">
        <x:f>IF(K1181="","",IF(L1181=1,1,FIND(CHAR(1),SUBSTITUTE(INDEX($B$3:$B$168,K1181),CHAR(10),CHAR(1),L1181-1))+1))</x:f>
      </x:c>
      <x:c r="N1181" t="str">
        <x:f>IF(K1181="","",IFERROR(FIND(CHAR(1),SUBSTITUTE(INDEX($B$3:$B$168,K1181),CHAR(10),CHAR(1),L1181)),LEN(INDEX($B$3:$B$168,K1181))+1))</x:f>
      </x:c>
    </x:row>
    <x:row r="1182">
      <x:c r="A1182"/>
      <x:c r="B1182"/>
      <x:c r="C1182"/>
      <x:c r="D1182" t="str">
        <x:f>IFERROR(IF(1180&lt;=$O$1,INDEX($A$3:$A$168,MATCH(1180,$I$3:$I$168,0)),IF(1180&lt;=$O$1+$O$2,INDEX($F$3:$F$1994,MATCH(1180-$O$1,$G$3:$G$1994,0)),"")),"")</x:f>
      </x:c>
      <x:c r="E1182" t="str">
        <x:f>IF(K1182="","",IF(N1182&lt;=M1182,"",TRIM(CLEAN(MID(INDEX($B$3:$B$168,K1182),M1182,N1182-M1182)))))</x:f>
      </x:c>
      <x:c r="F1182" t="str">
        <x:f>IF(E1182="","",IF(E1182=TRIM(INDEX($A$3:$A$168,K1182)),"",IF(RIGHT(TRIM(INDEX($A$3:$A$168,K1182)),1)="]",LEFT(TRIM(INDEX($A$3:$A$168,K1182)),LEN(TRIM(INDEX($A$3:$A$168,K1182)))-1)&amp;", "&amp;SUBSTITUTE(SUBSTITUTE(SUBSTITUTE(E1182," [",", "),"[",", "),"]","")&amp;"]",TRIM(INDEX($A$3:$A$168,K1182))&amp;" ["&amp;SUBSTITUTE(SUBSTITUTE(SUBSTITUTE(E1182," [",", "),"[",", "),"]","")&amp;"]")))</x:f>
      </x:c>
      <x:c r="G1182" t="str">
        <x:f>IF(F1182&lt;&gt;"",ROWS($F$3:F1182)-COUNTBLANK($F$3:F1182),"")</x:f>
      </x:c>
      <x:c r="H1182"/>
      <x:c r="I1182"/>
      <x:c r="J1182"/>
      <x:c r="K1182" t="str">
        <x:f>IF(ROW()-ROW($K$2)&lt;=SUM($J$3:$J$168),COUNTIF($H$3:$H$168,"&lt;"&amp;(ROW()-ROW($K$2))),"")</x:f>
      </x:c>
      <x:c r="L1182" t="str">
        <x:f>IF(K1182="","",ROW()-ROW($L$2)-INDEX($H$3:$H$168,K1182))</x:f>
      </x:c>
      <x:c r="M1182" t="str">
        <x:f>IF(K1182="","",IF(L1182=1,1,FIND(CHAR(1),SUBSTITUTE(INDEX($B$3:$B$168,K1182),CHAR(10),CHAR(1),L1182-1))+1))</x:f>
      </x:c>
      <x:c r="N1182" t="str">
        <x:f>IF(K1182="","",IFERROR(FIND(CHAR(1),SUBSTITUTE(INDEX($B$3:$B$168,K1182),CHAR(10),CHAR(1),L1182)),LEN(INDEX($B$3:$B$168,K1182))+1))</x:f>
      </x:c>
    </x:row>
    <x:row r="1183">
      <x:c r="A1183"/>
      <x:c r="B1183"/>
      <x:c r="C1183"/>
      <x:c r="D1183" t="str">
        <x:f>IFERROR(IF(1181&lt;=$O$1,INDEX($A$3:$A$168,MATCH(1181,$I$3:$I$168,0)),IF(1181&lt;=$O$1+$O$2,INDEX($F$3:$F$1994,MATCH(1181-$O$1,$G$3:$G$1994,0)),"")),"")</x:f>
      </x:c>
      <x:c r="E1183" t="str">
        <x:f>IF(K1183="","",IF(N1183&lt;=M1183,"",TRIM(CLEAN(MID(INDEX($B$3:$B$168,K1183),M1183,N1183-M1183)))))</x:f>
      </x:c>
      <x:c r="F1183" t="str">
        <x:f>IF(E1183="","",IF(E1183=TRIM(INDEX($A$3:$A$168,K1183)),"",IF(RIGHT(TRIM(INDEX($A$3:$A$168,K1183)),1)="]",LEFT(TRIM(INDEX($A$3:$A$168,K1183)),LEN(TRIM(INDEX($A$3:$A$168,K1183)))-1)&amp;", "&amp;SUBSTITUTE(SUBSTITUTE(SUBSTITUTE(E1183," [",", "),"[",", "),"]","")&amp;"]",TRIM(INDEX($A$3:$A$168,K1183))&amp;" ["&amp;SUBSTITUTE(SUBSTITUTE(SUBSTITUTE(E1183," [",", "),"[",", "),"]","")&amp;"]")))</x:f>
      </x:c>
      <x:c r="G1183" t="str">
        <x:f>IF(F1183&lt;&gt;"",ROWS($F$3:F1183)-COUNTBLANK($F$3:F1183),"")</x:f>
      </x:c>
      <x:c r="H1183"/>
      <x:c r="I1183"/>
      <x:c r="J1183"/>
      <x:c r="K1183" t="str">
        <x:f>IF(ROW()-ROW($K$2)&lt;=SUM($J$3:$J$168),COUNTIF($H$3:$H$168,"&lt;"&amp;(ROW()-ROW($K$2))),"")</x:f>
      </x:c>
      <x:c r="L1183" t="str">
        <x:f>IF(K1183="","",ROW()-ROW($L$2)-INDEX($H$3:$H$168,K1183))</x:f>
      </x:c>
      <x:c r="M1183" t="str">
        <x:f>IF(K1183="","",IF(L1183=1,1,FIND(CHAR(1),SUBSTITUTE(INDEX($B$3:$B$168,K1183),CHAR(10),CHAR(1),L1183-1))+1))</x:f>
      </x:c>
      <x:c r="N1183" t="str">
        <x:f>IF(K1183="","",IFERROR(FIND(CHAR(1),SUBSTITUTE(INDEX($B$3:$B$168,K1183),CHAR(10),CHAR(1),L1183)),LEN(INDEX($B$3:$B$168,K1183))+1))</x:f>
      </x:c>
    </x:row>
    <x:row r="1184">
      <x:c r="A1184"/>
      <x:c r="B1184"/>
      <x:c r="C1184"/>
      <x:c r="D1184" t="str">
        <x:f>IFERROR(IF(1182&lt;=$O$1,INDEX($A$3:$A$168,MATCH(1182,$I$3:$I$168,0)),IF(1182&lt;=$O$1+$O$2,INDEX($F$3:$F$1994,MATCH(1182-$O$1,$G$3:$G$1994,0)),"")),"")</x:f>
      </x:c>
      <x:c r="E1184" t="str">
        <x:f>IF(K1184="","",IF(N1184&lt;=M1184,"",TRIM(CLEAN(MID(INDEX($B$3:$B$168,K1184),M1184,N1184-M1184)))))</x:f>
      </x:c>
      <x:c r="F1184" t="str">
        <x:f>IF(E1184="","",IF(E1184=TRIM(INDEX($A$3:$A$168,K1184)),"",IF(RIGHT(TRIM(INDEX($A$3:$A$168,K1184)),1)="]",LEFT(TRIM(INDEX($A$3:$A$168,K1184)),LEN(TRIM(INDEX($A$3:$A$168,K1184)))-1)&amp;", "&amp;SUBSTITUTE(SUBSTITUTE(SUBSTITUTE(E1184," [",", "),"[",", "),"]","")&amp;"]",TRIM(INDEX($A$3:$A$168,K1184))&amp;" ["&amp;SUBSTITUTE(SUBSTITUTE(SUBSTITUTE(E1184," [",", "),"[",", "),"]","")&amp;"]")))</x:f>
      </x:c>
      <x:c r="G1184" t="str">
        <x:f>IF(F1184&lt;&gt;"",ROWS($F$3:F1184)-COUNTBLANK($F$3:F1184),"")</x:f>
      </x:c>
      <x:c r="H1184"/>
      <x:c r="I1184"/>
      <x:c r="J1184"/>
      <x:c r="K1184" t="str">
        <x:f>IF(ROW()-ROW($K$2)&lt;=SUM($J$3:$J$168),COUNTIF($H$3:$H$168,"&lt;"&amp;(ROW()-ROW($K$2))),"")</x:f>
      </x:c>
      <x:c r="L1184" t="str">
        <x:f>IF(K1184="","",ROW()-ROW($L$2)-INDEX($H$3:$H$168,K1184))</x:f>
      </x:c>
      <x:c r="M1184" t="str">
        <x:f>IF(K1184="","",IF(L1184=1,1,FIND(CHAR(1),SUBSTITUTE(INDEX($B$3:$B$168,K1184),CHAR(10),CHAR(1),L1184-1))+1))</x:f>
      </x:c>
      <x:c r="N1184" t="str">
        <x:f>IF(K1184="","",IFERROR(FIND(CHAR(1),SUBSTITUTE(INDEX($B$3:$B$168,K1184),CHAR(10),CHAR(1),L1184)),LEN(INDEX($B$3:$B$168,K1184))+1))</x:f>
      </x:c>
    </x:row>
    <x:row r="1185">
      <x:c r="A1185"/>
      <x:c r="B1185"/>
      <x:c r="C1185"/>
      <x:c r="D1185" t="str">
        <x:f>IFERROR(IF(1183&lt;=$O$1,INDEX($A$3:$A$168,MATCH(1183,$I$3:$I$168,0)),IF(1183&lt;=$O$1+$O$2,INDEX($F$3:$F$1994,MATCH(1183-$O$1,$G$3:$G$1994,0)),"")),"")</x:f>
      </x:c>
      <x:c r="E1185" t="str">
        <x:f>IF(K1185="","",IF(N1185&lt;=M1185,"",TRIM(CLEAN(MID(INDEX($B$3:$B$168,K1185),M1185,N1185-M1185)))))</x:f>
      </x:c>
      <x:c r="F1185" t="str">
        <x:f>IF(E1185="","",IF(E1185=TRIM(INDEX($A$3:$A$168,K1185)),"",IF(RIGHT(TRIM(INDEX($A$3:$A$168,K1185)),1)="]",LEFT(TRIM(INDEX($A$3:$A$168,K1185)),LEN(TRIM(INDEX($A$3:$A$168,K1185)))-1)&amp;", "&amp;SUBSTITUTE(SUBSTITUTE(SUBSTITUTE(E1185," [",", "),"[",", "),"]","")&amp;"]",TRIM(INDEX($A$3:$A$168,K1185))&amp;" ["&amp;SUBSTITUTE(SUBSTITUTE(SUBSTITUTE(E1185," [",", "),"[",", "),"]","")&amp;"]")))</x:f>
      </x:c>
      <x:c r="G1185" t="str">
        <x:f>IF(F1185&lt;&gt;"",ROWS($F$3:F1185)-COUNTBLANK($F$3:F1185),"")</x:f>
      </x:c>
      <x:c r="H1185"/>
      <x:c r="I1185"/>
      <x:c r="J1185"/>
      <x:c r="K1185" t="str">
        <x:f>IF(ROW()-ROW($K$2)&lt;=SUM($J$3:$J$168),COUNTIF($H$3:$H$168,"&lt;"&amp;(ROW()-ROW($K$2))),"")</x:f>
      </x:c>
      <x:c r="L1185" t="str">
        <x:f>IF(K1185="","",ROW()-ROW($L$2)-INDEX($H$3:$H$168,K1185))</x:f>
      </x:c>
      <x:c r="M1185" t="str">
        <x:f>IF(K1185="","",IF(L1185=1,1,FIND(CHAR(1),SUBSTITUTE(INDEX($B$3:$B$168,K1185),CHAR(10),CHAR(1),L1185-1))+1))</x:f>
      </x:c>
      <x:c r="N1185" t="str">
        <x:f>IF(K1185="","",IFERROR(FIND(CHAR(1),SUBSTITUTE(INDEX($B$3:$B$168,K1185),CHAR(10),CHAR(1),L1185)),LEN(INDEX($B$3:$B$168,K1185))+1))</x:f>
      </x:c>
    </x:row>
    <x:row r="1186">
      <x:c r="A1186"/>
      <x:c r="B1186"/>
      <x:c r="C1186"/>
      <x:c r="D1186" t="str">
        <x:f>IFERROR(IF(1184&lt;=$O$1,INDEX($A$3:$A$168,MATCH(1184,$I$3:$I$168,0)),IF(1184&lt;=$O$1+$O$2,INDEX($F$3:$F$1994,MATCH(1184-$O$1,$G$3:$G$1994,0)),"")),"")</x:f>
      </x:c>
      <x:c r="E1186" t="str">
        <x:f>IF(K1186="","",IF(N1186&lt;=M1186,"",TRIM(CLEAN(MID(INDEX($B$3:$B$168,K1186),M1186,N1186-M1186)))))</x:f>
      </x:c>
      <x:c r="F1186" t="str">
        <x:f>IF(E1186="","",IF(E1186=TRIM(INDEX($A$3:$A$168,K1186)),"",IF(RIGHT(TRIM(INDEX($A$3:$A$168,K1186)),1)="]",LEFT(TRIM(INDEX($A$3:$A$168,K1186)),LEN(TRIM(INDEX($A$3:$A$168,K1186)))-1)&amp;", "&amp;SUBSTITUTE(SUBSTITUTE(SUBSTITUTE(E1186," [",", "),"[",", "),"]","")&amp;"]",TRIM(INDEX($A$3:$A$168,K1186))&amp;" ["&amp;SUBSTITUTE(SUBSTITUTE(SUBSTITUTE(E1186," [",", "),"[",", "),"]","")&amp;"]")))</x:f>
      </x:c>
      <x:c r="G1186" t="str">
        <x:f>IF(F1186&lt;&gt;"",ROWS($F$3:F1186)-COUNTBLANK($F$3:F1186),"")</x:f>
      </x:c>
      <x:c r="H1186"/>
      <x:c r="I1186"/>
      <x:c r="J1186"/>
      <x:c r="K1186" t="str">
        <x:f>IF(ROW()-ROW($K$2)&lt;=SUM($J$3:$J$168),COUNTIF($H$3:$H$168,"&lt;"&amp;(ROW()-ROW($K$2))),"")</x:f>
      </x:c>
      <x:c r="L1186" t="str">
        <x:f>IF(K1186="","",ROW()-ROW($L$2)-INDEX($H$3:$H$168,K1186))</x:f>
      </x:c>
      <x:c r="M1186" t="str">
        <x:f>IF(K1186="","",IF(L1186=1,1,FIND(CHAR(1),SUBSTITUTE(INDEX($B$3:$B$168,K1186),CHAR(10),CHAR(1),L1186-1))+1))</x:f>
      </x:c>
      <x:c r="N1186" t="str">
        <x:f>IF(K1186="","",IFERROR(FIND(CHAR(1),SUBSTITUTE(INDEX($B$3:$B$168,K1186),CHAR(10),CHAR(1),L1186)),LEN(INDEX($B$3:$B$168,K1186))+1))</x:f>
      </x:c>
    </x:row>
    <x:row r="1187">
      <x:c r="A1187"/>
      <x:c r="B1187"/>
      <x:c r="C1187"/>
      <x:c r="D1187" t="str">
        <x:f>IFERROR(IF(1185&lt;=$O$1,INDEX($A$3:$A$168,MATCH(1185,$I$3:$I$168,0)),IF(1185&lt;=$O$1+$O$2,INDEX($F$3:$F$1994,MATCH(1185-$O$1,$G$3:$G$1994,0)),"")),"")</x:f>
      </x:c>
      <x:c r="E1187" t="str">
        <x:f>IF(K1187="","",IF(N1187&lt;=M1187,"",TRIM(CLEAN(MID(INDEX($B$3:$B$168,K1187),M1187,N1187-M1187)))))</x:f>
      </x:c>
      <x:c r="F1187" t="str">
        <x:f>IF(E1187="","",IF(E1187=TRIM(INDEX($A$3:$A$168,K1187)),"",IF(RIGHT(TRIM(INDEX($A$3:$A$168,K1187)),1)="]",LEFT(TRIM(INDEX($A$3:$A$168,K1187)),LEN(TRIM(INDEX($A$3:$A$168,K1187)))-1)&amp;", "&amp;SUBSTITUTE(SUBSTITUTE(SUBSTITUTE(E1187," [",", "),"[",", "),"]","")&amp;"]",TRIM(INDEX($A$3:$A$168,K1187))&amp;" ["&amp;SUBSTITUTE(SUBSTITUTE(SUBSTITUTE(E1187," [",", "),"[",", "),"]","")&amp;"]")))</x:f>
      </x:c>
      <x:c r="G1187" t="str">
        <x:f>IF(F1187&lt;&gt;"",ROWS($F$3:F1187)-COUNTBLANK($F$3:F1187),"")</x:f>
      </x:c>
      <x:c r="H1187"/>
      <x:c r="I1187"/>
      <x:c r="J1187"/>
      <x:c r="K1187" t="str">
        <x:f>IF(ROW()-ROW($K$2)&lt;=SUM($J$3:$J$168),COUNTIF($H$3:$H$168,"&lt;"&amp;(ROW()-ROW($K$2))),"")</x:f>
      </x:c>
      <x:c r="L1187" t="str">
        <x:f>IF(K1187="","",ROW()-ROW($L$2)-INDEX($H$3:$H$168,K1187))</x:f>
      </x:c>
      <x:c r="M1187" t="str">
        <x:f>IF(K1187="","",IF(L1187=1,1,FIND(CHAR(1),SUBSTITUTE(INDEX($B$3:$B$168,K1187),CHAR(10),CHAR(1),L1187-1))+1))</x:f>
      </x:c>
      <x:c r="N1187" t="str">
        <x:f>IF(K1187="","",IFERROR(FIND(CHAR(1),SUBSTITUTE(INDEX($B$3:$B$168,K1187),CHAR(10),CHAR(1),L1187)),LEN(INDEX($B$3:$B$168,K1187))+1))</x:f>
      </x:c>
    </x:row>
    <x:row r="1188">
      <x:c r="A1188"/>
      <x:c r="B1188"/>
      <x:c r="C1188"/>
      <x:c r="D1188" t="str">
        <x:f>IFERROR(IF(1186&lt;=$O$1,INDEX($A$3:$A$168,MATCH(1186,$I$3:$I$168,0)),IF(1186&lt;=$O$1+$O$2,INDEX($F$3:$F$1994,MATCH(1186-$O$1,$G$3:$G$1994,0)),"")),"")</x:f>
      </x:c>
      <x:c r="E1188" t="str">
        <x:f>IF(K1188="","",IF(N1188&lt;=M1188,"",TRIM(CLEAN(MID(INDEX($B$3:$B$168,K1188),M1188,N1188-M1188)))))</x:f>
      </x:c>
      <x:c r="F1188" t="str">
        <x:f>IF(E1188="","",IF(E1188=TRIM(INDEX($A$3:$A$168,K1188)),"",IF(RIGHT(TRIM(INDEX($A$3:$A$168,K1188)),1)="]",LEFT(TRIM(INDEX($A$3:$A$168,K1188)),LEN(TRIM(INDEX($A$3:$A$168,K1188)))-1)&amp;", "&amp;SUBSTITUTE(SUBSTITUTE(SUBSTITUTE(E1188," [",", "),"[",", "),"]","")&amp;"]",TRIM(INDEX($A$3:$A$168,K1188))&amp;" ["&amp;SUBSTITUTE(SUBSTITUTE(SUBSTITUTE(E1188," [",", "),"[",", "),"]","")&amp;"]")))</x:f>
      </x:c>
      <x:c r="G1188" t="str">
        <x:f>IF(F1188&lt;&gt;"",ROWS($F$3:F1188)-COUNTBLANK($F$3:F1188),"")</x:f>
      </x:c>
      <x:c r="H1188"/>
      <x:c r="I1188"/>
      <x:c r="J1188"/>
      <x:c r="K1188" t="str">
        <x:f>IF(ROW()-ROW($K$2)&lt;=SUM($J$3:$J$168),COUNTIF($H$3:$H$168,"&lt;"&amp;(ROW()-ROW($K$2))),"")</x:f>
      </x:c>
      <x:c r="L1188" t="str">
        <x:f>IF(K1188="","",ROW()-ROW($L$2)-INDEX($H$3:$H$168,K1188))</x:f>
      </x:c>
      <x:c r="M1188" t="str">
        <x:f>IF(K1188="","",IF(L1188=1,1,FIND(CHAR(1),SUBSTITUTE(INDEX($B$3:$B$168,K1188),CHAR(10),CHAR(1),L1188-1))+1))</x:f>
      </x:c>
      <x:c r="N1188" t="str">
        <x:f>IF(K1188="","",IFERROR(FIND(CHAR(1),SUBSTITUTE(INDEX($B$3:$B$168,K1188),CHAR(10),CHAR(1),L1188)),LEN(INDEX($B$3:$B$168,K1188))+1))</x:f>
      </x:c>
    </x:row>
    <x:row r="1189">
      <x:c r="A1189"/>
      <x:c r="B1189"/>
      <x:c r="C1189"/>
      <x:c r="D1189" t="str">
        <x:f>IFERROR(IF(1187&lt;=$O$1,INDEX($A$3:$A$168,MATCH(1187,$I$3:$I$168,0)),IF(1187&lt;=$O$1+$O$2,INDEX($F$3:$F$1994,MATCH(1187-$O$1,$G$3:$G$1994,0)),"")),"")</x:f>
      </x:c>
      <x:c r="E1189" t="str">
        <x:f>IF(K1189="","",IF(N1189&lt;=M1189,"",TRIM(CLEAN(MID(INDEX($B$3:$B$168,K1189),M1189,N1189-M1189)))))</x:f>
      </x:c>
      <x:c r="F1189" t="str">
        <x:f>IF(E1189="","",IF(E1189=TRIM(INDEX($A$3:$A$168,K1189)),"",IF(RIGHT(TRIM(INDEX($A$3:$A$168,K1189)),1)="]",LEFT(TRIM(INDEX($A$3:$A$168,K1189)),LEN(TRIM(INDEX($A$3:$A$168,K1189)))-1)&amp;", "&amp;SUBSTITUTE(SUBSTITUTE(SUBSTITUTE(E1189," [",", "),"[",", "),"]","")&amp;"]",TRIM(INDEX($A$3:$A$168,K1189))&amp;" ["&amp;SUBSTITUTE(SUBSTITUTE(SUBSTITUTE(E1189," [",", "),"[",", "),"]","")&amp;"]")))</x:f>
      </x:c>
      <x:c r="G1189" t="str">
        <x:f>IF(F1189&lt;&gt;"",ROWS($F$3:F1189)-COUNTBLANK($F$3:F1189),"")</x:f>
      </x:c>
      <x:c r="H1189"/>
      <x:c r="I1189"/>
      <x:c r="J1189"/>
      <x:c r="K1189" t="str">
        <x:f>IF(ROW()-ROW($K$2)&lt;=SUM($J$3:$J$168),COUNTIF($H$3:$H$168,"&lt;"&amp;(ROW()-ROW($K$2))),"")</x:f>
      </x:c>
      <x:c r="L1189" t="str">
        <x:f>IF(K1189="","",ROW()-ROW($L$2)-INDEX($H$3:$H$168,K1189))</x:f>
      </x:c>
      <x:c r="M1189" t="str">
        <x:f>IF(K1189="","",IF(L1189=1,1,FIND(CHAR(1),SUBSTITUTE(INDEX($B$3:$B$168,K1189),CHAR(10),CHAR(1),L1189-1))+1))</x:f>
      </x:c>
      <x:c r="N1189" t="str">
        <x:f>IF(K1189="","",IFERROR(FIND(CHAR(1),SUBSTITUTE(INDEX($B$3:$B$168,K1189),CHAR(10),CHAR(1),L1189)),LEN(INDEX($B$3:$B$168,K1189))+1))</x:f>
      </x:c>
    </x:row>
    <x:row r="1190">
      <x:c r="A1190"/>
      <x:c r="B1190"/>
      <x:c r="C1190"/>
      <x:c r="D1190" t="str">
        <x:f>IFERROR(IF(1188&lt;=$O$1,INDEX($A$3:$A$168,MATCH(1188,$I$3:$I$168,0)),IF(1188&lt;=$O$1+$O$2,INDEX($F$3:$F$1994,MATCH(1188-$O$1,$G$3:$G$1994,0)),"")),"")</x:f>
      </x:c>
      <x:c r="E1190" t="str">
        <x:f>IF(K1190="","",IF(N1190&lt;=M1190,"",TRIM(CLEAN(MID(INDEX($B$3:$B$168,K1190),M1190,N1190-M1190)))))</x:f>
      </x:c>
      <x:c r="F1190" t="str">
        <x:f>IF(E1190="","",IF(E1190=TRIM(INDEX($A$3:$A$168,K1190)),"",IF(RIGHT(TRIM(INDEX($A$3:$A$168,K1190)),1)="]",LEFT(TRIM(INDEX($A$3:$A$168,K1190)),LEN(TRIM(INDEX($A$3:$A$168,K1190)))-1)&amp;", "&amp;SUBSTITUTE(SUBSTITUTE(SUBSTITUTE(E1190," [",", "),"[",", "),"]","")&amp;"]",TRIM(INDEX($A$3:$A$168,K1190))&amp;" ["&amp;SUBSTITUTE(SUBSTITUTE(SUBSTITUTE(E1190," [",", "),"[",", "),"]","")&amp;"]")))</x:f>
      </x:c>
      <x:c r="G1190" t="str">
        <x:f>IF(F1190&lt;&gt;"",ROWS($F$3:F1190)-COUNTBLANK($F$3:F1190),"")</x:f>
      </x:c>
      <x:c r="H1190"/>
      <x:c r="I1190"/>
      <x:c r="J1190"/>
      <x:c r="K1190" t="str">
        <x:f>IF(ROW()-ROW($K$2)&lt;=SUM($J$3:$J$168),COUNTIF($H$3:$H$168,"&lt;"&amp;(ROW()-ROW($K$2))),"")</x:f>
      </x:c>
      <x:c r="L1190" t="str">
        <x:f>IF(K1190="","",ROW()-ROW($L$2)-INDEX($H$3:$H$168,K1190))</x:f>
      </x:c>
      <x:c r="M1190" t="str">
        <x:f>IF(K1190="","",IF(L1190=1,1,FIND(CHAR(1),SUBSTITUTE(INDEX($B$3:$B$168,K1190),CHAR(10),CHAR(1),L1190-1))+1))</x:f>
      </x:c>
      <x:c r="N1190" t="str">
        <x:f>IF(K1190="","",IFERROR(FIND(CHAR(1),SUBSTITUTE(INDEX($B$3:$B$168,K1190),CHAR(10),CHAR(1),L1190)),LEN(INDEX($B$3:$B$168,K1190))+1))</x:f>
      </x:c>
    </x:row>
    <x:row r="1191">
      <x:c r="A1191"/>
      <x:c r="B1191"/>
      <x:c r="C1191"/>
      <x:c r="D1191" t="str">
        <x:f>IFERROR(IF(1189&lt;=$O$1,INDEX($A$3:$A$168,MATCH(1189,$I$3:$I$168,0)),IF(1189&lt;=$O$1+$O$2,INDEX($F$3:$F$1994,MATCH(1189-$O$1,$G$3:$G$1994,0)),"")),"")</x:f>
      </x:c>
      <x:c r="E1191" t="str">
        <x:f>IF(K1191="","",IF(N1191&lt;=M1191,"",TRIM(CLEAN(MID(INDEX($B$3:$B$168,K1191),M1191,N1191-M1191)))))</x:f>
      </x:c>
      <x:c r="F1191" t="str">
        <x:f>IF(E1191="","",IF(E1191=TRIM(INDEX($A$3:$A$168,K1191)),"",IF(RIGHT(TRIM(INDEX($A$3:$A$168,K1191)),1)="]",LEFT(TRIM(INDEX($A$3:$A$168,K1191)),LEN(TRIM(INDEX($A$3:$A$168,K1191)))-1)&amp;", "&amp;SUBSTITUTE(SUBSTITUTE(SUBSTITUTE(E1191," [",", "),"[",", "),"]","")&amp;"]",TRIM(INDEX($A$3:$A$168,K1191))&amp;" ["&amp;SUBSTITUTE(SUBSTITUTE(SUBSTITUTE(E1191," [",", "),"[",", "),"]","")&amp;"]")))</x:f>
      </x:c>
      <x:c r="G1191" t="str">
        <x:f>IF(F1191&lt;&gt;"",ROWS($F$3:F1191)-COUNTBLANK($F$3:F1191),"")</x:f>
      </x:c>
      <x:c r="H1191"/>
      <x:c r="I1191"/>
      <x:c r="J1191"/>
      <x:c r="K1191" t="str">
        <x:f>IF(ROW()-ROW($K$2)&lt;=SUM($J$3:$J$168),COUNTIF($H$3:$H$168,"&lt;"&amp;(ROW()-ROW($K$2))),"")</x:f>
      </x:c>
      <x:c r="L1191" t="str">
        <x:f>IF(K1191="","",ROW()-ROW($L$2)-INDEX($H$3:$H$168,K1191))</x:f>
      </x:c>
      <x:c r="M1191" t="str">
        <x:f>IF(K1191="","",IF(L1191=1,1,FIND(CHAR(1),SUBSTITUTE(INDEX($B$3:$B$168,K1191),CHAR(10),CHAR(1),L1191-1))+1))</x:f>
      </x:c>
      <x:c r="N1191" t="str">
        <x:f>IF(K1191="","",IFERROR(FIND(CHAR(1),SUBSTITUTE(INDEX($B$3:$B$168,K1191),CHAR(10),CHAR(1),L1191)),LEN(INDEX($B$3:$B$168,K1191))+1))</x:f>
      </x:c>
    </x:row>
    <x:row r="1192">
      <x:c r="A1192"/>
      <x:c r="B1192"/>
      <x:c r="C1192"/>
      <x:c r="D1192" t="str">
        <x:f>IFERROR(IF(1190&lt;=$O$1,INDEX($A$3:$A$168,MATCH(1190,$I$3:$I$168,0)),IF(1190&lt;=$O$1+$O$2,INDEX($F$3:$F$1994,MATCH(1190-$O$1,$G$3:$G$1994,0)),"")),"")</x:f>
      </x:c>
      <x:c r="E1192" t="str">
        <x:f>IF(K1192="","",IF(N1192&lt;=M1192,"",TRIM(CLEAN(MID(INDEX($B$3:$B$168,K1192),M1192,N1192-M1192)))))</x:f>
      </x:c>
      <x:c r="F1192" t="str">
        <x:f>IF(E1192="","",IF(E1192=TRIM(INDEX($A$3:$A$168,K1192)),"",IF(RIGHT(TRIM(INDEX($A$3:$A$168,K1192)),1)="]",LEFT(TRIM(INDEX($A$3:$A$168,K1192)),LEN(TRIM(INDEX($A$3:$A$168,K1192)))-1)&amp;", "&amp;SUBSTITUTE(SUBSTITUTE(SUBSTITUTE(E1192," [",", "),"[",", "),"]","")&amp;"]",TRIM(INDEX($A$3:$A$168,K1192))&amp;" ["&amp;SUBSTITUTE(SUBSTITUTE(SUBSTITUTE(E1192," [",", "),"[",", "),"]","")&amp;"]")))</x:f>
      </x:c>
      <x:c r="G1192" t="str">
        <x:f>IF(F1192&lt;&gt;"",ROWS($F$3:F1192)-COUNTBLANK($F$3:F1192),"")</x:f>
      </x:c>
      <x:c r="H1192"/>
      <x:c r="I1192"/>
      <x:c r="J1192"/>
      <x:c r="K1192" t="str">
        <x:f>IF(ROW()-ROW($K$2)&lt;=SUM($J$3:$J$168),COUNTIF($H$3:$H$168,"&lt;"&amp;(ROW()-ROW($K$2))),"")</x:f>
      </x:c>
      <x:c r="L1192" t="str">
        <x:f>IF(K1192="","",ROW()-ROW($L$2)-INDEX($H$3:$H$168,K1192))</x:f>
      </x:c>
      <x:c r="M1192" t="str">
        <x:f>IF(K1192="","",IF(L1192=1,1,FIND(CHAR(1),SUBSTITUTE(INDEX($B$3:$B$168,K1192),CHAR(10),CHAR(1),L1192-1))+1))</x:f>
      </x:c>
      <x:c r="N1192" t="str">
        <x:f>IF(K1192="","",IFERROR(FIND(CHAR(1),SUBSTITUTE(INDEX($B$3:$B$168,K1192),CHAR(10),CHAR(1),L1192)),LEN(INDEX($B$3:$B$168,K1192))+1))</x:f>
      </x:c>
    </x:row>
    <x:row r="1193">
      <x:c r="A1193"/>
      <x:c r="B1193"/>
      <x:c r="C1193"/>
      <x:c r="D1193" t="str">
        <x:f>IFERROR(IF(1191&lt;=$O$1,INDEX($A$3:$A$168,MATCH(1191,$I$3:$I$168,0)),IF(1191&lt;=$O$1+$O$2,INDEX($F$3:$F$1994,MATCH(1191-$O$1,$G$3:$G$1994,0)),"")),"")</x:f>
      </x:c>
      <x:c r="E1193" t="str">
        <x:f>IF(K1193="","",IF(N1193&lt;=M1193,"",TRIM(CLEAN(MID(INDEX($B$3:$B$168,K1193),M1193,N1193-M1193)))))</x:f>
      </x:c>
      <x:c r="F1193" t="str">
        <x:f>IF(E1193="","",IF(E1193=TRIM(INDEX($A$3:$A$168,K1193)),"",IF(RIGHT(TRIM(INDEX($A$3:$A$168,K1193)),1)="]",LEFT(TRIM(INDEX($A$3:$A$168,K1193)),LEN(TRIM(INDEX($A$3:$A$168,K1193)))-1)&amp;", "&amp;SUBSTITUTE(SUBSTITUTE(SUBSTITUTE(E1193," [",", "),"[",", "),"]","")&amp;"]",TRIM(INDEX($A$3:$A$168,K1193))&amp;" ["&amp;SUBSTITUTE(SUBSTITUTE(SUBSTITUTE(E1193," [",", "),"[",", "),"]","")&amp;"]")))</x:f>
      </x:c>
      <x:c r="G1193" t="str">
        <x:f>IF(F1193&lt;&gt;"",ROWS($F$3:F1193)-COUNTBLANK($F$3:F1193),"")</x:f>
      </x:c>
      <x:c r="H1193"/>
      <x:c r="I1193"/>
      <x:c r="J1193"/>
      <x:c r="K1193" t="str">
        <x:f>IF(ROW()-ROW($K$2)&lt;=SUM($J$3:$J$168),COUNTIF($H$3:$H$168,"&lt;"&amp;(ROW()-ROW($K$2))),"")</x:f>
      </x:c>
      <x:c r="L1193" t="str">
        <x:f>IF(K1193="","",ROW()-ROW($L$2)-INDEX($H$3:$H$168,K1193))</x:f>
      </x:c>
      <x:c r="M1193" t="str">
        <x:f>IF(K1193="","",IF(L1193=1,1,FIND(CHAR(1),SUBSTITUTE(INDEX($B$3:$B$168,K1193),CHAR(10),CHAR(1),L1193-1))+1))</x:f>
      </x:c>
      <x:c r="N1193" t="str">
        <x:f>IF(K1193="","",IFERROR(FIND(CHAR(1),SUBSTITUTE(INDEX($B$3:$B$168,K1193),CHAR(10),CHAR(1),L1193)),LEN(INDEX($B$3:$B$168,K1193))+1))</x:f>
      </x:c>
    </x:row>
    <x:row r="1194">
      <x:c r="A1194"/>
      <x:c r="B1194"/>
      <x:c r="C1194"/>
      <x:c r="D1194" t="str">
        <x:f>IFERROR(IF(1192&lt;=$O$1,INDEX($A$3:$A$168,MATCH(1192,$I$3:$I$168,0)),IF(1192&lt;=$O$1+$O$2,INDEX($F$3:$F$1994,MATCH(1192-$O$1,$G$3:$G$1994,0)),"")),"")</x:f>
      </x:c>
      <x:c r="E1194" t="str">
        <x:f>IF(K1194="","",IF(N1194&lt;=M1194,"",TRIM(CLEAN(MID(INDEX($B$3:$B$168,K1194),M1194,N1194-M1194)))))</x:f>
      </x:c>
      <x:c r="F1194" t="str">
        <x:f>IF(E1194="","",IF(E1194=TRIM(INDEX($A$3:$A$168,K1194)),"",IF(RIGHT(TRIM(INDEX($A$3:$A$168,K1194)),1)="]",LEFT(TRIM(INDEX($A$3:$A$168,K1194)),LEN(TRIM(INDEX($A$3:$A$168,K1194)))-1)&amp;", "&amp;SUBSTITUTE(SUBSTITUTE(SUBSTITUTE(E1194," [",", "),"[",", "),"]","")&amp;"]",TRIM(INDEX($A$3:$A$168,K1194))&amp;" ["&amp;SUBSTITUTE(SUBSTITUTE(SUBSTITUTE(E1194," [",", "),"[",", "),"]","")&amp;"]")))</x:f>
      </x:c>
      <x:c r="G1194" t="str">
        <x:f>IF(F1194&lt;&gt;"",ROWS($F$3:F1194)-COUNTBLANK($F$3:F1194),"")</x:f>
      </x:c>
      <x:c r="H1194"/>
      <x:c r="I1194"/>
      <x:c r="J1194"/>
      <x:c r="K1194" t="str">
        <x:f>IF(ROW()-ROW($K$2)&lt;=SUM($J$3:$J$168),COUNTIF($H$3:$H$168,"&lt;"&amp;(ROW()-ROW($K$2))),"")</x:f>
      </x:c>
      <x:c r="L1194" t="str">
        <x:f>IF(K1194="","",ROW()-ROW($L$2)-INDEX($H$3:$H$168,K1194))</x:f>
      </x:c>
      <x:c r="M1194" t="str">
        <x:f>IF(K1194="","",IF(L1194=1,1,FIND(CHAR(1),SUBSTITUTE(INDEX($B$3:$B$168,K1194),CHAR(10),CHAR(1),L1194-1))+1))</x:f>
      </x:c>
      <x:c r="N1194" t="str">
        <x:f>IF(K1194="","",IFERROR(FIND(CHAR(1),SUBSTITUTE(INDEX($B$3:$B$168,K1194),CHAR(10),CHAR(1),L1194)),LEN(INDEX($B$3:$B$168,K1194))+1))</x:f>
      </x:c>
    </x:row>
    <x:row r="1195">
      <x:c r="A1195"/>
      <x:c r="B1195"/>
      <x:c r="C1195"/>
      <x:c r="D1195" t="str">
        <x:f>IFERROR(IF(1193&lt;=$O$1,INDEX($A$3:$A$168,MATCH(1193,$I$3:$I$168,0)),IF(1193&lt;=$O$1+$O$2,INDEX($F$3:$F$1994,MATCH(1193-$O$1,$G$3:$G$1994,0)),"")),"")</x:f>
      </x:c>
      <x:c r="E1195" t="str">
        <x:f>IF(K1195="","",IF(N1195&lt;=M1195,"",TRIM(CLEAN(MID(INDEX($B$3:$B$168,K1195),M1195,N1195-M1195)))))</x:f>
      </x:c>
      <x:c r="F1195" t="str">
        <x:f>IF(E1195="","",IF(E1195=TRIM(INDEX($A$3:$A$168,K1195)),"",IF(RIGHT(TRIM(INDEX($A$3:$A$168,K1195)),1)="]",LEFT(TRIM(INDEX($A$3:$A$168,K1195)),LEN(TRIM(INDEX($A$3:$A$168,K1195)))-1)&amp;", "&amp;SUBSTITUTE(SUBSTITUTE(SUBSTITUTE(E1195," [",", "),"[",", "),"]","")&amp;"]",TRIM(INDEX($A$3:$A$168,K1195))&amp;" ["&amp;SUBSTITUTE(SUBSTITUTE(SUBSTITUTE(E1195," [",", "),"[",", "),"]","")&amp;"]")))</x:f>
      </x:c>
      <x:c r="G1195" t="str">
        <x:f>IF(F1195&lt;&gt;"",ROWS($F$3:F1195)-COUNTBLANK($F$3:F1195),"")</x:f>
      </x:c>
      <x:c r="H1195"/>
      <x:c r="I1195"/>
      <x:c r="J1195"/>
      <x:c r="K1195" t="str">
        <x:f>IF(ROW()-ROW($K$2)&lt;=SUM($J$3:$J$168),COUNTIF($H$3:$H$168,"&lt;"&amp;(ROW()-ROW($K$2))),"")</x:f>
      </x:c>
      <x:c r="L1195" t="str">
        <x:f>IF(K1195="","",ROW()-ROW($L$2)-INDEX($H$3:$H$168,K1195))</x:f>
      </x:c>
      <x:c r="M1195" t="str">
        <x:f>IF(K1195="","",IF(L1195=1,1,FIND(CHAR(1),SUBSTITUTE(INDEX($B$3:$B$168,K1195),CHAR(10),CHAR(1),L1195-1))+1))</x:f>
      </x:c>
      <x:c r="N1195" t="str">
        <x:f>IF(K1195="","",IFERROR(FIND(CHAR(1),SUBSTITUTE(INDEX($B$3:$B$168,K1195),CHAR(10),CHAR(1),L1195)),LEN(INDEX($B$3:$B$168,K1195))+1))</x:f>
      </x:c>
    </x:row>
    <x:row r="1196">
      <x:c r="A1196"/>
      <x:c r="B1196"/>
      <x:c r="C1196"/>
      <x:c r="D1196" t="str">
        <x:f>IFERROR(IF(1194&lt;=$O$1,INDEX($A$3:$A$168,MATCH(1194,$I$3:$I$168,0)),IF(1194&lt;=$O$1+$O$2,INDEX($F$3:$F$1994,MATCH(1194-$O$1,$G$3:$G$1994,0)),"")),"")</x:f>
      </x:c>
      <x:c r="E1196" t="str">
        <x:f>IF(K1196="","",IF(N1196&lt;=M1196,"",TRIM(CLEAN(MID(INDEX($B$3:$B$168,K1196),M1196,N1196-M1196)))))</x:f>
      </x:c>
      <x:c r="F1196" t="str">
        <x:f>IF(E1196="","",IF(E1196=TRIM(INDEX($A$3:$A$168,K1196)),"",IF(RIGHT(TRIM(INDEX($A$3:$A$168,K1196)),1)="]",LEFT(TRIM(INDEX($A$3:$A$168,K1196)),LEN(TRIM(INDEX($A$3:$A$168,K1196)))-1)&amp;", "&amp;SUBSTITUTE(SUBSTITUTE(SUBSTITUTE(E1196," [",", "),"[",", "),"]","")&amp;"]",TRIM(INDEX($A$3:$A$168,K1196))&amp;" ["&amp;SUBSTITUTE(SUBSTITUTE(SUBSTITUTE(E1196," [",", "),"[",", "),"]","")&amp;"]")))</x:f>
      </x:c>
      <x:c r="G1196" t="str">
        <x:f>IF(F1196&lt;&gt;"",ROWS($F$3:F1196)-COUNTBLANK($F$3:F1196),"")</x:f>
      </x:c>
      <x:c r="H1196"/>
      <x:c r="I1196"/>
      <x:c r="J1196"/>
      <x:c r="K1196" t="str">
        <x:f>IF(ROW()-ROW($K$2)&lt;=SUM($J$3:$J$168),COUNTIF($H$3:$H$168,"&lt;"&amp;(ROW()-ROW($K$2))),"")</x:f>
      </x:c>
      <x:c r="L1196" t="str">
        <x:f>IF(K1196="","",ROW()-ROW($L$2)-INDEX($H$3:$H$168,K1196))</x:f>
      </x:c>
      <x:c r="M1196" t="str">
        <x:f>IF(K1196="","",IF(L1196=1,1,FIND(CHAR(1),SUBSTITUTE(INDEX($B$3:$B$168,K1196),CHAR(10),CHAR(1),L1196-1))+1))</x:f>
      </x:c>
      <x:c r="N1196" t="str">
        <x:f>IF(K1196="","",IFERROR(FIND(CHAR(1),SUBSTITUTE(INDEX($B$3:$B$168,K1196),CHAR(10),CHAR(1),L1196)),LEN(INDEX($B$3:$B$168,K1196))+1))</x:f>
      </x:c>
    </x:row>
    <x:row r="1197">
      <x:c r="A1197"/>
      <x:c r="B1197"/>
      <x:c r="C1197"/>
      <x:c r="D1197" t="str">
        <x:f>IFERROR(IF(1195&lt;=$O$1,INDEX($A$3:$A$168,MATCH(1195,$I$3:$I$168,0)),IF(1195&lt;=$O$1+$O$2,INDEX($F$3:$F$1994,MATCH(1195-$O$1,$G$3:$G$1994,0)),"")),"")</x:f>
      </x:c>
      <x:c r="E1197" t="str">
        <x:f>IF(K1197="","",IF(N1197&lt;=M1197,"",TRIM(CLEAN(MID(INDEX($B$3:$B$168,K1197),M1197,N1197-M1197)))))</x:f>
      </x:c>
      <x:c r="F1197" t="str">
        <x:f>IF(E1197="","",IF(E1197=TRIM(INDEX($A$3:$A$168,K1197)),"",IF(RIGHT(TRIM(INDEX($A$3:$A$168,K1197)),1)="]",LEFT(TRIM(INDEX($A$3:$A$168,K1197)),LEN(TRIM(INDEX($A$3:$A$168,K1197)))-1)&amp;", "&amp;SUBSTITUTE(SUBSTITUTE(SUBSTITUTE(E1197," [",", "),"[",", "),"]","")&amp;"]",TRIM(INDEX($A$3:$A$168,K1197))&amp;" ["&amp;SUBSTITUTE(SUBSTITUTE(SUBSTITUTE(E1197," [",", "),"[",", "),"]","")&amp;"]")))</x:f>
      </x:c>
      <x:c r="G1197" t="str">
        <x:f>IF(F1197&lt;&gt;"",ROWS($F$3:F1197)-COUNTBLANK($F$3:F1197),"")</x:f>
      </x:c>
      <x:c r="H1197"/>
      <x:c r="I1197"/>
      <x:c r="J1197"/>
      <x:c r="K1197" t="str">
        <x:f>IF(ROW()-ROW($K$2)&lt;=SUM($J$3:$J$168),COUNTIF($H$3:$H$168,"&lt;"&amp;(ROW()-ROW($K$2))),"")</x:f>
      </x:c>
      <x:c r="L1197" t="str">
        <x:f>IF(K1197="","",ROW()-ROW($L$2)-INDEX($H$3:$H$168,K1197))</x:f>
      </x:c>
      <x:c r="M1197" t="str">
        <x:f>IF(K1197="","",IF(L1197=1,1,FIND(CHAR(1),SUBSTITUTE(INDEX($B$3:$B$168,K1197),CHAR(10),CHAR(1),L1197-1))+1))</x:f>
      </x:c>
      <x:c r="N1197" t="str">
        <x:f>IF(K1197="","",IFERROR(FIND(CHAR(1),SUBSTITUTE(INDEX($B$3:$B$168,K1197),CHAR(10),CHAR(1),L1197)),LEN(INDEX($B$3:$B$168,K1197))+1))</x:f>
      </x:c>
    </x:row>
    <x:row r="1198">
      <x:c r="A1198"/>
      <x:c r="B1198"/>
      <x:c r="C1198"/>
      <x:c r="D1198" t="str">
        <x:f>IFERROR(IF(1196&lt;=$O$1,INDEX($A$3:$A$168,MATCH(1196,$I$3:$I$168,0)),IF(1196&lt;=$O$1+$O$2,INDEX($F$3:$F$1994,MATCH(1196-$O$1,$G$3:$G$1994,0)),"")),"")</x:f>
      </x:c>
      <x:c r="E1198" t="str">
        <x:f>IF(K1198="","",IF(N1198&lt;=M1198,"",TRIM(CLEAN(MID(INDEX($B$3:$B$168,K1198),M1198,N1198-M1198)))))</x:f>
      </x:c>
      <x:c r="F1198" t="str">
        <x:f>IF(E1198="","",IF(E1198=TRIM(INDEX($A$3:$A$168,K1198)),"",IF(RIGHT(TRIM(INDEX($A$3:$A$168,K1198)),1)="]",LEFT(TRIM(INDEX($A$3:$A$168,K1198)),LEN(TRIM(INDEX($A$3:$A$168,K1198)))-1)&amp;", "&amp;SUBSTITUTE(SUBSTITUTE(SUBSTITUTE(E1198," [",", "),"[",", "),"]","")&amp;"]",TRIM(INDEX($A$3:$A$168,K1198))&amp;" ["&amp;SUBSTITUTE(SUBSTITUTE(SUBSTITUTE(E1198," [",", "),"[",", "),"]","")&amp;"]")))</x:f>
      </x:c>
      <x:c r="G1198" t="str">
        <x:f>IF(F1198&lt;&gt;"",ROWS($F$3:F1198)-COUNTBLANK($F$3:F1198),"")</x:f>
      </x:c>
      <x:c r="H1198"/>
      <x:c r="I1198"/>
      <x:c r="J1198"/>
      <x:c r="K1198" t="str">
        <x:f>IF(ROW()-ROW($K$2)&lt;=SUM($J$3:$J$168),COUNTIF($H$3:$H$168,"&lt;"&amp;(ROW()-ROW($K$2))),"")</x:f>
      </x:c>
      <x:c r="L1198" t="str">
        <x:f>IF(K1198="","",ROW()-ROW($L$2)-INDEX($H$3:$H$168,K1198))</x:f>
      </x:c>
      <x:c r="M1198" t="str">
        <x:f>IF(K1198="","",IF(L1198=1,1,FIND(CHAR(1),SUBSTITUTE(INDEX($B$3:$B$168,K1198),CHAR(10),CHAR(1),L1198-1))+1))</x:f>
      </x:c>
      <x:c r="N1198" t="str">
        <x:f>IF(K1198="","",IFERROR(FIND(CHAR(1),SUBSTITUTE(INDEX($B$3:$B$168,K1198),CHAR(10),CHAR(1),L1198)),LEN(INDEX($B$3:$B$168,K1198))+1))</x:f>
      </x:c>
    </x:row>
    <x:row r="1199">
      <x:c r="A1199"/>
      <x:c r="B1199"/>
      <x:c r="C1199"/>
      <x:c r="D1199" t="str">
        <x:f>IFERROR(IF(1197&lt;=$O$1,INDEX($A$3:$A$168,MATCH(1197,$I$3:$I$168,0)),IF(1197&lt;=$O$1+$O$2,INDEX($F$3:$F$1994,MATCH(1197-$O$1,$G$3:$G$1994,0)),"")),"")</x:f>
      </x:c>
      <x:c r="E1199" t="str">
        <x:f>IF(K1199="","",IF(N1199&lt;=M1199,"",TRIM(CLEAN(MID(INDEX($B$3:$B$168,K1199),M1199,N1199-M1199)))))</x:f>
      </x:c>
      <x:c r="F1199" t="str">
        <x:f>IF(E1199="","",IF(E1199=TRIM(INDEX($A$3:$A$168,K1199)),"",IF(RIGHT(TRIM(INDEX($A$3:$A$168,K1199)),1)="]",LEFT(TRIM(INDEX($A$3:$A$168,K1199)),LEN(TRIM(INDEX($A$3:$A$168,K1199)))-1)&amp;", "&amp;SUBSTITUTE(SUBSTITUTE(SUBSTITUTE(E1199," [",", "),"[",", "),"]","")&amp;"]",TRIM(INDEX($A$3:$A$168,K1199))&amp;" ["&amp;SUBSTITUTE(SUBSTITUTE(SUBSTITUTE(E1199," [",", "),"[",", "),"]","")&amp;"]")))</x:f>
      </x:c>
      <x:c r="G1199" t="str">
        <x:f>IF(F1199&lt;&gt;"",ROWS($F$3:F1199)-COUNTBLANK($F$3:F1199),"")</x:f>
      </x:c>
      <x:c r="H1199"/>
      <x:c r="I1199"/>
      <x:c r="J1199"/>
      <x:c r="K1199" t="str">
        <x:f>IF(ROW()-ROW($K$2)&lt;=SUM($J$3:$J$168),COUNTIF($H$3:$H$168,"&lt;"&amp;(ROW()-ROW($K$2))),"")</x:f>
      </x:c>
      <x:c r="L1199" t="str">
        <x:f>IF(K1199="","",ROW()-ROW($L$2)-INDEX($H$3:$H$168,K1199))</x:f>
      </x:c>
      <x:c r="M1199" t="str">
        <x:f>IF(K1199="","",IF(L1199=1,1,FIND(CHAR(1),SUBSTITUTE(INDEX($B$3:$B$168,K1199),CHAR(10),CHAR(1),L1199-1))+1))</x:f>
      </x:c>
      <x:c r="N1199" t="str">
        <x:f>IF(K1199="","",IFERROR(FIND(CHAR(1),SUBSTITUTE(INDEX($B$3:$B$168,K1199),CHAR(10),CHAR(1),L1199)),LEN(INDEX($B$3:$B$168,K1199))+1))</x:f>
      </x:c>
    </x:row>
    <x:row r="1200">
      <x:c r="A1200"/>
      <x:c r="B1200"/>
      <x:c r="C1200"/>
      <x:c r="D1200" t="str">
        <x:f>IFERROR(IF(1198&lt;=$O$1,INDEX($A$3:$A$168,MATCH(1198,$I$3:$I$168,0)),IF(1198&lt;=$O$1+$O$2,INDEX($F$3:$F$1994,MATCH(1198-$O$1,$G$3:$G$1994,0)),"")),"")</x:f>
      </x:c>
      <x:c r="E1200" t="str">
        <x:f>IF(K1200="","",IF(N1200&lt;=M1200,"",TRIM(CLEAN(MID(INDEX($B$3:$B$168,K1200),M1200,N1200-M1200)))))</x:f>
      </x:c>
      <x:c r="F1200" t="str">
        <x:f>IF(E1200="","",IF(E1200=TRIM(INDEX($A$3:$A$168,K1200)),"",IF(RIGHT(TRIM(INDEX($A$3:$A$168,K1200)),1)="]",LEFT(TRIM(INDEX($A$3:$A$168,K1200)),LEN(TRIM(INDEX($A$3:$A$168,K1200)))-1)&amp;", "&amp;SUBSTITUTE(SUBSTITUTE(SUBSTITUTE(E1200," [",", "),"[",", "),"]","")&amp;"]",TRIM(INDEX($A$3:$A$168,K1200))&amp;" ["&amp;SUBSTITUTE(SUBSTITUTE(SUBSTITUTE(E1200," [",", "),"[",", "),"]","")&amp;"]")))</x:f>
      </x:c>
      <x:c r="G1200" t="str">
        <x:f>IF(F1200&lt;&gt;"",ROWS($F$3:F1200)-COUNTBLANK($F$3:F1200),"")</x:f>
      </x:c>
      <x:c r="H1200"/>
      <x:c r="I1200"/>
      <x:c r="J1200"/>
      <x:c r="K1200" t="str">
        <x:f>IF(ROW()-ROW($K$2)&lt;=SUM($J$3:$J$168),COUNTIF($H$3:$H$168,"&lt;"&amp;(ROW()-ROW($K$2))),"")</x:f>
      </x:c>
      <x:c r="L1200" t="str">
        <x:f>IF(K1200="","",ROW()-ROW($L$2)-INDEX($H$3:$H$168,K1200))</x:f>
      </x:c>
      <x:c r="M1200" t="str">
        <x:f>IF(K1200="","",IF(L1200=1,1,FIND(CHAR(1),SUBSTITUTE(INDEX($B$3:$B$168,K1200),CHAR(10),CHAR(1),L1200-1))+1))</x:f>
      </x:c>
      <x:c r="N1200" t="str">
        <x:f>IF(K1200="","",IFERROR(FIND(CHAR(1),SUBSTITUTE(INDEX($B$3:$B$168,K1200),CHAR(10),CHAR(1),L1200)),LEN(INDEX($B$3:$B$168,K1200))+1))</x:f>
      </x:c>
    </x:row>
    <x:row r="1201">
      <x:c r="A1201"/>
      <x:c r="B1201"/>
      <x:c r="C1201"/>
      <x:c r="D1201" t="str">
        <x:f>IFERROR(IF(1199&lt;=$O$1,INDEX($A$3:$A$168,MATCH(1199,$I$3:$I$168,0)),IF(1199&lt;=$O$1+$O$2,INDEX($F$3:$F$1994,MATCH(1199-$O$1,$G$3:$G$1994,0)),"")),"")</x:f>
      </x:c>
      <x:c r="E1201" t="str">
        <x:f>IF(K1201="","",IF(N1201&lt;=M1201,"",TRIM(CLEAN(MID(INDEX($B$3:$B$168,K1201),M1201,N1201-M1201)))))</x:f>
      </x:c>
      <x:c r="F1201" t="str">
        <x:f>IF(E1201="","",IF(E1201=TRIM(INDEX($A$3:$A$168,K1201)),"",IF(RIGHT(TRIM(INDEX($A$3:$A$168,K1201)),1)="]",LEFT(TRIM(INDEX($A$3:$A$168,K1201)),LEN(TRIM(INDEX($A$3:$A$168,K1201)))-1)&amp;", "&amp;SUBSTITUTE(SUBSTITUTE(SUBSTITUTE(E1201," [",", "),"[",", "),"]","")&amp;"]",TRIM(INDEX($A$3:$A$168,K1201))&amp;" ["&amp;SUBSTITUTE(SUBSTITUTE(SUBSTITUTE(E1201," [",", "),"[",", "),"]","")&amp;"]")))</x:f>
      </x:c>
      <x:c r="G1201" t="str">
        <x:f>IF(F1201&lt;&gt;"",ROWS($F$3:F1201)-COUNTBLANK($F$3:F1201),"")</x:f>
      </x:c>
      <x:c r="H1201"/>
      <x:c r="I1201"/>
      <x:c r="J1201"/>
      <x:c r="K1201" t="str">
        <x:f>IF(ROW()-ROW($K$2)&lt;=SUM($J$3:$J$168),COUNTIF($H$3:$H$168,"&lt;"&amp;(ROW()-ROW($K$2))),"")</x:f>
      </x:c>
      <x:c r="L1201" t="str">
        <x:f>IF(K1201="","",ROW()-ROW($L$2)-INDEX($H$3:$H$168,K1201))</x:f>
      </x:c>
      <x:c r="M1201" t="str">
        <x:f>IF(K1201="","",IF(L1201=1,1,FIND(CHAR(1),SUBSTITUTE(INDEX($B$3:$B$168,K1201),CHAR(10),CHAR(1),L1201-1))+1))</x:f>
      </x:c>
      <x:c r="N1201" t="str">
        <x:f>IF(K1201="","",IFERROR(FIND(CHAR(1),SUBSTITUTE(INDEX($B$3:$B$168,K1201),CHAR(10),CHAR(1),L1201)),LEN(INDEX($B$3:$B$168,K1201))+1))</x:f>
      </x:c>
    </x:row>
    <x:row r="1202">
      <x:c r="A1202"/>
      <x:c r="B1202"/>
      <x:c r="C1202"/>
      <x:c r="D1202" t="str">
        <x:f>IFERROR(IF(1200&lt;=$O$1,INDEX($A$3:$A$168,MATCH(1200,$I$3:$I$168,0)),IF(1200&lt;=$O$1+$O$2,INDEX($F$3:$F$1994,MATCH(1200-$O$1,$G$3:$G$1994,0)),"")),"")</x:f>
      </x:c>
      <x:c r="E1202" t="str">
        <x:f>IF(K1202="","",IF(N1202&lt;=M1202,"",TRIM(CLEAN(MID(INDEX($B$3:$B$168,K1202),M1202,N1202-M1202)))))</x:f>
      </x:c>
      <x:c r="F1202" t="str">
        <x:f>IF(E1202="","",IF(E1202=TRIM(INDEX($A$3:$A$168,K1202)),"",IF(RIGHT(TRIM(INDEX($A$3:$A$168,K1202)),1)="]",LEFT(TRIM(INDEX($A$3:$A$168,K1202)),LEN(TRIM(INDEX($A$3:$A$168,K1202)))-1)&amp;", "&amp;SUBSTITUTE(SUBSTITUTE(SUBSTITUTE(E1202," [",", "),"[",", "),"]","")&amp;"]",TRIM(INDEX($A$3:$A$168,K1202))&amp;" ["&amp;SUBSTITUTE(SUBSTITUTE(SUBSTITUTE(E1202," [",", "),"[",", "),"]","")&amp;"]")))</x:f>
      </x:c>
      <x:c r="G1202" t="str">
        <x:f>IF(F1202&lt;&gt;"",ROWS($F$3:F1202)-COUNTBLANK($F$3:F1202),"")</x:f>
      </x:c>
      <x:c r="H1202"/>
      <x:c r="I1202"/>
      <x:c r="J1202"/>
      <x:c r="K1202" t="str">
        <x:f>IF(ROW()-ROW($K$2)&lt;=SUM($J$3:$J$168),COUNTIF($H$3:$H$168,"&lt;"&amp;(ROW()-ROW($K$2))),"")</x:f>
      </x:c>
      <x:c r="L1202" t="str">
        <x:f>IF(K1202="","",ROW()-ROW($L$2)-INDEX($H$3:$H$168,K1202))</x:f>
      </x:c>
      <x:c r="M1202" t="str">
        <x:f>IF(K1202="","",IF(L1202=1,1,FIND(CHAR(1),SUBSTITUTE(INDEX($B$3:$B$168,K1202),CHAR(10),CHAR(1),L1202-1))+1))</x:f>
      </x:c>
      <x:c r="N1202" t="str">
        <x:f>IF(K1202="","",IFERROR(FIND(CHAR(1),SUBSTITUTE(INDEX($B$3:$B$168,K1202),CHAR(10),CHAR(1),L1202)),LEN(INDEX($B$3:$B$168,K1202))+1))</x:f>
      </x:c>
    </x:row>
    <x:row r="1203">
      <x:c r="A1203"/>
      <x:c r="B1203"/>
      <x:c r="C1203"/>
      <x:c r="D1203" t="str">
        <x:f>IFERROR(IF(1201&lt;=$O$1,INDEX($A$3:$A$168,MATCH(1201,$I$3:$I$168,0)),IF(1201&lt;=$O$1+$O$2,INDEX($F$3:$F$1994,MATCH(1201-$O$1,$G$3:$G$1994,0)),"")),"")</x:f>
      </x:c>
      <x:c r="E1203" t="str">
        <x:f>IF(K1203="","",IF(N1203&lt;=M1203,"",TRIM(CLEAN(MID(INDEX($B$3:$B$168,K1203),M1203,N1203-M1203)))))</x:f>
      </x:c>
      <x:c r="F1203" t="str">
        <x:f>IF(E1203="","",IF(E1203=TRIM(INDEX($A$3:$A$168,K1203)),"",IF(RIGHT(TRIM(INDEX($A$3:$A$168,K1203)),1)="]",LEFT(TRIM(INDEX($A$3:$A$168,K1203)),LEN(TRIM(INDEX($A$3:$A$168,K1203)))-1)&amp;", "&amp;SUBSTITUTE(SUBSTITUTE(SUBSTITUTE(E1203," [",", "),"[",", "),"]","")&amp;"]",TRIM(INDEX($A$3:$A$168,K1203))&amp;" ["&amp;SUBSTITUTE(SUBSTITUTE(SUBSTITUTE(E1203," [",", "),"[",", "),"]","")&amp;"]")))</x:f>
      </x:c>
      <x:c r="G1203" t="str">
        <x:f>IF(F1203&lt;&gt;"",ROWS($F$3:F1203)-COUNTBLANK($F$3:F1203),"")</x:f>
      </x:c>
      <x:c r="H1203"/>
      <x:c r="I1203"/>
      <x:c r="J1203"/>
      <x:c r="K1203" t="str">
        <x:f>IF(ROW()-ROW($K$2)&lt;=SUM($J$3:$J$168),COUNTIF($H$3:$H$168,"&lt;"&amp;(ROW()-ROW($K$2))),"")</x:f>
      </x:c>
      <x:c r="L1203" t="str">
        <x:f>IF(K1203="","",ROW()-ROW($L$2)-INDEX($H$3:$H$168,K1203))</x:f>
      </x:c>
      <x:c r="M1203" t="str">
        <x:f>IF(K1203="","",IF(L1203=1,1,FIND(CHAR(1),SUBSTITUTE(INDEX($B$3:$B$168,K1203),CHAR(10),CHAR(1),L1203-1))+1))</x:f>
      </x:c>
      <x:c r="N1203" t="str">
        <x:f>IF(K1203="","",IFERROR(FIND(CHAR(1),SUBSTITUTE(INDEX($B$3:$B$168,K1203),CHAR(10),CHAR(1),L1203)),LEN(INDEX($B$3:$B$168,K1203))+1))</x:f>
      </x:c>
    </x:row>
    <x:row r="1204">
      <x:c r="A1204"/>
      <x:c r="B1204"/>
      <x:c r="C1204"/>
      <x:c r="D1204" t="str">
        <x:f>IFERROR(IF(1202&lt;=$O$1,INDEX($A$3:$A$168,MATCH(1202,$I$3:$I$168,0)),IF(1202&lt;=$O$1+$O$2,INDEX($F$3:$F$1994,MATCH(1202-$O$1,$G$3:$G$1994,0)),"")),"")</x:f>
      </x:c>
      <x:c r="E1204" t="str">
        <x:f>IF(K1204="","",IF(N1204&lt;=M1204,"",TRIM(CLEAN(MID(INDEX($B$3:$B$168,K1204),M1204,N1204-M1204)))))</x:f>
      </x:c>
      <x:c r="F1204" t="str">
        <x:f>IF(E1204="","",IF(E1204=TRIM(INDEX($A$3:$A$168,K1204)),"",IF(RIGHT(TRIM(INDEX($A$3:$A$168,K1204)),1)="]",LEFT(TRIM(INDEX($A$3:$A$168,K1204)),LEN(TRIM(INDEX($A$3:$A$168,K1204)))-1)&amp;", "&amp;SUBSTITUTE(SUBSTITUTE(SUBSTITUTE(E1204," [",", "),"[",", "),"]","")&amp;"]",TRIM(INDEX($A$3:$A$168,K1204))&amp;" ["&amp;SUBSTITUTE(SUBSTITUTE(SUBSTITUTE(E1204," [",", "),"[",", "),"]","")&amp;"]")))</x:f>
      </x:c>
      <x:c r="G1204" t="str">
        <x:f>IF(F1204&lt;&gt;"",ROWS($F$3:F1204)-COUNTBLANK($F$3:F1204),"")</x:f>
      </x:c>
      <x:c r="H1204"/>
      <x:c r="I1204"/>
      <x:c r="J1204"/>
      <x:c r="K1204" t="str">
        <x:f>IF(ROW()-ROW($K$2)&lt;=SUM($J$3:$J$168),COUNTIF($H$3:$H$168,"&lt;"&amp;(ROW()-ROW($K$2))),"")</x:f>
      </x:c>
      <x:c r="L1204" t="str">
        <x:f>IF(K1204="","",ROW()-ROW($L$2)-INDEX($H$3:$H$168,K1204))</x:f>
      </x:c>
      <x:c r="M1204" t="str">
        <x:f>IF(K1204="","",IF(L1204=1,1,FIND(CHAR(1),SUBSTITUTE(INDEX($B$3:$B$168,K1204),CHAR(10),CHAR(1),L1204-1))+1))</x:f>
      </x:c>
      <x:c r="N1204" t="str">
        <x:f>IF(K1204="","",IFERROR(FIND(CHAR(1),SUBSTITUTE(INDEX($B$3:$B$168,K1204),CHAR(10),CHAR(1),L1204)),LEN(INDEX($B$3:$B$168,K1204))+1))</x:f>
      </x:c>
    </x:row>
    <x:row r="1205">
      <x:c r="A1205"/>
      <x:c r="B1205"/>
      <x:c r="C1205"/>
      <x:c r="D1205" t="str">
        <x:f>IFERROR(IF(1203&lt;=$O$1,INDEX($A$3:$A$168,MATCH(1203,$I$3:$I$168,0)),IF(1203&lt;=$O$1+$O$2,INDEX($F$3:$F$1994,MATCH(1203-$O$1,$G$3:$G$1994,0)),"")),"")</x:f>
      </x:c>
      <x:c r="E1205" t="str">
        <x:f>IF(K1205="","",IF(N1205&lt;=M1205,"",TRIM(CLEAN(MID(INDEX($B$3:$B$168,K1205),M1205,N1205-M1205)))))</x:f>
      </x:c>
      <x:c r="F1205" t="str">
        <x:f>IF(E1205="","",IF(E1205=TRIM(INDEX($A$3:$A$168,K1205)),"",IF(RIGHT(TRIM(INDEX($A$3:$A$168,K1205)),1)="]",LEFT(TRIM(INDEX($A$3:$A$168,K1205)),LEN(TRIM(INDEX($A$3:$A$168,K1205)))-1)&amp;", "&amp;SUBSTITUTE(SUBSTITUTE(SUBSTITUTE(E1205," [",", "),"[",", "),"]","")&amp;"]",TRIM(INDEX($A$3:$A$168,K1205))&amp;" ["&amp;SUBSTITUTE(SUBSTITUTE(SUBSTITUTE(E1205," [",", "),"[",", "),"]","")&amp;"]")))</x:f>
      </x:c>
      <x:c r="G1205" t="str">
        <x:f>IF(F1205&lt;&gt;"",ROWS($F$3:F1205)-COUNTBLANK($F$3:F1205),"")</x:f>
      </x:c>
      <x:c r="H1205"/>
      <x:c r="I1205"/>
      <x:c r="J1205"/>
      <x:c r="K1205" t="str">
        <x:f>IF(ROW()-ROW($K$2)&lt;=SUM($J$3:$J$168),COUNTIF($H$3:$H$168,"&lt;"&amp;(ROW()-ROW($K$2))),"")</x:f>
      </x:c>
      <x:c r="L1205" t="str">
        <x:f>IF(K1205="","",ROW()-ROW($L$2)-INDEX($H$3:$H$168,K1205))</x:f>
      </x:c>
      <x:c r="M1205" t="str">
        <x:f>IF(K1205="","",IF(L1205=1,1,FIND(CHAR(1),SUBSTITUTE(INDEX($B$3:$B$168,K1205),CHAR(10),CHAR(1),L1205-1))+1))</x:f>
      </x:c>
      <x:c r="N1205" t="str">
        <x:f>IF(K1205="","",IFERROR(FIND(CHAR(1),SUBSTITUTE(INDEX($B$3:$B$168,K1205),CHAR(10),CHAR(1),L1205)),LEN(INDEX($B$3:$B$168,K1205))+1))</x:f>
      </x:c>
    </x:row>
    <x:row r="1206">
      <x:c r="A1206"/>
      <x:c r="B1206"/>
      <x:c r="C1206"/>
      <x:c r="D1206" t="str">
        <x:f>IFERROR(IF(1204&lt;=$O$1,INDEX($A$3:$A$168,MATCH(1204,$I$3:$I$168,0)),IF(1204&lt;=$O$1+$O$2,INDEX($F$3:$F$1994,MATCH(1204-$O$1,$G$3:$G$1994,0)),"")),"")</x:f>
      </x:c>
      <x:c r="E1206" t="str">
        <x:f>IF(K1206="","",IF(N1206&lt;=M1206,"",TRIM(CLEAN(MID(INDEX($B$3:$B$168,K1206),M1206,N1206-M1206)))))</x:f>
      </x:c>
      <x:c r="F1206" t="str">
        <x:f>IF(E1206="","",IF(E1206=TRIM(INDEX($A$3:$A$168,K1206)),"",IF(RIGHT(TRIM(INDEX($A$3:$A$168,K1206)),1)="]",LEFT(TRIM(INDEX($A$3:$A$168,K1206)),LEN(TRIM(INDEX($A$3:$A$168,K1206)))-1)&amp;", "&amp;SUBSTITUTE(SUBSTITUTE(SUBSTITUTE(E1206," [",", "),"[",", "),"]","")&amp;"]",TRIM(INDEX($A$3:$A$168,K1206))&amp;" ["&amp;SUBSTITUTE(SUBSTITUTE(SUBSTITUTE(E1206," [",", "),"[",", "),"]","")&amp;"]")))</x:f>
      </x:c>
      <x:c r="G1206" t="str">
        <x:f>IF(F1206&lt;&gt;"",ROWS($F$3:F1206)-COUNTBLANK($F$3:F1206),"")</x:f>
      </x:c>
      <x:c r="H1206"/>
      <x:c r="I1206"/>
      <x:c r="J1206"/>
      <x:c r="K1206" t="str">
        <x:f>IF(ROW()-ROW($K$2)&lt;=SUM($J$3:$J$168),COUNTIF($H$3:$H$168,"&lt;"&amp;(ROW()-ROW($K$2))),"")</x:f>
      </x:c>
      <x:c r="L1206" t="str">
        <x:f>IF(K1206="","",ROW()-ROW($L$2)-INDEX($H$3:$H$168,K1206))</x:f>
      </x:c>
      <x:c r="M1206" t="str">
        <x:f>IF(K1206="","",IF(L1206=1,1,FIND(CHAR(1),SUBSTITUTE(INDEX($B$3:$B$168,K1206),CHAR(10),CHAR(1),L1206-1))+1))</x:f>
      </x:c>
      <x:c r="N1206" t="str">
        <x:f>IF(K1206="","",IFERROR(FIND(CHAR(1),SUBSTITUTE(INDEX($B$3:$B$168,K1206),CHAR(10),CHAR(1),L1206)),LEN(INDEX($B$3:$B$168,K1206))+1))</x:f>
      </x:c>
    </x:row>
    <x:row r="1207">
      <x:c r="A1207"/>
      <x:c r="B1207"/>
      <x:c r="C1207"/>
      <x:c r="D1207" t="str">
        <x:f>IFERROR(IF(1205&lt;=$O$1,INDEX($A$3:$A$168,MATCH(1205,$I$3:$I$168,0)),IF(1205&lt;=$O$1+$O$2,INDEX($F$3:$F$1994,MATCH(1205-$O$1,$G$3:$G$1994,0)),"")),"")</x:f>
      </x:c>
      <x:c r="E1207" t="str">
        <x:f>IF(K1207="","",IF(N1207&lt;=M1207,"",TRIM(CLEAN(MID(INDEX($B$3:$B$168,K1207),M1207,N1207-M1207)))))</x:f>
      </x:c>
      <x:c r="F1207" t="str">
        <x:f>IF(E1207="","",IF(E1207=TRIM(INDEX($A$3:$A$168,K1207)),"",IF(RIGHT(TRIM(INDEX($A$3:$A$168,K1207)),1)="]",LEFT(TRIM(INDEX($A$3:$A$168,K1207)),LEN(TRIM(INDEX($A$3:$A$168,K1207)))-1)&amp;", "&amp;SUBSTITUTE(SUBSTITUTE(SUBSTITUTE(E1207," [",", "),"[",", "),"]","")&amp;"]",TRIM(INDEX($A$3:$A$168,K1207))&amp;" ["&amp;SUBSTITUTE(SUBSTITUTE(SUBSTITUTE(E1207," [",", "),"[",", "),"]","")&amp;"]")))</x:f>
      </x:c>
      <x:c r="G1207" t="str">
        <x:f>IF(F1207&lt;&gt;"",ROWS($F$3:F1207)-COUNTBLANK($F$3:F1207),"")</x:f>
      </x:c>
      <x:c r="H1207"/>
      <x:c r="I1207"/>
      <x:c r="J1207"/>
      <x:c r="K1207" t="str">
        <x:f>IF(ROW()-ROW($K$2)&lt;=SUM($J$3:$J$168),COUNTIF($H$3:$H$168,"&lt;"&amp;(ROW()-ROW($K$2))),"")</x:f>
      </x:c>
      <x:c r="L1207" t="str">
        <x:f>IF(K1207="","",ROW()-ROW($L$2)-INDEX($H$3:$H$168,K1207))</x:f>
      </x:c>
      <x:c r="M1207" t="str">
        <x:f>IF(K1207="","",IF(L1207=1,1,FIND(CHAR(1),SUBSTITUTE(INDEX($B$3:$B$168,K1207),CHAR(10),CHAR(1),L1207-1))+1))</x:f>
      </x:c>
      <x:c r="N1207" t="str">
        <x:f>IF(K1207="","",IFERROR(FIND(CHAR(1),SUBSTITUTE(INDEX($B$3:$B$168,K1207),CHAR(10),CHAR(1),L1207)),LEN(INDEX($B$3:$B$168,K1207))+1))</x:f>
      </x:c>
    </x:row>
    <x:row r="1208">
      <x:c r="A1208"/>
      <x:c r="B1208"/>
      <x:c r="C1208"/>
      <x:c r="D1208" t="str">
        <x:f>IFERROR(IF(1206&lt;=$O$1,INDEX($A$3:$A$168,MATCH(1206,$I$3:$I$168,0)),IF(1206&lt;=$O$1+$O$2,INDEX($F$3:$F$1994,MATCH(1206-$O$1,$G$3:$G$1994,0)),"")),"")</x:f>
      </x:c>
      <x:c r="E1208" t="str">
        <x:f>IF(K1208="","",IF(N1208&lt;=M1208,"",TRIM(CLEAN(MID(INDEX($B$3:$B$168,K1208),M1208,N1208-M1208)))))</x:f>
      </x:c>
      <x:c r="F1208" t="str">
        <x:f>IF(E1208="","",IF(E1208=TRIM(INDEX($A$3:$A$168,K1208)),"",IF(RIGHT(TRIM(INDEX($A$3:$A$168,K1208)),1)="]",LEFT(TRIM(INDEX($A$3:$A$168,K1208)),LEN(TRIM(INDEX($A$3:$A$168,K1208)))-1)&amp;", "&amp;SUBSTITUTE(SUBSTITUTE(SUBSTITUTE(E1208," [",", "),"[",", "),"]","")&amp;"]",TRIM(INDEX($A$3:$A$168,K1208))&amp;" ["&amp;SUBSTITUTE(SUBSTITUTE(SUBSTITUTE(E1208," [",", "),"[",", "),"]","")&amp;"]")))</x:f>
      </x:c>
      <x:c r="G1208" t="str">
        <x:f>IF(F1208&lt;&gt;"",ROWS($F$3:F1208)-COUNTBLANK($F$3:F1208),"")</x:f>
      </x:c>
      <x:c r="H1208"/>
      <x:c r="I1208"/>
      <x:c r="J1208"/>
      <x:c r="K1208" t="str">
        <x:f>IF(ROW()-ROW($K$2)&lt;=SUM($J$3:$J$168),COUNTIF($H$3:$H$168,"&lt;"&amp;(ROW()-ROW($K$2))),"")</x:f>
      </x:c>
      <x:c r="L1208" t="str">
        <x:f>IF(K1208="","",ROW()-ROW($L$2)-INDEX($H$3:$H$168,K1208))</x:f>
      </x:c>
      <x:c r="M1208" t="str">
        <x:f>IF(K1208="","",IF(L1208=1,1,FIND(CHAR(1),SUBSTITUTE(INDEX($B$3:$B$168,K1208),CHAR(10),CHAR(1),L1208-1))+1))</x:f>
      </x:c>
      <x:c r="N1208" t="str">
        <x:f>IF(K1208="","",IFERROR(FIND(CHAR(1),SUBSTITUTE(INDEX($B$3:$B$168,K1208),CHAR(10),CHAR(1),L1208)),LEN(INDEX($B$3:$B$168,K1208))+1))</x:f>
      </x:c>
    </x:row>
    <x:row r="1209">
      <x:c r="A1209"/>
      <x:c r="B1209"/>
      <x:c r="C1209"/>
      <x:c r="D1209" t="str">
        <x:f>IFERROR(IF(1207&lt;=$O$1,INDEX($A$3:$A$168,MATCH(1207,$I$3:$I$168,0)),IF(1207&lt;=$O$1+$O$2,INDEX($F$3:$F$1994,MATCH(1207-$O$1,$G$3:$G$1994,0)),"")),"")</x:f>
      </x:c>
      <x:c r="E1209" t="str">
        <x:f>IF(K1209="","",IF(N1209&lt;=M1209,"",TRIM(CLEAN(MID(INDEX($B$3:$B$168,K1209),M1209,N1209-M1209)))))</x:f>
      </x:c>
      <x:c r="F1209" t="str">
        <x:f>IF(E1209="","",IF(E1209=TRIM(INDEX($A$3:$A$168,K1209)),"",IF(RIGHT(TRIM(INDEX($A$3:$A$168,K1209)),1)="]",LEFT(TRIM(INDEX($A$3:$A$168,K1209)),LEN(TRIM(INDEX($A$3:$A$168,K1209)))-1)&amp;", "&amp;SUBSTITUTE(SUBSTITUTE(SUBSTITUTE(E1209," [",", "),"[",", "),"]","")&amp;"]",TRIM(INDEX($A$3:$A$168,K1209))&amp;" ["&amp;SUBSTITUTE(SUBSTITUTE(SUBSTITUTE(E1209," [",", "),"[",", "),"]","")&amp;"]")))</x:f>
      </x:c>
      <x:c r="G1209" t="str">
        <x:f>IF(F1209&lt;&gt;"",ROWS($F$3:F1209)-COUNTBLANK($F$3:F1209),"")</x:f>
      </x:c>
      <x:c r="H1209"/>
      <x:c r="I1209"/>
      <x:c r="J1209"/>
      <x:c r="K1209" t="str">
        <x:f>IF(ROW()-ROW($K$2)&lt;=SUM($J$3:$J$168),COUNTIF($H$3:$H$168,"&lt;"&amp;(ROW()-ROW($K$2))),"")</x:f>
      </x:c>
      <x:c r="L1209" t="str">
        <x:f>IF(K1209="","",ROW()-ROW($L$2)-INDEX($H$3:$H$168,K1209))</x:f>
      </x:c>
      <x:c r="M1209" t="str">
        <x:f>IF(K1209="","",IF(L1209=1,1,FIND(CHAR(1),SUBSTITUTE(INDEX($B$3:$B$168,K1209),CHAR(10),CHAR(1),L1209-1))+1))</x:f>
      </x:c>
      <x:c r="N1209" t="str">
        <x:f>IF(K1209="","",IFERROR(FIND(CHAR(1),SUBSTITUTE(INDEX($B$3:$B$168,K1209),CHAR(10),CHAR(1),L1209)),LEN(INDEX($B$3:$B$168,K1209))+1))</x:f>
      </x:c>
    </x:row>
    <x:row r="1210">
      <x:c r="A1210"/>
      <x:c r="B1210"/>
      <x:c r="C1210"/>
      <x:c r="D1210" t="str">
        <x:f>IFERROR(IF(1208&lt;=$O$1,INDEX($A$3:$A$168,MATCH(1208,$I$3:$I$168,0)),IF(1208&lt;=$O$1+$O$2,INDEX($F$3:$F$1994,MATCH(1208-$O$1,$G$3:$G$1994,0)),"")),"")</x:f>
      </x:c>
      <x:c r="E1210" t="str">
        <x:f>IF(K1210="","",IF(N1210&lt;=M1210,"",TRIM(CLEAN(MID(INDEX($B$3:$B$168,K1210),M1210,N1210-M1210)))))</x:f>
      </x:c>
      <x:c r="F1210" t="str">
        <x:f>IF(E1210="","",IF(E1210=TRIM(INDEX($A$3:$A$168,K1210)),"",IF(RIGHT(TRIM(INDEX($A$3:$A$168,K1210)),1)="]",LEFT(TRIM(INDEX($A$3:$A$168,K1210)),LEN(TRIM(INDEX($A$3:$A$168,K1210)))-1)&amp;", "&amp;SUBSTITUTE(SUBSTITUTE(SUBSTITUTE(E1210," [",", "),"[",", "),"]","")&amp;"]",TRIM(INDEX($A$3:$A$168,K1210))&amp;" ["&amp;SUBSTITUTE(SUBSTITUTE(SUBSTITUTE(E1210," [",", "),"[",", "),"]","")&amp;"]")))</x:f>
      </x:c>
      <x:c r="G1210" t="str">
        <x:f>IF(F1210&lt;&gt;"",ROWS($F$3:F1210)-COUNTBLANK($F$3:F1210),"")</x:f>
      </x:c>
      <x:c r="H1210"/>
      <x:c r="I1210"/>
      <x:c r="J1210"/>
      <x:c r="K1210" t="str">
        <x:f>IF(ROW()-ROW($K$2)&lt;=SUM($J$3:$J$168),COUNTIF($H$3:$H$168,"&lt;"&amp;(ROW()-ROW($K$2))),"")</x:f>
      </x:c>
      <x:c r="L1210" t="str">
        <x:f>IF(K1210="","",ROW()-ROW($L$2)-INDEX($H$3:$H$168,K1210))</x:f>
      </x:c>
      <x:c r="M1210" t="str">
        <x:f>IF(K1210="","",IF(L1210=1,1,FIND(CHAR(1),SUBSTITUTE(INDEX($B$3:$B$168,K1210),CHAR(10),CHAR(1),L1210-1))+1))</x:f>
      </x:c>
      <x:c r="N1210" t="str">
        <x:f>IF(K1210="","",IFERROR(FIND(CHAR(1),SUBSTITUTE(INDEX($B$3:$B$168,K1210),CHAR(10),CHAR(1),L1210)),LEN(INDEX($B$3:$B$168,K1210))+1))</x:f>
      </x:c>
    </x:row>
    <x:row r="1211">
      <x:c r="A1211"/>
      <x:c r="B1211"/>
      <x:c r="C1211"/>
      <x:c r="D1211" t="str">
        <x:f>IFERROR(IF(1209&lt;=$O$1,INDEX($A$3:$A$168,MATCH(1209,$I$3:$I$168,0)),IF(1209&lt;=$O$1+$O$2,INDEX($F$3:$F$1994,MATCH(1209-$O$1,$G$3:$G$1994,0)),"")),"")</x:f>
      </x:c>
      <x:c r="E1211" t="str">
        <x:f>IF(K1211="","",IF(N1211&lt;=M1211,"",TRIM(CLEAN(MID(INDEX($B$3:$B$168,K1211),M1211,N1211-M1211)))))</x:f>
      </x:c>
      <x:c r="F1211" t="str">
        <x:f>IF(E1211="","",IF(E1211=TRIM(INDEX($A$3:$A$168,K1211)),"",IF(RIGHT(TRIM(INDEX($A$3:$A$168,K1211)),1)="]",LEFT(TRIM(INDEX($A$3:$A$168,K1211)),LEN(TRIM(INDEX($A$3:$A$168,K1211)))-1)&amp;", "&amp;SUBSTITUTE(SUBSTITUTE(SUBSTITUTE(E1211," [",", "),"[",", "),"]","")&amp;"]",TRIM(INDEX($A$3:$A$168,K1211))&amp;" ["&amp;SUBSTITUTE(SUBSTITUTE(SUBSTITUTE(E1211," [",", "),"[",", "),"]","")&amp;"]")))</x:f>
      </x:c>
      <x:c r="G1211" t="str">
        <x:f>IF(F1211&lt;&gt;"",ROWS($F$3:F1211)-COUNTBLANK($F$3:F1211),"")</x:f>
      </x:c>
      <x:c r="H1211"/>
      <x:c r="I1211"/>
      <x:c r="J1211"/>
      <x:c r="K1211" t="str">
        <x:f>IF(ROW()-ROW($K$2)&lt;=SUM($J$3:$J$168),COUNTIF($H$3:$H$168,"&lt;"&amp;(ROW()-ROW($K$2))),"")</x:f>
      </x:c>
      <x:c r="L1211" t="str">
        <x:f>IF(K1211="","",ROW()-ROW($L$2)-INDEX($H$3:$H$168,K1211))</x:f>
      </x:c>
      <x:c r="M1211" t="str">
        <x:f>IF(K1211="","",IF(L1211=1,1,FIND(CHAR(1),SUBSTITUTE(INDEX($B$3:$B$168,K1211),CHAR(10),CHAR(1),L1211-1))+1))</x:f>
      </x:c>
      <x:c r="N1211" t="str">
        <x:f>IF(K1211="","",IFERROR(FIND(CHAR(1),SUBSTITUTE(INDEX($B$3:$B$168,K1211),CHAR(10),CHAR(1),L1211)),LEN(INDEX($B$3:$B$168,K1211))+1))</x:f>
      </x:c>
    </x:row>
    <x:row r="1212">
      <x:c r="A1212"/>
      <x:c r="B1212"/>
      <x:c r="C1212"/>
      <x:c r="D1212" t="str">
        <x:f>IFERROR(IF(1210&lt;=$O$1,INDEX($A$3:$A$168,MATCH(1210,$I$3:$I$168,0)),IF(1210&lt;=$O$1+$O$2,INDEX($F$3:$F$1994,MATCH(1210-$O$1,$G$3:$G$1994,0)),"")),"")</x:f>
      </x:c>
      <x:c r="E1212" t="str">
        <x:f>IF(K1212="","",IF(N1212&lt;=M1212,"",TRIM(CLEAN(MID(INDEX($B$3:$B$168,K1212),M1212,N1212-M1212)))))</x:f>
      </x:c>
      <x:c r="F1212" t="str">
        <x:f>IF(E1212="","",IF(E1212=TRIM(INDEX($A$3:$A$168,K1212)),"",IF(RIGHT(TRIM(INDEX($A$3:$A$168,K1212)),1)="]",LEFT(TRIM(INDEX($A$3:$A$168,K1212)),LEN(TRIM(INDEX($A$3:$A$168,K1212)))-1)&amp;", "&amp;SUBSTITUTE(SUBSTITUTE(SUBSTITUTE(E1212," [",", "),"[",", "),"]","")&amp;"]",TRIM(INDEX($A$3:$A$168,K1212))&amp;" ["&amp;SUBSTITUTE(SUBSTITUTE(SUBSTITUTE(E1212," [",", "),"[",", "),"]","")&amp;"]")))</x:f>
      </x:c>
      <x:c r="G1212" t="str">
        <x:f>IF(F1212&lt;&gt;"",ROWS($F$3:F1212)-COUNTBLANK($F$3:F1212),"")</x:f>
      </x:c>
      <x:c r="H1212"/>
      <x:c r="I1212"/>
      <x:c r="J1212"/>
      <x:c r="K1212" t="str">
        <x:f>IF(ROW()-ROW($K$2)&lt;=SUM($J$3:$J$168),COUNTIF($H$3:$H$168,"&lt;"&amp;(ROW()-ROW($K$2))),"")</x:f>
      </x:c>
      <x:c r="L1212" t="str">
        <x:f>IF(K1212="","",ROW()-ROW($L$2)-INDEX($H$3:$H$168,K1212))</x:f>
      </x:c>
      <x:c r="M1212" t="str">
        <x:f>IF(K1212="","",IF(L1212=1,1,FIND(CHAR(1),SUBSTITUTE(INDEX($B$3:$B$168,K1212),CHAR(10),CHAR(1),L1212-1))+1))</x:f>
      </x:c>
      <x:c r="N1212" t="str">
        <x:f>IF(K1212="","",IFERROR(FIND(CHAR(1),SUBSTITUTE(INDEX($B$3:$B$168,K1212),CHAR(10),CHAR(1),L1212)),LEN(INDEX($B$3:$B$168,K1212))+1))</x:f>
      </x:c>
    </x:row>
    <x:row r="1213">
      <x:c r="A1213"/>
      <x:c r="B1213"/>
      <x:c r="C1213"/>
      <x:c r="D1213" t="str">
        <x:f>IFERROR(IF(1211&lt;=$O$1,INDEX($A$3:$A$168,MATCH(1211,$I$3:$I$168,0)),IF(1211&lt;=$O$1+$O$2,INDEX($F$3:$F$1994,MATCH(1211-$O$1,$G$3:$G$1994,0)),"")),"")</x:f>
      </x:c>
      <x:c r="E1213" t="str">
        <x:f>IF(K1213="","",IF(N1213&lt;=M1213,"",TRIM(CLEAN(MID(INDEX($B$3:$B$168,K1213),M1213,N1213-M1213)))))</x:f>
      </x:c>
      <x:c r="F1213" t="str">
        <x:f>IF(E1213="","",IF(E1213=TRIM(INDEX($A$3:$A$168,K1213)),"",IF(RIGHT(TRIM(INDEX($A$3:$A$168,K1213)),1)="]",LEFT(TRIM(INDEX($A$3:$A$168,K1213)),LEN(TRIM(INDEX($A$3:$A$168,K1213)))-1)&amp;", "&amp;SUBSTITUTE(SUBSTITUTE(SUBSTITUTE(E1213," [",", "),"[",", "),"]","")&amp;"]",TRIM(INDEX($A$3:$A$168,K1213))&amp;" ["&amp;SUBSTITUTE(SUBSTITUTE(SUBSTITUTE(E1213," [",", "),"[",", "),"]","")&amp;"]")))</x:f>
      </x:c>
      <x:c r="G1213" t="str">
        <x:f>IF(F1213&lt;&gt;"",ROWS($F$3:F1213)-COUNTBLANK($F$3:F1213),"")</x:f>
      </x:c>
      <x:c r="H1213"/>
      <x:c r="I1213"/>
      <x:c r="J1213"/>
      <x:c r="K1213" t="str">
        <x:f>IF(ROW()-ROW($K$2)&lt;=SUM($J$3:$J$168),COUNTIF($H$3:$H$168,"&lt;"&amp;(ROW()-ROW($K$2))),"")</x:f>
      </x:c>
      <x:c r="L1213" t="str">
        <x:f>IF(K1213="","",ROW()-ROW($L$2)-INDEX($H$3:$H$168,K1213))</x:f>
      </x:c>
      <x:c r="M1213" t="str">
        <x:f>IF(K1213="","",IF(L1213=1,1,FIND(CHAR(1),SUBSTITUTE(INDEX($B$3:$B$168,K1213),CHAR(10),CHAR(1),L1213-1))+1))</x:f>
      </x:c>
      <x:c r="N1213" t="str">
        <x:f>IF(K1213="","",IFERROR(FIND(CHAR(1),SUBSTITUTE(INDEX($B$3:$B$168,K1213),CHAR(10),CHAR(1),L1213)),LEN(INDEX($B$3:$B$168,K1213))+1))</x:f>
      </x:c>
    </x:row>
    <x:row r="1214">
      <x:c r="A1214"/>
      <x:c r="B1214"/>
      <x:c r="C1214"/>
      <x:c r="D1214" t="str">
        <x:f>IFERROR(IF(1212&lt;=$O$1,INDEX($A$3:$A$168,MATCH(1212,$I$3:$I$168,0)),IF(1212&lt;=$O$1+$O$2,INDEX($F$3:$F$1994,MATCH(1212-$O$1,$G$3:$G$1994,0)),"")),"")</x:f>
      </x:c>
      <x:c r="E1214" t="str">
        <x:f>IF(K1214="","",IF(N1214&lt;=M1214,"",TRIM(CLEAN(MID(INDEX($B$3:$B$168,K1214),M1214,N1214-M1214)))))</x:f>
      </x:c>
      <x:c r="F1214" t="str">
        <x:f>IF(E1214="","",IF(E1214=TRIM(INDEX($A$3:$A$168,K1214)),"",IF(RIGHT(TRIM(INDEX($A$3:$A$168,K1214)),1)="]",LEFT(TRIM(INDEX($A$3:$A$168,K1214)),LEN(TRIM(INDEX($A$3:$A$168,K1214)))-1)&amp;", "&amp;SUBSTITUTE(SUBSTITUTE(SUBSTITUTE(E1214," [",", "),"[",", "),"]","")&amp;"]",TRIM(INDEX($A$3:$A$168,K1214))&amp;" ["&amp;SUBSTITUTE(SUBSTITUTE(SUBSTITUTE(E1214," [",", "),"[",", "),"]","")&amp;"]")))</x:f>
      </x:c>
      <x:c r="G1214" t="str">
        <x:f>IF(F1214&lt;&gt;"",ROWS($F$3:F1214)-COUNTBLANK($F$3:F1214),"")</x:f>
      </x:c>
      <x:c r="H1214"/>
      <x:c r="I1214"/>
      <x:c r="J1214"/>
      <x:c r="K1214" t="str">
        <x:f>IF(ROW()-ROW($K$2)&lt;=SUM($J$3:$J$168),COUNTIF($H$3:$H$168,"&lt;"&amp;(ROW()-ROW($K$2))),"")</x:f>
      </x:c>
      <x:c r="L1214" t="str">
        <x:f>IF(K1214="","",ROW()-ROW($L$2)-INDEX($H$3:$H$168,K1214))</x:f>
      </x:c>
      <x:c r="M1214" t="str">
        <x:f>IF(K1214="","",IF(L1214=1,1,FIND(CHAR(1),SUBSTITUTE(INDEX($B$3:$B$168,K1214),CHAR(10),CHAR(1),L1214-1))+1))</x:f>
      </x:c>
      <x:c r="N1214" t="str">
        <x:f>IF(K1214="","",IFERROR(FIND(CHAR(1),SUBSTITUTE(INDEX($B$3:$B$168,K1214),CHAR(10),CHAR(1),L1214)),LEN(INDEX($B$3:$B$168,K1214))+1))</x:f>
      </x:c>
    </x:row>
    <x:row r="1215">
      <x:c r="A1215"/>
      <x:c r="B1215"/>
      <x:c r="C1215"/>
      <x:c r="D1215" t="str">
        <x:f>IFERROR(IF(1213&lt;=$O$1,INDEX($A$3:$A$168,MATCH(1213,$I$3:$I$168,0)),IF(1213&lt;=$O$1+$O$2,INDEX($F$3:$F$1994,MATCH(1213-$O$1,$G$3:$G$1994,0)),"")),"")</x:f>
      </x:c>
      <x:c r="E1215" t="str">
        <x:f>IF(K1215="","",IF(N1215&lt;=M1215,"",TRIM(CLEAN(MID(INDEX($B$3:$B$168,K1215),M1215,N1215-M1215)))))</x:f>
      </x:c>
      <x:c r="F1215" t="str">
        <x:f>IF(E1215="","",IF(E1215=TRIM(INDEX($A$3:$A$168,K1215)),"",IF(RIGHT(TRIM(INDEX($A$3:$A$168,K1215)),1)="]",LEFT(TRIM(INDEX($A$3:$A$168,K1215)),LEN(TRIM(INDEX($A$3:$A$168,K1215)))-1)&amp;", "&amp;SUBSTITUTE(SUBSTITUTE(SUBSTITUTE(E1215," [",", "),"[",", "),"]","")&amp;"]",TRIM(INDEX($A$3:$A$168,K1215))&amp;" ["&amp;SUBSTITUTE(SUBSTITUTE(SUBSTITUTE(E1215," [",", "),"[",", "),"]","")&amp;"]")))</x:f>
      </x:c>
      <x:c r="G1215" t="str">
        <x:f>IF(F1215&lt;&gt;"",ROWS($F$3:F1215)-COUNTBLANK($F$3:F1215),"")</x:f>
      </x:c>
      <x:c r="H1215"/>
      <x:c r="I1215"/>
      <x:c r="J1215"/>
      <x:c r="K1215" t="str">
        <x:f>IF(ROW()-ROW($K$2)&lt;=SUM($J$3:$J$168),COUNTIF($H$3:$H$168,"&lt;"&amp;(ROW()-ROW($K$2))),"")</x:f>
      </x:c>
      <x:c r="L1215" t="str">
        <x:f>IF(K1215="","",ROW()-ROW($L$2)-INDEX($H$3:$H$168,K1215))</x:f>
      </x:c>
      <x:c r="M1215" t="str">
        <x:f>IF(K1215="","",IF(L1215=1,1,FIND(CHAR(1),SUBSTITUTE(INDEX($B$3:$B$168,K1215),CHAR(10),CHAR(1),L1215-1))+1))</x:f>
      </x:c>
      <x:c r="N1215" t="str">
        <x:f>IF(K1215="","",IFERROR(FIND(CHAR(1),SUBSTITUTE(INDEX($B$3:$B$168,K1215),CHAR(10),CHAR(1),L1215)),LEN(INDEX($B$3:$B$168,K1215))+1))</x:f>
      </x:c>
    </x:row>
    <x:row r="1216">
      <x:c r="A1216"/>
      <x:c r="B1216"/>
      <x:c r="C1216"/>
      <x:c r="D1216" t="str">
        <x:f>IFERROR(IF(1214&lt;=$O$1,INDEX($A$3:$A$168,MATCH(1214,$I$3:$I$168,0)),IF(1214&lt;=$O$1+$O$2,INDEX($F$3:$F$1994,MATCH(1214-$O$1,$G$3:$G$1994,0)),"")),"")</x:f>
      </x:c>
      <x:c r="E1216" t="str">
        <x:f>IF(K1216="","",IF(N1216&lt;=M1216,"",TRIM(CLEAN(MID(INDEX($B$3:$B$168,K1216),M1216,N1216-M1216)))))</x:f>
      </x:c>
      <x:c r="F1216" t="str">
        <x:f>IF(E1216="","",IF(E1216=TRIM(INDEX($A$3:$A$168,K1216)),"",IF(RIGHT(TRIM(INDEX($A$3:$A$168,K1216)),1)="]",LEFT(TRIM(INDEX($A$3:$A$168,K1216)),LEN(TRIM(INDEX($A$3:$A$168,K1216)))-1)&amp;", "&amp;SUBSTITUTE(SUBSTITUTE(SUBSTITUTE(E1216," [",", "),"[",", "),"]","")&amp;"]",TRIM(INDEX($A$3:$A$168,K1216))&amp;" ["&amp;SUBSTITUTE(SUBSTITUTE(SUBSTITUTE(E1216," [",", "),"[",", "),"]","")&amp;"]")))</x:f>
      </x:c>
      <x:c r="G1216" t="str">
        <x:f>IF(F1216&lt;&gt;"",ROWS($F$3:F1216)-COUNTBLANK($F$3:F1216),"")</x:f>
      </x:c>
      <x:c r="H1216"/>
      <x:c r="I1216"/>
      <x:c r="J1216"/>
      <x:c r="K1216" t="str">
        <x:f>IF(ROW()-ROW($K$2)&lt;=SUM($J$3:$J$168),COUNTIF($H$3:$H$168,"&lt;"&amp;(ROW()-ROW($K$2))),"")</x:f>
      </x:c>
      <x:c r="L1216" t="str">
        <x:f>IF(K1216="","",ROW()-ROW($L$2)-INDEX($H$3:$H$168,K1216))</x:f>
      </x:c>
      <x:c r="M1216" t="str">
        <x:f>IF(K1216="","",IF(L1216=1,1,FIND(CHAR(1),SUBSTITUTE(INDEX($B$3:$B$168,K1216),CHAR(10),CHAR(1),L1216-1))+1))</x:f>
      </x:c>
      <x:c r="N1216" t="str">
        <x:f>IF(K1216="","",IFERROR(FIND(CHAR(1),SUBSTITUTE(INDEX($B$3:$B$168,K1216),CHAR(10),CHAR(1),L1216)),LEN(INDEX($B$3:$B$168,K1216))+1))</x:f>
      </x:c>
    </x:row>
    <x:row r="1217">
      <x:c r="A1217"/>
      <x:c r="B1217"/>
      <x:c r="C1217"/>
      <x:c r="D1217" t="str">
        <x:f>IFERROR(IF(1215&lt;=$O$1,INDEX($A$3:$A$168,MATCH(1215,$I$3:$I$168,0)),IF(1215&lt;=$O$1+$O$2,INDEX($F$3:$F$1994,MATCH(1215-$O$1,$G$3:$G$1994,0)),"")),"")</x:f>
      </x:c>
      <x:c r="E1217" t="str">
        <x:f>IF(K1217="","",IF(N1217&lt;=M1217,"",TRIM(CLEAN(MID(INDEX($B$3:$B$168,K1217),M1217,N1217-M1217)))))</x:f>
      </x:c>
      <x:c r="F1217" t="str">
        <x:f>IF(E1217="","",IF(E1217=TRIM(INDEX($A$3:$A$168,K1217)),"",IF(RIGHT(TRIM(INDEX($A$3:$A$168,K1217)),1)="]",LEFT(TRIM(INDEX($A$3:$A$168,K1217)),LEN(TRIM(INDEX($A$3:$A$168,K1217)))-1)&amp;", "&amp;SUBSTITUTE(SUBSTITUTE(SUBSTITUTE(E1217," [",", "),"[",", "),"]","")&amp;"]",TRIM(INDEX($A$3:$A$168,K1217))&amp;" ["&amp;SUBSTITUTE(SUBSTITUTE(SUBSTITUTE(E1217," [",", "),"[",", "),"]","")&amp;"]")))</x:f>
      </x:c>
      <x:c r="G1217" t="str">
        <x:f>IF(F1217&lt;&gt;"",ROWS($F$3:F1217)-COUNTBLANK($F$3:F1217),"")</x:f>
      </x:c>
      <x:c r="H1217"/>
      <x:c r="I1217"/>
      <x:c r="J1217"/>
      <x:c r="K1217" t="str">
        <x:f>IF(ROW()-ROW($K$2)&lt;=SUM($J$3:$J$168),COUNTIF($H$3:$H$168,"&lt;"&amp;(ROW()-ROW($K$2))),"")</x:f>
      </x:c>
      <x:c r="L1217" t="str">
        <x:f>IF(K1217="","",ROW()-ROW($L$2)-INDEX($H$3:$H$168,K1217))</x:f>
      </x:c>
      <x:c r="M1217" t="str">
        <x:f>IF(K1217="","",IF(L1217=1,1,FIND(CHAR(1),SUBSTITUTE(INDEX($B$3:$B$168,K1217),CHAR(10),CHAR(1),L1217-1))+1))</x:f>
      </x:c>
      <x:c r="N1217" t="str">
        <x:f>IF(K1217="","",IFERROR(FIND(CHAR(1),SUBSTITUTE(INDEX($B$3:$B$168,K1217),CHAR(10),CHAR(1),L1217)),LEN(INDEX($B$3:$B$168,K1217))+1))</x:f>
      </x:c>
    </x:row>
    <x:row r="1218">
      <x:c r="A1218"/>
      <x:c r="B1218"/>
      <x:c r="C1218"/>
      <x:c r="D1218" t="str">
        <x:f>IFERROR(IF(1216&lt;=$O$1,INDEX($A$3:$A$168,MATCH(1216,$I$3:$I$168,0)),IF(1216&lt;=$O$1+$O$2,INDEX($F$3:$F$1994,MATCH(1216-$O$1,$G$3:$G$1994,0)),"")),"")</x:f>
      </x:c>
      <x:c r="E1218" t="str">
        <x:f>IF(K1218="","",IF(N1218&lt;=M1218,"",TRIM(CLEAN(MID(INDEX($B$3:$B$168,K1218),M1218,N1218-M1218)))))</x:f>
      </x:c>
      <x:c r="F1218" t="str">
        <x:f>IF(E1218="","",IF(E1218=TRIM(INDEX($A$3:$A$168,K1218)),"",IF(RIGHT(TRIM(INDEX($A$3:$A$168,K1218)),1)="]",LEFT(TRIM(INDEX($A$3:$A$168,K1218)),LEN(TRIM(INDEX($A$3:$A$168,K1218)))-1)&amp;", "&amp;SUBSTITUTE(SUBSTITUTE(SUBSTITUTE(E1218," [",", "),"[",", "),"]","")&amp;"]",TRIM(INDEX($A$3:$A$168,K1218))&amp;" ["&amp;SUBSTITUTE(SUBSTITUTE(SUBSTITUTE(E1218," [",", "),"[",", "),"]","")&amp;"]")))</x:f>
      </x:c>
      <x:c r="G1218" t="str">
        <x:f>IF(F1218&lt;&gt;"",ROWS($F$3:F1218)-COUNTBLANK($F$3:F1218),"")</x:f>
      </x:c>
      <x:c r="H1218"/>
      <x:c r="I1218"/>
      <x:c r="J1218"/>
      <x:c r="K1218" t="str">
        <x:f>IF(ROW()-ROW($K$2)&lt;=SUM($J$3:$J$168),COUNTIF($H$3:$H$168,"&lt;"&amp;(ROW()-ROW($K$2))),"")</x:f>
      </x:c>
      <x:c r="L1218" t="str">
        <x:f>IF(K1218="","",ROW()-ROW($L$2)-INDEX($H$3:$H$168,K1218))</x:f>
      </x:c>
      <x:c r="M1218" t="str">
        <x:f>IF(K1218="","",IF(L1218=1,1,FIND(CHAR(1),SUBSTITUTE(INDEX($B$3:$B$168,K1218),CHAR(10),CHAR(1),L1218-1))+1))</x:f>
      </x:c>
      <x:c r="N1218" t="str">
        <x:f>IF(K1218="","",IFERROR(FIND(CHAR(1),SUBSTITUTE(INDEX($B$3:$B$168,K1218),CHAR(10),CHAR(1),L1218)),LEN(INDEX($B$3:$B$168,K1218))+1))</x:f>
      </x:c>
    </x:row>
    <x:row r="1219">
      <x:c r="A1219"/>
      <x:c r="B1219"/>
      <x:c r="C1219"/>
      <x:c r="D1219" t="str">
        <x:f>IFERROR(IF(1217&lt;=$O$1,INDEX($A$3:$A$168,MATCH(1217,$I$3:$I$168,0)),IF(1217&lt;=$O$1+$O$2,INDEX($F$3:$F$1994,MATCH(1217-$O$1,$G$3:$G$1994,0)),"")),"")</x:f>
      </x:c>
      <x:c r="E1219" t="str">
        <x:f>IF(K1219="","",IF(N1219&lt;=M1219,"",TRIM(CLEAN(MID(INDEX($B$3:$B$168,K1219),M1219,N1219-M1219)))))</x:f>
      </x:c>
      <x:c r="F1219" t="str">
        <x:f>IF(E1219="","",IF(E1219=TRIM(INDEX($A$3:$A$168,K1219)),"",IF(RIGHT(TRIM(INDEX($A$3:$A$168,K1219)),1)="]",LEFT(TRIM(INDEX($A$3:$A$168,K1219)),LEN(TRIM(INDEX($A$3:$A$168,K1219)))-1)&amp;", "&amp;SUBSTITUTE(SUBSTITUTE(SUBSTITUTE(E1219," [",", "),"[",", "),"]","")&amp;"]",TRIM(INDEX($A$3:$A$168,K1219))&amp;" ["&amp;SUBSTITUTE(SUBSTITUTE(SUBSTITUTE(E1219," [",", "),"[",", "),"]","")&amp;"]")))</x:f>
      </x:c>
      <x:c r="G1219" t="str">
        <x:f>IF(F1219&lt;&gt;"",ROWS($F$3:F1219)-COUNTBLANK($F$3:F1219),"")</x:f>
      </x:c>
      <x:c r="H1219"/>
      <x:c r="I1219"/>
      <x:c r="J1219"/>
      <x:c r="K1219" t="str">
        <x:f>IF(ROW()-ROW($K$2)&lt;=SUM($J$3:$J$168),COUNTIF($H$3:$H$168,"&lt;"&amp;(ROW()-ROW($K$2))),"")</x:f>
      </x:c>
      <x:c r="L1219" t="str">
        <x:f>IF(K1219="","",ROW()-ROW($L$2)-INDEX($H$3:$H$168,K1219))</x:f>
      </x:c>
      <x:c r="M1219" t="str">
        <x:f>IF(K1219="","",IF(L1219=1,1,FIND(CHAR(1),SUBSTITUTE(INDEX($B$3:$B$168,K1219),CHAR(10),CHAR(1),L1219-1))+1))</x:f>
      </x:c>
      <x:c r="N1219" t="str">
        <x:f>IF(K1219="","",IFERROR(FIND(CHAR(1),SUBSTITUTE(INDEX($B$3:$B$168,K1219),CHAR(10),CHAR(1),L1219)),LEN(INDEX($B$3:$B$168,K1219))+1))</x:f>
      </x:c>
    </x:row>
    <x:row r="1220">
      <x:c r="A1220"/>
      <x:c r="B1220"/>
      <x:c r="C1220"/>
      <x:c r="D1220" t="str">
        <x:f>IFERROR(IF(1218&lt;=$O$1,INDEX($A$3:$A$168,MATCH(1218,$I$3:$I$168,0)),IF(1218&lt;=$O$1+$O$2,INDEX($F$3:$F$1994,MATCH(1218-$O$1,$G$3:$G$1994,0)),"")),"")</x:f>
      </x:c>
      <x:c r="E1220" t="str">
        <x:f>IF(K1220="","",IF(N1220&lt;=M1220,"",TRIM(CLEAN(MID(INDEX($B$3:$B$168,K1220),M1220,N1220-M1220)))))</x:f>
      </x:c>
      <x:c r="F1220" t="str">
        <x:f>IF(E1220="","",IF(E1220=TRIM(INDEX($A$3:$A$168,K1220)),"",IF(RIGHT(TRIM(INDEX($A$3:$A$168,K1220)),1)="]",LEFT(TRIM(INDEX($A$3:$A$168,K1220)),LEN(TRIM(INDEX($A$3:$A$168,K1220)))-1)&amp;", "&amp;SUBSTITUTE(SUBSTITUTE(SUBSTITUTE(E1220," [",", "),"[",", "),"]","")&amp;"]",TRIM(INDEX($A$3:$A$168,K1220))&amp;" ["&amp;SUBSTITUTE(SUBSTITUTE(SUBSTITUTE(E1220," [",", "),"[",", "),"]","")&amp;"]")))</x:f>
      </x:c>
      <x:c r="G1220" t="str">
        <x:f>IF(F1220&lt;&gt;"",ROWS($F$3:F1220)-COUNTBLANK($F$3:F1220),"")</x:f>
      </x:c>
      <x:c r="H1220"/>
      <x:c r="I1220"/>
      <x:c r="J1220"/>
      <x:c r="K1220" t="str">
        <x:f>IF(ROW()-ROW($K$2)&lt;=SUM($J$3:$J$168),COUNTIF($H$3:$H$168,"&lt;"&amp;(ROW()-ROW($K$2))),"")</x:f>
      </x:c>
      <x:c r="L1220" t="str">
        <x:f>IF(K1220="","",ROW()-ROW($L$2)-INDEX($H$3:$H$168,K1220))</x:f>
      </x:c>
      <x:c r="M1220" t="str">
        <x:f>IF(K1220="","",IF(L1220=1,1,FIND(CHAR(1),SUBSTITUTE(INDEX($B$3:$B$168,K1220),CHAR(10),CHAR(1),L1220-1))+1))</x:f>
      </x:c>
      <x:c r="N1220" t="str">
        <x:f>IF(K1220="","",IFERROR(FIND(CHAR(1),SUBSTITUTE(INDEX($B$3:$B$168,K1220),CHAR(10),CHAR(1),L1220)),LEN(INDEX($B$3:$B$168,K1220))+1))</x:f>
      </x:c>
    </x:row>
    <x:row r="1221">
      <x:c r="A1221"/>
      <x:c r="B1221"/>
      <x:c r="C1221"/>
      <x:c r="D1221" t="str">
        <x:f>IFERROR(IF(1219&lt;=$O$1,INDEX($A$3:$A$168,MATCH(1219,$I$3:$I$168,0)),IF(1219&lt;=$O$1+$O$2,INDEX($F$3:$F$1994,MATCH(1219-$O$1,$G$3:$G$1994,0)),"")),"")</x:f>
      </x:c>
      <x:c r="E1221" t="str">
        <x:f>IF(K1221="","",IF(N1221&lt;=M1221,"",TRIM(CLEAN(MID(INDEX($B$3:$B$168,K1221),M1221,N1221-M1221)))))</x:f>
      </x:c>
      <x:c r="F1221" t="str">
        <x:f>IF(E1221="","",IF(E1221=TRIM(INDEX($A$3:$A$168,K1221)),"",IF(RIGHT(TRIM(INDEX($A$3:$A$168,K1221)),1)="]",LEFT(TRIM(INDEX($A$3:$A$168,K1221)),LEN(TRIM(INDEX($A$3:$A$168,K1221)))-1)&amp;", "&amp;SUBSTITUTE(SUBSTITUTE(SUBSTITUTE(E1221," [",", "),"[",", "),"]","")&amp;"]",TRIM(INDEX($A$3:$A$168,K1221))&amp;" ["&amp;SUBSTITUTE(SUBSTITUTE(SUBSTITUTE(E1221," [",", "),"[",", "),"]","")&amp;"]")))</x:f>
      </x:c>
      <x:c r="G1221" t="str">
        <x:f>IF(F1221&lt;&gt;"",ROWS($F$3:F1221)-COUNTBLANK($F$3:F1221),"")</x:f>
      </x:c>
      <x:c r="H1221"/>
      <x:c r="I1221"/>
      <x:c r="J1221"/>
      <x:c r="K1221" t="str">
        <x:f>IF(ROW()-ROW($K$2)&lt;=SUM($J$3:$J$168),COUNTIF($H$3:$H$168,"&lt;"&amp;(ROW()-ROW($K$2))),"")</x:f>
      </x:c>
      <x:c r="L1221" t="str">
        <x:f>IF(K1221="","",ROW()-ROW($L$2)-INDEX($H$3:$H$168,K1221))</x:f>
      </x:c>
      <x:c r="M1221" t="str">
        <x:f>IF(K1221="","",IF(L1221=1,1,FIND(CHAR(1),SUBSTITUTE(INDEX($B$3:$B$168,K1221),CHAR(10),CHAR(1),L1221-1))+1))</x:f>
      </x:c>
      <x:c r="N1221" t="str">
        <x:f>IF(K1221="","",IFERROR(FIND(CHAR(1),SUBSTITUTE(INDEX($B$3:$B$168,K1221),CHAR(10),CHAR(1),L1221)),LEN(INDEX($B$3:$B$168,K1221))+1))</x:f>
      </x:c>
    </x:row>
    <x:row r="1222">
      <x:c r="A1222"/>
      <x:c r="B1222"/>
      <x:c r="C1222"/>
      <x:c r="D1222" t="str">
        <x:f>IFERROR(IF(1220&lt;=$O$1,INDEX($A$3:$A$168,MATCH(1220,$I$3:$I$168,0)),IF(1220&lt;=$O$1+$O$2,INDEX($F$3:$F$1994,MATCH(1220-$O$1,$G$3:$G$1994,0)),"")),"")</x:f>
      </x:c>
      <x:c r="E1222" t="str">
        <x:f>IF(K1222="","",IF(N1222&lt;=M1222,"",TRIM(CLEAN(MID(INDEX($B$3:$B$168,K1222),M1222,N1222-M1222)))))</x:f>
      </x:c>
      <x:c r="F1222" t="str">
        <x:f>IF(E1222="","",IF(E1222=TRIM(INDEX($A$3:$A$168,K1222)),"",IF(RIGHT(TRIM(INDEX($A$3:$A$168,K1222)),1)="]",LEFT(TRIM(INDEX($A$3:$A$168,K1222)),LEN(TRIM(INDEX($A$3:$A$168,K1222)))-1)&amp;", "&amp;SUBSTITUTE(SUBSTITUTE(SUBSTITUTE(E1222," [",", "),"[",", "),"]","")&amp;"]",TRIM(INDEX($A$3:$A$168,K1222))&amp;" ["&amp;SUBSTITUTE(SUBSTITUTE(SUBSTITUTE(E1222," [",", "),"[",", "),"]","")&amp;"]")))</x:f>
      </x:c>
      <x:c r="G1222" t="str">
        <x:f>IF(F1222&lt;&gt;"",ROWS($F$3:F1222)-COUNTBLANK($F$3:F1222),"")</x:f>
      </x:c>
      <x:c r="H1222"/>
      <x:c r="I1222"/>
      <x:c r="J1222"/>
      <x:c r="K1222" t="str">
        <x:f>IF(ROW()-ROW($K$2)&lt;=SUM($J$3:$J$168),COUNTIF($H$3:$H$168,"&lt;"&amp;(ROW()-ROW($K$2))),"")</x:f>
      </x:c>
      <x:c r="L1222" t="str">
        <x:f>IF(K1222="","",ROW()-ROW($L$2)-INDEX($H$3:$H$168,K1222))</x:f>
      </x:c>
      <x:c r="M1222" t="str">
        <x:f>IF(K1222="","",IF(L1222=1,1,FIND(CHAR(1),SUBSTITUTE(INDEX($B$3:$B$168,K1222),CHAR(10),CHAR(1),L1222-1))+1))</x:f>
      </x:c>
      <x:c r="N1222" t="str">
        <x:f>IF(K1222="","",IFERROR(FIND(CHAR(1),SUBSTITUTE(INDEX($B$3:$B$168,K1222),CHAR(10),CHAR(1),L1222)),LEN(INDEX($B$3:$B$168,K1222))+1))</x:f>
      </x:c>
    </x:row>
    <x:row r="1223">
      <x:c r="A1223"/>
      <x:c r="B1223"/>
      <x:c r="C1223"/>
      <x:c r="D1223" t="str">
        <x:f>IFERROR(IF(1221&lt;=$O$1,INDEX($A$3:$A$168,MATCH(1221,$I$3:$I$168,0)),IF(1221&lt;=$O$1+$O$2,INDEX($F$3:$F$1994,MATCH(1221-$O$1,$G$3:$G$1994,0)),"")),"")</x:f>
      </x:c>
      <x:c r="E1223" t="str">
        <x:f>IF(K1223="","",IF(N1223&lt;=M1223,"",TRIM(CLEAN(MID(INDEX($B$3:$B$168,K1223),M1223,N1223-M1223)))))</x:f>
      </x:c>
      <x:c r="F1223" t="str">
        <x:f>IF(E1223="","",IF(E1223=TRIM(INDEX($A$3:$A$168,K1223)),"",IF(RIGHT(TRIM(INDEX($A$3:$A$168,K1223)),1)="]",LEFT(TRIM(INDEX($A$3:$A$168,K1223)),LEN(TRIM(INDEX($A$3:$A$168,K1223)))-1)&amp;", "&amp;SUBSTITUTE(SUBSTITUTE(SUBSTITUTE(E1223," [",", "),"[",", "),"]","")&amp;"]",TRIM(INDEX($A$3:$A$168,K1223))&amp;" ["&amp;SUBSTITUTE(SUBSTITUTE(SUBSTITUTE(E1223," [",", "),"[",", "),"]","")&amp;"]")))</x:f>
      </x:c>
      <x:c r="G1223" t="str">
        <x:f>IF(F1223&lt;&gt;"",ROWS($F$3:F1223)-COUNTBLANK($F$3:F1223),"")</x:f>
      </x:c>
      <x:c r="H1223"/>
      <x:c r="I1223"/>
      <x:c r="J1223"/>
      <x:c r="K1223" t="str">
        <x:f>IF(ROW()-ROW($K$2)&lt;=SUM($J$3:$J$168),COUNTIF($H$3:$H$168,"&lt;"&amp;(ROW()-ROW($K$2))),"")</x:f>
      </x:c>
      <x:c r="L1223" t="str">
        <x:f>IF(K1223="","",ROW()-ROW($L$2)-INDEX($H$3:$H$168,K1223))</x:f>
      </x:c>
      <x:c r="M1223" t="str">
        <x:f>IF(K1223="","",IF(L1223=1,1,FIND(CHAR(1),SUBSTITUTE(INDEX($B$3:$B$168,K1223),CHAR(10),CHAR(1),L1223-1))+1))</x:f>
      </x:c>
      <x:c r="N1223" t="str">
        <x:f>IF(K1223="","",IFERROR(FIND(CHAR(1),SUBSTITUTE(INDEX($B$3:$B$168,K1223),CHAR(10),CHAR(1),L1223)),LEN(INDEX($B$3:$B$168,K1223))+1))</x:f>
      </x:c>
    </x:row>
    <x:row r="1224">
      <x:c r="A1224"/>
      <x:c r="B1224"/>
      <x:c r="C1224"/>
      <x:c r="D1224" t="str">
        <x:f>IFERROR(IF(1222&lt;=$O$1,INDEX($A$3:$A$168,MATCH(1222,$I$3:$I$168,0)),IF(1222&lt;=$O$1+$O$2,INDEX($F$3:$F$1994,MATCH(1222-$O$1,$G$3:$G$1994,0)),"")),"")</x:f>
      </x:c>
      <x:c r="E1224" t="str">
        <x:f>IF(K1224="","",IF(N1224&lt;=M1224,"",TRIM(CLEAN(MID(INDEX($B$3:$B$168,K1224),M1224,N1224-M1224)))))</x:f>
      </x:c>
      <x:c r="F1224" t="str">
        <x:f>IF(E1224="","",IF(E1224=TRIM(INDEX($A$3:$A$168,K1224)),"",IF(RIGHT(TRIM(INDEX($A$3:$A$168,K1224)),1)="]",LEFT(TRIM(INDEX($A$3:$A$168,K1224)),LEN(TRIM(INDEX($A$3:$A$168,K1224)))-1)&amp;", "&amp;SUBSTITUTE(SUBSTITUTE(SUBSTITUTE(E1224," [",", "),"[",", "),"]","")&amp;"]",TRIM(INDEX($A$3:$A$168,K1224))&amp;" ["&amp;SUBSTITUTE(SUBSTITUTE(SUBSTITUTE(E1224," [",", "),"[",", "),"]","")&amp;"]")))</x:f>
      </x:c>
      <x:c r="G1224" t="str">
        <x:f>IF(F1224&lt;&gt;"",ROWS($F$3:F1224)-COUNTBLANK($F$3:F1224),"")</x:f>
      </x:c>
      <x:c r="H1224"/>
      <x:c r="I1224"/>
      <x:c r="J1224"/>
      <x:c r="K1224" t="str">
        <x:f>IF(ROW()-ROW($K$2)&lt;=SUM($J$3:$J$168),COUNTIF($H$3:$H$168,"&lt;"&amp;(ROW()-ROW($K$2))),"")</x:f>
      </x:c>
      <x:c r="L1224" t="str">
        <x:f>IF(K1224="","",ROW()-ROW($L$2)-INDEX($H$3:$H$168,K1224))</x:f>
      </x:c>
      <x:c r="M1224" t="str">
        <x:f>IF(K1224="","",IF(L1224=1,1,FIND(CHAR(1),SUBSTITUTE(INDEX($B$3:$B$168,K1224),CHAR(10),CHAR(1),L1224-1))+1))</x:f>
      </x:c>
      <x:c r="N1224" t="str">
        <x:f>IF(K1224="","",IFERROR(FIND(CHAR(1),SUBSTITUTE(INDEX($B$3:$B$168,K1224),CHAR(10),CHAR(1),L1224)),LEN(INDEX($B$3:$B$168,K1224))+1))</x:f>
      </x:c>
    </x:row>
    <x:row r="1225">
      <x:c r="A1225"/>
      <x:c r="B1225"/>
      <x:c r="C1225"/>
      <x:c r="D1225" t="str">
        <x:f>IFERROR(IF(1223&lt;=$O$1,INDEX($A$3:$A$168,MATCH(1223,$I$3:$I$168,0)),IF(1223&lt;=$O$1+$O$2,INDEX($F$3:$F$1994,MATCH(1223-$O$1,$G$3:$G$1994,0)),"")),"")</x:f>
      </x:c>
      <x:c r="E1225" t="str">
        <x:f>IF(K1225="","",IF(N1225&lt;=M1225,"",TRIM(CLEAN(MID(INDEX($B$3:$B$168,K1225),M1225,N1225-M1225)))))</x:f>
      </x:c>
      <x:c r="F1225" t="str">
        <x:f>IF(E1225="","",IF(E1225=TRIM(INDEX($A$3:$A$168,K1225)),"",IF(RIGHT(TRIM(INDEX($A$3:$A$168,K1225)),1)="]",LEFT(TRIM(INDEX($A$3:$A$168,K1225)),LEN(TRIM(INDEX($A$3:$A$168,K1225)))-1)&amp;", "&amp;SUBSTITUTE(SUBSTITUTE(SUBSTITUTE(E1225," [",", "),"[",", "),"]","")&amp;"]",TRIM(INDEX($A$3:$A$168,K1225))&amp;" ["&amp;SUBSTITUTE(SUBSTITUTE(SUBSTITUTE(E1225," [",", "),"[",", "),"]","")&amp;"]")))</x:f>
      </x:c>
      <x:c r="G1225" t="str">
        <x:f>IF(F1225&lt;&gt;"",ROWS($F$3:F1225)-COUNTBLANK($F$3:F1225),"")</x:f>
      </x:c>
      <x:c r="H1225"/>
      <x:c r="I1225"/>
      <x:c r="J1225"/>
      <x:c r="K1225" t="str">
        <x:f>IF(ROW()-ROW($K$2)&lt;=SUM($J$3:$J$168),COUNTIF($H$3:$H$168,"&lt;"&amp;(ROW()-ROW($K$2))),"")</x:f>
      </x:c>
      <x:c r="L1225" t="str">
        <x:f>IF(K1225="","",ROW()-ROW($L$2)-INDEX($H$3:$H$168,K1225))</x:f>
      </x:c>
      <x:c r="M1225" t="str">
        <x:f>IF(K1225="","",IF(L1225=1,1,FIND(CHAR(1),SUBSTITUTE(INDEX($B$3:$B$168,K1225),CHAR(10),CHAR(1),L1225-1))+1))</x:f>
      </x:c>
      <x:c r="N1225" t="str">
        <x:f>IF(K1225="","",IFERROR(FIND(CHAR(1),SUBSTITUTE(INDEX($B$3:$B$168,K1225),CHAR(10),CHAR(1),L1225)),LEN(INDEX($B$3:$B$168,K1225))+1))</x:f>
      </x:c>
    </x:row>
    <x:row r="1226">
      <x:c r="A1226"/>
      <x:c r="B1226"/>
      <x:c r="C1226"/>
      <x:c r="D1226" t="str">
        <x:f>IFERROR(IF(1224&lt;=$O$1,INDEX($A$3:$A$168,MATCH(1224,$I$3:$I$168,0)),IF(1224&lt;=$O$1+$O$2,INDEX($F$3:$F$1994,MATCH(1224-$O$1,$G$3:$G$1994,0)),"")),"")</x:f>
      </x:c>
      <x:c r="E1226" t="str">
        <x:f>IF(K1226="","",IF(N1226&lt;=M1226,"",TRIM(CLEAN(MID(INDEX($B$3:$B$168,K1226),M1226,N1226-M1226)))))</x:f>
      </x:c>
      <x:c r="F1226" t="str">
        <x:f>IF(E1226="","",IF(E1226=TRIM(INDEX($A$3:$A$168,K1226)),"",IF(RIGHT(TRIM(INDEX($A$3:$A$168,K1226)),1)="]",LEFT(TRIM(INDEX($A$3:$A$168,K1226)),LEN(TRIM(INDEX($A$3:$A$168,K1226)))-1)&amp;", "&amp;SUBSTITUTE(SUBSTITUTE(SUBSTITUTE(E1226," [",", "),"[",", "),"]","")&amp;"]",TRIM(INDEX($A$3:$A$168,K1226))&amp;" ["&amp;SUBSTITUTE(SUBSTITUTE(SUBSTITUTE(E1226," [",", "),"[",", "),"]","")&amp;"]")))</x:f>
      </x:c>
      <x:c r="G1226" t="str">
        <x:f>IF(F1226&lt;&gt;"",ROWS($F$3:F1226)-COUNTBLANK($F$3:F1226),"")</x:f>
      </x:c>
      <x:c r="H1226"/>
      <x:c r="I1226"/>
      <x:c r="J1226"/>
      <x:c r="K1226" t="str">
        <x:f>IF(ROW()-ROW($K$2)&lt;=SUM($J$3:$J$168),COUNTIF($H$3:$H$168,"&lt;"&amp;(ROW()-ROW($K$2))),"")</x:f>
      </x:c>
      <x:c r="L1226" t="str">
        <x:f>IF(K1226="","",ROW()-ROW($L$2)-INDEX($H$3:$H$168,K1226))</x:f>
      </x:c>
      <x:c r="M1226" t="str">
        <x:f>IF(K1226="","",IF(L1226=1,1,FIND(CHAR(1),SUBSTITUTE(INDEX($B$3:$B$168,K1226),CHAR(10),CHAR(1),L1226-1))+1))</x:f>
      </x:c>
      <x:c r="N1226" t="str">
        <x:f>IF(K1226="","",IFERROR(FIND(CHAR(1),SUBSTITUTE(INDEX($B$3:$B$168,K1226),CHAR(10),CHAR(1),L1226)),LEN(INDEX($B$3:$B$168,K1226))+1))</x:f>
      </x:c>
    </x:row>
    <x:row r="1227">
      <x:c r="A1227"/>
      <x:c r="B1227"/>
      <x:c r="C1227"/>
      <x:c r="D1227" t="str">
        <x:f>IFERROR(IF(1225&lt;=$O$1,INDEX($A$3:$A$168,MATCH(1225,$I$3:$I$168,0)),IF(1225&lt;=$O$1+$O$2,INDEX($F$3:$F$1994,MATCH(1225-$O$1,$G$3:$G$1994,0)),"")),"")</x:f>
      </x:c>
      <x:c r="E1227" t="str">
        <x:f>IF(K1227="","",IF(N1227&lt;=M1227,"",TRIM(CLEAN(MID(INDEX($B$3:$B$168,K1227),M1227,N1227-M1227)))))</x:f>
      </x:c>
      <x:c r="F1227" t="str">
        <x:f>IF(E1227="","",IF(E1227=TRIM(INDEX($A$3:$A$168,K1227)),"",IF(RIGHT(TRIM(INDEX($A$3:$A$168,K1227)),1)="]",LEFT(TRIM(INDEX($A$3:$A$168,K1227)),LEN(TRIM(INDEX($A$3:$A$168,K1227)))-1)&amp;", "&amp;SUBSTITUTE(SUBSTITUTE(SUBSTITUTE(E1227," [",", "),"[",", "),"]","")&amp;"]",TRIM(INDEX($A$3:$A$168,K1227))&amp;" ["&amp;SUBSTITUTE(SUBSTITUTE(SUBSTITUTE(E1227," [",", "),"[",", "),"]","")&amp;"]")))</x:f>
      </x:c>
      <x:c r="G1227" t="str">
        <x:f>IF(F1227&lt;&gt;"",ROWS($F$3:F1227)-COUNTBLANK($F$3:F1227),"")</x:f>
      </x:c>
      <x:c r="H1227"/>
      <x:c r="I1227"/>
      <x:c r="J1227"/>
      <x:c r="K1227" t="str">
        <x:f>IF(ROW()-ROW($K$2)&lt;=SUM($J$3:$J$168),COUNTIF($H$3:$H$168,"&lt;"&amp;(ROW()-ROW($K$2))),"")</x:f>
      </x:c>
      <x:c r="L1227" t="str">
        <x:f>IF(K1227="","",ROW()-ROW($L$2)-INDEX($H$3:$H$168,K1227))</x:f>
      </x:c>
      <x:c r="M1227" t="str">
        <x:f>IF(K1227="","",IF(L1227=1,1,FIND(CHAR(1),SUBSTITUTE(INDEX($B$3:$B$168,K1227),CHAR(10),CHAR(1),L1227-1))+1))</x:f>
      </x:c>
      <x:c r="N1227" t="str">
        <x:f>IF(K1227="","",IFERROR(FIND(CHAR(1),SUBSTITUTE(INDEX($B$3:$B$168,K1227),CHAR(10),CHAR(1),L1227)),LEN(INDEX($B$3:$B$168,K1227))+1))</x:f>
      </x:c>
    </x:row>
    <x:row r="1228">
      <x:c r="A1228"/>
      <x:c r="B1228"/>
      <x:c r="C1228"/>
      <x:c r="D1228" t="str">
        <x:f>IFERROR(IF(1226&lt;=$O$1,INDEX($A$3:$A$168,MATCH(1226,$I$3:$I$168,0)),IF(1226&lt;=$O$1+$O$2,INDEX($F$3:$F$1994,MATCH(1226-$O$1,$G$3:$G$1994,0)),"")),"")</x:f>
      </x:c>
      <x:c r="E1228" t="str">
        <x:f>IF(K1228="","",IF(N1228&lt;=M1228,"",TRIM(CLEAN(MID(INDEX($B$3:$B$168,K1228),M1228,N1228-M1228)))))</x:f>
      </x:c>
      <x:c r="F1228" t="str">
        <x:f>IF(E1228="","",IF(E1228=TRIM(INDEX($A$3:$A$168,K1228)),"",IF(RIGHT(TRIM(INDEX($A$3:$A$168,K1228)),1)="]",LEFT(TRIM(INDEX($A$3:$A$168,K1228)),LEN(TRIM(INDEX($A$3:$A$168,K1228)))-1)&amp;", "&amp;SUBSTITUTE(SUBSTITUTE(SUBSTITUTE(E1228," [",", "),"[",", "),"]","")&amp;"]",TRIM(INDEX($A$3:$A$168,K1228))&amp;" ["&amp;SUBSTITUTE(SUBSTITUTE(SUBSTITUTE(E1228," [",", "),"[",", "),"]","")&amp;"]")))</x:f>
      </x:c>
      <x:c r="G1228" t="str">
        <x:f>IF(F1228&lt;&gt;"",ROWS($F$3:F1228)-COUNTBLANK($F$3:F1228),"")</x:f>
      </x:c>
      <x:c r="H1228"/>
      <x:c r="I1228"/>
      <x:c r="J1228"/>
      <x:c r="K1228" t="str">
        <x:f>IF(ROW()-ROW($K$2)&lt;=SUM($J$3:$J$168),COUNTIF($H$3:$H$168,"&lt;"&amp;(ROW()-ROW($K$2))),"")</x:f>
      </x:c>
      <x:c r="L1228" t="str">
        <x:f>IF(K1228="","",ROW()-ROW($L$2)-INDEX($H$3:$H$168,K1228))</x:f>
      </x:c>
      <x:c r="M1228" t="str">
        <x:f>IF(K1228="","",IF(L1228=1,1,FIND(CHAR(1),SUBSTITUTE(INDEX($B$3:$B$168,K1228),CHAR(10),CHAR(1),L1228-1))+1))</x:f>
      </x:c>
      <x:c r="N1228" t="str">
        <x:f>IF(K1228="","",IFERROR(FIND(CHAR(1),SUBSTITUTE(INDEX($B$3:$B$168,K1228),CHAR(10),CHAR(1),L1228)),LEN(INDEX($B$3:$B$168,K1228))+1))</x:f>
      </x:c>
    </x:row>
    <x:row r="1229">
      <x:c r="A1229"/>
      <x:c r="B1229"/>
      <x:c r="C1229"/>
      <x:c r="D1229" t="str">
        <x:f>IFERROR(IF(1227&lt;=$O$1,INDEX($A$3:$A$168,MATCH(1227,$I$3:$I$168,0)),IF(1227&lt;=$O$1+$O$2,INDEX($F$3:$F$1994,MATCH(1227-$O$1,$G$3:$G$1994,0)),"")),"")</x:f>
      </x:c>
      <x:c r="E1229" t="str">
        <x:f>IF(K1229="","",IF(N1229&lt;=M1229,"",TRIM(CLEAN(MID(INDEX($B$3:$B$168,K1229),M1229,N1229-M1229)))))</x:f>
      </x:c>
      <x:c r="F1229" t="str">
        <x:f>IF(E1229="","",IF(E1229=TRIM(INDEX($A$3:$A$168,K1229)),"",IF(RIGHT(TRIM(INDEX($A$3:$A$168,K1229)),1)="]",LEFT(TRIM(INDEX($A$3:$A$168,K1229)),LEN(TRIM(INDEX($A$3:$A$168,K1229)))-1)&amp;", "&amp;SUBSTITUTE(SUBSTITUTE(SUBSTITUTE(E1229," [",", "),"[",", "),"]","")&amp;"]",TRIM(INDEX($A$3:$A$168,K1229))&amp;" ["&amp;SUBSTITUTE(SUBSTITUTE(SUBSTITUTE(E1229," [",", "),"[",", "),"]","")&amp;"]")))</x:f>
      </x:c>
      <x:c r="G1229" t="str">
        <x:f>IF(F1229&lt;&gt;"",ROWS($F$3:F1229)-COUNTBLANK($F$3:F1229),"")</x:f>
      </x:c>
      <x:c r="H1229"/>
      <x:c r="I1229"/>
      <x:c r="J1229"/>
      <x:c r="K1229" t="str">
        <x:f>IF(ROW()-ROW($K$2)&lt;=SUM($J$3:$J$168),COUNTIF($H$3:$H$168,"&lt;"&amp;(ROW()-ROW($K$2))),"")</x:f>
      </x:c>
      <x:c r="L1229" t="str">
        <x:f>IF(K1229="","",ROW()-ROW($L$2)-INDEX($H$3:$H$168,K1229))</x:f>
      </x:c>
      <x:c r="M1229" t="str">
        <x:f>IF(K1229="","",IF(L1229=1,1,FIND(CHAR(1),SUBSTITUTE(INDEX($B$3:$B$168,K1229),CHAR(10),CHAR(1),L1229-1))+1))</x:f>
      </x:c>
      <x:c r="N1229" t="str">
        <x:f>IF(K1229="","",IFERROR(FIND(CHAR(1),SUBSTITUTE(INDEX($B$3:$B$168,K1229),CHAR(10),CHAR(1),L1229)),LEN(INDEX($B$3:$B$168,K1229))+1))</x:f>
      </x:c>
    </x:row>
    <x:row r="1230">
      <x:c r="A1230"/>
      <x:c r="B1230"/>
      <x:c r="C1230"/>
      <x:c r="D1230" t="str">
        <x:f>IFERROR(IF(1228&lt;=$O$1,INDEX($A$3:$A$168,MATCH(1228,$I$3:$I$168,0)),IF(1228&lt;=$O$1+$O$2,INDEX($F$3:$F$1994,MATCH(1228-$O$1,$G$3:$G$1994,0)),"")),"")</x:f>
      </x:c>
      <x:c r="E1230" t="str">
        <x:f>IF(K1230="","",IF(N1230&lt;=M1230,"",TRIM(CLEAN(MID(INDEX($B$3:$B$168,K1230),M1230,N1230-M1230)))))</x:f>
      </x:c>
      <x:c r="F1230" t="str">
        <x:f>IF(E1230="","",IF(E1230=TRIM(INDEX($A$3:$A$168,K1230)),"",IF(RIGHT(TRIM(INDEX($A$3:$A$168,K1230)),1)="]",LEFT(TRIM(INDEX($A$3:$A$168,K1230)),LEN(TRIM(INDEX($A$3:$A$168,K1230)))-1)&amp;", "&amp;SUBSTITUTE(SUBSTITUTE(SUBSTITUTE(E1230," [",", "),"[",", "),"]","")&amp;"]",TRIM(INDEX($A$3:$A$168,K1230))&amp;" ["&amp;SUBSTITUTE(SUBSTITUTE(SUBSTITUTE(E1230," [",", "),"[",", "),"]","")&amp;"]")))</x:f>
      </x:c>
      <x:c r="G1230" t="str">
        <x:f>IF(F1230&lt;&gt;"",ROWS($F$3:F1230)-COUNTBLANK($F$3:F1230),"")</x:f>
      </x:c>
      <x:c r="H1230"/>
      <x:c r="I1230"/>
      <x:c r="J1230"/>
      <x:c r="K1230" t="str">
        <x:f>IF(ROW()-ROW($K$2)&lt;=SUM($J$3:$J$168),COUNTIF($H$3:$H$168,"&lt;"&amp;(ROW()-ROW($K$2))),"")</x:f>
      </x:c>
      <x:c r="L1230" t="str">
        <x:f>IF(K1230="","",ROW()-ROW($L$2)-INDEX($H$3:$H$168,K1230))</x:f>
      </x:c>
      <x:c r="M1230" t="str">
        <x:f>IF(K1230="","",IF(L1230=1,1,FIND(CHAR(1),SUBSTITUTE(INDEX($B$3:$B$168,K1230),CHAR(10),CHAR(1),L1230-1))+1))</x:f>
      </x:c>
      <x:c r="N1230" t="str">
        <x:f>IF(K1230="","",IFERROR(FIND(CHAR(1),SUBSTITUTE(INDEX($B$3:$B$168,K1230),CHAR(10),CHAR(1),L1230)),LEN(INDEX($B$3:$B$168,K1230))+1))</x:f>
      </x:c>
    </x:row>
    <x:row r="1231">
      <x:c r="A1231"/>
      <x:c r="B1231"/>
      <x:c r="C1231"/>
      <x:c r="D1231" t="str">
        <x:f>IFERROR(IF(1229&lt;=$O$1,INDEX($A$3:$A$168,MATCH(1229,$I$3:$I$168,0)),IF(1229&lt;=$O$1+$O$2,INDEX($F$3:$F$1994,MATCH(1229-$O$1,$G$3:$G$1994,0)),"")),"")</x:f>
      </x:c>
      <x:c r="E1231" t="str">
        <x:f>IF(K1231="","",IF(N1231&lt;=M1231,"",TRIM(CLEAN(MID(INDEX($B$3:$B$168,K1231),M1231,N1231-M1231)))))</x:f>
      </x:c>
      <x:c r="F1231" t="str">
        <x:f>IF(E1231="","",IF(E1231=TRIM(INDEX($A$3:$A$168,K1231)),"",IF(RIGHT(TRIM(INDEX($A$3:$A$168,K1231)),1)="]",LEFT(TRIM(INDEX($A$3:$A$168,K1231)),LEN(TRIM(INDEX($A$3:$A$168,K1231)))-1)&amp;", "&amp;SUBSTITUTE(SUBSTITUTE(SUBSTITUTE(E1231," [",", "),"[",", "),"]","")&amp;"]",TRIM(INDEX($A$3:$A$168,K1231))&amp;" ["&amp;SUBSTITUTE(SUBSTITUTE(SUBSTITUTE(E1231," [",", "),"[",", "),"]","")&amp;"]")))</x:f>
      </x:c>
      <x:c r="G1231" t="str">
        <x:f>IF(F1231&lt;&gt;"",ROWS($F$3:F1231)-COUNTBLANK($F$3:F1231),"")</x:f>
      </x:c>
      <x:c r="H1231"/>
      <x:c r="I1231"/>
      <x:c r="J1231"/>
      <x:c r="K1231" t="str">
        <x:f>IF(ROW()-ROW($K$2)&lt;=SUM($J$3:$J$168),COUNTIF($H$3:$H$168,"&lt;"&amp;(ROW()-ROW($K$2))),"")</x:f>
      </x:c>
      <x:c r="L1231" t="str">
        <x:f>IF(K1231="","",ROW()-ROW($L$2)-INDEX($H$3:$H$168,K1231))</x:f>
      </x:c>
      <x:c r="M1231" t="str">
        <x:f>IF(K1231="","",IF(L1231=1,1,FIND(CHAR(1),SUBSTITUTE(INDEX($B$3:$B$168,K1231),CHAR(10),CHAR(1),L1231-1))+1))</x:f>
      </x:c>
      <x:c r="N1231" t="str">
        <x:f>IF(K1231="","",IFERROR(FIND(CHAR(1),SUBSTITUTE(INDEX($B$3:$B$168,K1231),CHAR(10),CHAR(1),L1231)),LEN(INDEX($B$3:$B$168,K1231))+1))</x:f>
      </x:c>
    </x:row>
    <x:row r="1232">
      <x:c r="A1232"/>
      <x:c r="B1232"/>
      <x:c r="C1232"/>
      <x:c r="D1232" t="str">
        <x:f>IFERROR(IF(1230&lt;=$O$1,INDEX($A$3:$A$168,MATCH(1230,$I$3:$I$168,0)),IF(1230&lt;=$O$1+$O$2,INDEX($F$3:$F$1994,MATCH(1230-$O$1,$G$3:$G$1994,0)),"")),"")</x:f>
      </x:c>
      <x:c r="E1232" t="str">
        <x:f>IF(K1232="","",IF(N1232&lt;=M1232,"",TRIM(CLEAN(MID(INDEX($B$3:$B$168,K1232),M1232,N1232-M1232)))))</x:f>
      </x:c>
      <x:c r="F1232" t="str">
        <x:f>IF(E1232="","",IF(E1232=TRIM(INDEX($A$3:$A$168,K1232)),"",IF(RIGHT(TRIM(INDEX($A$3:$A$168,K1232)),1)="]",LEFT(TRIM(INDEX($A$3:$A$168,K1232)),LEN(TRIM(INDEX($A$3:$A$168,K1232)))-1)&amp;", "&amp;SUBSTITUTE(SUBSTITUTE(SUBSTITUTE(E1232," [",", "),"[",", "),"]","")&amp;"]",TRIM(INDEX($A$3:$A$168,K1232))&amp;" ["&amp;SUBSTITUTE(SUBSTITUTE(SUBSTITUTE(E1232," [",", "),"[",", "),"]","")&amp;"]")))</x:f>
      </x:c>
      <x:c r="G1232" t="str">
        <x:f>IF(F1232&lt;&gt;"",ROWS($F$3:F1232)-COUNTBLANK($F$3:F1232),"")</x:f>
      </x:c>
      <x:c r="H1232"/>
      <x:c r="I1232"/>
      <x:c r="J1232"/>
      <x:c r="K1232" t="str">
        <x:f>IF(ROW()-ROW($K$2)&lt;=SUM($J$3:$J$168),COUNTIF($H$3:$H$168,"&lt;"&amp;(ROW()-ROW($K$2))),"")</x:f>
      </x:c>
      <x:c r="L1232" t="str">
        <x:f>IF(K1232="","",ROW()-ROW($L$2)-INDEX($H$3:$H$168,K1232))</x:f>
      </x:c>
      <x:c r="M1232" t="str">
        <x:f>IF(K1232="","",IF(L1232=1,1,FIND(CHAR(1),SUBSTITUTE(INDEX($B$3:$B$168,K1232),CHAR(10),CHAR(1),L1232-1))+1))</x:f>
      </x:c>
      <x:c r="N1232" t="str">
        <x:f>IF(K1232="","",IFERROR(FIND(CHAR(1),SUBSTITUTE(INDEX($B$3:$B$168,K1232),CHAR(10),CHAR(1),L1232)),LEN(INDEX($B$3:$B$168,K1232))+1))</x:f>
      </x:c>
    </x:row>
    <x:row r="1233">
      <x:c r="A1233"/>
      <x:c r="B1233"/>
      <x:c r="C1233"/>
      <x:c r="D1233" t="str">
        <x:f>IFERROR(IF(1231&lt;=$O$1,INDEX($A$3:$A$168,MATCH(1231,$I$3:$I$168,0)),IF(1231&lt;=$O$1+$O$2,INDEX($F$3:$F$1994,MATCH(1231-$O$1,$G$3:$G$1994,0)),"")),"")</x:f>
      </x:c>
      <x:c r="E1233" t="str">
        <x:f>IF(K1233="","",IF(N1233&lt;=M1233,"",TRIM(CLEAN(MID(INDEX($B$3:$B$168,K1233),M1233,N1233-M1233)))))</x:f>
      </x:c>
      <x:c r="F1233" t="str">
        <x:f>IF(E1233="","",IF(E1233=TRIM(INDEX($A$3:$A$168,K1233)),"",IF(RIGHT(TRIM(INDEX($A$3:$A$168,K1233)),1)="]",LEFT(TRIM(INDEX($A$3:$A$168,K1233)),LEN(TRIM(INDEX($A$3:$A$168,K1233)))-1)&amp;", "&amp;SUBSTITUTE(SUBSTITUTE(SUBSTITUTE(E1233," [",", "),"[",", "),"]","")&amp;"]",TRIM(INDEX($A$3:$A$168,K1233))&amp;" ["&amp;SUBSTITUTE(SUBSTITUTE(SUBSTITUTE(E1233," [",", "),"[",", "),"]","")&amp;"]")))</x:f>
      </x:c>
      <x:c r="G1233" t="str">
        <x:f>IF(F1233&lt;&gt;"",ROWS($F$3:F1233)-COUNTBLANK($F$3:F1233),"")</x:f>
      </x:c>
      <x:c r="H1233"/>
      <x:c r="I1233"/>
      <x:c r="J1233"/>
      <x:c r="K1233" t="str">
        <x:f>IF(ROW()-ROW($K$2)&lt;=SUM($J$3:$J$168),COUNTIF($H$3:$H$168,"&lt;"&amp;(ROW()-ROW($K$2))),"")</x:f>
      </x:c>
      <x:c r="L1233" t="str">
        <x:f>IF(K1233="","",ROW()-ROW($L$2)-INDEX($H$3:$H$168,K1233))</x:f>
      </x:c>
      <x:c r="M1233" t="str">
        <x:f>IF(K1233="","",IF(L1233=1,1,FIND(CHAR(1),SUBSTITUTE(INDEX($B$3:$B$168,K1233),CHAR(10),CHAR(1),L1233-1))+1))</x:f>
      </x:c>
      <x:c r="N1233" t="str">
        <x:f>IF(K1233="","",IFERROR(FIND(CHAR(1),SUBSTITUTE(INDEX($B$3:$B$168,K1233),CHAR(10),CHAR(1),L1233)),LEN(INDEX($B$3:$B$168,K1233))+1))</x:f>
      </x:c>
    </x:row>
    <x:row r="1234">
      <x:c r="A1234"/>
      <x:c r="B1234"/>
      <x:c r="C1234"/>
      <x:c r="D1234" t="str">
        <x:f>IFERROR(IF(1232&lt;=$O$1,INDEX($A$3:$A$168,MATCH(1232,$I$3:$I$168,0)),IF(1232&lt;=$O$1+$O$2,INDEX($F$3:$F$1994,MATCH(1232-$O$1,$G$3:$G$1994,0)),"")),"")</x:f>
      </x:c>
      <x:c r="E1234" t="str">
        <x:f>IF(K1234="","",IF(N1234&lt;=M1234,"",TRIM(CLEAN(MID(INDEX($B$3:$B$168,K1234),M1234,N1234-M1234)))))</x:f>
      </x:c>
      <x:c r="F1234" t="str">
        <x:f>IF(E1234="","",IF(E1234=TRIM(INDEX($A$3:$A$168,K1234)),"",IF(RIGHT(TRIM(INDEX($A$3:$A$168,K1234)),1)="]",LEFT(TRIM(INDEX($A$3:$A$168,K1234)),LEN(TRIM(INDEX($A$3:$A$168,K1234)))-1)&amp;", "&amp;SUBSTITUTE(SUBSTITUTE(SUBSTITUTE(E1234," [",", "),"[",", "),"]","")&amp;"]",TRIM(INDEX($A$3:$A$168,K1234))&amp;" ["&amp;SUBSTITUTE(SUBSTITUTE(SUBSTITUTE(E1234," [",", "),"[",", "),"]","")&amp;"]")))</x:f>
      </x:c>
      <x:c r="G1234" t="str">
        <x:f>IF(F1234&lt;&gt;"",ROWS($F$3:F1234)-COUNTBLANK($F$3:F1234),"")</x:f>
      </x:c>
      <x:c r="H1234"/>
      <x:c r="I1234"/>
      <x:c r="J1234"/>
      <x:c r="K1234" t="str">
        <x:f>IF(ROW()-ROW($K$2)&lt;=SUM($J$3:$J$168),COUNTIF($H$3:$H$168,"&lt;"&amp;(ROW()-ROW($K$2))),"")</x:f>
      </x:c>
      <x:c r="L1234" t="str">
        <x:f>IF(K1234="","",ROW()-ROW($L$2)-INDEX($H$3:$H$168,K1234))</x:f>
      </x:c>
      <x:c r="M1234" t="str">
        <x:f>IF(K1234="","",IF(L1234=1,1,FIND(CHAR(1),SUBSTITUTE(INDEX($B$3:$B$168,K1234),CHAR(10),CHAR(1),L1234-1))+1))</x:f>
      </x:c>
      <x:c r="N1234" t="str">
        <x:f>IF(K1234="","",IFERROR(FIND(CHAR(1),SUBSTITUTE(INDEX($B$3:$B$168,K1234),CHAR(10),CHAR(1),L1234)),LEN(INDEX($B$3:$B$168,K1234))+1))</x:f>
      </x:c>
    </x:row>
    <x:row r="1235">
      <x:c r="A1235"/>
      <x:c r="B1235"/>
      <x:c r="C1235"/>
      <x:c r="D1235" t="str">
        <x:f>IFERROR(IF(1233&lt;=$O$1,INDEX($A$3:$A$168,MATCH(1233,$I$3:$I$168,0)),IF(1233&lt;=$O$1+$O$2,INDEX($F$3:$F$1994,MATCH(1233-$O$1,$G$3:$G$1994,0)),"")),"")</x:f>
      </x:c>
      <x:c r="E1235" t="str">
        <x:f>IF(K1235="","",IF(N1235&lt;=M1235,"",TRIM(CLEAN(MID(INDEX($B$3:$B$168,K1235),M1235,N1235-M1235)))))</x:f>
      </x:c>
      <x:c r="F1235" t="str">
        <x:f>IF(E1235="","",IF(E1235=TRIM(INDEX($A$3:$A$168,K1235)),"",IF(RIGHT(TRIM(INDEX($A$3:$A$168,K1235)),1)="]",LEFT(TRIM(INDEX($A$3:$A$168,K1235)),LEN(TRIM(INDEX($A$3:$A$168,K1235)))-1)&amp;", "&amp;SUBSTITUTE(SUBSTITUTE(SUBSTITUTE(E1235," [",", "),"[",", "),"]","")&amp;"]",TRIM(INDEX($A$3:$A$168,K1235))&amp;" ["&amp;SUBSTITUTE(SUBSTITUTE(SUBSTITUTE(E1235," [",", "),"[",", "),"]","")&amp;"]")))</x:f>
      </x:c>
      <x:c r="G1235" t="str">
        <x:f>IF(F1235&lt;&gt;"",ROWS($F$3:F1235)-COUNTBLANK($F$3:F1235),"")</x:f>
      </x:c>
      <x:c r="H1235"/>
      <x:c r="I1235"/>
      <x:c r="J1235"/>
      <x:c r="K1235" t="str">
        <x:f>IF(ROW()-ROW($K$2)&lt;=SUM($J$3:$J$168),COUNTIF($H$3:$H$168,"&lt;"&amp;(ROW()-ROW($K$2))),"")</x:f>
      </x:c>
      <x:c r="L1235" t="str">
        <x:f>IF(K1235="","",ROW()-ROW($L$2)-INDEX($H$3:$H$168,K1235))</x:f>
      </x:c>
      <x:c r="M1235" t="str">
        <x:f>IF(K1235="","",IF(L1235=1,1,FIND(CHAR(1),SUBSTITUTE(INDEX($B$3:$B$168,K1235),CHAR(10),CHAR(1),L1235-1))+1))</x:f>
      </x:c>
      <x:c r="N1235" t="str">
        <x:f>IF(K1235="","",IFERROR(FIND(CHAR(1),SUBSTITUTE(INDEX($B$3:$B$168,K1235),CHAR(10),CHAR(1),L1235)),LEN(INDEX($B$3:$B$168,K1235))+1))</x:f>
      </x:c>
    </x:row>
    <x:row r="1236">
      <x:c r="A1236"/>
      <x:c r="B1236"/>
      <x:c r="C1236"/>
      <x:c r="D1236" t="str">
        <x:f>IFERROR(IF(1234&lt;=$O$1,INDEX($A$3:$A$168,MATCH(1234,$I$3:$I$168,0)),IF(1234&lt;=$O$1+$O$2,INDEX($F$3:$F$1994,MATCH(1234-$O$1,$G$3:$G$1994,0)),"")),"")</x:f>
      </x:c>
      <x:c r="E1236" t="str">
        <x:f>IF(K1236="","",IF(N1236&lt;=M1236,"",TRIM(CLEAN(MID(INDEX($B$3:$B$168,K1236),M1236,N1236-M1236)))))</x:f>
      </x:c>
      <x:c r="F1236" t="str">
        <x:f>IF(E1236="","",IF(E1236=TRIM(INDEX($A$3:$A$168,K1236)),"",IF(RIGHT(TRIM(INDEX($A$3:$A$168,K1236)),1)="]",LEFT(TRIM(INDEX($A$3:$A$168,K1236)),LEN(TRIM(INDEX($A$3:$A$168,K1236)))-1)&amp;", "&amp;SUBSTITUTE(SUBSTITUTE(SUBSTITUTE(E1236," [",", "),"[",", "),"]","")&amp;"]",TRIM(INDEX($A$3:$A$168,K1236))&amp;" ["&amp;SUBSTITUTE(SUBSTITUTE(SUBSTITUTE(E1236," [",", "),"[",", "),"]","")&amp;"]")))</x:f>
      </x:c>
      <x:c r="G1236" t="str">
        <x:f>IF(F1236&lt;&gt;"",ROWS($F$3:F1236)-COUNTBLANK($F$3:F1236),"")</x:f>
      </x:c>
      <x:c r="H1236"/>
      <x:c r="I1236"/>
      <x:c r="J1236"/>
      <x:c r="K1236" t="str">
        <x:f>IF(ROW()-ROW($K$2)&lt;=SUM($J$3:$J$168),COUNTIF($H$3:$H$168,"&lt;"&amp;(ROW()-ROW($K$2))),"")</x:f>
      </x:c>
      <x:c r="L1236" t="str">
        <x:f>IF(K1236="","",ROW()-ROW($L$2)-INDEX($H$3:$H$168,K1236))</x:f>
      </x:c>
      <x:c r="M1236" t="str">
        <x:f>IF(K1236="","",IF(L1236=1,1,FIND(CHAR(1),SUBSTITUTE(INDEX($B$3:$B$168,K1236),CHAR(10),CHAR(1),L1236-1))+1))</x:f>
      </x:c>
      <x:c r="N1236" t="str">
        <x:f>IF(K1236="","",IFERROR(FIND(CHAR(1),SUBSTITUTE(INDEX($B$3:$B$168,K1236),CHAR(10),CHAR(1),L1236)),LEN(INDEX($B$3:$B$168,K1236))+1))</x:f>
      </x:c>
    </x:row>
    <x:row r="1237">
      <x:c r="A1237"/>
      <x:c r="B1237"/>
      <x:c r="C1237"/>
      <x:c r="D1237" t="str">
        <x:f>IFERROR(IF(1235&lt;=$O$1,INDEX($A$3:$A$168,MATCH(1235,$I$3:$I$168,0)),IF(1235&lt;=$O$1+$O$2,INDEX($F$3:$F$1994,MATCH(1235-$O$1,$G$3:$G$1994,0)),"")),"")</x:f>
      </x:c>
      <x:c r="E1237" t="str">
        <x:f>IF(K1237="","",IF(N1237&lt;=M1237,"",TRIM(CLEAN(MID(INDEX($B$3:$B$168,K1237),M1237,N1237-M1237)))))</x:f>
      </x:c>
      <x:c r="F1237" t="str">
        <x:f>IF(E1237="","",IF(E1237=TRIM(INDEX($A$3:$A$168,K1237)),"",IF(RIGHT(TRIM(INDEX($A$3:$A$168,K1237)),1)="]",LEFT(TRIM(INDEX($A$3:$A$168,K1237)),LEN(TRIM(INDEX($A$3:$A$168,K1237)))-1)&amp;", "&amp;SUBSTITUTE(SUBSTITUTE(SUBSTITUTE(E1237," [",", "),"[",", "),"]","")&amp;"]",TRIM(INDEX($A$3:$A$168,K1237))&amp;" ["&amp;SUBSTITUTE(SUBSTITUTE(SUBSTITUTE(E1237," [",", "),"[",", "),"]","")&amp;"]")))</x:f>
      </x:c>
      <x:c r="G1237" t="str">
        <x:f>IF(F1237&lt;&gt;"",ROWS($F$3:F1237)-COUNTBLANK($F$3:F1237),"")</x:f>
      </x:c>
      <x:c r="H1237"/>
      <x:c r="I1237"/>
      <x:c r="J1237"/>
      <x:c r="K1237" t="str">
        <x:f>IF(ROW()-ROW($K$2)&lt;=SUM($J$3:$J$168),COUNTIF($H$3:$H$168,"&lt;"&amp;(ROW()-ROW($K$2))),"")</x:f>
      </x:c>
      <x:c r="L1237" t="str">
        <x:f>IF(K1237="","",ROW()-ROW($L$2)-INDEX($H$3:$H$168,K1237))</x:f>
      </x:c>
      <x:c r="M1237" t="str">
        <x:f>IF(K1237="","",IF(L1237=1,1,FIND(CHAR(1),SUBSTITUTE(INDEX($B$3:$B$168,K1237),CHAR(10),CHAR(1),L1237-1))+1))</x:f>
      </x:c>
      <x:c r="N1237" t="str">
        <x:f>IF(K1237="","",IFERROR(FIND(CHAR(1),SUBSTITUTE(INDEX($B$3:$B$168,K1237),CHAR(10),CHAR(1),L1237)),LEN(INDEX($B$3:$B$168,K1237))+1))</x:f>
      </x:c>
    </x:row>
    <x:row r="1238">
      <x:c r="A1238"/>
      <x:c r="B1238"/>
      <x:c r="C1238"/>
      <x:c r="D1238" t="str">
        <x:f>IFERROR(IF(1236&lt;=$O$1,INDEX($A$3:$A$168,MATCH(1236,$I$3:$I$168,0)),IF(1236&lt;=$O$1+$O$2,INDEX($F$3:$F$1994,MATCH(1236-$O$1,$G$3:$G$1994,0)),"")),"")</x:f>
      </x:c>
      <x:c r="E1238" t="str">
        <x:f>IF(K1238="","",IF(N1238&lt;=M1238,"",TRIM(CLEAN(MID(INDEX($B$3:$B$168,K1238),M1238,N1238-M1238)))))</x:f>
      </x:c>
      <x:c r="F1238" t="str">
        <x:f>IF(E1238="","",IF(E1238=TRIM(INDEX($A$3:$A$168,K1238)),"",IF(RIGHT(TRIM(INDEX($A$3:$A$168,K1238)),1)="]",LEFT(TRIM(INDEX($A$3:$A$168,K1238)),LEN(TRIM(INDEX($A$3:$A$168,K1238)))-1)&amp;", "&amp;SUBSTITUTE(SUBSTITUTE(SUBSTITUTE(E1238," [",", "),"[",", "),"]","")&amp;"]",TRIM(INDEX($A$3:$A$168,K1238))&amp;" ["&amp;SUBSTITUTE(SUBSTITUTE(SUBSTITUTE(E1238," [",", "),"[",", "),"]","")&amp;"]")))</x:f>
      </x:c>
      <x:c r="G1238" t="str">
        <x:f>IF(F1238&lt;&gt;"",ROWS($F$3:F1238)-COUNTBLANK($F$3:F1238),"")</x:f>
      </x:c>
      <x:c r="H1238"/>
      <x:c r="I1238"/>
      <x:c r="J1238"/>
      <x:c r="K1238" t="str">
        <x:f>IF(ROW()-ROW($K$2)&lt;=SUM($J$3:$J$168),COUNTIF($H$3:$H$168,"&lt;"&amp;(ROW()-ROW($K$2))),"")</x:f>
      </x:c>
      <x:c r="L1238" t="str">
        <x:f>IF(K1238="","",ROW()-ROW($L$2)-INDEX($H$3:$H$168,K1238))</x:f>
      </x:c>
      <x:c r="M1238" t="str">
        <x:f>IF(K1238="","",IF(L1238=1,1,FIND(CHAR(1),SUBSTITUTE(INDEX($B$3:$B$168,K1238),CHAR(10),CHAR(1),L1238-1))+1))</x:f>
      </x:c>
      <x:c r="N1238" t="str">
        <x:f>IF(K1238="","",IFERROR(FIND(CHAR(1),SUBSTITUTE(INDEX($B$3:$B$168,K1238),CHAR(10),CHAR(1),L1238)),LEN(INDEX($B$3:$B$168,K1238))+1))</x:f>
      </x:c>
    </x:row>
    <x:row r="1239">
      <x:c r="A1239"/>
      <x:c r="B1239"/>
      <x:c r="C1239"/>
      <x:c r="D1239" t="str">
        <x:f>IFERROR(IF(1237&lt;=$O$1,INDEX($A$3:$A$168,MATCH(1237,$I$3:$I$168,0)),IF(1237&lt;=$O$1+$O$2,INDEX($F$3:$F$1994,MATCH(1237-$O$1,$G$3:$G$1994,0)),"")),"")</x:f>
      </x:c>
      <x:c r="E1239" t="str">
        <x:f>IF(K1239="","",IF(N1239&lt;=M1239,"",TRIM(CLEAN(MID(INDEX($B$3:$B$168,K1239),M1239,N1239-M1239)))))</x:f>
      </x:c>
      <x:c r="F1239" t="str">
        <x:f>IF(E1239="","",IF(E1239=TRIM(INDEX($A$3:$A$168,K1239)),"",IF(RIGHT(TRIM(INDEX($A$3:$A$168,K1239)),1)="]",LEFT(TRIM(INDEX($A$3:$A$168,K1239)),LEN(TRIM(INDEX($A$3:$A$168,K1239)))-1)&amp;", "&amp;SUBSTITUTE(SUBSTITUTE(SUBSTITUTE(E1239," [",", "),"[",", "),"]","")&amp;"]",TRIM(INDEX($A$3:$A$168,K1239))&amp;" ["&amp;SUBSTITUTE(SUBSTITUTE(SUBSTITUTE(E1239," [",", "),"[",", "),"]","")&amp;"]")))</x:f>
      </x:c>
      <x:c r="G1239" t="str">
        <x:f>IF(F1239&lt;&gt;"",ROWS($F$3:F1239)-COUNTBLANK($F$3:F1239),"")</x:f>
      </x:c>
      <x:c r="H1239"/>
      <x:c r="I1239"/>
      <x:c r="J1239"/>
      <x:c r="K1239" t="str">
        <x:f>IF(ROW()-ROW($K$2)&lt;=SUM($J$3:$J$168),COUNTIF($H$3:$H$168,"&lt;"&amp;(ROW()-ROW($K$2))),"")</x:f>
      </x:c>
      <x:c r="L1239" t="str">
        <x:f>IF(K1239="","",ROW()-ROW($L$2)-INDEX($H$3:$H$168,K1239))</x:f>
      </x:c>
      <x:c r="M1239" t="str">
        <x:f>IF(K1239="","",IF(L1239=1,1,FIND(CHAR(1),SUBSTITUTE(INDEX($B$3:$B$168,K1239),CHAR(10),CHAR(1),L1239-1))+1))</x:f>
      </x:c>
      <x:c r="N1239" t="str">
        <x:f>IF(K1239="","",IFERROR(FIND(CHAR(1),SUBSTITUTE(INDEX($B$3:$B$168,K1239),CHAR(10),CHAR(1),L1239)),LEN(INDEX($B$3:$B$168,K1239))+1))</x:f>
      </x:c>
    </x:row>
    <x:row r="1240">
      <x:c r="A1240"/>
      <x:c r="B1240"/>
      <x:c r="C1240"/>
      <x:c r="D1240" t="str">
        <x:f>IFERROR(IF(1238&lt;=$O$1,INDEX($A$3:$A$168,MATCH(1238,$I$3:$I$168,0)),IF(1238&lt;=$O$1+$O$2,INDEX($F$3:$F$1994,MATCH(1238-$O$1,$G$3:$G$1994,0)),"")),"")</x:f>
      </x:c>
      <x:c r="E1240" t="str">
        <x:f>IF(K1240="","",IF(N1240&lt;=M1240,"",TRIM(CLEAN(MID(INDEX($B$3:$B$168,K1240),M1240,N1240-M1240)))))</x:f>
      </x:c>
      <x:c r="F1240" t="str">
        <x:f>IF(E1240="","",IF(E1240=TRIM(INDEX($A$3:$A$168,K1240)),"",IF(RIGHT(TRIM(INDEX($A$3:$A$168,K1240)),1)="]",LEFT(TRIM(INDEX($A$3:$A$168,K1240)),LEN(TRIM(INDEX($A$3:$A$168,K1240)))-1)&amp;", "&amp;SUBSTITUTE(SUBSTITUTE(SUBSTITUTE(E1240," [",", "),"[",", "),"]","")&amp;"]",TRIM(INDEX($A$3:$A$168,K1240))&amp;" ["&amp;SUBSTITUTE(SUBSTITUTE(SUBSTITUTE(E1240," [",", "),"[",", "),"]","")&amp;"]")))</x:f>
      </x:c>
      <x:c r="G1240" t="str">
        <x:f>IF(F1240&lt;&gt;"",ROWS($F$3:F1240)-COUNTBLANK($F$3:F1240),"")</x:f>
      </x:c>
      <x:c r="H1240"/>
      <x:c r="I1240"/>
      <x:c r="J1240"/>
      <x:c r="K1240" t="str">
        <x:f>IF(ROW()-ROW($K$2)&lt;=SUM($J$3:$J$168),COUNTIF($H$3:$H$168,"&lt;"&amp;(ROW()-ROW($K$2))),"")</x:f>
      </x:c>
      <x:c r="L1240" t="str">
        <x:f>IF(K1240="","",ROW()-ROW($L$2)-INDEX($H$3:$H$168,K1240))</x:f>
      </x:c>
      <x:c r="M1240" t="str">
        <x:f>IF(K1240="","",IF(L1240=1,1,FIND(CHAR(1),SUBSTITUTE(INDEX($B$3:$B$168,K1240),CHAR(10),CHAR(1),L1240-1))+1))</x:f>
      </x:c>
      <x:c r="N1240" t="str">
        <x:f>IF(K1240="","",IFERROR(FIND(CHAR(1),SUBSTITUTE(INDEX($B$3:$B$168,K1240),CHAR(10),CHAR(1),L1240)),LEN(INDEX($B$3:$B$168,K1240))+1))</x:f>
      </x:c>
    </x:row>
    <x:row r="1241">
      <x:c r="A1241"/>
      <x:c r="B1241"/>
      <x:c r="C1241"/>
      <x:c r="D1241" t="str">
        <x:f>IFERROR(IF(1239&lt;=$O$1,INDEX($A$3:$A$168,MATCH(1239,$I$3:$I$168,0)),IF(1239&lt;=$O$1+$O$2,INDEX($F$3:$F$1994,MATCH(1239-$O$1,$G$3:$G$1994,0)),"")),"")</x:f>
      </x:c>
      <x:c r="E1241" t="str">
        <x:f>IF(K1241="","",IF(N1241&lt;=M1241,"",TRIM(CLEAN(MID(INDEX($B$3:$B$168,K1241),M1241,N1241-M1241)))))</x:f>
      </x:c>
      <x:c r="F1241" t="str">
        <x:f>IF(E1241="","",IF(E1241=TRIM(INDEX($A$3:$A$168,K1241)),"",IF(RIGHT(TRIM(INDEX($A$3:$A$168,K1241)),1)="]",LEFT(TRIM(INDEX($A$3:$A$168,K1241)),LEN(TRIM(INDEX($A$3:$A$168,K1241)))-1)&amp;", "&amp;SUBSTITUTE(SUBSTITUTE(SUBSTITUTE(E1241," [",", "),"[",", "),"]","")&amp;"]",TRIM(INDEX($A$3:$A$168,K1241))&amp;" ["&amp;SUBSTITUTE(SUBSTITUTE(SUBSTITUTE(E1241," [",", "),"[",", "),"]","")&amp;"]")))</x:f>
      </x:c>
      <x:c r="G1241" t="str">
        <x:f>IF(F1241&lt;&gt;"",ROWS($F$3:F1241)-COUNTBLANK($F$3:F1241),"")</x:f>
      </x:c>
      <x:c r="H1241"/>
      <x:c r="I1241"/>
      <x:c r="J1241"/>
      <x:c r="K1241" t="str">
        <x:f>IF(ROW()-ROW($K$2)&lt;=SUM($J$3:$J$168),COUNTIF($H$3:$H$168,"&lt;"&amp;(ROW()-ROW($K$2))),"")</x:f>
      </x:c>
      <x:c r="L1241" t="str">
        <x:f>IF(K1241="","",ROW()-ROW($L$2)-INDEX($H$3:$H$168,K1241))</x:f>
      </x:c>
      <x:c r="M1241" t="str">
        <x:f>IF(K1241="","",IF(L1241=1,1,FIND(CHAR(1),SUBSTITUTE(INDEX($B$3:$B$168,K1241),CHAR(10),CHAR(1),L1241-1))+1))</x:f>
      </x:c>
      <x:c r="N1241" t="str">
        <x:f>IF(K1241="","",IFERROR(FIND(CHAR(1),SUBSTITUTE(INDEX($B$3:$B$168,K1241),CHAR(10),CHAR(1),L1241)),LEN(INDEX($B$3:$B$168,K1241))+1))</x:f>
      </x:c>
    </x:row>
    <x:row r="1242">
      <x:c r="A1242"/>
      <x:c r="B1242"/>
      <x:c r="C1242"/>
      <x:c r="D1242" t="str">
        <x:f>IFERROR(IF(1240&lt;=$O$1,INDEX($A$3:$A$168,MATCH(1240,$I$3:$I$168,0)),IF(1240&lt;=$O$1+$O$2,INDEX($F$3:$F$1994,MATCH(1240-$O$1,$G$3:$G$1994,0)),"")),"")</x:f>
      </x:c>
      <x:c r="E1242" t="str">
        <x:f>IF(K1242="","",IF(N1242&lt;=M1242,"",TRIM(CLEAN(MID(INDEX($B$3:$B$168,K1242),M1242,N1242-M1242)))))</x:f>
      </x:c>
      <x:c r="F1242" t="str">
        <x:f>IF(E1242="","",IF(E1242=TRIM(INDEX($A$3:$A$168,K1242)),"",IF(RIGHT(TRIM(INDEX($A$3:$A$168,K1242)),1)="]",LEFT(TRIM(INDEX($A$3:$A$168,K1242)),LEN(TRIM(INDEX($A$3:$A$168,K1242)))-1)&amp;", "&amp;SUBSTITUTE(SUBSTITUTE(SUBSTITUTE(E1242," [",", "),"[",", "),"]","")&amp;"]",TRIM(INDEX($A$3:$A$168,K1242))&amp;" ["&amp;SUBSTITUTE(SUBSTITUTE(SUBSTITUTE(E1242," [",", "),"[",", "),"]","")&amp;"]")))</x:f>
      </x:c>
      <x:c r="G1242" t="str">
        <x:f>IF(F1242&lt;&gt;"",ROWS($F$3:F1242)-COUNTBLANK($F$3:F1242),"")</x:f>
      </x:c>
      <x:c r="H1242"/>
      <x:c r="I1242"/>
      <x:c r="J1242"/>
      <x:c r="K1242" t="str">
        <x:f>IF(ROW()-ROW($K$2)&lt;=SUM($J$3:$J$168),COUNTIF($H$3:$H$168,"&lt;"&amp;(ROW()-ROW($K$2))),"")</x:f>
      </x:c>
      <x:c r="L1242" t="str">
        <x:f>IF(K1242="","",ROW()-ROW($L$2)-INDEX($H$3:$H$168,K1242))</x:f>
      </x:c>
      <x:c r="M1242" t="str">
        <x:f>IF(K1242="","",IF(L1242=1,1,FIND(CHAR(1),SUBSTITUTE(INDEX($B$3:$B$168,K1242),CHAR(10),CHAR(1),L1242-1))+1))</x:f>
      </x:c>
      <x:c r="N1242" t="str">
        <x:f>IF(K1242="","",IFERROR(FIND(CHAR(1),SUBSTITUTE(INDEX($B$3:$B$168,K1242),CHAR(10),CHAR(1),L1242)),LEN(INDEX($B$3:$B$168,K1242))+1))</x:f>
      </x:c>
    </x:row>
    <x:row r="1243">
      <x:c r="A1243"/>
      <x:c r="B1243"/>
      <x:c r="C1243"/>
      <x:c r="D1243" t="str">
        <x:f>IFERROR(IF(1241&lt;=$O$1,INDEX($A$3:$A$168,MATCH(1241,$I$3:$I$168,0)),IF(1241&lt;=$O$1+$O$2,INDEX($F$3:$F$1994,MATCH(1241-$O$1,$G$3:$G$1994,0)),"")),"")</x:f>
      </x:c>
      <x:c r="E1243" t="str">
        <x:f>IF(K1243="","",IF(N1243&lt;=M1243,"",TRIM(CLEAN(MID(INDEX($B$3:$B$168,K1243),M1243,N1243-M1243)))))</x:f>
      </x:c>
      <x:c r="F1243" t="str">
        <x:f>IF(E1243="","",IF(E1243=TRIM(INDEX($A$3:$A$168,K1243)),"",IF(RIGHT(TRIM(INDEX($A$3:$A$168,K1243)),1)="]",LEFT(TRIM(INDEX($A$3:$A$168,K1243)),LEN(TRIM(INDEX($A$3:$A$168,K1243)))-1)&amp;", "&amp;SUBSTITUTE(SUBSTITUTE(SUBSTITUTE(E1243," [",", "),"[",", "),"]","")&amp;"]",TRIM(INDEX($A$3:$A$168,K1243))&amp;" ["&amp;SUBSTITUTE(SUBSTITUTE(SUBSTITUTE(E1243," [",", "),"[",", "),"]","")&amp;"]")))</x:f>
      </x:c>
      <x:c r="G1243" t="str">
        <x:f>IF(F1243&lt;&gt;"",ROWS($F$3:F1243)-COUNTBLANK($F$3:F1243),"")</x:f>
      </x:c>
      <x:c r="H1243"/>
      <x:c r="I1243"/>
      <x:c r="J1243"/>
      <x:c r="K1243" t="str">
        <x:f>IF(ROW()-ROW($K$2)&lt;=SUM($J$3:$J$168),COUNTIF($H$3:$H$168,"&lt;"&amp;(ROW()-ROW($K$2))),"")</x:f>
      </x:c>
      <x:c r="L1243" t="str">
        <x:f>IF(K1243="","",ROW()-ROW($L$2)-INDEX($H$3:$H$168,K1243))</x:f>
      </x:c>
      <x:c r="M1243" t="str">
        <x:f>IF(K1243="","",IF(L1243=1,1,FIND(CHAR(1),SUBSTITUTE(INDEX($B$3:$B$168,K1243),CHAR(10),CHAR(1),L1243-1))+1))</x:f>
      </x:c>
      <x:c r="N1243" t="str">
        <x:f>IF(K1243="","",IFERROR(FIND(CHAR(1),SUBSTITUTE(INDEX($B$3:$B$168,K1243),CHAR(10),CHAR(1),L1243)),LEN(INDEX($B$3:$B$168,K1243))+1))</x:f>
      </x:c>
    </x:row>
    <x:row r="1244">
      <x:c r="A1244"/>
      <x:c r="B1244"/>
      <x:c r="C1244"/>
      <x:c r="D1244" t="str">
        <x:f>IFERROR(IF(1242&lt;=$O$1,INDEX($A$3:$A$168,MATCH(1242,$I$3:$I$168,0)),IF(1242&lt;=$O$1+$O$2,INDEX($F$3:$F$1994,MATCH(1242-$O$1,$G$3:$G$1994,0)),"")),"")</x:f>
      </x:c>
      <x:c r="E1244" t="str">
        <x:f>IF(K1244="","",IF(N1244&lt;=M1244,"",TRIM(CLEAN(MID(INDEX($B$3:$B$168,K1244),M1244,N1244-M1244)))))</x:f>
      </x:c>
      <x:c r="F1244" t="str">
        <x:f>IF(E1244="","",IF(E1244=TRIM(INDEX($A$3:$A$168,K1244)),"",IF(RIGHT(TRIM(INDEX($A$3:$A$168,K1244)),1)="]",LEFT(TRIM(INDEX($A$3:$A$168,K1244)),LEN(TRIM(INDEX($A$3:$A$168,K1244)))-1)&amp;", "&amp;SUBSTITUTE(SUBSTITUTE(SUBSTITUTE(E1244," [",", "),"[",", "),"]","")&amp;"]",TRIM(INDEX($A$3:$A$168,K1244))&amp;" ["&amp;SUBSTITUTE(SUBSTITUTE(SUBSTITUTE(E1244," [",", "),"[",", "),"]","")&amp;"]")))</x:f>
      </x:c>
      <x:c r="G1244" t="str">
        <x:f>IF(F1244&lt;&gt;"",ROWS($F$3:F1244)-COUNTBLANK($F$3:F1244),"")</x:f>
      </x:c>
      <x:c r="H1244"/>
      <x:c r="I1244"/>
      <x:c r="J1244"/>
      <x:c r="K1244" t="str">
        <x:f>IF(ROW()-ROW($K$2)&lt;=SUM($J$3:$J$168),COUNTIF($H$3:$H$168,"&lt;"&amp;(ROW()-ROW($K$2))),"")</x:f>
      </x:c>
      <x:c r="L1244" t="str">
        <x:f>IF(K1244="","",ROW()-ROW($L$2)-INDEX($H$3:$H$168,K1244))</x:f>
      </x:c>
      <x:c r="M1244" t="str">
        <x:f>IF(K1244="","",IF(L1244=1,1,FIND(CHAR(1),SUBSTITUTE(INDEX($B$3:$B$168,K1244),CHAR(10),CHAR(1),L1244-1))+1))</x:f>
      </x:c>
      <x:c r="N1244" t="str">
        <x:f>IF(K1244="","",IFERROR(FIND(CHAR(1),SUBSTITUTE(INDEX($B$3:$B$168,K1244),CHAR(10),CHAR(1),L1244)),LEN(INDEX($B$3:$B$168,K1244))+1))</x:f>
      </x:c>
    </x:row>
    <x:row r="1245">
      <x:c r="A1245"/>
      <x:c r="B1245"/>
      <x:c r="C1245"/>
      <x:c r="D1245" t="str">
        <x:f>IFERROR(IF(1243&lt;=$O$1,INDEX($A$3:$A$168,MATCH(1243,$I$3:$I$168,0)),IF(1243&lt;=$O$1+$O$2,INDEX($F$3:$F$1994,MATCH(1243-$O$1,$G$3:$G$1994,0)),"")),"")</x:f>
      </x:c>
      <x:c r="E1245" t="str">
        <x:f>IF(K1245="","",IF(N1245&lt;=M1245,"",TRIM(CLEAN(MID(INDEX($B$3:$B$168,K1245),M1245,N1245-M1245)))))</x:f>
      </x:c>
      <x:c r="F1245" t="str">
        <x:f>IF(E1245="","",IF(E1245=TRIM(INDEX($A$3:$A$168,K1245)),"",IF(RIGHT(TRIM(INDEX($A$3:$A$168,K1245)),1)="]",LEFT(TRIM(INDEX($A$3:$A$168,K1245)),LEN(TRIM(INDEX($A$3:$A$168,K1245)))-1)&amp;", "&amp;SUBSTITUTE(SUBSTITUTE(SUBSTITUTE(E1245," [",", "),"[",", "),"]","")&amp;"]",TRIM(INDEX($A$3:$A$168,K1245))&amp;" ["&amp;SUBSTITUTE(SUBSTITUTE(SUBSTITUTE(E1245," [",", "),"[",", "),"]","")&amp;"]")))</x:f>
      </x:c>
      <x:c r="G1245" t="str">
        <x:f>IF(F1245&lt;&gt;"",ROWS($F$3:F1245)-COUNTBLANK($F$3:F1245),"")</x:f>
      </x:c>
      <x:c r="H1245"/>
      <x:c r="I1245"/>
      <x:c r="J1245"/>
      <x:c r="K1245" t="str">
        <x:f>IF(ROW()-ROW($K$2)&lt;=SUM($J$3:$J$168),COUNTIF($H$3:$H$168,"&lt;"&amp;(ROW()-ROW($K$2))),"")</x:f>
      </x:c>
      <x:c r="L1245" t="str">
        <x:f>IF(K1245="","",ROW()-ROW($L$2)-INDEX($H$3:$H$168,K1245))</x:f>
      </x:c>
      <x:c r="M1245" t="str">
        <x:f>IF(K1245="","",IF(L1245=1,1,FIND(CHAR(1),SUBSTITUTE(INDEX($B$3:$B$168,K1245),CHAR(10),CHAR(1),L1245-1))+1))</x:f>
      </x:c>
      <x:c r="N1245" t="str">
        <x:f>IF(K1245="","",IFERROR(FIND(CHAR(1),SUBSTITUTE(INDEX($B$3:$B$168,K1245),CHAR(10),CHAR(1),L1245)),LEN(INDEX($B$3:$B$168,K1245))+1))</x:f>
      </x:c>
    </x:row>
    <x:row r="1246">
      <x:c r="A1246"/>
      <x:c r="B1246"/>
      <x:c r="C1246"/>
      <x:c r="D1246" t="str">
        <x:f>IFERROR(IF(1244&lt;=$O$1,INDEX($A$3:$A$168,MATCH(1244,$I$3:$I$168,0)),IF(1244&lt;=$O$1+$O$2,INDEX($F$3:$F$1994,MATCH(1244-$O$1,$G$3:$G$1994,0)),"")),"")</x:f>
      </x:c>
      <x:c r="E1246" t="str">
        <x:f>IF(K1246="","",IF(N1246&lt;=M1246,"",TRIM(CLEAN(MID(INDEX($B$3:$B$168,K1246),M1246,N1246-M1246)))))</x:f>
      </x:c>
      <x:c r="F1246" t="str">
        <x:f>IF(E1246="","",IF(E1246=TRIM(INDEX($A$3:$A$168,K1246)),"",IF(RIGHT(TRIM(INDEX($A$3:$A$168,K1246)),1)="]",LEFT(TRIM(INDEX($A$3:$A$168,K1246)),LEN(TRIM(INDEX($A$3:$A$168,K1246)))-1)&amp;", "&amp;SUBSTITUTE(SUBSTITUTE(SUBSTITUTE(E1246," [",", "),"[",", "),"]","")&amp;"]",TRIM(INDEX($A$3:$A$168,K1246))&amp;" ["&amp;SUBSTITUTE(SUBSTITUTE(SUBSTITUTE(E1246," [",", "),"[",", "),"]","")&amp;"]")))</x:f>
      </x:c>
      <x:c r="G1246" t="str">
        <x:f>IF(F1246&lt;&gt;"",ROWS($F$3:F1246)-COUNTBLANK($F$3:F1246),"")</x:f>
      </x:c>
      <x:c r="H1246"/>
      <x:c r="I1246"/>
      <x:c r="J1246"/>
      <x:c r="K1246" t="str">
        <x:f>IF(ROW()-ROW($K$2)&lt;=SUM($J$3:$J$168),COUNTIF($H$3:$H$168,"&lt;"&amp;(ROW()-ROW($K$2))),"")</x:f>
      </x:c>
      <x:c r="L1246" t="str">
        <x:f>IF(K1246="","",ROW()-ROW($L$2)-INDEX($H$3:$H$168,K1246))</x:f>
      </x:c>
      <x:c r="M1246" t="str">
        <x:f>IF(K1246="","",IF(L1246=1,1,FIND(CHAR(1),SUBSTITUTE(INDEX($B$3:$B$168,K1246),CHAR(10),CHAR(1),L1246-1))+1))</x:f>
      </x:c>
      <x:c r="N1246" t="str">
        <x:f>IF(K1246="","",IFERROR(FIND(CHAR(1),SUBSTITUTE(INDEX($B$3:$B$168,K1246),CHAR(10),CHAR(1),L1246)),LEN(INDEX($B$3:$B$168,K1246))+1))</x:f>
      </x:c>
    </x:row>
    <x:row r="1247">
      <x:c r="A1247"/>
      <x:c r="B1247"/>
      <x:c r="C1247"/>
      <x:c r="D1247" t="str">
        <x:f>IFERROR(IF(1245&lt;=$O$1,INDEX($A$3:$A$168,MATCH(1245,$I$3:$I$168,0)),IF(1245&lt;=$O$1+$O$2,INDEX($F$3:$F$1994,MATCH(1245-$O$1,$G$3:$G$1994,0)),"")),"")</x:f>
      </x:c>
      <x:c r="E1247" t="str">
        <x:f>IF(K1247="","",IF(N1247&lt;=M1247,"",TRIM(CLEAN(MID(INDEX($B$3:$B$168,K1247),M1247,N1247-M1247)))))</x:f>
      </x:c>
      <x:c r="F1247" t="str">
        <x:f>IF(E1247="","",IF(E1247=TRIM(INDEX($A$3:$A$168,K1247)),"",IF(RIGHT(TRIM(INDEX($A$3:$A$168,K1247)),1)="]",LEFT(TRIM(INDEX($A$3:$A$168,K1247)),LEN(TRIM(INDEX($A$3:$A$168,K1247)))-1)&amp;", "&amp;SUBSTITUTE(SUBSTITUTE(SUBSTITUTE(E1247," [",", "),"[",", "),"]","")&amp;"]",TRIM(INDEX($A$3:$A$168,K1247))&amp;" ["&amp;SUBSTITUTE(SUBSTITUTE(SUBSTITUTE(E1247," [",", "),"[",", "),"]","")&amp;"]")))</x:f>
      </x:c>
      <x:c r="G1247" t="str">
        <x:f>IF(F1247&lt;&gt;"",ROWS($F$3:F1247)-COUNTBLANK($F$3:F1247),"")</x:f>
      </x:c>
      <x:c r="H1247"/>
      <x:c r="I1247"/>
      <x:c r="J1247"/>
      <x:c r="K1247" t="str">
        <x:f>IF(ROW()-ROW($K$2)&lt;=SUM($J$3:$J$168),COUNTIF($H$3:$H$168,"&lt;"&amp;(ROW()-ROW($K$2))),"")</x:f>
      </x:c>
      <x:c r="L1247" t="str">
        <x:f>IF(K1247="","",ROW()-ROW($L$2)-INDEX($H$3:$H$168,K1247))</x:f>
      </x:c>
      <x:c r="M1247" t="str">
        <x:f>IF(K1247="","",IF(L1247=1,1,FIND(CHAR(1),SUBSTITUTE(INDEX($B$3:$B$168,K1247),CHAR(10),CHAR(1),L1247-1))+1))</x:f>
      </x:c>
      <x:c r="N1247" t="str">
        <x:f>IF(K1247="","",IFERROR(FIND(CHAR(1),SUBSTITUTE(INDEX($B$3:$B$168,K1247),CHAR(10),CHAR(1),L1247)),LEN(INDEX($B$3:$B$168,K1247))+1))</x:f>
      </x:c>
    </x:row>
    <x:row r="1248">
      <x:c r="A1248"/>
      <x:c r="B1248"/>
      <x:c r="C1248"/>
      <x:c r="D1248" t="str">
        <x:f>IFERROR(IF(1246&lt;=$O$1,INDEX($A$3:$A$168,MATCH(1246,$I$3:$I$168,0)),IF(1246&lt;=$O$1+$O$2,INDEX($F$3:$F$1994,MATCH(1246-$O$1,$G$3:$G$1994,0)),"")),"")</x:f>
      </x:c>
      <x:c r="E1248" t="str">
        <x:f>IF(K1248="","",IF(N1248&lt;=M1248,"",TRIM(CLEAN(MID(INDEX($B$3:$B$168,K1248),M1248,N1248-M1248)))))</x:f>
      </x:c>
      <x:c r="F1248" t="str">
        <x:f>IF(E1248="","",IF(E1248=TRIM(INDEX($A$3:$A$168,K1248)),"",IF(RIGHT(TRIM(INDEX($A$3:$A$168,K1248)),1)="]",LEFT(TRIM(INDEX($A$3:$A$168,K1248)),LEN(TRIM(INDEX($A$3:$A$168,K1248)))-1)&amp;", "&amp;SUBSTITUTE(SUBSTITUTE(SUBSTITUTE(E1248," [",", "),"[",", "),"]","")&amp;"]",TRIM(INDEX($A$3:$A$168,K1248))&amp;" ["&amp;SUBSTITUTE(SUBSTITUTE(SUBSTITUTE(E1248," [",", "),"[",", "),"]","")&amp;"]")))</x:f>
      </x:c>
      <x:c r="G1248" t="str">
        <x:f>IF(F1248&lt;&gt;"",ROWS($F$3:F1248)-COUNTBLANK($F$3:F1248),"")</x:f>
      </x:c>
      <x:c r="H1248"/>
      <x:c r="I1248"/>
      <x:c r="J1248"/>
      <x:c r="K1248" t="str">
        <x:f>IF(ROW()-ROW($K$2)&lt;=SUM($J$3:$J$168),COUNTIF($H$3:$H$168,"&lt;"&amp;(ROW()-ROW($K$2))),"")</x:f>
      </x:c>
      <x:c r="L1248" t="str">
        <x:f>IF(K1248="","",ROW()-ROW($L$2)-INDEX($H$3:$H$168,K1248))</x:f>
      </x:c>
      <x:c r="M1248" t="str">
        <x:f>IF(K1248="","",IF(L1248=1,1,FIND(CHAR(1),SUBSTITUTE(INDEX($B$3:$B$168,K1248),CHAR(10),CHAR(1),L1248-1))+1))</x:f>
      </x:c>
      <x:c r="N1248" t="str">
        <x:f>IF(K1248="","",IFERROR(FIND(CHAR(1),SUBSTITUTE(INDEX($B$3:$B$168,K1248),CHAR(10),CHAR(1),L1248)),LEN(INDEX($B$3:$B$168,K1248))+1))</x:f>
      </x:c>
    </x:row>
    <x:row r="1249">
      <x:c r="A1249"/>
      <x:c r="B1249"/>
      <x:c r="C1249"/>
      <x:c r="D1249" t="str">
        <x:f>IFERROR(IF(1247&lt;=$O$1,INDEX($A$3:$A$168,MATCH(1247,$I$3:$I$168,0)),IF(1247&lt;=$O$1+$O$2,INDEX($F$3:$F$1994,MATCH(1247-$O$1,$G$3:$G$1994,0)),"")),"")</x:f>
      </x:c>
      <x:c r="E1249" t="str">
        <x:f>IF(K1249="","",IF(N1249&lt;=M1249,"",TRIM(CLEAN(MID(INDEX($B$3:$B$168,K1249),M1249,N1249-M1249)))))</x:f>
      </x:c>
      <x:c r="F1249" t="str">
        <x:f>IF(E1249="","",IF(E1249=TRIM(INDEX($A$3:$A$168,K1249)),"",IF(RIGHT(TRIM(INDEX($A$3:$A$168,K1249)),1)="]",LEFT(TRIM(INDEX($A$3:$A$168,K1249)),LEN(TRIM(INDEX($A$3:$A$168,K1249)))-1)&amp;", "&amp;SUBSTITUTE(SUBSTITUTE(SUBSTITUTE(E1249," [",", "),"[",", "),"]","")&amp;"]",TRIM(INDEX($A$3:$A$168,K1249))&amp;" ["&amp;SUBSTITUTE(SUBSTITUTE(SUBSTITUTE(E1249," [",", "),"[",", "),"]","")&amp;"]")))</x:f>
      </x:c>
      <x:c r="G1249" t="str">
        <x:f>IF(F1249&lt;&gt;"",ROWS($F$3:F1249)-COUNTBLANK($F$3:F1249),"")</x:f>
      </x:c>
      <x:c r="H1249"/>
      <x:c r="I1249"/>
      <x:c r="J1249"/>
      <x:c r="K1249" t="str">
        <x:f>IF(ROW()-ROW($K$2)&lt;=SUM($J$3:$J$168),COUNTIF($H$3:$H$168,"&lt;"&amp;(ROW()-ROW($K$2))),"")</x:f>
      </x:c>
      <x:c r="L1249" t="str">
        <x:f>IF(K1249="","",ROW()-ROW($L$2)-INDEX($H$3:$H$168,K1249))</x:f>
      </x:c>
      <x:c r="M1249" t="str">
        <x:f>IF(K1249="","",IF(L1249=1,1,FIND(CHAR(1),SUBSTITUTE(INDEX($B$3:$B$168,K1249),CHAR(10),CHAR(1),L1249-1))+1))</x:f>
      </x:c>
      <x:c r="N1249" t="str">
        <x:f>IF(K1249="","",IFERROR(FIND(CHAR(1),SUBSTITUTE(INDEX($B$3:$B$168,K1249),CHAR(10),CHAR(1),L1249)),LEN(INDEX($B$3:$B$168,K1249))+1))</x:f>
      </x:c>
    </x:row>
    <x:row r="1250">
      <x:c r="A1250"/>
      <x:c r="B1250"/>
      <x:c r="C1250"/>
      <x:c r="D1250" t="str">
        <x:f>IFERROR(IF(1248&lt;=$O$1,INDEX($A$3:$A$168,MATCH(1248,$I$3:$I$168,0)),IF(1248&lt;=$O$1+$O$2,INDEX($F$3:$F$1994,MATCH(1248-$O$1,$G$3:$G$1994,0)),"")),"")</x:f>
      </x:c>
      <x:c r="E1250" t="str">
        <x:f>IF(K1250="","",IF(N1250&lt;=M1250,"",TRIM(CLEAN(MID(INDEX($B$3:$B$168,K1250),M1250,N1250-M1250)))))</x:f>
      </x:c>
      <x:c r="F1250" t="str">
        <x:f>IF(E1250="","",IF(E1250=TRIM(INDEX($A$3:$A$168,K1250)),"",IF(RIGHT(TRIM(INDEX($A$3:$A$168,K1250)),1)="]",LEFT(TRIM(INDEX($A$3:$A$168,K1250)),LEN(TRIM(INDEX($A$3:$A$168,K1250)))-1)&amp;", "&amp;SUBSTITUTE(SUBSTITUTE(SUBSTITUTE(E1250," [",", "),"[",", "),"]","")&amp;"]",TRIM(INDEX($A$3:$A$168,K1250))&amp;" ["&amp;SUBSTITUTE(SUBSTITUTE(SUBSTITUTE(E1250," [",", "),"[",", "),"]","")&amp;"]")))</x:f>
      </x:c>
      <x:c r="G1250" t="str">
        <x:f>IF(F1250&lt;&gt;"",ROWS($F$3:F1250)-COUNTBLANK($F$3:F1250),"")</x:f>
      </x:c>
      <x:c r="H1250"/>
      <x:c r="I1250"/>
      <x:c r="J1250"/>
      <x:c r="K1250" t="str">
        <x:f>IF(ROW()-ROW($K$2)&lt;=SUM($J$3:$J$168),COUNTIF($H$3:$H$168,"&lt;"&amp;(ROW()-ROW($K$2))),"")</x:f>
      </x:c>
      <x:c r="L1250" t="str">
        <x:f>IF(K1250="","",ROW()-ROW($L$2)-INDEX($H$3:$H$168,K1250))</x:f>
      </x:c>
      <x:c r="M1250" t="str">
        <x:f>IF(K1250="","",IF(L1250=1,1,FIND(CHAR(1),SUBSTITUTE(INDEX($B$3:$B$168,K1250),CHAR(10),CHAR(1),L1250-1))+1))</x:f>
      </x:c>
      <x:c r="N1250" t="str">
        <x:f>IF(K1250="","",IFERROR(FIND(CHAR(1),SUBSTITUTE(INDEX($B$3:$B$168,K1250),CHAR(10),CHAR(1),L1250)),LEN(INDEX($B$3:$B$168,K1250))+1))</x:f>
      </x:c>
    </x:row>
    <x:row r="1251">
      <x:c r="A1251"/>
      <x:c r="B1251"/>
      <x:c r="C1251"/>
      <x:c r="D1251" t="str">
        <x:f>IFERROR(IF(1249&lt;=$O$1,INDEX($A$3:$A$168,MATCH(1249,$I$3:$I$168,0)),IF(1249&lt;=$O$1+$O$2,INDEX($F$3:$F$1994,MATCH(1249-$O$1,$G$3:$G$1994,0)),"")),"")</x:f>
      </x:c>
      <x:c r="E1251" t="str">
        <x:f>IF(K1251="","",IF(N1251&lt;=M1251,"",TRIM(CLEAN(MID(INDEX($B$3:$B$168,K1251),M1251,N1251-M1251)))))</x:f>
      </x:c>
      <x:c r="F1251" t="str">
        <x:f>IF(E1251="","",IF(E1251=TRIM(INDEX($A$3:$A$168,K1251)),"",IF(RIGHT(TRIM(INDEX($A$3:$A$168,K1251)),1)="]",LEFT(TRIM(INDEX($A$3:$A$168,K1251)),LEN(TRIM(INDEX($A$3:$A$168,K1251)))-1)&amp;", "&amp;SUBSTITUTE(SUBSTITUTE(SUBSTITUTE(E1251," [",", "),"[",", "),"]","")&amp;"]",TRIM(INDEX($A$3:$A$168,K1251))&amp;" ["&amp;SUBSTITUTE(SUBSTITUTE(SUBSTITUTE(E1251," [",", "),"[",", "),"]","")&amp;"]")))</x:f>
      </x:c>
      <x:c r="G1251" t="str">
        <x:f>IF(F1251&lt;&gt;"",ROWS($F$3:F1251)-COUNTBLANK($F$3:F1251),"")</x:f>
      </x:c>
      <x:c r="H1251"/>
      <x:c r="I1251"/>
      <x:c r="J1251"/>
      <x:c r="K1251" t="str">
        <x:f>IF(ROW()-ROW($K$2)&lt;=SUM($J$3:$J$168),COUNTIF($H$3:$H$168,"&lt;"&amp;(ROW()-ROW($K$2))),"")</x:f>
      </x:c>
      <x:c r="L1251" t="str">
        <x:f>IF(K1251="","",ROW()-ROW($L$2)-INDEX($H$3:$H$168,K1251))</x:f>
      </x:c>
      <x:c r="M1251" t="str">
        <x:f>IF(K1251="","",IF(L1251=1,1,FIND(CHAR(1),SUBSTITUTE(INDEX($B$3:$B$168,K1251),CHAR(10),CHAR(1),L1251-1))+1))</x:f>
      </x:c>
      <x:c r="N1251" t="str">
        <x:f>IF(K1251="","",IFERROR(FIND(CHAR(1),SUBSTITUTE(INDEX($B$3:$B$168,K1251),CHAR(10),CHAR(1),L1251)),LEN(INDEX($B$3:$B$168,K1251))+1))</x:f>
      </x:c>
    </x:row>
    <x:row r="1252">
      <x:c r="A1252"/>
      <x:c r="B1252"/>
      <x:c r="C1252"/>
      <x:c r="D1252" t="str">
        <x:f>IFERROR(IF(1250&lt;=$O$1,INDEX($A$3:$A$168,MATCH(1250,$I$3:$I$168,0)),IF(1250&lt;=$O$1+$O$2,INDEX($F$3:$F$1994,MATCH(1250-$O$1,$G$3:$G$1994,0)),"")),"")</x:f>
      </x:c>
      <x:c r="E1252" t="str">
        <x:f>IF(K1252="","",IF(N1252&lt;=M1252,"",TRIM(CLEAN(MID(INDEX($B$3:$B$168,K1252),M1252,N1252-M1252)))))</x:f>
      </x:c>
      <x:c r="F1252" t="str">
        <x:f>IF(E1252="","",IF(E1252=TRIM(INDEX($A$3:$A$168,K1252)),"",IF(RIGHT(TRIM(INDEX($A$3:$A$168,K1252)),1)="]",LEFT(TRIM(INDEX($A$3:$A$168,K1252)),LEN(TRIM(INDEX($A$3:$A$168,K1252)))-1)&amp;", "&amp;SUBSTITUTE(SUBSTITUTE(SUBSTITUTE(E1252," [",", "),"[",", "),"]","")&amp;"]",TRIM(INDEX($A$3:$A$168,K1252))&amp;" ["&amp;SUBSTITUTE(SUBSTITUTE(SUBSTITUTE(E1252," [",", "),"[",", "),"]","")&amp;"]")))</x:f>
      </x:c>
      <x:c r="G1252" t="str">
        <x:f>IF(F1252&lt;&gt;"",ROWS($F$3:F1252)-COUNTBLANK($F$3:F1252),"")</x:f>
      </x:c>
      <x:c r="H1252"/>
      <x:c r="I1252"/>
      <x:c r="J1252"/>
      <x:c r="K1252" t="str">
        <x:f>IF(ROW()-ROW($K$2)&lt;=SUM($J$3:$J$168),COUNTIF($H$3:$H$168,"&lt;"&amp;(ROW()-ROW($K$2))),"")</x:f>
      </x:c>
      <x:c r="L1252" t="str">
        <x:f>IF(K1252="","",ROW()-ROW($L$2)-INDEX($H$3:$H$168,K1252))</x:f>
      </x:c>
      <x:c r="M1252" t="str">
        <x:f>IF(K1252="","",IF(L1252=1,1,FIND(CHAR(1),SUBSTITUTE(INDEX($B$3:$B$168,K1252),CHAR(10),CHAR(1),L1252-1))+1))</x:f>
      </x:c>
      <x:c r="N1252" t="str">
        <x:f>IF(K1252="","",IFERROR(FIND(CHAR(1),SUBSTITUTE(INDEX($B$3:$B$168,K1252),CHAR(10),CHAR(1),L1252)),LEN(INDEX($B$3:$B$168,K1252))+1))</x:f>
      </x:c>
    </x:row>
    <x:row r="1253">
      <x:c r="A1253"/>
      <x:c r="B1253"/>
      <x:c r="C1253"/>
      <x:c r="D1253" t="str">
        <x:f>IFERROR(IF(1251&lt;=$O$1,INDEX($A$3:$A$168,MATCH(1251,$I$3:$I$168,0)),IF(1251&lt;=$O$1+$O$2,INDEX($F$3:$F$1994,MATCH(1251-$O$1,$G$3:$G$1994,0)),"")),"")</x:f>
      </x:c>
      <x:c r="E1253" t="str">
        <x:f>IF(K1253="","",IF(N1253&lt;=M1253,"",TRIM(CLEAN(MID(INDEX($B$3:$B$168,K1253),M1253,N1253-M1253)))))</x:f>
      </x:c>
      <x:c r="F1253" t="str">
        <x:f>IF(E1253="","",IF(E1253=TRIM(INDEX($A$3:$A$168,K1253)),"",IF(RIGHT(TRIM(INDEX($A$3:$A$168,K1253)),1)="]",LEFT(TRIM(INDEX($A$3:$A$168,K1253)),LEN(TRIM(INDEX($A$3:$A$168,K1253)))-1)&amp;", "&amp;SUBSTITUTE(SUBSTITUTE(SUBSTITUTE(E1253," [",", "),"[",", "),"]","")&amp;"]",TRIM(INDEX($A$3:$A$168,K1253))&amp;" ["&amp;SUBSTITUTE(SUBSTITUTE(SUBSTITUTE(E1253," [",", "),"[",", "),"]","")&amp;"]")))</x:f>
      </x:c>
      <x:c r="G1253" t="str">
        <x:f>IF(F1253&lt;&gt;"",ROWS($F$3:F1253)-COUNTBLANK($F$3:F1253),"")</x:f>
      </x:c>
      <x:c r="H1253"/>
      <x:c r="I1253"/>
      <x:c r="J1253"/>
      <x:c r="K1253" t="str">
        <x:f>IF(ROW()-ROW($K$2)&lt;=SUM($J$3:$J$168),COUNTIF($H$3:$H$168,"&lt;"&amp;(ROW()-ROW($K$2))),"")</x:f>
      </x:c>
      <x:c r="L1253" t="str">
        <x:f>IF(K1253="","",ROW()-ROW($L$2)-INDEX($H$3:$H$168,K1253))</x:f>
      </x:c>
      <x:c r="M1253" t="str">
        <x:f>IF(K1253="","",IF(L1253=1,1,FIND(CHAR(1),SUBSTITUTE(INDEX($B$3:$B$168,K1253),CHAR(10),CHAR(1),L1253-1))+1))</x:f>
      </x:c>
      <x:c r="N1253" t="str">
        <x:f>IF(K1253="","",IFERROR(FIND(CHAR(1),SUBSTITUTE(INDEX($B$3:$B$168,K1253),CHAR(10),CHAR(1),L1253)),LEN(INDEX($B$3:$B$168,K1253))+1))</x:f>
      </x:c>
    </x:row>
    <x:row r="1254">
      <x:c r="A1254"/>
      <x:c r="B1254"/>
      <x:c r="C1254"/>
      <x:c r="D1254" t="str">
        <x:f>IFERROR(IF(1252&lt;=$O$1,INDEX($A$3:$A$168,MATCH(1252,$I$3:$I$168,0)),IF(1252&lt;=$O$1+$O$2,INDEX($F$3:$F$1994,MATCH(1252-$O$1,$G$3:$G$1994,0)),"")),"")</x:f>
      </x:c>
      <x:c r="E1254" t="str">
        <x:f>IF(K1254="","",IF(N1254&lt;=M1254,"",TRIM(CLEAN(MID(INDEX($B$3:$B$168,K1254),M1254,N1254-M1254)))))</x:f>
      </x:c>
      <x:c r="F1254" t="str">
        <x:f>IF(E1254="","",IF(E1254=TRIM(INDEX($A$3:$A$168,K1254)),"",IF(RIGHT(TRIM(INDEX($A$3:$A$168,K1254)),1)="]",LEFT(TRIM(INDEX($A$3:$A$168,K1254)),LEN(TRIM(INDEX($A$3:$A$168,K1254)))-1)&amp;", "&amp;SUBSTITUTE(SUBSTITUTE(SUBSTITUTE(E1254," [",", "),"[",", "),"]","")&amp;"]",TRIM(INDEX($A$3:$A$168,K1254))&amp;" ["&amp;SUBSTITUTE(SUBSTITUTE(SUBSTITUTE(E1254," [",", "),"[",", "),"]","")&amp;"]")))</x:f>
      </x:c>
      <x:c r="G1254" t="str">
        <x:f>IF(F1254&lt;&gt;"",ROWS($F$3:F1254)-COUNTBLANK($F$3:F1254),"")</x:f>
      </x:c>
      <x:c r="H1254"/>
      <x:c r="I1254"/>
      <x:c r="J1254"/>
      <x:c r="K1254" t="str">
        <x:f>IF(ROW()-ROW($K$2)&lt;=SUM($J$3:$J$168),COUNTIF($H$3:$H$168,"&lt;"&amp;(ROW()-ROW($K$2))),"")</x:f>
      </x:c>
      <x:c r="L1254" t="str">
        <x:f>IF(K1254="","",ROW()-ROW($L$2)-INDEX($H$3:$H$168,K1254))</x:f>
      </x:c>
      <x:c r="M1254" t="str">
        <x:f>IF(K1254="","",IF(L1254=1,1,FIND(CHAR(1),SUBSTITUTE(INDEX($B$3:$B$168,K1254),CHAR(10),CHAR(1),L1254-1))+1))</x:f>
      </x:c>
      <x:c r="N1254" t="str">
        <x:f>IF(K1254="","",IFERROR(FIND(CHAR(1),SUBSTITUTE(INDEX($B$3:$B$168,K1254),CHAR(10),CHAR(1),L1254)),LEN(INDEX($B$3:$B$168,K1254))+1))</x:f>
      </x:c>
    </x:row>
    <x:row r="1255">
      <x:c r="A1255"/>
      <x:c r="B1255"/>
      <x:c r="C1255"/>
      <x:c r="D1255" t="str">
        <x:f>IFERROR(IF(1253&lt;=$O$1,INDEX($A$3:$A$168,MATCH(1253,$I$3:$I$168,0)),IF(1253&lt;=$O$1+$O$2,INDEX($F$3:$F$1994,MATCH(1253-$O$1,$G$3:$G$1994,0)),"")),"")</x:f>
      </x:c>
      <x:c r="E1255" t="str">
        <x:f>IF(K1255="","",IF(N1255&lt;=M1255,"",TRIM(CLEAN(MID(INDEX($B$3:$B$168,K1255),M1255,N1255-M1255)))))</x:f>
      </x:c>
      <x:c r="F1255" t="str">
        <x:f>IF(E1255="","",IF(E1255=TRIM(INDEX($A$3:$A$168,K1255)),"",IF(RIGHT(TRIM(INDEX($A$3:$A$168,K1255)),1)="]",LEFT(TRIM(INDEX($A$3:$A$168,K1255)),LEN(TRIM(INDEX($A$3:$A$168,K1255)))-1)&amp;", "&amp;SUBSTITUTE(SUBSTITUTE(SUBSTITUTE(E1255," [",", "),"[",", "),"]","")&amp;"]",TRIM(INDEX($A$3:$A$168,K1255))&amp;" ["&amp;SUBSTITUTE(SUBSTITUTE(SUBSTITUTE(E1255," [",", "),"[",", "),"]","")&amp;"]")))</x:f>
      </x:c>
      <x:c r="G1255" t="str">
        <x:f>IF(F1255&lt;&gt;"",ROWS($F$3:F1255)-COUNTBLANK($F$3:F1255),"")</x:f>
      </x:c>
      <x:c r="H1255"/>
      <x:c r="I1255"/>
      <x:c r="J1255"/>
      <x:c r="K1255" t="str">
        <x:f>IF(ROW()-ROW($K$2)&lt;=SUM($J$3:$J$168),COUNTIF($H$3:$H$168,"&lt;"&amp;(ROW()-ROW($K$2))),"")</x:f>
      </x:c>
      <x:c r="L1255" t="str">
        <x:f>IF(K1255="","",ROW()-ROW($L$2)-INDEX($H$3:$H$168,K1255))</x:f>
      </x:c>
      <x:c r="M1255" t="str">
        <x:f>IF(K1255="","",IF(L1255=1,1,FIND(CHAR(1),SUBSTITUTE(INDEX($B$3:$B$168,K1255),CHAR(10),CHAR(1),L1255-1))+1))</x:f>
      </x:c>
      <x:c r="N1255" t="str">
        <x:f>IF(K1255="","",IFERROR(FIND(CHAR(1),SUBSTITUTE(INDEX($B$3:$B$168,K1255),CHAR(10),CHAR(1),L1255)),LEN(INDEX($B$3:$B$168,K1255))+1))</x:f>
      </x:c>
    </x:row>
    <x:row r="1256">
      <x:c r="A1256"/>
      <x:c r="B1256"/>
      <x:c r="C1256"/>
      <x:c r="D1256" t="str">
        <x:f>IFERROR(IF(1254&lt;=$O$1,INDEX($A$3:$A$168,MATCH(1254,$I$3:$I$168,0)),IF(1254&lt;=$O$1+$O$2,INDEX($F$3:$F$1994,MATCH(1254-$O$1,$G$3:$G$1994,0)),"")),"")</x:f>
      </x:c>
      <x:c r="E1256" t="str">
        <x:f>IF(K1256="","",IF(N1256&lt;=M1256,"",TRIM(CLEAN(MID(INDEX($B$3:$B$168,K1256),M1256,N1256-M1256)))))</x:f>
      </x:c>
      <x:c r="F1256" t="str">
        <x:f>IF(E1256="","",IF(E1256=TRIM(INDEX($A$3:$A$168,K1256)),"",IF(RIGHT(TRIM(INDEX($A$3:$A$168,K1256)),1)="]",LEFT(TRIM(INDEX($A$3:$A$168,K1256)),LEN(TRIM(INDEX($A$3:$A$168,K1256)))-1)&amp;", "&amp;SUBSTITUTE(SUBSTITUTE(SUBSTITUTE(E1256," [",", "),"[",", "),"]","")&amp;"]",TRIM(INDEX($A$3:$A$168,K1256))&amp;" ["&amp;SUBSTITUTE(SUBSTITUTE(SUBSTITUTE(E1256," [",", "),"[",", "),"]","")&amp;"]")))</x:f>
      </x:c>
      <x:c r="G1256" t="str">
        <x:f>IF(F1256&lt;&gt;"",ROWS($F$3:F1256)-COUNTBLANK($F$3:F1256),"")</x:f>
      </x:c>
      <x:c r="H1256"/>
      <x:c r="I1256"/>
      <x:c r="J1256"/>
      <x:c r="K1256" t="str">
        <x:f>IF(ROW()-ROW($K$2)&lt;=SUM($J$3:$J$168),COUNTIF($H$3:$H$168,"&lt;"&amp;(ROW()-ROW($K$2))),"")</x:f>
      </x:c>
      <x:c r="L1256" t="str">
        <x:f>IF(K1256="","",ROW()-ROW($L$2)-INDEX($H$3:$H$168,K1256))</x:f>
      </x:c>
      <x:c r="M1256" t="str">
        <x:f>IF(K1256="","",IF(L1256=1,1,FIND(CHAR(1),SUBSTITUTE(INDEX($B$3:$B$168,K1256),CHAR(10),CHAR(1),L1256-1))+1))</x:f>
      </x:c>
      <x:c r="N1256" t="str">
        <x:f>IF(K1256="","",IFERROR(FIND(CHAR(1),SUBSTITUTE(INDEX($B$3:$B$168,K1256),CHAR(10),CHAR(1),L1256)),LEN(INDEX($B$3:$B$168,K1256))+1))</x:f>
      </x:c>
    </x:row>
    <x:row r="1257">
      <x:c r="A1257"/>
      <x:c r="B1257"/>
      <x:c r="C1257"/>
      <x:c r="D1257" t="str">
        <x:f>IFERROR(IF(1255&lt;=$O$1,INDEX($A$3:$A$168,MATCH(1255,$I$3:$I$168,0)),IF(1255&lt;=$O$1+$O$2,INDEX($F$3:$F$1994,MATCH(1255-$O$1,$G$3:$G$1994,0)),"")),"")</x:f>
      </x:c>
      <x:c r="E1257" t="str">
        <x:f>IF(K1257="","",IF(N1257&lt;=M1257,"",TRIM(CLEAN(MID(INDEX($B$3:$B$168,K1257),M1257,N1257-M1257)))))</x:f>
      </x:c>
      <x:c r="F1257" t="str">
        <x:f>IF(E1257="","",IF(E1257=TRIM(INDEX($A$3:$A$168,K1257)),"",IF(RIGHT(TRIM(INDEX($A$3:$A$168,K1257)),1)="]",LEFT(TRIM(INDEX($A$3:$A$168,K1257)),LEN(TRIM(INDEX($A$3:$A$168,K1257)))-1)&amp;", "&amp;SUBSTITUTE(SUBSTITUTE(SUBSTITUTE(E1257," [",", "),"[",", "),"]","")&amp;"]",TRIM(INDEX($A$3:$A$168,K1257))&amp;" ["&amp;SUBSTITUTE(SUBSTITUTE(SUBSTITUTE(E1257," [",", "),"[",", "),"]","")&amp;"]")))</x:f>
      </x:c>
      <x:c r="G1257" t="str">
        <x:f>IF(F1257&lt;&gt;"",ROWS($F$3:F1257)-COUNTBLANK($F$3:F1257),"")</x:f>
      </x:c>
      <x:c r="H1257"/>
      <x:c r="I1257"/>
      <x:c r="J1257"/>
      <x:c r="K1257" t="str">
        <x:f>IF(ROW()-ROW($K$2)&lt;=SUM($J$3:$J$168),COUNTIF($H$3:$H$168,"&lt;"&amp;(ROW()-ROW($K$2))),"")</x:f>
      </x:c>
      <x:c r="L1257" t="str">
        <x:f>IF(K1257="","",ROW()-ROW($L$2)-INDEX($H$3:$H$168,K1257))</x:f>
      </x:c>
      <x:c r="M1257" t="str">
        <x:f>IF(K1257="","",IF(L1257=1,1,FIND(CHAR(1),SUBSTITUTE(INDEX($B$3:$B$168,K1257),CHAR(10),CHAR(1),L1257-1))+1))</x:f>
      </x:c>
      <x:c r="N1257" t="str">
        <x:f>IF(K1257="","",IFERROR(FIND(CHAR(1),SUBSTITUTE(INDEX($B$3:$B$168,K1257),CHAR(10),CHAR(1),L1257)),LEN(INDEX($B$3:$B$168,K1257))+1))</x:f>
      </x:c>
    </x:row>
    <x:row r="1258">
      <x:c r="A1258"/>
      <x:c r="B1258"/>
      <x:c r="C1258"/>
      <x:c r="D1258" t="str">
        <x:f>IFERROR(IF(1256&lt;=$O$1,INDEX($A$3:$A$168,MATCH(1256,$I$3:$I$168,0)),IF(1256&lt;=$O$1+$O$2,INDEX($F$3:$F$1994,MATCH(1256-$O$1,$G$3:$G$1994,0)),"")),"")</x:f>
      </x:c>
      <x:c r="E1258" t="str">
        <x:f>IF(K1258="","",IF(N1258&lt;=M1258,"",TRIM(CLEAN(MID(INDEX($B$3:$B$168,K1258),M1258,N1258-M1258)))))</x:f>
      </x:c>
      <x:c r="F1258" t="str">
        <x:f>IF(E1258="","",IF(E1258=TRIM(INDEX($A$3:$A$168,K1258)),"",IF(RIGHT(TRIM(INDEX($A$3:$A$168,K1258)),1)="]",LEFT(TRIM(INDEX($A$3:$A$168,K1258)),LEN(TRIM(INDEX($A$3:$A$168,K1258)))-1)&amp;", "&amp;SUBSTITUTE(SUBSTITUTE(SUBSTITUTE(E1258," [",", "),"[",", "),"]","")&amp;"]",TRIM(INDEX($A$3:$A$168,K1258))&amp;" ["&amp;SUBSTITUTE(SUBSTITUTE(SUBSTITUTE(E1258," [",", "),"[",", "),"]","")&amp;"]")))</x:f>
      </x:c>
      <x:c r="G1258" t="str">
        <x:f>IF(F1258&lt;&gt;"",ROWS($F$3:F1258)-COUNTBLANK($F$3:F1258),"")</x:f>
      </x:c>
      <x:c r="H1258"/>
      <x:c r="I1258"/>
      <x:c r="J1258"/>
      <x:c r="K1258" t="str">
        <x:f>IF(ROW()-ROW($K$2)&lt;=SUM($J$3:$J$168),COUNTIF($H$3:$H$168,"&lt;"&amp;(ROW()-ROW($K$2))),"")</x:f>
      </x:c>
      <x:c r="L1258" t="str">
        <x:f>IF(K1258="","",ROW()-ROW($L$2)-INDEX($H$3:$H$168,K1258))</x:f>
      </x:c>
      <x:c r="M1258" t="str">
        <x:f>IF(K1258="","",IF(L1258=1,1,FIND(CHAR(1),SUBSTITUTE(INDEX($B$3:$B$168,K1258),CHAR(10),CHAR(1),L1258-1))+1))</x:f>
      </x:c>
      <x:c r="N1258" t="str">
        <x:f>IF(K1258="","",IFERROR(FIND(CHAR(1),SUBSTITUTE(INDEX($B$3:$B$168,K1258),CHAR(10),CHAR(1),L1258)),LEN(INDEX($B$3:$B$168,K1258))+1))</x:f>
      </x:c>
    </x:row>
    <x:row r="1259">
      <x:c r="A1259"/>
      <x:c r="B1259"/>
      <x:c r="C1259"/>
      <x:c r="D1259" t="str">
        <x:f>IFERROR(IF(1257&lt;=$O$1,INDEX($A$3:$A$168,MATCH(1257,$I$3:$I$168,0)),IF(1257&lt;=$O$1+$O$2,INDEX($F$3:$F$1994,MATCH(1257-$O$1,$G$3:$G$1994,0)),"")),"")</x:f>
      </x:c>
      <x:c r="E1259" t="str">
        <x:f>IF(K1259="","",IF(N1259&lt;=M1259,"",TRIM(CLEAN(MID(INDEX($B$3:$B$168,K1259),M1259,N1259-M1259)))))</x:f>
      </x:c>
      <x:c r="F1259" t="str">
        <x:f>IF(E1259="","",IF(E1259=TRIM(INDEX($A$3:$A$168,K1259)),"",IF(RIGHT(TRIM(INDEX($A$3:$A$168,K1259)),1)="]",LEFT(TRIM(INDEX($A$3:$A$168,K1259)),LEN(TRIM(INDEX($A$3:$A$168,K1259)))-1)&amp;", "&amp;SUBSTITUTE(SUBSTITUTE(SUBSTITUTE(E1259," [",", "),"[",", "),"]","")&amp;"]",TRIM(INDEX($A$3:$A$168,K1259))&amp;" ["&amp;SUBSTITUTE(SUBSTITUTE(SUBSTITUTE(E1259," [",", "),"[",", "),"]","")&amp;"]")))</x:f>
      </x:c>
      <x:c r="G1259" t="str">
        <x:f>IF(F1259&lt;&gt;"",ROWS($F$3:F1259)-COUNTBLANK($F$3:F1259),"")</x:f>
      </x:c>
      <x:c r="H1259"/>
      <x:c r="I1259"/>
      <x:c r="J1259"/>
      <x:c r="K1259" t="str">
        <x:f>IF(ROW()-ROW($K$2)&lt;=SUM($J$3:$J$168),COUNTIF($H$3:$H$168,"&lt;"&amp;(ROW()-ROW($K$2))),"")</x:f>
      </x:c>
      <x:c r="L1259" t="str">
        <x:f>IF(K1259="","",ROW()-ROW($L$2)-INDEX($H$3:$H$168,K1259))</x:f>
      </x:c>
      <x:c r="M1259" t="str">
        <x:f>IF(K1259="","",IF(L1259=1,1,FIND(CHAR(1),SUBSTITUTE(INDEX($B$3:$B$168,K1259),CHAR(10),CHAR(1),L1259-1))+1))</x:f>
      </x:c>
      <x:c r="N1259" t="str">
        <x:f>IF(K1259="","",IFERROR(FIND(CHAR(1),SUBSTITUTE(INDEX($B$3:$B$168,K1259),CHAR(10),CHAR(1),L1259)),LEN(INDEX($B$3:$B$168,K1259))+1))</x:f>
      </x:c>
    </x:row>
    <x:row r="1260">
      <x:c r="A1260"/>
      <x:c r="B1260"/>
      <x:c r="C1260"/>
      <x:c r="D1260" t="str">
        <x:f>IFERROR(IF(1258&lt;=$O$1,INDEX($A$3:$A$168,MATCH(1258,$I$3:$I$168,0)),IF(1258&lt;=$O$1+$O$2,INDEX($F$3:$F$1994,MATCH(1258-$O$1,$G$3:$G$1994,0)),"")),"")</x:f>
      </x:c>
      <x:c r="E1260" t="str">
        <x:f>IF(K1260="","",IF(N1260&lt;=M1260,"",TRIM(CLEAN(MID(INDEX($B$3:$B$168,K1260),M1260,N1260-M1260)))))</x:f>
      </x:c>
      <x:c r="F1260" t="str">
        <x:f>IF(E1260="","",IF(E1260=TRIM(INDEX($A$3:$A$168,K1260)),"",IF(RIGHT(TRIM(INDEX($A$3:$A$168,K1260)),1)="]",LEFT(TRIM(INDEX($A$3:$A$168,K1260)),LEN(TRIM(INDEX($A$3:$A$168,K1260)))-1)&amp;", "&amp;SUBSTITUTE(SUBSTITUTE(SUBSTITUTE(E1260," [",", "),"[",", "),"]","")&amp;"]",TRIM(INDEX($A$3:$A$168,K1260))&amp;" ["&amp;SUBSTITUTE(SUBSTITUTE(SUBSTITUTE(E1260," [",", "),"[",", "),"]","")&amp;"]")))</x:f>
      </x:c>
      <x:c r="G1260" t="str">
        <x:f>IF(F1260&lt;&gt;"",ROWS($F$3:F1260)-COUNTBLANK($F$3:F1260),"")</x:f>
      </x:c>
      <x:c r="H1260"/>
      <x:c r="I1260"/>
      <x:c r="J1260"/>
      <x:c r="K1260" t="str">
        <x:f>IF(ROW()-ROW($K$2)&lt;=SUM($J$3:$J$168),COUNTIF($H$3:$H$168,"&lt;"&amp;(ROW()-ROW($K$2))),"")</x:f>
      </x:c>
      <x:c r="L1260" t="str">
        <x:f>IF(K1260="","",ROW()-ROW($L$2)-INDEX($H$3:$H$168,K1260))</x:f>
      </x:c>
      <x:c r="M1260" t="str">
        <x:f>IF(K1260="","",IF(L1260=1,1,FIND(CHAR(1),SUBSTITUTE(INDEX($B$3:$B$168,K1260),CHAR(10),CHAR(1),L1260-1))+1))</x:f>
      </x:c>
      <x:c r="N1260" t="str">
        <x:f>IF(K1260="","",IFERROR(FIND(CHAR(1),SUBSTITUTE(INDEX($B$3:$B$168,K1260),CHAR(10),CHAR(1),L1260)),LEN(INDEX($B$3:$B$168,K1260))+1))</x:f>
      </x:c>
    </x:row>
    <x:row r="1261">
      <x:c r="A1261"/>
      <x:c r="B1261"/>
      <x:c r="C1261"/>
      <x:c r="D1261" t="str">
        <x:f>IFERROR(IF(1259&lt;=$O$1,INDEX($A$3:$A$168,MATCH(1259,$I$3:$I$168,0)),IF(1259&lt;=$O$1+$O$2,INDEX($F$3:$F$1994,MATCH(1259-$O$1,$G$3:$G$1994,0)),"")),"")</x:f>
      </x:c>
      <x:c r="E1261" t="str">
        <x:f>IF(K1261="","",IF(N1261&lt;=M1261,"",TRIM(CLEAN(MID(INDEX($B$3:$B$168,K1261),M1261,N1261-M1261)))))</x:f>
      </x:c>
      <x:c r="F1261" t="str">
        <x:f>IF(E1261="","",IF(E1261=TRIM(INDEX($A$3:$A$168,K1261)),"",IF(RIGHT(TRIM(INDEX($A$3:$A$168,K1261)),1)="]",LEFT(TRIM(INDEX($A$3:$A$168,K1261)),LEN(TRIM(INDEX($A$3:$A$168,K1261)))-1)&amp;", "&amp;SUBSTITUTE(SUBSTITUTE(SUBSTITUTE(E1261," [",", "),"[",", "),"]","")&amp;"]",TRIM(INDEX($A$3:$A$168,K1261))&amp;" ["&amp;SUBSTITUTE(SUBSTITUTE(SUBSTITUTE(E1261," [",", "),"[",", "),"]","")&amp;"]")))</x:f>
      </x:c>
      <x:c r="G1261" t="str">
        <x:f>IF(F1261&lt;&gt;"",ROWS($F$3:F1261)-COUNTBLANK($F$3:F1261),"")</x:f>
      </x:c>
      <x:c r="H1261"/>
      <x:c r="I1261"/>
      <x:c r="J1261"/>
      <x:c r="K1261" t="str">
        <x:f>IF(ROW()-ROW($K$2)&lt;=SUM($J$3:$J$168),COUNTIF($H$3:$H$168,"&lt;"&amp;(ROW()-ROW($K$2))),"")</x:f>
      </x:c>
      <x:c r="L1261" t="str">
        <x:f>IF(K1261="","",ROW()-ROW($L$2)-INDEX($H$3:$H$168,K1261))</x:f>
      </x:c>
      <x:c r="M1261" t="str">
        <x:f>IF(K1261="","",IF(L1261=1,1,FIND(CHAR(1),SUBSTITUTE(INDEX($B$3:$B$168,K1261),CHAR(10),CHAR(1),L1261-1))+1))</x:f>
      </x:c>
      <x:c r="N1261" t="str">
        <x:f>IF(K1261="","",IFERROR(FIND(CHAR(1),SUBSTITUTE(INDEX($B$3:$B$168,K1261),CHAR(10),CHAR(1),L1261)),LEN(INDEX($B$3:$B$168,K1261))+1))</x:f>
      </x:c>
    </x:row>
    <x:row r="1262">
      <x:c r="A1262"/>
      <x:c r="B1262"/>
      <x:c r="C1262"/>
      <x:c r="D1262" t="str">
        <x:f>IFERROR(IF(1260&lt;=$O$1,INDEX($A$3:$A$168,MATCH(1260,$I$3:$I$168,0)),IF(1260&lt;=$O$1+$O$2,INDEX($F$3:$F$1994,MATCH(1260-$O$1,$G$3:$G$1994,0)),"")),"")</x:f>
      </x:c>
      <x:c r="E1262" t="str">
        <x:f>IF(K1262="","",IF(N1262&lt;=M1262,"",TRIM(CLEAN(MID(INDEX($B$3:$B$168,K1262),M1262,N1262-M1262)))))</x:f>
      </x:c>
      <x:c r="F1262" t="str">
        <x:f>IF(E1262="","",IF(E1262=TRIM(INDEX($A$3:$A$168,K1262)),"",IF(RIGHT(TRIM(INDEX($A$3:$A$168,K1262)),1)="]",LEFT(TRIM(INDEX($A$3:$A$168,K1262)),LEN(TRIM(INDEX($A$3:$A$168,K1262)))-1)&amp;", "&amp;SUBSTITUTE(SUBSTITUTE(SUBSTITUTE(E1262," [",", "),"[",", "),"]","")&amp;"]",TRIM(INDEX($A$3:$A$168,K1262))&amp;" ["&amp;SUBSTITUTE(SUBSTITUTE(SUBSTITUTE(E1262," [",", "),"[",", "),"]","")&amp;"]")))</x:f>
      </x:c>
      <x:c r="G1262" t="str">
        <x:f>IF(F1262&lt;&gt;"",ROWS($F$3:F1262)-COUNTBLANK($F$3:F1262),"")</x:f>
      </x:c>
      <x:c r="H1262"/>
      <x:c r="I1262"/>
      <x:c r="J1262"/>
      <x:c r="K1262" t="str">
        <x:f>IF(ROW()-ROW($K$2)&lt;=SUM($J$3:$J$168),COUNTIF($H$3:$H$168,"&lt;"&amp;(ROW()-ROW($K$2))),"")</x:f>
      </x:c>
      <x:c r="L1262" t="str">
        <x:f>IF(K1262="","",ROW()-ROW($L$2)-INDEX($H$3:$H$168,K1262))</x:f>
      </x:c>
      <x:c r="M1262" t="str">
        <x:f>IF(K1262="","",IF(L1262=1,1,FIND(CHAR(1),SUBSTITUTE(INDEX($B$3:$B$168,K1262),CHAR(10),CHAR(1),L1262-1))+1))</x:f>
      </x:c>
      <x:c r="N1262" t="str">
        <x:f>IF(K1262="","",IFERROR(FIND(CHAR(1),SUBSTITUTE(INDEX($B$3:$B$168,K1262),CHAR(10),CHAR(1),L1262)),LEN(INDEX($B$3:$B$168,K1262))+1))</x:f>
      </x:c>
    </x:row>
    <x:row r="1263">
      <x:c r="A1263"/>
      <x:c r="B1263"/>
      <x:c r="C1263"/>
      <x:c r="D1263" t="str">
        <x:f>IFERROR(IF(1261&lt;=$O$1,INDEX($A$3:$A$168,MATCH(1261,$I$3:$I$168,0)),IF(1261&lt;=$O$1+$O$2,INDEX($F$3:$F$1994,MATCH(1261-$O$1,$G$3:$G$1994,0)),"")),"")</x:f>
      </x:c>
      <x:c r="E1263" t="str">
        <x:f>IF(K1263="","",IF(N1263&lt;=M1263,"",TRIM(CLEAN(MID(INDEX($B$3:$B$168,K1263),M1263,N1263-M1263)))))</x:f>
      </x:c>
      <x:c r="F1263" t="str">
        <x:f>IF(E1263="","",IF(E1263=TRIM(INDEX($A$3:$A$168,K1263)),"",IF(RIGHT(TRIM(INDEX($A$3:$A$168,K1263)),1)="]",LEFT(TRIM(INDEX($A$3:$A$168,K1263)),LEN(TRIM(INDEX($A$3:$A$168,K1263)))-1)&amp;", "&amp;SUBSTITUTE(SUBSTITUTE(SUBSTITUTE(E1263," [",", "),"[",", "),"]","")&amp;"]",TRIM(INDEX($A$3:$A$168,K1263))&amp;" ["&amp;SUBSTITUTE(SUBSTITUTE(SUBSTITUTE(E1263," [",", "),"[",", "),"]","")&amp;"]")))</x:f>
      </x:c>
      <x:c r="G1263" t="str">
        <x:f>IF(F1263&lt;&gt;"",ROWS($F$3:F1263)-COUNTBLANK($F$3:F1263),"")</x:f>
      </x:c>
      <x:c r="H1263"/>
      <x:c r="I1263"/>
      <x:c r="J1263"/>
      <x:c r="K1263" t="str">
        <x:f>IF(ROW()-ROW($K$2)&lt;=SUM($J$3:$J$168),COUNTIF($H$3:$H$168,"&lt;"&amp;(ROW()-ROW($K$2))),"")</x:f>
      </x:c>
      <x:c r="L1263" t="str">
        <x:f>IF(K1263="","",ROW()-ROW($L$2)-INDEX($H$3:$H$168,K1263))</x:f>
      </x:c>
      <x:c r="M1263" t="str">
        <x:f>IF(K1263="","",IF(L1263=1,1,FIND(CHAR(1),SUBSTITUTE(INDEX($B$3:$B$168,K1263),CHAR(10),CHAR(1),L1263-1))+1))</x:f>
      </x:c>
      <x:c r="N1263" t="str">
        <x:f>IF(K1263="","",IFERROR(FIND(CHAR(1),SUBSTITUTE(INDEX($B$3:$B$168,K1263),CHAR(10),CHAR(1),L1263)),LEN(INDEX($B$3:$B$168,K1263))+1))</x:f>
      </x:c>
    </x:row>
    <x:row r="1264">
      <x:c r="A1264"/>
      <x:c r="B1264"/>
      <x:c r="C1264"/>
      <x:c r="D1264" t="str">
        <x:f>IFERROR(IF(1262&lt;=$O$1,INDEX($A$3:$A$168,MATCH(1262,$I$3:$I$168,0)),IF(1262&lt;=$O$1+$O$2,INDEX($F$3:$F$1994,MATCH(1262-$O$1,$G$3:$G$1994,0)),"")),"")</x:f>
      </x:c>
      <x:c r="E1264" t="str">
        <x:f>IF(K1264="","",IF(N1264&lt;=M1264,"",TRIM(CLEAN(MID(INDEX($B$3:$B$168,K1264),M1264,N1264-M1264)))))</x:f>
      </x:c>
      <x:c r="F1264" t="str">
        <x:f>IF(E1264="","",IF(E1264=TRIM(INDEX($A$3:$A$168,K1264)),"",IF(RIGHT(TRIM(INDEX($A$3:$A$168,K1264)),1)="]",LEFT(TRIM(INDEX($A$3:$A$168,K1264)),LEN(TRIM(INDEX($A$3:$A$168,K1264)))-1)&amp;", "&amp;SUBSTITUTE(SUBSTITUTE(SUBSTITUTE(E1264," [",", "),"[",", "),"]","")&amp;"]",TRIM(INDEX($A$3:$A$168,K1264))&amp;" ["&amp;SUBSTITUTE(SUBSTITUTE(SUBSTITUTE(E1264," [",", "),"[",", "),"]","")&amp;"]")))</x:f>
      </x:c>
      <x:c r="G1264" t="str">
        <x:f>IF(F1264&lt;&gt;"",ROWS($F$3:F1264)-COUNTBLANK($F$3:F1264),"")</x:f>
      </x:c>
      <x:c r="H1264"/>
      <x:c r="I1264"/>
      <x:c r="J1264"/>
      <x:c r="K1264" t="str">
        <x:f>IF(ROW()-ROW($K$2)&lt;=SUM($J$3:$J$168),COUNTIF($H$3:$H$168,"&lt;"&amp;(ROW()-ROW($K$2))),"")</x:f>
      </x:c>
      <x:c r="L1264" t="str">
        <x:f>IF(K1264="","",ROW()-ROW($L$2)-INDEX($H$3:$H$168,K1264))</x:f>
      </x:c>
      <x:c r="M1264" t="str">
        <x:f>IF(K1264="","",IF(L1264=1,1,FIND(CHAR(1),SUBSTITUTE(INDEX($B$3:$B$168,K1264),CHAR(10),CHAR(1),L1264-1))+1))</x:f>
      </x:c>
      <x:c r="N1264" t="str">
        <x:f>IF(K1264="","",IFERROR(FIND(CHAR(1),SUBSTITUTE(INDEX($B$3:$B$168,K1264),CHAR(10),CHAR(1),L1264)),LEN(INDEX($B$3:$B$168,K1264))+1))</x:f>
      </x:c>
    </x:row>
    <x:row r="1265">
      <x:c r="A1265"/>
      <x:c r="B1265"/>
      <x:c r="C1265"/>
      <x:c r="D1265" t="str">
        <x:f>IFERROR(IF(1263&lt;=$O$1,INDEX($A$3:$A$168,MATCH(1263,$I$3:$I$168,0)),IF(1263&lt;=$O$1+$O$2,INDEX($F$3:$F$1994,MATCH(1263-$O$1,$G$3:$G$1994,0)),"")),"")</x:f>
      </x:c>
      <x:c r="E1265" t="str">
        <x:f>IF(K1265="","",IF(N1265&lt;=M1265,"",TRIM(CLEAN(MID(INDEX($B$3:$B$168,K1265),M1265,N1265-M1265)))))</x:f>
      </x:c>
      <x:c r="F1265" t="str">
        <x:f>IF(E1265="","",IF(E1265=TRIM(INDEX($A$3:$A$168,K1265)),"",IF(RIGHT(TRIM(INDEX($A$3:$A$168,K1265)),1)="]",LEFT(TRIM(INDEX($A$3:$A$168,K1265)),LEN(TRIM(INDEX($A$3:$A$168,K1265)))-1)&amp;", "&amp;SUBSTITUTE(SUBSTITUTE(SUBSTITUTE(E1265," [",", "),"[",", "),"]","")&amp;"]",TRIM(INDEX($A$3:$A$168,K1265))&amp;" ["&amp;SUBSTITUTE(SUBSTITUTE(SUBSTITUTE(E1265," [",", "),"[",", "),"]","")&amp;"]")))</x:f>
      </x:c>
      <x:c r="G1265" t="str">
        <x:f>IF(F1265&lt;&gt;"",ROWS($F$3:F1265)-COUNTBLANK($F$3:F1265),"")</x:f>
      </x:c>
      <x:c r="H1265"/>
      <x:c r="I1265"/>
      <x:c r="J1265"/>
      <x:c r="K1265" t="str">
        <x:f>IF(ROW()-ROW($K$2)&lt;=SUM($J$3:$J$168),COUNTIF($H$3:$H$168,"&lt;"&amp;(ROW()-ROW($K$2))),"")</x:f>
      </x:c>
      <x:c r="L1265" t="str">
        <x:f>IF(K1265="","",ROW()-ROW($L$2)-INDEX($H$3:$H$168,K1265))</x:f>
      </x:c>
      <x:c r="M1265" t="str">
        <x:f>IF(K1265="","",IF(L1265=1,1,FIND(CHAR(1),SUBSTITUTE(INDEX($B$3:$B$168,K1265),CHAR(10),CHAR(1),L1265-1))+1))</x:f>
      </x:c>
      <x:c r="N1265" t="str">
        <x:f>IF(K1265="","",IFERROR(FIND(CHAR(1),SUBSTITUTE(INDEX($B$3:$B$168,K1265),CHAR(10),CHAR(1),L1265)),LEN(INDEX($B$3:$B$168,K1265))+1))</x:f>
      </x:c>
    </x:row>
    <x:row r="1266">
      <x:c r="A1266"/>
      <x:c r="B1266"/>
      <x:c r="C1266"/>
      <x:c r="D1266" t="str">
        <x:f>IFERROR(IF(1264&lt;=$O$1,INDEX($A$3:$A$168,MATCH(1264,$I$3:$I$168,0)),IF(1264&lt;=$O$1+$O$2,INDEX($F$3:$F$1994,MATCH(1264-$O$1,$G$3:$G$1994,0)),"")),"")</x:f>
      </x:c>
      <x:c r="E1266" t="str">
        <x:f>IF(K1266="","",IF(N1266&lt;=M1266,"",TRIM(CLEAN(MID(INDEX($B$3:$B$168,K1266),M1266,N1266-M1266)))))</x:f>
      </x:c>
      <x:c r="F1266" t="str">
        <x:f>IF(E1266="","",IF(E1266=TRIM(INDEX($A$3:$A$168,K1266)),"",IF(RIGHT(TRIM(INDEX($A$3:$A$168,K1266)),1)="]",LEFT(TRIM(INDEX($A$3:$A$168,K1266)),LEN(TRIM(INDEX($A$3:$A$168,K1266)))-1)&amp;", "&amp;SUBSTITUTE(SUBSTITUTE(SUBSTITUTE(E1266," [",", "),"[",", "),"]","")&amp;"]",TRIM(INDEX($A$3:$A$168,K1266))&amp;" ["&amp;SUBSTITUTE(SUBSTITUTE(SUBSTITUTE(E1266," [",", "),"[",", "),"]","")&amp;"]")))</x:f>
      </x:c>
      <x:c r="G1266" t="str">
        <x:f>IF(F1266&lt;&gt;"",ROWS($F$3:F1266)-COUNTBLANK($F$3:F1266),"")</x:f>
      </x:c>
      <x:c r="H1266"/>
      <x:c r="I1266"/>
      <x:c r="J1266"/>
      <x:c r="K1266" t="str">
        <x:f>IF(ROW()-ROW($K$2)&lt;=SUM($J$3:$J$168),COUNTIF($H$3:$H$168,"&lt;"&amp;(ROW()-ROW($K$2))),"")</x:f>
      </x:c>
      <x:c r="L1266" t="str">
        <x:f>IF(K1266="","",ROW()-ROW($L$2)-INDEX($H$3:$H$168,K1266))</x:f>
      </x:c>
      <x:c r="M1266" t="str">
        <x:f>IF(K1266="","",IF(L1266=1,1,FIND(CHAR(1),SUBSTITUTE(INDEX($B$3:$B$168,K1266),CHAR(10),CHAR(1),L1266-1))+1))</x:f>
      </x:c>
      <x:c r="N1266" t="str">
        <x:f>IF(K1266="","",IFERROR(FIND(CHAR(1),SUBSTITUTE(INDEX($B$3:$B$168,K1266),CHAR(10),CHAR(1),L1266)),LEN(INDEX($B$3:$B$168,K1266))+1))</x:f>
      </x:c>
    </x:row>
    <x:row r="1267">
      <x:c r="A1267"/>
      <x:c r="B1267"/>
      <x:c r="C1267"/>
      <x:c r="D1267" t="str">
        <x:f>IFERROR(IF(1265&lt;=$O$1,INDEX($A$3:$A$168,MATCH(1265,$I$3:$I$168,0)),IF(1265&lt;=$O$1+$O$2,INDEX($F$3:$F$1994,MATCH(1265-$O$1,$G$3:$G$1994,0)),"")),"")</x:f>
      </x:c>
      <x:c r="E1267" t="str">
        <x:f>IF(K1267="","",IF(N1267&lt;=M1267,"",TRIM(CLEAN(MID(INDEX($B$3:$B$168,K1267),M1267,N1267-M1267)))))</x:f>
      </x:c>
      <x:c r="F1267" t="str">
        <x:f>IF(E1267="","",IF(E1267=TRIM(INDEX($A$3:$A$168,K1267)),"",IF(RIGHT(TRIM(INDEX($A$3:$A$168,K1267)),1)="]",LEFT(TRIM(INDEX($A$3:$A$168,K1267)),LEN(TRIM(INDEX($A$3:$A$168,K1267)))-1)&amp;", "&amp;SUBSTITUTE(SUBSTITUTE(SUBSTITUTE(E1267," [",", "),"[",", "),"]","")&amp;"]",TRIM(INDEX($A$3:$A$168,K1267))&amp;" ["&amp;SUBSTITUTE(SUBSTITUTE(SUBSTITUTE(E1267," [",", "),"[",", "),"]","")&amp;"]")))</x:f>
      </x:c>
      <x:c r="G1267" t="str">
        <x:f>IF(F1267&lt;&gt;"",ROWS($F$3:F1267)-COUNTBLANK($F$3:F1267),"")</x:f>
      </x:c>
      <x:c r="H1267"/>
      <x:c r="I1267"/>
      <x:c r="J1267"/>
      <x:c r="K1267" t="str">
        <x:f>IF(ROW()-ROW($K$2)&lt;=SUM($J$3:$J$168),COUNTIF($H$3:$H$168,"&lt;"&amp;(ROW()-ROW($K$2))),"")</x:f>
      </x:c>
      <x:c r="L1267" t="str">
        <x:f>IF(K1267="","",ROW()-ROW($L$2)-INDEX($H$3:$H$168,K1267))</x:f>
      </x:c>
      <x:c r="M1267" t="str">
        <x:f>IF(K1267="","",IF(L1267=1,1,FIND(CHAR(1),SUBSTITUTE(INDEX($B$3:$B$168,K1267),CHAR(10),CHAR(1),L1267-1))+1))</x:f>
      </x:c>
      <x:c r="N1267" t="str">
        <x:f>IF(K1267="","",IFERROR(FIND(CHAR(1),SUBSTITUTE(INDEX($B$3:$B$168,K1267),CHAR(10),CHAR(1),L1267)),LEN(INDEX($B$3:$B$168,K1267))+1))</x:f>
      </x:c>
    </x:row>
    <x:row r="1268">
      <x:c r="A1268"/>
      <x:c r="B1268"/>
      <x:c r="C1268"/>
      <x:c r="D1268" t="str">
        <x:f>IFERROR(IF(1266&lt;=$O$1,INDEX($A$3:$A$168,MATCH(1266,$I$3:$I$168,0)),IF(1266&lt;=$O$1+$O$2,INDEX($F$3:$F$1994,MATCH(1266-$O$1,$G$3:$G$1994,0)),"")),"")</x:f>
      </x:c>
      <x:c r="E1268" t="str">
        <x:f>IF(K1268="","",IF(N1268&lt;=M1268,"",TRIM(CLEAN(MID(INDEX($B$3:$B$168,K1268),M1268,N1268-M1268)))))</x:f>
      </x:c>
      <x:c r="F1268" t="str">
        <x:f>IF(E1268="","",IF(E1268=TRIM(INDEX($A$3:$A$168,K1268)),"",IF(RIGHT(TRIM(INDEX($A$3:$A$168,K1268)),1)="]",LEFT(TRIM(INDEX($A$3:$A$168,K1268)),LEN(TRIM(INDEX($A$3:$A$168,K1268)))-1)&amp;", "&amp;SUBSTITUTE(SUBSTITUTE(SUBSTITUTE(E1268," [",", "),"[",", "),"]","")&amp;"]",TRIM(INDEX($A$3:$A$168,K1268))&amp;" ["&amp;SUBSTITUTE(SUBSTITUTE(SUBSTITUTE(E1268," [",", "),"[",", "),"]","")&amp;"]")))</x:f>
      </x:c>
      <x:c r="G1268" t="str">
        <x:f>IF(F1268&lt;&gt;"",ROWS($F$3:F1268)-COUNTBLANK($F$3:F1268),"")</x:f>
      </x:c>
      <x:c r="H1268"/>
      <x:c r="I1268"/>
      <x:c r="J1268"/>
      <x:c r="K1268" t="str">
        <x:f>IF(ROW()-ROW($K$2)&lt;=SUM($J$3:$J$168),COUNTIF($H$3:$H$168,"&lt;"&amp;(ROW()-ROW($K$2))),"")</x:f>
      </x:c>
      <x:c r="L1268" t="str">
        <x:f>IF(K1268="","",ROW()-ROW($L$2)-INDEX($H$3:$H$168,K1268))</x:f>
      </x:c>
      <x:c r="M1268" t="str">
        <x:f>IF(K1268="","",IF(L1268=1,1,FIND(CHAR(1),SUBSTITUTE(INDEX($B$3:$B$168,K1268),CHAR(10),CHAR(1),L1268-1))+1))</x:f>
      </x:c>
      <x:c r="N1268" t="str">
        <x:f>IF(K1268="","",IFERROR(FIND(CHAR(1),SUBSTITUTE(INDEX($B$3:$B$168,K1268),CHAR(10),CHAR(1),L1268)),LEN(INDEX($B$3:$B$168,K1268))+1))</x:f>
      </x:c>
    </x:row>
    <x:row r="1269">
      <x:c r="A1269"/>
      <x:c r="B1269"/>
      <x:c r="C1269"/>
      <x:c r="D1269" t="str">
        <x:f>IFERROR(IF(1267&lt;=$O$1,INDEX($A$3:$A$168,MATCH(1267,$I$3:$I$168,0)),IF(1267&lt;=$O$1+$O$2,INDEX($F$3:$F$1994,MATCH(1267-$O$1,$G$3:$G$1994,0)),"")),"")</x:f>
      </x:c>
      <x:c r="E1269" t="str">
        <x:f>IF(K1269="","",IF(N1269&lt;=M1269,"",TRIM(CLEAN(MID(INDEX($B$3:$B$168,K1269),M1269,N1269-M1269)))))</x:f>
      </x:c>
      <x:c r="F1269" t="str">
        <x:f>IF(E1269="","",IF(E1269=TRIM(INDEX($A$3:$A$168,K1269)),"",IF(RIGHT(TRIM(INDEX($A$3:$A$168,K1269)),1)="]",LEFT(TRIM(INDEX($A$3:$A$168,K1269)),LEN(TRIM(INDEX($A$3:$A$168,K1269)))-1)&amp;", "&amp;SUBSTITUTE(SUBSTITUTE(SUBSTITUTE(E1269," [",", "),"[",", "),"]","")&amp;"]",TRIM(INDEX($A$3:$A$168,K1269))&amp;" ["&amp;SUBSTITUTE(SUBSTITUTE(SUBSTITUTE(E1269," [",", "),"[",", "),"]","")&amp;"]")))</x:f>
      </x:c>
      <x:c r="G1269" t="str">
        <x:f>IF(F1269&lt;&gt;"",ROWS($F$3:F1269)-COUNTBLANK($F$3:F1269),"")</x:f>
      </x:c>
      <x:c r="H1269"/>
      <x:c r="I1269"/>
      <x:c r="J1269"/>
      <x:c r="K1269" t="str">
        <x:f>IF(ROW()-ROW($K$2)&lt;=SUM($J$3:$J$168),COUNTIF($H$3:$H$168,"&lt;"&amp;(ROW()-ROW($K$2))),"")</x:f>
      </x:c>
      <x:c r="L1269" t="str">
        <x:f>IF(K1269="","",ROW()-ROW($L$2)-INDEX($H$3:$H$168,K1269))</x:f>
      </x:c>
      <x:c r="M1269" t="str">
        <x:f>IF(K1269="","",IF(L1269=1,1,FIND(CHAR(1),SUBSTITUTE(INDEX($B$3:$B$168,K1269),CHAR(10),CHAR(1),L1269-1))+1))</x:f>
      </x:c>
      <x:c r="N1269" t="str">
        <x:f>IF(K1269="","",IFERROR(FIND(CHAR(1),SUBSTITUTE(INDEX($B$3:$B$168,K1269),CHAR(10),CHAR(1),L1269)),LEN(INDEX($B$3:$B$168,K1269))+1))</x:f>
      </x:c>
    </x:row>
    <x:row r="1270">
      <x:c r="A1270"/>
      <x:c r="B1270"/>
      <x:c r="C1270"/>
      <x:c r="D1270" t="str">
        <x:f>IFERROR(IF(1268&lt;=$O$1,INDEX($A$3:$A$168,MATCH(1268,$I$3:$I$168,0)),IF(1268&lt;=$O$1+$O$2,INDEX($F$3:$F$1994,MATCH(1268-$O$1,$G$3:$G$1994,0)),"")),"")</x:f>
      </x:c>
      <x:c r="E1270" t="str">
        <x:f>IF(K1270="","",IF(N1270&lt;=M1270,"",TRIM(CLEAN(MID(INDEX($B$3:$B$168,K1270),M1270,N1270-M1270)))))</x:f>
      </x:c>
      <x:c r="F1270" t="str">
        <x:f>IF(E1270="","",IF(E1270=TRIM(INDEX($A$3:$A$168,K1270)),"",IF(RIGHT(TRIM(INDEX($A$3:$A$168,K1270)),1)="]",LEFT(TRIM(INDEX($A$3:$A$168,K1270)),LEN(TRIM(INDEX($A$3:$A$168,K1270)))-1)&amp;", "&amp;SUBSTITUTE(SUBSTITUTE(SUBSTITUTE(E1270," [",", "),"[",", "),"]","")&amp;"]",TRIM(INDEX($A$3:$A$168,K1270))&amp;" ["&amp;SUBSTITUTE(SUBSTITUTE(SUBSTITUTE(E1270," [",", "),"[",", "),"]","")&amp;"]")))</x:f>
      </x:c>
      <x:c r="G1270" t="str">
        <x:f>IF(F1270&lt;&gt;"",ROWS($F$3:F1270)-COUNTBLANK($F$3:F1270),"")</x:f>
      </x:c>
      <x:c r="H1270"/>
      <x:c r="I1270"/>
      <x:c r="J1270"/>
      <x:c r="K1270" t="str">
        <x:f>IF(ROW()-ROW($K$2)&lt;=SUM($J$3:$J$168),COUNTIF($H$3:$H$168,"&lt;"&amp;(ROW()-ROW($K$2))),"")</x:f>
      </x:c>
      <x:c r="L1270" t="str">
        <x:f>IF(K1270="","",ROW()-ROW($L$2)-INDEX($H$3:$H$168,K1270))</x:f>
      </x:c>
      <x:c r="M1270" t="str">
        <x:f>IF(K1270="","",IF(L1270=1,1,FIND(CHAR(1),SUBSTITUTE(INDEX($B$3:$B$168,K1270),CHAR(10),CHAR(1),L1270-1))+1))</x:f>
      </x:c>
      <x:c r="N1270" t="str">
        <x:f>IF(K1270="","",IFERROR(FIND(CHAR(1),SUBSTITUTE(INDEX($B$3:$B$168,K1270),CHAR(10),CHAR(1),L1270)),LEN(INDEX($B$3:$B$168,K1270))+1))</x:f>
      </x:c>
    </x:row>
    <x:row r="1271">
      <x:c r="A1271"/>
      <x:c r="B1271"/>
      <x:c r="C1271"/>
      <x:c r="D1271" t="str">
        <x:f>IFERROR(IF(1269&lt;=$O$1,INDEX($A$3:$A$168,MATCH(1269,$I$3:$I$168,0)),IF(1269&lt;=$O$1+$O$2,INDEX($F$3:$F$1994,MATCH(1269-$O$1,$G$3:$G$1994,0)),"")),"")</x:f>
      </x:c>
      <x:c r="E1271" t="str">
        <x:f>IF(K1271="","",IF(N1271&lt;=M1271,"",TRIM(CLEAN(MID(INDEX($B$3:$B$168,K1271),M1271,N1271-M1271)))))</x:f>
      </x:c>
      <x:c r="F1271" t="str">
        <x:f>IF(E1271="","",IF(E1271=TRIM(INDEX($A$3:$A$168,K1271)),"",IF(RIGHT(TRIM(INDEX($A$3:$A$168,K1271)),1)="]",LEFT(TRIM(INDEX($A$3:$A$168,K1271)),LEN(TRIM(INDEX($A$3:$A$168,K1271)))-1)&amp;", "&amp;SUBSTITUTE(SUBSTITUTE(SUBSTITUTE(E1271," [",", "),"[",", "),"]","")&amp;"]",TRIM(INDEX($A$3:$A$168,K1271))&amp;" ["&amp;SUBSTITUTE(SUBSTITUTE(SUBSTITUTE(E1271," [",", "),"[",", "),"]","")&amp;"]")))</x:f>
      </x:c>
      <x:c r="G1271" t="str">
        <x:f>IF(F1271&lt;&gt;"",ROWS($F$3:F1271)-COUNTBLANK($F$3:F1271),"")</x:f>
      </x:c>
      <x:c r="H1271"/>
      <x:c r="I1271"/>
      <x:c r="J1271"/>
      <x:c r="K1271" t="str">
        <x:f>IF(ROW()-ROW($K$2)&lt;=SUM($J$3:$J$168),COUNTIF($H$3:$H$168,"&lt;"&amp;(ROW()-ROW($K$2))),"")</x:f>
      </x:c>
      <x:c r="L1271" t="str">
        <x:f>IF(K1271="","",ROW()-ROW($L$2)-INDEX($H$3:$H$168,K1271))</x:f>
      </x:c>
      <x:c r="M1271" t="str">
        <x:f>IF(K1271="","",IF(L1271=1,1,FIND(CHAR(1),SUBSTITUTE(INDEX($B$3:$B$168,K1271),CHAR(10),CHAR(1),L1271-1))+1))</x:f>
      </x:c>
      <x:c r="N1271" t="str">
        <x:f>IF(K1271="","",IFERROR(FIND(CHAR(1),SUBSTITUTE(INDEX($B$3:$B$168,K1271),CHAR(10),CHAR(1),L1271)),LEN(INDEX($B$3:$B$168,K1271))+1))</x:f>
      </x:c>
    </x:row>
    <x:row r="1272">
      <x:c r="A1272"/>
      <x:c r="B1272"/>
      <x:c r="C1272"/>
      <x:c r="D1272" t="str">
        <x:f>IFERROR(IF(1270&lt;=$O$1,INDEX($A$3:$A$168,MATCH(1270,$I$3:$I$168,0)),IF(1270&lt;=$O$1+$O$2,INDEX($F$3:$F$1994,MATCH(1270-$O$1,$G$3:$G$1994,0)),"")),"")</x:f>
      </x:c>
      <x:c r="E1272" t="str">
        <x:f>IF(K1272="","",IF(N1272&lt;=M1272,"",TRIM(CLEAN(MID(INDEX($B$3:$B$168,K1272),M1272,N1272-M1272)))))</x:f>
      </x:c>
      <x:c r="F1272" t="str">
        <x:f>IF(E1272="","",IF(E1272=TRIM(INDEX($A$3:$A$168,K1272)),"",IF(RIGHT(TRIM(INDEX($A$3:$A$168,K1272)),1)="]",LEFT(TRIM(INDEX($A$3:$A$168,K1272)),LEN(TRIM(INDEX($A$3:$A$168,K1272)))-1)&amp;", "&amp;SUBSTITUTE(SUBSTITUTE(SUBSTITUTE(E1272," [",", "),"[",", "),"]","")&amp;"]",TRIM(INDEX($A$3:$A$168,K1272))&amp;" ["&amp;SUBSTITUTE(SUBSTITUTE(SUBSTITUTE(E1272," [",", "),"[",", "),"]","")&amp;"]")))</x:f>
      </x:c>
      <x:c r="G1272" t="str">
        <x:f>IF(F1272&lt;&gt;"",ROWS($F$3:F1272)-COUNTBLANK($F$3:F1272),"")</x:f>
      </x:c>
      <x:c r="H1272"/>
      <x:c r="I1272"/>
      <x:c r="J1272"/>
      <x:c r="K1272" t="str">
        <x:f>IF(ROW()-ROW($K$2)&lt;=SUM($J$3:$J$168),COUNTIF($H$3:$H$168,"&lt;"&amp;(ROW()-ROW($K$2))),"")</x:f>
      </x:c>
      <x:c r="L1272" t="str">
        <x:f>IF(K1272="","",ROW()-ROW($L$2)-INDEX($H$3:$H$168,K1272))</x:f>
      </x:c>
      <x:c r="M1272" t="str">
        <x:f>IF(K1272="","",IF(L1272=1,1,FIND(CHAR(1),SUBSTITUTE(INDEX($B$3:$B$168,K1272),CHAR(10),CHAR(1),L1272-1))+1))</x:f>
      </x:c>
      <x:c r="N1272" t="str">
        <x:f>IF(K1272="","",IFERROR(FIND(CHAR(1),SUBSTITUTE(INDEX($B$3:$B$168,K1272),CHAR(10),CHAR(1),L1272)),LEN(INDEX($B$3:$B$168,K1272))+1))</x:f>
      </x:c>
    </x:row>
    <x:row r="1273">
      <x:c r="A1273"/>
      <x:c r="B1273"/>
      <x:c r="C1273"/>
      <x:c r="D1273" t="str">
        <x:f>IFERROR(IF(1271&lt;=$O$1,INDEX($A$3:$A$168,MATCH(1271,$I$3:$I$168,0)),IF(1271&lt;=$O$1+$O$2,INDEX($F$3:$F$1994,MATCH(1271-$O$1,$G$3:$G$1994,0)),"")),"")</x:f>
      </x:c>
      <x:c r="E1273" t="str">
        <x:f>IF(K1273="","",IF(N1273&lt;=M1273,"",TRIM(CLEAN(MID(INDEX($B$3:$B$168,K1273),M1273,N1273-M1273)))))</x:f>
      </x:c>
      <x:c r="F1273" t="str">
        <x:f>IF(E1273="","",IF(E1273=TRIM(INDEX($A$3:$A$168,K1273)),"",IF(RIGHT(TRIM(INDEX($A$3:$A$168,K1273)),1)="]",LEFT(TRIM(INDEX($A$3:$A$168,K1273)),LEN(TRIM(INDEX($A$3:$A$168,K1273)))-1)&amp;", "&amp;SUBSTITUTE(SUBSTITUTE(SUBSTITUTE(E1273," [",", "),"[",", "),"]","")&amp;"]",TRIM(INDEX($A$3:$A$168,K1273))&amp;" ["&amp;SUBSTITUTE(SUBSTITUTE(SUBSTITUTE(E1273," [",", "),"[",", "),"]","")&amp;"]")))</x:f>
      </x:c>
      <x:c r="G1273" t="str">
        <x:f>IF(F1273&lt;&gt;"",ROWS($F$3:F1273)-COUNTBLANK($F$3:F1273),"")</x:f>
      </x:c>
      <x:c r="H1273"/>
      <x:c r="I1273"/>
      <x:c r="J1273"/>
      <x:c r="K1273" t="str">
        <x:f>IF(ROW()-ROW($K$2)&lt;=SUM($J$3:$J$168),COUNTIF($H$3:$H$168,"&lt;"&amp;(ROW()-ROW($K$2))),"")</x:f>
      </x:c>
      <x:c r="L1273" t="str">
        <x:f>IF(K1273="","",ROW()-ROW($L$2)-INDEX($H$3:$H$168,K1273))</x:f>
      </x:c>
      <x:c r="M1273" t="str">
        <x:f>IF(K1273="","",IF(L1273=1,1,FIND(CHAR(1),SUBSTITUTE(INDEX($B$3:$B$168,K1273),CHAR(10),CHAR(1),L1273-1))+1))</x:f>
      </x:c>
      <x:c r="N1273" t="str">
        <x:f>IF(K1273="","",IFERROR(FIND(CHAR(1),SUBSTITUTE(INDEX($B$3:$B$168,K1273),CHAR(10),CHAR(1),L1273)),LEN(INDEX($B$3:$B$168,K1273))+1))</x:f>
      </x:c>
    </x:row>
    <x:row r="1274">
      <x:c r="A1274"/>
      <x:c r="B1274"/>
      <x:c r="C1274"/>
      <x:c r="D1274" t="str">
        <x:f>IFERROR(IF(1272&lt;=$O$1,INDEX($A$3:$A$168,MATCH(1272,$I$3:$I$168,0)),IF(1272&lt;=$O$1+$O$2,INDEX($F$3:$F$1994,MATCH(1272-$O$1,$G$3:$G$1994,0)),"")),"")</x:f>
      </x:c>
      <x:c r="E1274" t="str">
        <x:f>IF(K1274="","",IF(N1274&lt;=M1274,"",TRIM(CLEAN(MID(INDEX($B$3:$B$168,K1274),M1274,N1274-M1274)))))</x:f>
      </x:c>
      <x:c r="F1274" t="str">
        <x:f>IF(E1274="","",IF(E1274=TRIM(INDEX($A$3:$A$168,K1274)),"",IF(RIGHT(TRIM(INDEX($A$3:$A$168,K1274)),1)="]",LEFT(TRIM(INDEX($A$3:$A$168,K1274)),LEN(TRIM(INDEX($A$3:$A$168,K1274)))-1)&amp;", "&amp;SUBSTITUTE(SUBSTITUTE(SUBSTITUTE(E1274," [",", "),"[",", "),"]","")&amp;"]",TRIM(INDEX($A$3:$A$168,K1274))&amp;" ["&amp;SUBSTITUTE(SUBSTITUTE(SUBSTITUTE(E1274," [",", "),"[",", "),"]","")&amp;"]")))</x:f>
      </x:c>
      <x:c r="G1274" t="str">
        <x:f>IF(F1274&lt;&gt;"",ROWS($F$3:F1274)-COUNTBLANK($F$3:F1274),"")</x:f>
      </x:c>
      <x:c r="H1274"/>
      <x:c r="I1274"/>
      <x:c r="J1274"/>
      <x:c r="K1274" t="str">
        <x:f>IF(ROW()-ROW($K$2)&lt;=SUM($J$3:$J$168),COUNTIF($H$3:$H$168,"&lt;"&amp;(ROW()-ROW($K$2))),"")</x:f>
      </x:c>
      <x:c r="L1274" t="str">
        <x:f>IF(K1274="","",ROW()-ROW($L$2)-INDEX($H$3:$H$168,K1274))</x:f>
      </x:c>
      <x:c r="M1274" t="str">
        <x:f>IF(K1274="","",IF(L1274=1,1,FIND(CHAR(1),SUBSTITUTE(INDEX($B$3:$B$168,K1274),CHAR(10),CHAR(1),L1274-1))+1))</x:f>
      </x:c>
      <x:c r="N1274" t="str">
        <x:f>IF(K1274="","",IFERROR(FIND(CHAR(1),SUBSTITUTE(INDEX($B$3:$B$168,K1274),CHAR(10),CHAR(1),L1274)),LEN(INDEX($B$3:$B$168,K1274))+1))</x:f>
      </x:c>
    </x:row>
    <x:row r="1275">
      <x:c r="A1275"/>
      <x:c r="B1275"/>
      <x:c r="C1275"/>
      <x:c r="D1275" t="str">
        <x:f>IFERROR(IF(1273&lt;=$O$1,INDEX($A$3:$A$168,MATCH(1273,$I$3:$I$168,0)),IF(1273&lt;=$O$1+$O$2,INDEX($F$3:$F$1994,MATCH(1273-$O$1,$G$3:$G$1994,0)),"")),"")</x:f>
      </x:c>
      <x:c r="E1275" t="str">
        <x:f>IF(K1275="","",IF(N1275&lt;=M1275,"",TRIM(CLEAN(MID(INDEX($B$3:$B$168,K1275),M1275,N1275-M1275)))))</x:f>
      </x:c>
      <x:c r="F1275" t="str">
        <x:f>IF(E1275="","",IF(E1275=TRIM(INDEX($A$3:$A$168,K1275)),"",IF(RIGHT(TRIM(INDEX($A$3:$A$168,K1275)),1)="]",LEFT(TRIM(INDEX($A$3:$A$168,K1275)),LEN(TRIM(INDEX($A$3:$A$168,K1275)))-1)&amp;", "&amp;SUBSTITUTE(SUBSTITUTE(SUBSTITUTE(E1275," [",", "),"[",", "),"]","")&amp;"]",TRIM(INDEX($A$3:$A$168,K1275))&amp;" ["&amp;SUBSTITUTE(SUBSTITUTE(SUBSTITUTE(E1275," [",", "),"[",", "),"]","")&amp;"]")))</x:f>
      </x:c>
      <x:c r="G1275" t="str">
        <x:f>IF(F1275&lt;&gt;"",ROWS($F$3:F1275)-COUNTBLANK($F$3:F1275),"")</x:f>
      </x:c>
      <x:c r="H1275"/>
      <x:c r="I1275"/>
      <x:c r="J1275"/>
      <x:c r="K1275" t="str">
        <x:f>IF(ROW()-ROW($K$2)&lt;=SUM($J$3:$J$168),COUNTIF($H$3:$H$168,"&lt;"&amp;(ROW()-ROW($K$2))),"")</x:f>
      </x:c>
      <x:c r="L1275" t="str">
        <x:f>IF(K1275="","",ROW()-ROW($L$2)-INDEX($H$3:$H$168,K1275))</x:f>
      </x:c>
      <x:c r="M1275" t="str">
        <x:f>IF(K1275="","",IF(L1275=1,1,FIND(CHAR(1),SUBSTITUTE(INDEX($B$3:$B$168,K1275),CHAR(10),CHAR(1),L1275-1))+1))</x:f>
      </x:c>
      <x:c r="N1275" t="str">
        <x:f>IF(K1275="","",IFERROR(FIND(CHAR(1),SUBSTITUTE(INDEX($B$3:$B$168,K1275),CHAR(10),CHAR(1),L1275)),LEN(INDEX($B$3:$B$168,K1275))+1))</x:f>
      </x:c>
    </x:row>
    <x:row r="1276">
      <x:c r="A1276"/>
      <x:c r="B1276"/>
      <x:c r="C1276"/>
      <x:c r="D1276" t="str">
        <x:f>IFERROR(IF(1274&lt;=$O$1,INDEX($A$3:$A$168,MATCH(1274,$I$3:$I$168,0)),IF(1274&lt;=$O$1+$O$2,INDEX($F$3:$F$1994,MATCH(1274-$O$1,$G$3:$G$1994,0)),"")),"")</x:f>
      </x:c>
      <x:c r="E1276" t="str">
        <x:f>IF(K1276="","",IF(N1276&lt;=M1276,"",TRIM(CLEAN(MID(INDEX($B$3:$B$168,K1276),M1276,N1276-M1276)))))</x:f>
      </x:c>
      <x:c r="F1276" t="str">
        <x:f>IF(E1276="","",IF(E1276=TRIM(INDEX($A$3:$A$168,K1276)),"",IF(RIGHT(TRIM(INDEX($A$3:$A$168,K1276)),1)="]",LEFT(TRIM(INDEX($A$3:$A$168,K1276)),LEN(TRIM(INDEX($A$3:$A$168,K1276)))-1)&amp;", "&amp;SUBSTITUTE(SUBSTITUTE(SUBSTITUTE(E1276," [",", "),"[",", "),"]","")&amp;"]",TRIM(INDEX($A$3:$A$168,K1276))&amp;" ["&amp;SUBSTITUTE(SUBSTITUTE(SUBSTITUTE(E1276," [",", "),"[",", "),"]","")&amp;"]")))</x:f>
      </x:c>
      <x:c r="G1276" t="str">
        <x:f>IF(F1276&lt;&gt;"",ROWS($F$3:F1276)-COUNTBLANK($F$3:F1276),"")</x:f>
      </x:c>
      <x:c r="H1276"/>
      <x:c r="I1276"/>
      <x:c r="J1276"/>
      <x:c r="K1276" t="str">
        <x:f>IF(ROW()-ROW($K$2)&lt;=SUM($J$3:$J$168),COUNTIF($H$3:$H$168,"&lt;"&amp;(ROW()-ROW($K$2))),"")</x:f>
      </x:c>
      <x:c r="L1276" t="str">
        <x:f>IF(K1276="","",ROW()-ROW($L$2)-INDEX($H$3:$H$168,K1276))</x:f>
      </x:c>
      <x:c r="M1276" t="str">
        <x:f>IF(K1276="","",IF(L1276=1,1,FIND(CHAR(1),SUBSTITUTE(INDEX($B$3:$B$168,K1276),CHAR(10),CHAR(1),L1276-1))+1))</x:f>
      </x:c>
      <x:c r="N1276" t="str">
        <x:f>IF(K1276="","",IFERROR(FIND(CHAR(1),SUBSTITUTE(INDEX($B$3:$B$168,K1276),CHAR(10),CHAR(1),L1276)),LEN(INDEX($B$3:$B$168,K1276))+1))</x:f>
      </x:c>
    </x:row>
    <x:row r="1277">
      <x:c r="A1277"/>
      <x:c r="B1277"/>
      <x:c r="C1277"/>
      <x:c r="D1277" t="str">
        <x:f>IFERROR(IF(1275&lt;=$O$1,INDEX($A$3:$A$168,MATCH(1275,$I$3:$I$168,0)),IF(1275&lt;=$O$1+$O$2,INDEX($F$3:$F$1994,MATCH(1275-$O$1,$G$3:$G$1994,0)),"")),"")</x:f>
      </x:c>
      <x:c r="E1277" t="str">
        <x:f>IF(K1277="","",IF(N1277&lt;=M1277,"",TRIM(CLEAN(MID(INDEX($B$3:$B$168,K1277),M1277,N1277-M1277)))))</x:f>
      </x:c>
      <x:c r="F1277" t="str">
        <x:f>IF(E1277="","",IF(E1277=TRIM(INDEX($A$3:$A$168,K1277)),"",IF(RIGHT(TRIM(INDEX($A$3:$A$168,K1277)),1)="]",LEFT(TRIM(INDEX($A$3:$A$168,K1277)),LEN(TRIM(INDEX($A$3:$A$168,K1277)))-1)&amp;", "&amp;SUBSTITUTE(SUBSTITUTE(SUBSTITUTE(E1277," [",", "),"[",", "),"]","")&amp;"]",TRIM(INDEX($A$3:$A$168,K1277))&amp;" ["&amp;SUBSTITUTE(SUBSTITUTE(SUBSTITUTE(E1277," [",", "),"[",", "),"]","")&amp;"]")))</x:f>
      </x:c>
      <x:c r="G1277" t="str">
        <x:f>IF(F1277&lt;&gt;"",ROWS($F$3:F1277)-COUNTBLANK($F$3:F1277),"")</x:f>
      </x:c>
      <x:c r="H1277"/>
      <x:c r="I1277"/>
      <x:c r="J1277"/>
      <x:c r="K1277" t="str">
        <x:f>IF(ROW()-ROW($K$2)&lt;=SUM($J$3:$J$168),COUNTIF($H$3:$H$168,"&lt;"&amp;(ROW()-ROW($K$2))),"")</x:f>
      </x:c>
      <x:c r="L1277" t="str">
        <x:f>IF(K1277="","",ROW()-ROW($L$2)-INDEX($H$3:$H$168,K1277))</x:f>
      </x:c>
      <x:c r="M1277" t="str">
        <x:f>IF(K1277="","",IF(L1277=1,1,FIND(CHAR(1),SUBSTITUTE(INDEX($B$3:$B$168,K1277),CHAR(10),CHAR(1),L1277-1))+1))</x:f>
      </x:c>
      <x:c r="N1277" t="str">
        <x:f>IF(K1277="","",IFERROR(FIND(CHAR(1),SUBSTITUTE(INDEX($B$3:$B$168,K1277),CHAR(10),CHAR(1),L1277)),LEN(INDEX($B$3:$B$168,K1277))+1))</x:f>
      </x:c>
    </x:row>
    <x:row r="1278">
      <x:c r="A1278"/>
      <x:c r="B1278"/>
      <x:c r="C1278"/>
      <x:c r="D1278" t="str">
        <x:f>IFERROR(IF(1276&lt;=$O$1,INDEX($A$3:$A$168,MATCH(1276,$I$3:$I$168,0)),IF(1276&lt;=$O$1+$O$2,INDEX($F$3:$F$1994,MATCH(1276-$O$1,$G$3:$G$1994,0)),"")),"")</x:f>
      </x:c>
      <x:c r="E1278" t="str">
        <x:f>IF(K1278="","",IF(N1278&lt;=M1278,"",TRIM(CLEAN(MID(INDEX($B$3:$B$168,K1278),M1278,N1278-M1278)))))</x:f>
      </x:c>
      <x:c r="F1278" t="str">
        <x:f>IF(E1278="","",IF(E1278=TRIM(INDEX($A$3:$A$168,K1278)),"",IF(RIGHT(TRIM(INDEX($A$3:$A$168,K1278)),1)="]",LEFT(TRIM(INDEX($A$3:$A$168,K1278)),LEN(TRIM(INDEX($A$3:$A$168,K1278)))-1)&amp;", "&amp;SUBSTITUTE(SUBSTITUTE(SUBSTITUTE(E1278," [",", "),"[",", "),"]","")&amp;"]",TRIM(INDEX($A$3:$A$168,K1278))&amp;" ["&amp;SUBSTITUTE(SUBSTITUTE(SUBSTITUTE(E1278," [",", "),"[",", "),"]","")&amp;"]")))</x:f>
      </x:c>
      <x:c r="G1278" t="str">
        <x:f>IF(F1278&lt;&gt;"",ROWS($F$3:F1278)-COUNTBLANK($F$3:F1278),"")</x:f>
      </x:c>
      <x:c r="H1278"/>
      <x:c r="I1278"/>
      <x:c r="J1278"/>
      <x:c r="K1278" t="str">
        <x:f>IF(ROW()-ROW($K$2)&lt;=SUM($J$3:$J$168),COUNTIF($H$3:$H$168,"&lt;"&amp;(ROW()-ROW($K$2))),"")</x:f>
      </x:c>
      <x:c r="L1278" t="str">
        <x:f>IF(K1278="","",ROW()-ROW($L$2)-INDEX($H$3:$H$168,K1278))</x:f>
      </x:c>
      <x:c r="M1278" t="str">
        <x:f>IF(K1278="","",IF(L1278=1,1,FIND(CHAR(1),SUBSTITUTE(INDEX($B$3:$B$168,K1278),CHAR(10),CHAR(1),L1278-1))+1))</x:f>
      </x:c>
      <x:c r="N1278" t="str">
        <x:f>IF(K1278="","",IFERROR(FIND(CHAR(1),SUBSTITUTE(INDEX($B$3:$B$168,K1278),CHAR(10),CHAR(1),L1278)),LEN(INDEX($B$3:$B$168,K1278))+1))</x:f>
      </x:c>
    </x:row>
    <x:row r="1279">
      <x:c r="A1279"/>
      <x:c r="B1279"/>
      <x:c r="C1279"/>
      <x:c r="D1279" t="str">
        <x:f>IFERROR(IF(1277&lt;=$O$1,INDEX($A$3:$A$168,MATCH(1277,$I$3:$I$168,0)),IF(1277&lt;=$O$1+$O$2,INDEX($F$3:$F$1994,MATCH(1277-$O$1,$G$3:$G$1994,0)),"")),"")</x:f>
      </x:c>
      <x:c r="E1279" t="str">
        <x:f>IF(K1279="","",IF(N1279&lt;=M1279,"",TRIM(CLEAN(MID(INDEX($B$3:$B$168,K1279),M1279,N1279-M1279)))))</x:f>
      </x:c>
      <x:c r="F1279" t="str">
        <x:f>IF(E1279="","",IF(E1279=TRIM(INDEX($A$3:$A$168,K1279)),"",IF(RIGHT(TRIM(INDEX($A$3:$A$168,K1279)),1)="]",LEFT(TRIM(INDEX($A$3:$A$168,K1279)),LEN(TRIM(INDEX($A$3:$A$168,K1279)))-1)&amp;", "&amp;SUBSTITUTE(SUBSTITUTE(SUBSTITUTE(E1279," [",", "),"[",", "),"]","")&amp;"]",TRIM(INDEX($A$3:$A$168,K1279))&amp;" ["&amp;SUBSTITUTE(SUBSTITUTE(SUBSTITUTE(E1279," [",", "),"[",", "),"]","")&amp;"]")))</x:f>
      </x:c>
      <x:c r="G1279" t="str">
        <x:f>IF(F1279&lt;&gt;"",ROWS($F$3:F1279)-COUNTBLANK($F$3:F1279),"")</x:f>
      </x:c>
      <x:c r="H1279"/>
      <x:c r="I1279"/>
      <x:c r="J1279"/>
      <x:c r="K1279" t="str">
        <x:f>IF(ROW()-ROW($K$2)&lt;=SUM($J$3:$J$168),COUNTIF($H$3:$H$168,"&lt;"&amp;(ROW()-ROW($K$2))),"")</x:f>
      </x:c>
      <x:c r="L1279" t="str">
        <x:f>IF(K1279="","",ROW()-ROW($L$2)-INDEX($H$3:$H$168,K1279))</x:f>
      </x:c>
      <x:c r="M1279" t="str">
        <x:f>IF(K1279="","",IF(L1279=1,1,FIND(CHAR(1),SUBSTITUTE(INDEX($B$3:$B$168,K1279),CHAR(10),CHAR(1),L1279-1))+1))</x:f>
      </x:c>
      <x:c r="N1279" t="str">
        <x:f>IF(K1279="","",IFERROR(FIND(CHAR(1),SUBSTITUTE(INDEX($B$3:$B$168,K1279),CHAR(10),CHAR(1),L1279)),LEN(INDEX($B$3:$B$168,K1279))+1))</x:f>
      </x:c>
    </x:row>
    <x:row r="1280">
      <x:c r="A1280"/>
      <x:c r="B1280"/>
      <x:c r="C1280"/>
      <x:c r="D1280" t="str">
        <x:f>IFERROR(IF(1278&lt;=$O$1,INDEX($A$3:$A$168,MATCH(1278,$I$3:$I$168,0)),IF(1278&lt;=$O$1+$O$2,INDEX($F$3:$F$1994,MATCH(1278-$O$1,$G$3:$G$1994,0)),"")),"")</x:f>
      </x:c>
      <x:c r="E1280" t="str">
        <x:f>IF(K1280="","",IF(N1280&lt;=M1280,"",TRIM(CLEAN(MID(INDEX($B$3:$B$168,K1280),M1280,N1280-M1280)))))</x:f>
      </x:c>
      <x:c r="F1280" t="str">
        <x:f>IF(E1280="","",IF(E1280=TRIM(INDEX($A$3:$A$168,K1280)),"",IF(RIGHT(TRIM(INDEX($A$3:$A$168,K1280)),1)="]",LEFT(TRIM(INDEX($A$3:$A$168,K1280)),LEN(TRIM(INDEX($A$3:$A$168,K1280)))-1)&amp;", "&amp;SUBSTITUTE(SUBSTITUTE(SUBSTITUTE(E1280," [",", "),"[",", "),"]","")&amp;"]",TRIM(INDEX($A$3:$A$168,K1280))&amp;" ["&amp;SUBSTITUTE(SUBSTITUTE(SUBSTITUTE(E1280," [",", "),"[",", "),"]","")&amp;"]")))</x:f>
      </x:c>
      <x:c r="G1280" t="str">
        <x:f>IF(F1280&lt;&gt;"",ROWS($F$3:F1280)-COUNTBLANK($F$3:F1280),"")</x:f>
      </x:c>
      <x:c r="H1280"/>
      <x:c r="I1280"/>
      <x:c r="J1280"/>
      <x:c r="K1280" t="str">
        <x:f>IF(ROW()-ROW($K$2)&lt;=SUM($J$3:$J$168),COUNTIF($H$3:$H$168,"&lt;"&amp;(ROW()-ROW($K$2))),"")</x:f>
      </x:c>
      <x:c r="L1280" t="str">
        <x:f>IF(K1280="","",ROW()-ROW($L$2)-INDEX($H$3:$H$168,K1280))</x:f>
      </x:c>
      <x:c r="M1280" t="str">
        <x:f>IF(K1280="","",IF(L1280=1,1,FIND(CHAR(1),SUBSTITUTE(INDEX($B$3:$B$168,K1280),CHAR(10),CHAR(1),L1280-1))+1))</x:f>
      </x:c>
      <x:c r="N1280" t="str">
        <x:f>IF(K1280="","",IFERROR(FIND(CHAR(1),SUBSTITUTE(INDEX($B$3:$B$168,K1280),CHAR(10),CHAR(1),L1280)),LEN(INDEX($B$3:$B$168,K1280))+1))</x:f>
      </x:c>
    </x:row>
    <x:row r="1281">
      <x:c r="A1281"/>
      <x:c r="B1281"/>
      <x:c r="C1281"/>
      <x:c r="D1281" t="str">
        <x:f>IFERROR(IF(1279&lt;=$O$1,INDEX($A$3:$A$168,MATCH(1279,$I$3:$I$168,0)),IF(1279&lt;=$O$1+$O$2,INDEX($F$3:$F$1994,MATCH(1279-$O$1,$G$3:$G$1994,0)),"")),"")</x:f>
      </x:c>
      <x:c r="E1281" t="str">
        <x:f>IF(K1281="","",IF(N1281&lt;=M1281,"",TRIM(CLEAN(MID(INDEX($B$3:$B$168,K1281),M1281,N1281-M1281)))))</x:f>
      </x:c>
      <x:c r="F1281" t="str">
        <x:f>IF(E1281="","",IF(E1281=TRIM(INDEX($A$3:$A$168,K1281)),"",IF(RIGHT(TRIM(INDEX($A$3:$A$168,K1281)),1)="]",LEFT(TRIM(INDEX($A$3:$A$168,K1281)),LEN(TRIM(INDEX($A$3:$A$168,K1281)))-1)&amp;", "&amp;SUBSTITUTE(SUBSTITUTE(SUBSTITUTE(E1281," [",", "),"[",", "),"]","")&amp;"]",TRIM(INDEX($A$3:$A$168,K1281))&amp;" ["&amp;SUBSTITUTE(SUBSTITUTE(SUBSTITUTE(E1281," [",", "),"[",", "),"]","")&amp;"]")))</x:f>
      </x:c>
      <x:c r="G1281" t="str">
        <x:f>IF(F1281&lt;&gt;"",ROWS($F$3:F1281)-COUNTBLANK($F$3:F1281),"")</x:f>
      </x:c>
      <x:c r="H1281"/>
      <x:c r="I1281"/>
      <x:c r="J1281"/>
      <x:c r="K1281" t="str">
        <x:f>IF(ROW()-ROW($K$2)&lt;=SUM($J$3:$J$168),COUNTIF($H$3:$H$168,"&lt;"&amp;(ROW()-ROW($K$2))),"")</x:f>
      </x:c>
      <x:c r="L1281" t="str">
        <x:f>IF(K1281="","",ROW()-ROW($L$2)-INDEX($H$3:$H$168,K1281))</x:f>
      </x:c>
      <x:c r="M1281" t="str">
        <x:f>IF(K1281="","",IF(L1281=1,1,FIND(CHAR(1),SUBSTITUTE(INDEX($B$3:$B$168,K1281),CHAR(10),CHAR(1),L1281-1))+1))</x:f>
      </x:c>
      <x:c r="N1281" t="str">
        <x:f>IF(K1281="","",IFERROR(FIND(CHAR(1),SUBSTITUTE(INDEX($B$3:$B$168,K1281),CHAR(10),CHAR(1),L1281)),LEN(INDEX($B$3:$B$168,K1281))+1))</x:f>
      </x:c>
    </x:row>
    <x:row r="1282">
      <x:c r="A1282"/>
      <x:c r="B1282"/>
      <x:c r="C1282"/>
      <x:c r="D1282" t="str">
        <x:f>IFERROR(IF(1280&lt;=$O$1,INDEX($A$3:$A$168,MATCH(1280,$I$3:$I$168,0)),IF(1280&lt;=$O$1+$O$2,INDEX($F$3:$F$1994,MATCH(1280-$O$1,$G$3:$G$1994,0)),"")),"")</x:f>
      </x:c>
      <x:c r="E1282" t="str">
        <x:f>IF(K1282="","",IF(N1282&lt;=M1282,"",TRIM(CLEAN(MID(INDEX($B$3:$B$168,K1282),M1282,N1282-M1282)))))</x:f>
      </x:c>
      <x:c r="F1282" t="str">
        <x:f>IF(E1282="","",IF(E1282=TRIM(INDEX($A$3:$A$168,K1282)),"",IF(RIGHT(TRIM(INDEX($A$3:$A$168,K1282)),1)="]",LEFT(TRIM(INDEX($A$3:$A$168,K1282)),LEN(TRIM(INDEX($A$3:$A$168,K1282)))-1)&amp;", "&amp;SUBSTITUTE(SUBSTITUTE(SUBSTITUTE(E1282," [",", "),"[",", "),"]","")&amp;"]",TRIM(INDEX($A$3:$A$168,K1282))&amp;" ["&amp;SUBSTITUTE(SUBSTITUTE(SUBSTITUTE(E1282," [",", "),"[",", "),"]","")&amp;"]")))</x:f>
      </x:c>
      <x:c r="G1282" t="str">
        <x:f>IF(F1282&lt;&gt;"",ROWS($F$3:F1282)-COUNTBLANK($F$3:F1282),"")</x:f>
      </x:c>
      <x:c r="H1282"/>
      <x:c r="I1282"/>
      <x:c r="J1282"/>
      <x:c r="K1282" t="str">
        <x:f>IF(ROW()-ROW($K$2)&lt;=SUM($J$3:$J$168),COUNTIF($H$3:$H$168,"&lt;"&amp;(ROW()-ROW($K$2))),"")</x:f>
      </x:c>
      <x:c r="L1282" t="str">
        <x:f>IF(K1282="","",ROW()-ROW($L$2)-INDEX($H$3:$H$168,K1282))</x:f>
      </x:c>
      <x:c r="M1282" t="str">
        <x:f>IF(K1282="","",IF(L1282=1,1,FIND(CHAR(1),SUBSTITUTE(INDEX($B$3:$B$168,K1282),CHAR(10),CHAR(1),L1282-1))+1))</x:f>
      </x:c>
      <x:c r="N1282" t="str">
        <x:f>IF(K1282="","",IFERROR(FIND(CHAR(1),SUBSTITUTE(INDEX($B$3:$B$168,K1282),CHAR(10),CHAR(1),L1282)),LEN(INDEX($B$3:$B$168,K1282))+1))</x:f>
      </x:c>
    </x:row>
    <x:row r="1283">
      <x:c r="A1283"/>
      <x:c r="B1283"/>
      <x:c r="C1283"/>
      <x:c r="D1283" t="str">
        <x:f>IFERROR(IF(1281&lt;=$O$1,INDEX($A$3:$A$168,MATCH(1281,$I$3:$I$168,0)),IF(1281&lt;=$O$1+$O$2,INDEX($F$3:$F$1994,MATCH(1281-$O$1,$G$3:$G$1994,0)),"")),"")</x:f>
      </x:c>
      <x:c r="E1283" t="str">
        <x:f>IF(K1283="","",IF(N1283&lt;=M1283,"",TRIM(CLEAN(MID(INDEX($B$3:$B$168,K1283),M1283,N1283-M1283)))))</x:f>
      </x:c>
      <x:c r="F1283" t="str">
        <x:f>IF(E1283="","",IF(E1283=TRIM(INDEX($A$3:$A$168,K1283)),"",IF(RIGHT(TRIM(INDEX($A$3:$A$168,K1283)),1)="]",LEFT(TRIM(INDEX($A$3:$A$168,K1283)),LEN(TRIM(INDEX($A$3:$A$168,K1283)))-1)&amp;", "&amp;SUBSTITUTE(SUBSTITUTE(SUBSTITUTE(E1283," [",", "),"[",", "),"]","")&amp;"]",TRIM(INDEX($A$3:$A$168,K1283))&amp;" ["&amp;SUBSTITUTE(SUBSTITUTE(SUBSTITUTE(E1283," [",", "),"[",", "),"]","")&amp;"]")))</x:f>
      </x:c>
      <x:c r="G1283" t="str">
        <x:f>IF(F1283&lt;&gt;"",ROWS($F$3:F1283)-COUNTBLANK($F$3:F1283),"")</x:f>
      </x:c>
      <x:c r="H1283"/>
      <x:c r="I1283"/>
      <x:c r="J1283"/>
      <x:c r="K1283" t="str">
        <x:f>IF(ROW()-ROW($K$2)&lt;=SUM($J$3:$J$168),COUNTIF($H$3:$H$168,"&lt;"&amp;(ROW()-ROW($K$2))),"")</x:f>
      </x:c>
      <x:c r="L1283" t="str">
        <x:f>IF(K1283="","",ROW()-ROW($L$2)-INDEX($H$3:$H$168,K1283))</x:f>
      </x:c>
      <x:c r="M1283" t="str">
        <x:f>IF(K1283="","",IF(L1283=1,1,FIND(CHAR(1),SUBSTITUTE(INDEX($B$3:$B$168,K1283),CHAR(10),CHAR(1),L1283-1))+1))</x:f>
      </x:c>
      <x:c r="N1283" t="str">
        <x:f>IF(K1283="","",IFERROR(FIND(CHAR(1),SUBSTITUTE(INDEX($B$3:$B$168,K1283),CHAR(10),CHAR(1),L1283)),LEN(INDEX($B$3:$B$168,K1283))+1))</x:f>
      </x:c>
    </x:row>
    <x:row r="1284">
      <x:c r="A1284"/>
      <x:c r="B1284"/>
      <x:c r="C1284"/>
      <x:c r="D1284" t="str">
        <x:f>IFERROR(IF(1282&lt;=$O$1,INDEX($A$3:$A$168,MATCH(1282,$I$3:$I$168,0)),IF(1282&lt;=$O$1+$O$2,INDEX($F$3:$F$1994,MATCH(1282-$O$1,$G$3:$G$1994,0)),"")),"")</x:f>
      </x:c>
      <x:c r="E1284" t="str">
        <x:f>IF(K1284="","",IF(N1284&lt;=M1284,"",TRIM(CLEAN(MID(INDEX($B$3:$B$168,K1284),M1284,N1284-M1284)))))</x:f>
      </x:c>
      <x:c r="F1284" t="str">
        <x:f>IF(E1284="","",IF(E1284=TRIM(INDEX($A$3:$A$168,K1284)),"",IF(RIGHT(TRIM(INDEX($A$3:$A$168,K1284)),1)="]",LEFT(TRIM(INDEX($A$3:$A$168,K1284)),LEN(TRIM(INDEX($A$3:$A$168,K1284)))-1)&amp;", "&amp;SUBSTITUTE(SUBSTITUTE(SUBSTITUTE(E1284," [",", "),"[",", "),"]","")&amp;"]",TRIM(INDEX($A$3:$A$168,K1284))&amp;" ["&amp;SUBSTITUTE(SUBSTITUTE(SUBSTITUTE(E1284," [",", "),"[",", "),"]","")&amp;"]")))</x:f>
      </x:c>
      <x:c r="G1284" t="str">
        <x:f>IF(F1284&lt;&gt;"",ROWS($F$3:F1284)-COUNTBLANK($F$3:F1284),"")</x:f>
      </x:c>
      <x:c r="H1284"/>
      <x:c r="I1284"/>
      <x:c r="J1284"/>
      <x:c r="K1284" t="str">
        <x:f>IF(ROW()-ROW($K$2)&lt;=SUM($J$3:$J$168),COUNTIF($H$3:$H$168,"&lt;"&amp;(ROW()-ROW($K$2))),"")</x:f>
      </x:c>
      <x:c r="L1284" t="str">
        <x:f>IF(K1284="","",ROW()-ROW($L$2)-INDEX($H$3:$H$168,K1284))</x:f>
      </x:c>
      <x:c r="M1284" t="str">
        <x:f>IF(K1284="","",IF(L1284=1,1,FIND(CHAR(1),SUBSTITUTE(INDEX($B$3:$B$168,K1284),CHAR(10),CHAR(1),L1284-1))+1))</x:f>
      </x:c>
      <x:c r="N1284" t="str">
        <x:f>IF(K1284="","",IFERROR(FIND(CHAR(1),SUBSTITUTE(INDEX($B$3:$B$168,K1284),CHAR(10),CHAR(1),L1284)),LEN(INDEX($B$3:$B$168,K1284))+1))</x:f>
      </x:c>
    </x:row>
    <x:row r="1285">
      <x:c r="A1285"/>
      <x:c r="B1285"/>
      <x:c r="C1285"/>
      <x:c r="D1285" t="str">
        <x:f>IFERROR(IF(1283&lt;=$O$1,INDEX($A$3:$A$168,MATCH(1283,$I$3:$I$168,0)),IF(1283&lt;=$O$1+$O$2,INDEX($F$3:$F$1994,MATCH(1283-$O$1,$G$3:$G$1994,0)),"")),"")</x:f>
      </x:c>
      <x:c r="E1285" t="str">
        <x:f>IF(K1285="","",IF(N1285&lt;=M1285,"",TRIM(CLEAN(MID(INDEX($B$3:$B$168,K1285),M1285,N1285-M1285)))))</x:f>
      </x:c>
      <x:c r="F1285" t="str">
        <x:f>IF(E1285="","",IF(E1285=TRIM(INDEX($A$3:$A$168,K1285)),"",IF(RIGHT(TRIM(INDEX($A$3:$A$168,K1285)),1)="]",LEFT(TRIM(INDEX($A$3:$A$168,K1285)),LEN(TRIM(INDEX($A$3:$A$168,K1285)))-1)&amp;", "&amp;SUBSTITUTE(SUBSTITUTE(SUBSTITUTE(E1285," [",", "),"[",", "),"]","")&amp;"]",TRIM(INDEX($A$3:$A$168,K1285))&amp;" ["&amp;SUBSTITUTE(SUBSTITUTE(SUBSTITUTE(E1285," [",", "),"[",", "),"]","")&amp;"]")))</x:f>
      </x:c>
      <x:c r="G1285" t="str">
        <x:f>IF(F1285&lt;&gt;"",ROWS($F$3:F1285)-COUNTBLANK($F$3:F1285),"")</x:f>
      </x:c>
      <x:c r="H1285"/>
      <x:c r="I1285"/>
      <x:c r="J1285"/>
      <x:c r="K1285" t="str">
        <x:f>IF(ROW()-ROW($K$2)&lt;=SUM($J$3:$J$168),COUNTIF($H$3:$H$168,"&lt;"&amp;(ROW()-ROW($K$2))),"")</x:f>
      </x:c>
      <x:c r="L1285" t="str">
        <x:f>IF(K1285="","",ROW()-ROW($L$2)-INDEX($H$3:$H$168,K1285))</x:f>
      </x:c>
      <x:c r="M1285" t="str">
        <x:f>IF(K1285="","",IF(L1285=1,1,FIND(CHAR(1),SUBSTITUTE(INDEX($B$3:$B$168,K1285),CHAR(10),CHAR(1),L1285-1))+1))</x:f>
      </x:c>
      <x:c r="N1285" t="str">
        <x:f>IF(K1285="","",IFERROR(FIND(CHAR(1),SUBSTITUTE(INDEX($B$3:$B$168,K1285),CHAR(10),CHAR(1),L1285)),LEN(INDEX($B$3:$B$168,K1285))+1))</x:f>
      </x:c>
    </x:row>
    <x:row r="1286">
      <x:c r="A1286"/>
      <x:c r="B1286"/>
      <x:c r="C1286"/>
      <x:c r="D1286" t="str">
        <x:f>IFERROR(IF(1284&lt;=$O$1,INDEX($A$3:$A$168,MATCH(1284,$I$3:$I$168,0)),IF(1284&lt;=$O$1+$O$2,INDEX($F$3:$F$1994,MATCH(1284-$O$1,$G$3:$G$1994,0)),"")),"")</x:f>
      </x:c>
      <x:c r="E1286" t="str">
        <x:f>IF(K1286="","",IF(N1286&lt;=M1286,"",TRIM(CLEAN(MID(INDEX($B$3:$B$168,K1286),M1286,N1286-M1286)))))</x:f>
      </x:c>
      <x:c r="F1286" t="str">
        <x:f>IF(E1286="","",IF(E1286=TRIM(INDEX($A$3:$A$168,K1286)),"",IF(RIGHT(TRIM(INDEX($A$3:$A$168,K1286)),1)="]",LEFT(TRIM(INDEX($A$3:$A$168,K1286)),LEN(TRIM(INDEX($A$3:$A$168,K1286)))-1)&amp;", "&amp;SUBSTITUTE(SUBSTITUTE(SUBSTITUTE(E1286," [",", "),"[",", "),"]","")&amp;"]",TRIM(INDEX($A$3:$A$168,K1286))&amp;" ["&amp;SUBSTITUTE(SUBSTITUTE(SUBSTITUTE(E1286," [",", "),"[",", "),"]","")&amp;"]")))</x:f>
      </x:c>
      <x:c r="G1286" t="str">
        <x:f>IF(F1286&lt;&gt;"",ROWS($F$3:F1286)-COUNTBLANK($F$3:F1286),"")</x:f>
      </x:c>
      <x:c r="H1286"/>
      <x:c r="I1286"/>
      <x:c r="J1286"/>
      <x:c r="K1286" t="str">
        <x:f>IF(ROW()-ROW($K$2)&lt;=SUM($J$3:$J$168),COUNTIF($H$3:$H$168,"&lt;"&amp;(ROW()-ROW($K$2))),"")</x:f>
      </x:c>
      <x:c r="L1286" t="str">
        <x:f>IF(K1286="","",ROW()-ROW($L$2)-INDEX($H$3:$H$168,K1286))</x:f>
      </x:c>
      <x:c r="M1286" t="str">
        <x:f>IF(K1286="","",IF(L1286=1,1,FIND(CHAR(1),SUBSTITUTE(INDEX($B$3:$B$168,K1286),CHAR(10),CHAR(1),L1286-1))+1))</x:f>
      </x:c>
      <x:c r="N1286" t="str">
        <x:f>IF(K1286="","",IFERROR(FIND(CHAR(1),SUBSTITUTE(INDEX($B$3:$B$168,K1286),CHAR(10),CHAR(1),L1286)),LEN(INDEX($B$3:$B$168,K1286))+1))</x:f>
      </x:c>
    </x:row>
    <x:row r="1287">
      <x:c r="A1287"/>
      <x:c r="B1287"/>
      <x:c r="C1287"/>
      <x:c r="D1287" t="str">
        <x:f>IFERROR(IF(1285&lt;=$O$1,INDEX($A$3:$A$168,MATCH(1285,$I$3:$I$168,0)),IF(1285&lt;=$O$1+$O$2,INDEX($F$3:$F$1994,MATCH(1285-$O$1,$G$3:$G$1994,0)),"")),"")</x:f>
      </x:c>
      <x:c r="E1287" t="str">
        <x:f>IF(K1287="","",IF(N1287&lt;=M1287,"",TRIM(CLEAN(MID(INDEX($B$3:$B$168,K1287),M1287,N1287-M1287)))))</x:f>
      </x:c>
      <x:c r="F1287" t="str">
        <x:f>IF(E1287="","",IF(E1287=TRIM(INDEX($A$3:$A$168,K1287)),"",IF(RIGHT(TRIM(INDEX($A$3:$A$168,K1287)),1)="]",LEFT(TRIM(INDEX($A$3:$A$168,K1287)),LEN(TRIM(INDEX($A$3:$A$168,K1287)))-1)&amp;", "&amp;SUBSTITUTE(SUBSTITUTE(SUBSTITUTE(E1287," [",", "),"[",", "),"]","")&amp;"]",TRIM(INDEX($A$3:$A$168,K1287))&amp;" ["&amp;SUBSTITUTE(SUBSTITUTE(SUBSTITUTE(E1287," [",", "),"[",", "),"]","")&amp;"]")))</x:f>
      </x:c>
      <x:c r="G1287" t="str">
        <x:f>IF(F1287&lt;&gt;"",ROWS($F$3:F1287)-COUNTBLANK($F$3:F1287),"")</x:f>
      </x:c>
      <x:c r="H1287"/>
      <x:c r="I1287"/>
      <x:c r="J1287"/>
      <x:c r="K1287" t="str">
        <x:f>IF(ROW()-ROW($K$2)&lt;=SUM($J$3:$J$168),COUNTIF($H$3:$H$168,"&lt;"&amp;(ROW()-ROW($K$2))),"")</x:f>
      </x:c>
      <x:c r="L1287" t="str">
        <x:f>IF(K1287="","",ROW()-ROW($L$2)-INDEX($H$3:$H$168,K1287))</x:f>
      </x:c>
      <x:c r="M1287" t="str">
        <x:f>IF(K1287="","",IF(L1287=1,1,FIND(CHAR(1),SUBSTITUTE(INDEX($B$3:$B$168,K1287),CHAR(10),CHAR(1),L1287-1))+1))</x:f>
      </x:c>
      <x:c r="N1287" t="str">
        <x:f>IF(K1287="","",IFERROR(FIND(CHAR(1),SUBSTITUTE(INDEX($B$3:$B$168,K1287),CHAR(10),CHAR(1),L1287)),LEN(INDEX($B$3:$B$168,K1287))+1))</x:f>
      </x:c>
    </x:row>
    <x:row r="1288">
      <x:c r="A1288"/>
      <x:c r="B1288"/>
      <x:c r="C1288"/>
      <x:c r="D1288" t="str">
        <x:f>IFERROR(IF(1286&lt;=$O$1,INDEX($A$3:$A$168,MATCH(1286,$I$3:$I$168,0)),IF(1286&lt;=$O$1+$O$2,INDEX($F$3:$F$1994,MATCH(1286-$O$1,$G$3:$G$1994,0)),"")),"")</x:f>
      </x:c>
      <x:c r="E1288" t="str">
        <x:f>IF(K1288="","",IF(N1288&lt;=M1288,"",TRIM(CLEAN(MID(INDEX($B$3:$B$168,K1288),M1288,N1288-M1288)))))</x:f>
      </x:c>
      <x:c r="F1288" t="str">
        <x:f>IF(E1288="","",IF(E1288=TRIM(INDEX($A$3:$A$168,K1288)),"",IF(RIGHT(TRIM(INDEX($A$3:$A$168,K1288)),1)="]",LEFT(TRIM(INDEX($A$3:$A$168,K1288)),LEN(TRIM(INDEX($A$3:$A$168,K1288)))-1)&amp;", "&amp;SUBSTITUTE(SUBSTITUTE(SUBSTITUTE(E1288," [",", "),"[",", "),"]","")&amp;"]",TRIM(INDEX($A$3:$A$168,K1288))&amp;" ["&amp;SUBSTITUTE(SUBSTITUTE(SUBSTITUTE(E1288," [",", "),"[",", "),"]","")&amp;"]")))</x:f>
      </x:c>
      <x:c r="G1288" t="str">
        <x:f>IF(F1288&lt;&gt;"",ROWS($F$3:F1288)-COUNTBLANK($F$3:F1288),"")</x:f>
      </x:c>
      <x:c r="H1288"/>
      <x:c r="I1288"/>
      <x:c r="J1288"/>
      <x:c r="K1288" t="str">
        <x:f>IF(ROW()-ROW($K$2)&lt;=SUM($J$3:$J$168),COUNTIF($H$3:$H$168,"&lt;"&amp;(ROW()-ROW($K$2))),"")</x:f>
      </x:c>
      <x:c r="L1288" t="str">
        <x:f>IF(K1288="","",ROW()-ROW($L$2)-INDEX($H$3:$H$168,K1288))</x:f>
      </x:c>
      <x:c r="M1288" t="str">
        <x:f>IF(K1288="","",IF(L1288=1,1,FIND(CHAR(1),SUBSTITUTE(INDEX($B$3:$B$168,K1288),CHAR(10),CHAR(1),L1288-1))+1))</x:f>
      </x:c>
      <x:c r="N1288" t="str">
        <x:f>IF(K1288="","",IFERROR(FIND(CHAR(1),SUBSTITUTE(INDEX($B$3:$B$168,K1288),CHAR(10),CHAR(1),L1288)),LEN(INDEX($B$3:$B$168,K1288))+1))</x:f>
      </x:c>
    </x:row>
    <x:row r="1289">
      <x:c r="A1289"/>
      <x:c r="B1289"/>
      <x:c r="C1289"/>
      <x:c r="D1289" t="str">
        <x:f>IFERROR(IF(1287&lt;=$O$1,INDEX($A$3:$A$168,MATCH(1287,$I$3:$I$168,0)),IF(1287&lt;=$O$1+$O$2,INDEX($F$3:$F$1994,MATCH(1287-$O$1,$G$3:$G$1994,0)),"")),"")</x:f>
      </x:c>
      <x:c r="E1289" t="str">
        <x:f>IF(K1289="","",IF(N1289&lt;=M1289,"",TRIM(CLEAN(MID(INDEX($B$3:$B$168,K1289),M1289,N1289-M1289)))))</x:f>
      </x:c>
      <x:c r="F1289" t="str">
        <x:f>IF(E1289="","",IF(E1289=TRIM(INDEX($A$3:$A$168,K1289)),"",IF(RIGHT(TRIM(INDEX($A$3:$A$168,K1289)),1)="]",LEFT(TRIM(INDEX($A$3:$A$168,K1289)),LEN(TRIM(INDEX($A$3:$A$168,K1289)))-1)&amp;", "&amp;SUBSTITUTE(SUBSTITUTE(SUBSTITUTE(E1289," [",", "),"[",", "),"]","")&amp;"]",TRIM(INDEX($A$3:$A$168,K1289))&amp;" ["&amp;SUBSTITUTE(SUBSTITUTE(SUBSTITUTE(E1289," [",", "),"[",", "),"]","")&amp;"]")))</x:f>
      </x:c>
      <x:c r="G1289" t="str">
        <x:f>IF(F1289&lt;&gt;"",ROWS($F$3:F1289)-COUNTBLANK($F$3:F1289),"")</x:f>
      </x:c>
      <x:c r="H1289"/>
      <x:c r="I1289"/>
      <x:c r="J1289"/>
      <x:c r="K1289" t="str">
        <x:f>IF(ROW()-ROW($K$2)&lt;=SUM($J$3:$J$168),COUNTIF($H$3:$H$168,"&lt;"&amp;(ROW()-ROW($K$2))),"")</x:f>
      </x:c>
      <x:c r="L1289" t="str">
        <x:f>IF(K1289="","",ROW()-ROW($L$2)-INDEX($H$3:$H$168,K1289))</x:f>
      </x:c>
      <x:c r="M1289" t="str">
        <x:f>IF(K1289="","",IF(L1289=1,1,FIND(CHAR(1),SUBSTITUTE(INDEX($B$3:$B$168,K1289),CHAR(10),CHAR(1),L1289-1))+1))</x:f>
      </x:c>
      <x:c r="N1289" t="str">
        <x:f>IF(K1289="","",IFERROR(FIND(CHAR(1),SUBSTITUTE(INDEX($B$3:$B$168,K1289),CHAR(10),CHAR(1),L1289)),LEN(INDEX($B$3:$B$168,K1289))+1))</x:f>
      </x:c>
    </x:row>
    <x:row r="1290">
      <x:c r="A1290"/>
      <x:c r="B1290"/>
      <x:c r="C1290"/>
      <x:c r="D1290" t="str">
        <x:f>IFERROR(IF(1288&lt;=$O$1,INDEX($A$3:$A$168,MATCH(1288,$I$3:$I$168,0)),IF(1288&lt;=$O$1+$O$2,INDEX($F$3:$F$1994,MATCH(1288-$O$1,$G$3:$G$1994,0)),"")),"")</x:f>
      </x:c>
      <x:c r="E1290" t="str">
        <x:f>IF(K1290="","",IF(N1290&lt;=M1290,"",TRIM(CLEAN(MID(INDEX($B$3:$B$168,K1290),M1290,N1290-M1290)))))</x:f>
      </x:c>
      <x:c r="F1290" t="str">
        <x:f>IF(E1290="","",IF(E1290=TRIM(INDEX($A$3:$A$168,K1290)),"",IF(RIGHT(TRIM(INDEX($A$3:$A$168,K1290)),1)="]",LEFT(TRIM(INDEX($A$3:$A$168,K1290)),LEN(TRIM(INDEX($A$3:$A$168,K1290)))-1)&amp;", "&amp;SUBSTITUTE(SUBSTITUTE(SUBSTITUTE(E1290," [",", "),"[",", "),"]","")&amp;"]",TRIM(INDEX($A$3:$A$168,K1290))&amp;" ["&amp;SUBSTITUTE(SUBSTITUTE(SUBSTITUTE(E1290," [",", "),"[",", "),"]","")&amp;"]")))</x:f>
      </x:c>
      <x:c r="G1290" t="str">
        <x:f>IF(F1290&lt;&gt;"",ROWS($F$3:F1290)-COUNTBLANK($F$3:F1290),"")</x:f>
      </x:c>
      <x:c r="H1290"/>
      <x:c r="I1290"/>
      <x:c r="J1290"/>
      <x:c r="K1290" t="str">
        <x:f>IF(ROW()-ROW($K$2)&lt;=SUM($J$3:$J$168),COUNTIF($H$3:$H$168,"&lt;"&amp;(ROW()-ROW($K$2))),"")</x:f>
      </x:c>
      <x:c r="L1290" t="str">
        <x:f>IF(K1290="","",ROW()-ROW($L$2)-INDEX($H$3:$H$168,K1290))</x:f>
      </x:c>
      <x:c r="M1290" t="str">
        <x:f>IF(K1290="","",IF(L1290=1,1,FIND(CHAR(1),SUBSTITUTE(INDEX($B$3:$B$168,K1290),CHAR(10),CHAR(1),L1290-1))+1))</x:f>
      </x:c>
      <x:c r="N1290" t="str">
        <x:f>IF(K1290="","",IFERROR(FIND(CHAR(1),SUBSTITUTE(INDEX($B$3:$B$168,K1290),CHAR(10),CHAR(1),L1290)),LEN(INDEX($B$3:$B$168,K1290))+1))</x:f>
      </x:c>
    </x:row>
    <x:row r="1291">
      <x:c r="A1291"/>
      <x:c r="B1291"/>
      <x:c r="C1291"/>
      <x:c r="D1291" t="str">
        <x:f>IFERROR(IF(1289&lt;=$O$1,INDEX($A$3:$A$168,MATCH(1289,$I$3:$I$168,0)),IF(1289&lt;=$O$1+$O$2,INDEX($F$3:$F$1994,MATCH(1289-$O$1,$G$3:$G$1994,0)),"")),"")</x:f>
      </x:c>
      <x:c r="E1291" t="str">
        <x:f>IF(K1291="","",IF(N1291&lt;=M1291,"",TRIM(CLEAN(MID(INDEX($B$3:$B$168,K1291),M1291,N1291-M1291)))))</x:f>
      </x:c>
      <x:c r="F1291" t="str">
        <x:f>IF(E1291="","",IF(E1291=TRIM(INDEX($A$3:$A$168,K1291)),"",IF(RIGHT(TRIM(INDEX($A$3:$A$168,K1291)),1)="]",LEFT(TRIM(INDEX($A$3:$A$168,K1291)),LEN(TRIM(INDEX($A$3:$A$168,K1291)))-1)&amp;", "&amp;SUBSTITUTE(SUBSTITUTE(SUBSTITUTE(E1291," [",", "),"[",", "),"]","")&amp;"]",TRIM(INDEX($A$3:$A$168,K1291))&amp;" ["&amp;SUBSTITUTE(SUBSTITUTE(SUBSTITUTE(E1291," [",", "),"[",", "),"]","")&amp;"]")))</x:f>
      </x:c>
      <x:c r="G1291" t="str">
        <x:f>IF(F1291&lt;&gt;"",ROWS($F$3:F1291)-COUNTBLANK($F$3:F1291),"")</x:f>
      </x:c>
      <x:c r="H1291"/>
      <x:c r="I1291"/>
      <x:c r="J1291"/>
      <x:c r="K1291" t="str">
        <x:f>IF(ROW()-ROW($K$2)&lt;=SUM($J$3:$J$168),COUNTIF($H$3:$H$168,"&lt;"&amp;(ROW()-ROW($K$2))),"")</x:f>
      </x:c>
      <x:c r="L1291" t="str">
        <x:f>IF(K1291="","",ROW()-ROW($L$2)-INDEX($H$3:$H$168,K1291))</x:f>
      </x:c>
      <x:c r="M1291" t="str">
        <x:f>IF(K1291="","",IF(L1291=1,1,FIND(CHAR(1),SUBSTITUTE(INDEX($B$3:$B$168,K1291),CHAR(10),CHAR(1),L1291-1))+1))</x:f>
      </x:c>
      <x:c r="N1291" t="str">
        <x:f>IF(K1291="","",IFERROR(FIND(CHAR(1),SUBSTITUTE(INDEX($B$3:$B$168,K1291),CHAR(10),CHAR(1),L1291)),LEN(INDEX($B$3:$B$168,K1291))+1))</x:f>
      </x:c>
    </x:row>
    <x:row r="1292">
      <x:c r="A1292"/>
      <x:c r="B1292"/>
      <x:c r="C1292"/>
      <x:c r="D1292" t="str">
        <x:f>IFERROR(IF(1290&lt;=$O$1,INDEX($A$3:$A$168,MATCH(1290,$I$3:$I$168,0)),IF(1290&lt;=$O$1+$O$2,INDEX($F$3:$F$1994,MATCH(1290-$O$1,$G$3:$G$1994,0)),"")),"")</x:f>
      </x:c>
      <x:c r="E1292" t="str">
        <x:f>IF(K1292="","",IF(N1292&lt;=M1292,"",TRIM(CLEAN(MID(INDEX($B$3:$B$168,K1292),M1292,N1292-M1292)))))</x:f>
      </x:c>
      <x:c r="F1292" t="str">
        <x:f>IF(E1292="","",IF(E1292=TRIM(INDEX($A$3:$A$168,K1292)),"",IF(RIGHT(TRIM(INDEX($A$3:$A$168,K1292)),1)="]",LEFT(TRIM(INDEX($A$3:$A$168,K1292)),LEN(TRIM(INDEX($A$3:$A$168,K1292)))-1)&amp;", "&amp;SUBSTITUTE(SUBSTITUTE(SUBSTITUTE(E1292," [",", "),"[",", "),"]","")&amp;"]",TRIM(INDEX($A$3:$A$168,K1292))&amp;" ["&amp;SUBSTITUTE(SUBSTITUTE(SUBSTITUTE(E1292," [",", "),"[",", "),"]","")&amp;"]")))</x:f>
      </x:c>
      <x:c r="G1292" t="str">
        <x:f>IF(F1292&lt;&gt;"",ROWS($F$3:F1292)-COUNTBLANK($F$3:F1292),"")</x:f>
      </x:c>
      <x:c r="H1292"/>
      <x:c r="I1292"/>
      <x:c r="J1292"/>
      <x:c r="K1292" t="str">
        <x:f>IF(ROW()-ROW($K$2)&lt;=SUM($J$3:$J$168),COUNTIF($H$3:$H$168,"&lt;"&amp;(ROW()-ROW($K$2))),"")</x:f>
      </x:c>
      <x:c r="L1292" t="str">
        <x:f>IF(K1292="","",ROW()-ROW($L$2)-INDEX($H$3:$H$168,K1292))</x:f>
      </x:c>
      <x:c r="M1292" t="str">
        <x:f>IF(K1292="","",IF(L1292=1,1,FIND(CHAR(1),SUBSTITUTE(INDEX($B$3:$B$168,K1292),CHAR(10),CHAR(1),L1292-1))+1))</x:f>
      </x:c>
      <x:c r="N1292" t="str">
        <x:f>IF(K1292="","",IFERROR(FIND(CHAR(1),SUBSTITUTE(INDEX($B$3:$B$168,K1292),CHAR(10),CHAR(1),L1292)),LEN(INDEX($B$3:$B$168,K1292))+1))</x:f>
      </x:c>
    </x:row>
    <x:row r="1293">
      <x:c r="A1293"/>
      <x:c r="B1293"/>
      <x:c r="C1293"/>
      <x:c r="D1293" t="str">
        <x:f>IFERROR(IF(1291&lt;=$O$1,INDEX($A$3:$A$168,MATCH(1291,$I$3:$I$168,0)),IF(1291&lt;=$O$1+$O$2,INDEX($F$3:$F$1994,MATCH(1291-$O$1,$G$3:$G$1994,0)),"")),"")</x:f>
      </x:c>
      <x:c r="E1293" t="str">
        <x:f>IF(K1293="","",IF(N1293&lt;=M1293,"",TRIM(CLEAN(MID(INDEX($B$3:$B$168,K1293),M1293,N1293-M1293)))))</x:f>
      </x:c>
      <x:c r="F1293" t="str">
        <x:f>IF(E1293="","",IF(E1293=TRIM(INDEX($A$3:$A$168,K1293)),"",IF(RIGHT(TRIM(INDEX($A$3:$A$168,K1293)),1)="]",LEFT(TRIM(INDEX($A$3:$A$168,K1293)),LEN(TRIM(INDEX($A$3:$A$168,K1293)))-1)&amp;", "&amp;SUBSTITUTE(SUBSTITUTE(SUBSTITUTE(E1293," [",", "),"[",", "),"]","")&amp;"]",TRIM(INDEX($A$3:$A$168,K1293))&amp;" ["&amp;SUBSTITUTE(SUBSTITUTE(SUBSTITUTE(E1293," [",", "),"[",", "),"]","")&amp;"]")))</x:f>
      </x:c>
      <x:c r="G1293" t="str">
        <x:f>IF(F1293&lt;&gt;"",ROWS($F$3:F1293)-COUNTBLANK($F$3:F1293),"")</x:f>
      </x:c>
      <x:c r="H1293"/>
      <x:c r="I1293"/>
      <x:c r="J1293"/>
      <x:c r="K1293" t="str">
        <x:f>IF(ROW()-ROW($K$2)&lt;=SUM($J$3:$J$168),COUNTIF($H$3:$H$168,"&lt;"&amp;(ROW()-ROW($K$2))),"")</x:f>
      </x:c>
      <x:c r="L1293" t="str">
        <x:f>IF(K1293="","",ROW()-ROW($L$2)-INDEX($H$3:$H$168,K1293))</x:f>
      </x:c>
      <x:c r="M1293" t="str">
        <x:f>IF(K1293="","",IF(L1293=1,1,FIND(CHAR(1),SUBSTITUTE(INDEX($B$3:$B$168,K1293),CHAR(10),CHAR(1),L1293-1))+1))</x:f>
      </x:c>
      <x:c r="N1293" t="str">
        <x:f>IF(K1293="","",IFERROR(FIND(CHAR(1),SUBSTITUTE(INDEX($B$3:$B$168,K1293),CHAR(10),CHAR(1),L1293)),LEN(INDEX($B$3:$B$168,K1293))+1))</x:f>
      </x:c>
    </x:row>
    <x:row r="1294">
      <x:c r="A1294"/>
      <x:c r="B1294"/>
      <x:c r="C1294"/>
      <x:c r="D1294" t="str">
        <x:f>IFERROR(IF(1292&lt;=$O$1,INDEX($A$3:$A$168,MATCH(1292,$I$3:$I$168,0)),IF(1292&lt;=$O$1+$O$2,INDEX($F$3:$F$1994,MATCH(1292-$O$1,$G$3:$G$1994,0)),"")),"")</x:f>
      </x:c>
      <x:c r="E1294" t="str">
        <x:f>IF(K1294="","",IF(N1294&lt;=M1294,"",TRIM(CLEAN(MID(INDEX($B$3:$B$168,K1294),M1294,N1294-M1294)))))</x:f>
      </x:c>
      <x:c r="F1294" t="str">
        <x:f>IF(E1294="","",IF(E1294=TRIM(INDEX($A$3:$A$168,K1294)),"",IF(RIGHT(TRIM(INDEX($A$3:$A$168,K1294)),1)="]",LEFT(TRIM(INDEX($A$3:$A$168,K1294)),LEN(TRIM(INDEX($A$3:$A$168,K1294)))-1)&amp;", "&amp;SUBSTITUTE(SUBSTITUTE(SUBSTITUTE(E1294," [",", "),"[",", "),"]","")&amp;"]",TRIM(INDEX($A$3:$A$168,K1294))&amp;" ["&amp;SUBSTITUTE(SUBSTITUTE(SUBSTITUTE(E1294," [",", "),"[",", "),"]","")&amp;"]")))</x:f>
      </x:c>
      <x:c r="G1294" t="str">
        <x:f>IF(F1294&lt;&gt;"",ROWS($F$3:F1294)-COUNTBLANK($F$3:F1294),"")</x:f>
      </x:c>
      <x:c r="H1294"/>
      <x:c r="I1294"/>
      <x:c r="J1294"/>
      <x:c r="K1294" t="str">
        <x:f>IF(ROW()-ROW($K$2)&lt;=SUM($J$3:$J$168),COUNTIF($H$3:$H$168,"&lt;"&amp;(ROW()-ROW($K$2))),"")</x:f>
      </x:c>
      <x:c r="L1294" t="str">
        <x:f>IF(K1294="","",ROW()-ROW($L$2)-INDEX($H$3:$H$168,K1294))</x:f>
      </x:c>
      <x:c r="M1294" t="str">
        <x:f>IF(K1294="","",IF(L1294=1,1,FIND(CHAR(1),SUBSTITUTE(INDEX($B$3:$B$168,K1294),CHAR(10),CHAR(1),L1294-1))+1))</x:f>
      </x:c>
      <x:c r="N1294" t="str">
        <x:f>IF(K1294="","",IFERROR(FIND(CHAR(1),SUBSTITUTE(INDEX($B$3:$B$168,K1294),CHAR(10),CHAR(1),L1294)),LEN(INDEX($B$3:$B$168,K1294))+1))</x:f>
      </x:c>
    </x:row>
    <x:row r="1295">
      <x:c r="A1295"/>
      <x:c r="B1295"/>
      <x:c r="C1295"/>
      <x:c r="D1295" t="str">
        <x:f>IFERROR(IF(1293&lt;=$O$1,INDEX($A$3:$A$168,MATCH(1293,$I$3:$I$168,0)),IF(1293&lt;=$O$1+$O$2,INDEX($F$3:$F$1994,MATCH(1293-$O$1,$G$3:$G$1994,0)),"")),"")</x:f>
      </x:c>
      <x:c r="E1295" t="str">
        <x:f>IF(K1295="","",IF(N1295&lt;=M1295,"",TRIM(CLEAN(MID(INDEX($B$3:$B$168,K1295),M1295,N1295-M1295)))))</x:f>
      </x:c>
      <x:c r="F1295" t="str">
        <x:f>IF(E1295="","",IF(E1295=TRIM(INDEX($A$3:$A$168,K1295)),"",IF(RIGHT(TRIM(INDEX($A$3:$A$168,K1295)),1)="]",LEFT(TRIM(INDEX($A$3:$A$168,K1295)),LEN(TRIM(INDEX($A$3:$A$168,K1295)))-1)&amp;", "&amp;SUBSTITUTE(SUBSTITUTE(SUBSTITUTE(E1295," [",", "),"[",", "),"]","")&amp;"]",TRIM(INDEX($A$3:$A$168,K1295))&amp;" ["&amp;SUBSTITUTE(SUBSTITUTE(SUBSTITUTE(E1295," [",", "),"[",", "),"]","")&amp;"]")))</x:f>
      </x:c>
      <x:c r="G1295" t="str">
        <x:f>IF(F1295&lt;&gt;"",ROWS($F$3:F1295)-COUNTBLANK($F$3:F1295),"")</x:f>
      </x:c>
      <x:c r="H1295"/>
      <x:c r="I1295"/>
      <x:c r="J1295"/>
      <x:c r="K1295" t="str">
        <x:f>IF(ROW()-ROW($K$2)&lt;=SUM($J$3:$J$168),COUNTIF($H$3:$H$168,"&lt;"&amp;(ROW()-ROW($K$2))),"")</x:f>
      </x:c>
      <x:c r="L1295" t="str">
        <x:f>IF(K1295="","",ROW()-ROW($L$2)-INDEX($H$3:$H$168,K1295))</x:f>
      </x:c>
      <x:c r="M1295" t="str">
        <x:f>IF(K1295="","",IF(L1295=1,1,FIND(CHAR(1),SUBSTITUTE(INDEX($B$3:$B$168,K1295),CHAR(10),CHAR(1),L1295-1))+1))</x:f>
      </x:c>
      <x:c r="N1295" t="str">
        <x:f>IF(K1295="","",IFERROR(FIND(CHAR(1),SUBSTITUTE(INDEX($B$3:$B$168,K1295),CHAR(10),CHAR(1),L1295)),LEN(INDEX($B$3:$B$168,K1295))+1))</x:f>
      </x:c>
    </x:row>
    <x:row r="1296">
      <x:c r="A1296"/>
      <x:c r="B1296"/>
      <x:c r="C1296"/>
      <x:c r="D1296" t="str">
        <x:f>IFERROR(IF(1294&lt;=$O$1,INDEX($A$3:$A$168,MATCH(1294,$I$3:$I$168,0)),IF(1294&lt;=$O$1+$O$2,INDEX($F$3:$F$1994,MATCH(1294-$O$1,$G$3:$G$1994,0)),"")),"")</x:f>
      </x:c>
      <x:c r="E1296" t="str">
        <x:f>IF(K1296="","",IF(N1296&lt;=M1296,"",TRIM(CLEAN(MID(INDEX($B$3:$B$168,K1296),M1296,N1296-M1296)))))</x:f>
      </x:c>
      <x:c r="F1296" t="str">
        <x:f>IF(E1296="","",IF(E1296=TRIM(INDEX($A$3:$A$168,K1296)),"",IF(RIGHT(TRIM(INDEX($A$3:$A$168,K1296)),1)="]",LEFT(TRIM(INDEX($A$3:$A$168,K1296)),LEN(TRIM(INDEX($A$3:$A$168,K1296)))-1)&amp;", "&amp;SUBSTITUTE(SUBSTITUTE(SUBSTITUTE(E1296," [",", "),"[",", "),"]","")&amp;"]",TRIM(INDEX($A$3:$A$168,K1296))&amp;" ["&amp;SUBSTITUTE(SUBSTITUTE(SUBSTITUTE(E1296," [",", "),"[",", "),"]","")&amp;"]")))</x:f>
      </x:c>
      <x:c r="G1296" t="str">
        <x:f>IF(F1296&lt;&gt;"",ROWS($F$3:F1296)-COUNTBLANK($F$3:F1296),"")</x:f>
      </x:c>
      <x:c r="H1296"/>
      <x:c r="I1296"/>
      <x:c r="J1296"/>
      <x:c r="K1296" t="str">
        <x:f>IF(ROW()-ROW($K$2)&lt;=SUM($J$3:$J$168),COUNTIF($H$3:$H$168,"&lt;"&amp;(ROW()-ROW($K$2))),"")</x:f>
      </x:c>
      <x:c r="L1296" t="str">
        <x:f>IF(K1296="","",ROW()-ROW($L$2)-INDEX($H$3:$H$168,K1296))</x:f>
      </x:c>
      <x:c r="M1296" t="str">
        <x:f>IF(K1296="","",IF(L1296=1,1,FIND(CHAR(1),SUBSTITUTE(INDEX($B$3:$B$168,K1296),CHAR(10),CHAR(1),L1296-1))+1))</x:f>
      </x:c>
      <x:c r="N1296" t="str">
        <x:f>IF(K1296="","",IFERROR(FIND(CHAR(1),SUBSTITUTE(INDEX($B$3:$B$168,K1296),CHAR(10),CHAR(1),L1296)),LEN(INDEX($B$3:$B$168,K1296))+1))</x:f>
      </x:c>
    </x:row>
    <x:row r="1297">
      <x:c r="A1297"/>
      <x:c r="B1297"/>
      <x:c r="C1297"/>
      <x:c r="D1297" t="str">
        <x:f>IFERROR(IF(1295&lt;=$O$1,INDEX($A$3:$A$168,MATCH(1295,$I$3:$I$168,0)),IF(1295&lt;=$O$1+$O$2,INDEX($F$3:$F$1994,MATCH(1295-$O$1,$G$3:$G$1994,0)),"")),"")</x:f>
      </x:c>
      <x:c r="E1297" t="str">
        <x:f>IF(K1297="","",IF(N1297&lt;=M1297,"",TRIM(CLEAN(MID(INDEX($B$3:$B$168,K1297),M1297,N1297-M1297)))))</x:f>
      </x:c>
      <x:c r="F1297" t="str">
        <x:f>IF(E1297="","",IF(E1297=TRIM(INDEX($A$3:$A$168,K1297)),"",IF(RIGHT(TRIM(INDEX($A$3:$A$168,K1297)),1)="]",LEFT(TRIM(INDEX($A$3:$A$168,K1297)),LEN(TRIM(INDEX($A$3:$A$168,K1297)))-1)&amp;", "&amp;SUBSTITUTE(SUBSTITUTE(SUBSTITUTE(E1297," [",", "),"[",", "),"]","")&amp;"]",TRIM(INDEX($A$3:$A$168,K1297))&amp;" ["&amp;SUBSTITUTE(SUBSTITUTE(SUBSTITUTE(E1297," [",", "),"[",", "),"]","")&amp;"]")))</x:f>
      </x:c>
      <x:c r="G1297" t="str">
        <x:f>IF(F1297&lt;&gt;"",ROWS($F$3:F1297)-COUNTBLANK($F$3:F1297),"")</x:f>
      </x:c>
      <x:c r="H1297"/>
      <x:c r="I1297"/>
      <x:c r="J1297"/>
      <x:c r="K1297" t="str">
        <x:f>IF(ROW()-ROW($K$2)&lt;=SUM($J$3:$J$168),COUNTIF($H$3:$H$168,"&lt;"&amp;(ROW()-ROW($K$2))),"")</x:f>
      </x:c>
      <x:c r="L1297" t="str">
        <x:f>IF(K1297="","",ROW()-ROW($L$2)-INDEX($H$3:$H$168,K1297))</x:f>
      </x:c>
      <x:c r="M1297" t="str">
        <x:f>IF(K1297="","",IF(L1297=1,1,FIND(CHAR(1),SUBSTITUTE(INDEX($B$3:$B$168,K1297),CHAR(10),CHAR(1),L1297-1))+1))</x:f>
      </x:c>
      <x:c r="N1297" t="str">
        <x:f>IF(K1297="","",IFERROR(FIND(CHAR(1),SUBSTITUTE(INDEX($B$3:$B$168,K1297),CHAR(10),CHAR(1),L1297)),LEN(INDEX($B$3:$B$168,K1297))+1))</x:f>
      </x:c>
    </x:row>
    <x:row r="1298">
      <x:c r="A1298"/>
      <x:c r="B1298"/>
      <x:c r="C1298"/>
      <x:c r="D1298" t="str">
        <x:f>IFERROR(IF(1296&lt;=$O$1,INDEX($A$3:$A$168,MATCH(1296,$I$3:$I$168,0)),IF(1296&lt;=$O$1+$O$2,INDEX($F$3:$F$1994,MATCH(1296-$O$1,$G$3:$G$1994,0)),"")),"")</x:f>
      </x:c>
      <x:c r="E1298" t="str">
        <x:f>IF(K1298="","",IF(N1298&lt;=M1298,"",TRIM(CLEAN(MID(INDEX($B$3:$B$168,K1298),M1298,N1298-M1298)))))</x:f>
      </x:c>
      <x:c r="F1298" t="str">
        <x:f>IF(E1298="","",IF(E1298=TRIM(INDEX($A$3:$A$168,K1298)),"",IF(RIGHT(TRIM(INDEX($A$3:$A$168,K1298)),1)="]",LEFT(TRIM(INDEX($A$3:$A$168,K1298)),LEN(TRIM(INDEX($A$3:$A$168,K1298)))-1)&amp;", "&amp;SUBSTITUTE(SUBSTITUTE(SUBSTITUTE(E1298," [",", "),"[",", "),"]","")&amp;"]",TRIM(INDEX($A$3:$A$168,K1298))&amp;" ["&amp;SUBSTITUTE(SUBSTITUTE(SUBSTITUTE(E1298," [",", "),"[",", "),"]","")&amp;"]")))</x:f>
      </x:c>
      <x:c r="G1298" t="str">
        <x:f>IF(F1298&lt;&gt;"",ROWS($F$3:F1298)-COUNTBLANK($F$3:F1298),"")</x:f>
      </x:c>
      <x:c r="H1298"/>
      <x:c r="I1298"/>
      <x:c r="J1298"/>
      <x:c r="K1298" t="str">
        <x:f>IF(ROW()-ROW($K$2)&lt;=SUM($J$3:$J$168),COUNTIF($H$3:$H$168,"&lt;"&amp;(ROW()-ROW($K$2))),"")</x:f>
      </x:c>
      <x:c r="L1298" t="str">
        <x:f>IF(K1298="","",ROW()-ROW($L$2)-INDEX($H$3:$H$168,K1298))</x:f>
      </x:c>
      <x:c r="M1298" t="str">
        <x:f>IF(K1298="","",IF(L1298=1,1,FIND(CHAR(1),SUBSTITUTE(INDEX($B$3:$B$168,K1298),CHAR(10),CHAR(1),L1298-1))+1))</x:f>
      </x:c>
      <x:c r="N1298" t="str">
        <x:f>IF(K1298="","",IFERROR(FIND(CHAR(1),SUBSTITUTE(INDEX($B$3:$B$168,K1298),CHAR(10),CHAR(1),L1298)),LEN(INDEX($B$3:$B$168,K1298))+1))</x:f>
      </x:c>
    </x:row>
    <x:row r="1299">
      <x:c r="A1299"/>
      <x:c r="B1299"/>
      <x:c r="C1299"/>
      <x:c r="D1299" t="str">
        <x:f>IFERROR(IF(1297&lt;=$O$1,INDEX($A$3:$A$168,MATCH(1297,$I$3:$I$168,0)),IF(1297&lt;=$O$1+$O$2,INDEX($F$3:$F$1994,MATCH(1297-$O$1,$G$3:$G$1994,0)),"")),"")</x:f>
      </x:c>
      <x:c r="E1299" t="str">
        <x:f>IF(K1299="","",IF(N1299&lt;=M1299,"",TRIM(CLEAN(MID(INDEX($B$3:$B$168,K1299),M1299,N1299-M1299)))))</x:f>
      </x:c>
      <x:c r="F1299" t="str">
        <x:f>IF(E1299="","",IF(E1299=TRIM(INDEX($A$3:$A$168,K1299)),"",IF(RIGHT(TRIM(INDEX($A$3:$A$168,K1299)),1)="]",LEFT(TRIM(INDEX($A$3:$A$168,K1299)),LEN(TRIM(INDEX($A$3:$A$168,K1299)))-1)&amp;", "&amp;SUBSTITUTE(SUBSTITUTE(SUBSTITUTE(E1299," [",", "),"[",", "),"]","")&amp;"]",TRIM(INDEX($A$3:$A$168,K1299))&amp;" ["&amp;SUBSTITUTE(SUBSTITUTE(SUBSTITUTE(E1299," [",", "),"[",", "),"]","")&amp;"]")))</x:f>
      </x:c>
      <x:c r="G1299" t="str">
        <x:f>IF(F1299&lt;&gt;"",ROWS($F$3:F1299)-COUNTBLANK($F$3:F1299),"")</x:f>
      </x:c>
      <x:c r="H1299"/>
      <x:c r="I1299"/>
      <x:c r="J1299"/>
      <x:c r="K1299" t="str">
        <x:f>IF(ROW()-ROW($K$2)&lt;=SUM($J$3:$J$168),COUNTIF($H$3:$H$168,"&lt;"&amp;(ROW()-ROW($K$2))),"")</x:f>
      </x:c>
      <x:c r="L1299" t="str">
        <x:f>IF(K1299="","",ROW()-ROW($L$2)-INDEX($H$3:$H$168,K1299))</x:f>
      </x:c>
      <x:c r="M1299" t="str">
        <x:f>IF(K1299="","",IF(L1299=1,1,FIND(CHAR(1),SUBSTITUTE(INDEX($B$3:$B$168,K1299),CHAR(10),CHAR(1),L1299-1))+1))</x:f>
      </x:c>
      <x:c r="N1299" t="str">
        <x:f>IF(K1299="","",IFERROR(FIND(CHAR(1),SUBSTITUTE(INDEX($B$3:$B$168,K1299),CHAR(10),CHAR(1),L1299)),LEN(INDEX($B$3:$B$168,K1299))+1))</x:f>
      </x:c>
    </x:row>
    <x:row r="1300">
      <x:c r="A1300"/>
      <x:c r="B1300"/>
      <x:c r="C1300"/>
      <x:c r="D1300" t="str">
        <x:f>IFERROR(IF(1298&lt;=$O$1,INDEX($A$3:$A$168,MATCH(1298,$I$3:$I$168,0)),IF(1298&lt;=$O$1+$O$2,INDEX($F$3:$F$1994,MATCH(1298-$O$1,$G$3:$G$1994,0)),"")),"")</x:f>
      </x:c>
      <x:c r="E1300" t="str">
        <x:f>IF(K1300="","",IF(N1300&lt;=M1300,"",TRIM(CLEAN(MID(INDEX($B$3:$B$168,K1300),M1300,N1300-M1300)))))</x:f>
      </x:c>
      <x:c r="F1300" t="str">
        <x:f>IF(E1300="","",IF(E1300=TRIM(INDEX($A$3:$A$168,K1300)),"",IF(RIGHT(TRIM(INDEX($A$3:$A$168,K1300)),1)="]",LEFT(TRIM(INDEX($A$3:$A$168,K1300)),LEN(TRIM(INDEX($A$3:$A$168,K1300)))-1)&amp;", "&amp;SUBSTITUTE(SUBSTITUTE(SUBSTITUTE(E1300," [",", "),"[",", "),"]","")&amp;"]",TRIM(INDEX($A$3:$A$168,K1300))&amp;" ["&amp;SUBSTITUTE(SUBSTITUTE(SUBSTITUTE(E1300," [",", "),"[",", "),"]","")&amp;"]")))</x:f>
      </x:c>
      <x:c r="G1300" t="str">
        <x:f>IF(F1300&lt;&gt;"",ROWS($F$3:F1300)-COUNTBLANK($F$3:F1300),"")</x:f>
      </x:c>
      <x:c r="H1300"/>
      <x:c r="I1300"/>
      <x:c r="J1300"/>
      <x:c r="K1300" t="str">
        <x:f>IF(ROW()-ROW($K$2)&lt;=SUM($J$3:$J$168),COUNTIF($H$3:$H$168,"&lt;"&amp;(ROW()-ROW($K$2))),"")</x:f>
      </x:c>
      <x:c r="L1300" t="str">
        <x:f>IF(K1300="","",ROW()-ROW($L$2)-INDEX($H$3:$H$168,K1300))</x:f>
      </x:c>
      <x:c r="M1300" t="str">
        <x:f>IF(K1300="","",IF(L1300=1,1,FIND(CHAR(1),SUBSTITUTE(INDEX($B$3:$B$168,K1300),CHAR(10),CHAR(1),L1300-1))+1))</x:f>
      </x:c>
      <x:c r="N1300" t="str">
        <x:f>IF(K1300="","",IFERROR(FIND(CHAR(1),SUBSTITUTE(INDEX($B$3:$B$168,K1300),CHAR(10),CHAR(1),L1300)),LEN(INDEX($B$3:$B$168,K1300))+1))</x:f>
      </x:c>
    </x:row>
    <x:row r="1301">
      <x:c r="A1301"/>
      <x:c r="B1301"/>
      <x:c r="C1301"/>
      <x:c r="D1301" t="str">
        <x:f>IFERROR(IF(1299&lt;=$O$1,INDEX($A$3:$A$168,MATCH(1299,$I$3:$I$168,0)),IF(1299&lt;=$O$1+$O$2,INDEX($F$3:$F$1994,MATCH(1299-$O$1,$G$3:$G$1994,0)),"")),"")</x:f>
      </x:c>
      <x:c r="E1301" t="str">
        <x:f>IF(K1301="","",IF(N1301&lt;=M1301,"",TRIM(CLEAN(MID(INDEX($B$3:$B$168,K1301),M1301,N1301-M1301)))))</x:f>
      </x:c>
      <x:c r="F1301" t="str">
        <x:f>IF(E1301="","",IF(E1301=TRIM(INDEX($A$3:$A$168,K1301)),"",IF(RIGHT(TRIM(INDEX($A$3:$A$168,K1301)),1)="]",LEFT(TRIM(INDEX($A$3:$A$168,K1301)),LEN(TRIM(INDEX($A$3:$A$168,K1301)))-1)&amp;", "&amp;SUBSTITUTE(SUBSTITUTE(SUBSTITUTE(E1301," [",", "),"[",", "),"]","")&amp;"]",TRIM(INDEX($A$3:$A$168,K1301))&amp;" ["&amp;SUBSTITUTE(SUBSTITUTE(SUBSTITUTE(E1301," [",", "),"[",", "),"]","")&amp;"]")))</x:f>
      </x:c>
      <x:c r="G1301" t="str">
        <x:f>IF(F1301&lt;&gt;"",ROWS($F$3:F1301)-COUNTBLANK($F$3:F1301),"")</x:f>
      </x:c>
      <x:c r="H1301"/>
      <x:c r="I1301"/>
      <x:c r="J1301"/>
      <x:c r="K1301" t="str">
        <x:f>IF(ROW()-ROW($K$2)&lt;=SUM($J$3:$J$168),COUNTIF($H$3:$H$168,"&lt;"&amp;(ROW()-ROW($K$2))),"")</x:f>
      </x:c>
      <x:c r="L1301" t="str">
        <x:f>IF(K1301="","",ROW()-ROW($L$2)-INDEX($H$3:$H$168,K1301))</x:f>
      </x:c>
      <x:c r="M1301" t="str">
        <x:f>IF(K1301="","",IF(L1301=1,1,FIND(CHAR(1),SUBSTITUTE(INDEX($B$3:$B$168,K1301),CHAR(10),CHAR(1),L1301-1))+1))</x:f>
      </x:c>
      <x:c r="N1301" t="str">
        <x:f>IF(K1301="","",IFERROR(FIND(CHAR(1),SUBSTITUTE(INDEX($B$3:$B$168,K1301),CHAR(10),CHAR(1),L1301)),LEN(INDEX($B$3:$B$168,K1301))+1))</x:f>
      </x:c>
    </x:row>
    <x:row r="1302">
      <x:c r="A1302"/>
      <x:c r="B1302"/>
      <x:c r="C1302"/>
      <x:c r="D1302" t="str">
        <x:f>IFERROR(IF(1300&lt;=$O$1,INDEX($A$3:$A$168,MATCH(1300,$I$3:$I$168,0)),IF(1300&lt;=$O$1+$O$2,INDEX($F$3:$F$1994,MATCH(1300-$O$1,$G$3:$G$1994,0)),"")),"")</x:f>
      </x:c>
      <x:c r="E1302" t="str">
        <x:f>IF(K1302="","",IF(N1302&lt;=M1302,"",TRIM(CLEAN(MID(INDEX($B$3:$B$168,K1302),M1302,N1302-M1302)))))</x:f>
      </x:c>
      <x:c r="F1302" t="str">
        <x:f>IF(E1302="","",IF(E1302=TRIM(INDEX($A$3:$A$168,K1302)),"",IF(RIGHT(TRIM(INDEX($A$3:$A$168,K1302)),1)="]",LEFT(TRIM(INDEX($A$3:$A$168,K1302)),LEN(TRIM(INDEX($A$3:$A$168,K1302)))-1)&amp;", "&amp;SUBSTITUTE(SUBSTITUTE(SUBSTITUTE(E1302," [",", "),"[",", "),"]","")&amp;"]",TRIM(INDEX($A$3:$A$168,K1302))&amp;" ["&amp;SUBSTITUTE(SUBSTITUTE(SUBSTITUTE(E1302," [",", "),"[",", "),"]","")&amp;"]")))</x:f>
      </x:c>
      <x:c r="G1302" t="str">
        <x:f>IF(F1302&lt;&gt;"",ROWS($F$3:F1302)-COUNTBLANK($F$3:F1302),"")</x:f>
      </x:c>
      <x:c r="H1302"/>
      <x:c r="I1302"/>
      <x:c r="J1302"/>
      <x:c r="K1302" t="str">
        <x:f>IF(ROW()-ROW($K$2)&lt;=SUM($J$3:$J$168),COUNTIF($H$3:$H$168,"&lt;"&amp;(ROW()-ROW($K$2))),"")</x:f>
      </x:c>
      <x:c r="L1302" t="str">
        <x:f>IF(K1302="","",ROW()-ROW($L$2)-INDEX($H$3:$H$168,K1302))</x:f>
      </x:c>
      <x:c r="M1302" t="str">
        <x:f>IF(K1302="","",IF(L1302=1,1,FIND(CHAR(1),SUBSTITUTE(INDEX($B$3:$B$168,K1302),CHAR(10),CHAR(1),L1302-1))+1))</x:f>
      </x:c>
      <x:c r="N1302" t="str">
        <x:f>IF(K1302="","",IFERROR(FIND(CHAR(1),SUBSTITUTE(INDEX($B$3:$B$168,K1302),CHAR(10),CHAR(1),L1302)),LEN(INDEX($B$3:$B$168,K1302))+1))</x:f>
      </x:c>
    </x:row>
    <x:row r="1303">
      <x:c r="A1303"/>
      <x:c r="B1303"/>
      <x:c r="C1303"/>
      <x:c r="D1303" t="str">
        <x:f>IFERROR(IF(1301&lt;=$O$1,INDEX($A$3:$A$168,MATCH(1301,$I$3:$I$168,0)),IF(1301&lt;=$O$1+$O$2,INDEX($F$3:$F$1994,MATCH(1301-$O$1,$G$3:$G$1994,0)),"")),"")</x:f>
      </x:c>
      <x:c r="E1303" t="str">
        <x:f>IF(K1303="","",IF(N1303&lt;=M1303,"",TRIM(CLEAN(MID(INDEX($B$3:$B$168,K1303),M1303,N1303-M1303)))))</x:f>
      </x:c>
      <x:c r="F1303" t="str">
        <x:f>IF(E1303="","",IF(E1303=TRIM(INDEX($A$3:$A$168,K1303)),"",IF(RIGHT(TRIM(INDEX($A$3:$A$168,K1303)),1)="]",LEFT(TRIM(INDEX($A$3:$A$168,K1303)),LEN(TRIM(INDEX($A$3:$A$168,K1303)))-1)&amp;", "&amp;SUBSTITUTE(SUBSTITUTE(SUBSTITUTE(E1303," [",", "),"[",", "),"]","")&amp;"]",TRIM(INDEX($A$3:$A$168,K1303))&amp;" ["&amp;SUBSTITUTE(SUBSTITUTE(SUBSTITUTE(E1303," [",", "),"[",", "),"]","")&amp;"]")))</x:f>
      </x:c>
      <x:c r="G1303" t="str">
        <x:f>IF(F1303&lt;&gt;"",ROWS($F$3:F1303)-COUNTBLANK($F$3:F1303),"")</x:f>
      </x:c>
      <x:c r="H1303"/>
      <x:c r="I1303"/>
      <x:c r="J1303"/>
      <x:c r="K1303" t="str">
        <x:f>IF(ROW()-ROW($K$2)&lt;=SUM($J$3:$J$168),COUNTIF($H$3:$H$168,"&lt;"&amp;(ROW()-ROW($K$2))),"")</x:f>
      </x:c>
      <x:c r="L1303" t="str">
        <x:f>IF(K1303="","",ROW()-ROW($L$2)-INDEX($H$3:$H$168,K1303))</x:f>
      </x:c>
      <x:c r="M1303" t="str">
        <x:f>IF(K1303="","",IF(L1303=1,1,FIND(CHAR(1),SUBSTITUTE(INDEX($B$3:$B$168,K1303),CHAR(10),CHAR(1),L1303-1))+1))</x:f>
      </x:c>
      <x:c r="N1303" t="str">
        <x:f>IF(K1303="","",IFERROR(FIND(CHAR(1),SUBSTITUTE(INDEX($B$3:$B$168,K1303),CHAR(10),CHAR(1),L1303)),LEN(INDEX($B$3:$B$168,K1303))+1))</x:f>
      </x:c>
    </x:row>
    <x:row r="1304">
      <x:c r="A1304"/>
      <x:c r="B1304"/>
      <x:c r="C1304"/>
      <x:c r="D1304" t="str">
        <x:f>IFERROR(IF(1302&lt;=$O$1,INDEX($A$3:$A$168,MATCH(1302,$I$3:$I$168,0)),IF(1302&lt;=$O$1+$O$2,INDEX($F$3:$F$1994,MATCH(1302-$O$1,$G$3:$G$1994,0)),"")),"")</x:f>
      </x:c>
      <x:c r="E1304" t="str">
        <x:f>IF(K1304="","",IF(N1304&lt;=M1304,"",TRIM(CLEAN(MID(INDEX($B$3:$B$168,K1304),M1304,N1304-M1304)))))</x:f>
      </x:c>
      <x:c r="F1304" t="str">
        <x:f>IF(E1304="","",IF(E1304=TRIM(INDEX($A$3:$A$168,K1304)),"",IF(RIGHT(TRIM(INDEX($A$3:$A$168,K1304)),1)="]",LEFT(TRIM(INDEX($A$3:$A$168,K1304)),LEN(TRIM(INDEX($A$3:$A$168,K1304)))-1)&amp;", "&amp;SUBSTITUTE(SUBSTITUTE(SUBSTITUTE(E1304," [",", "),"[",", "),"]","")&amp;"]",TRIM(INDEX($A$3:$A$168,K1304))&amp;" ["&amp;SUBSTITUTE(SUBSTITUTE(SUBSTITUTE(E1304," [",", "),"[",", "),"]","")&amp;"]")))</x:f>
      </x:c>
      <x:c r="G1304" t="str">
        <x:f>IF(F1304&lt;&gt;"",ROWS($F$3:F1304)-COUNTBLANK($F$3:F1304),"")</x:f>
      </x:c>
      <x:c r="H1304"/>
      <x:c r="I1304"/>
      <x:c r="J1304"/>
      <x:c r="K1304" t="str">
        <x:f>IF(ROW()-ROW($K$2)&lt;=SUM($J$3:$J$168),COUNTIF($H$3:$H$168,"&lt;"&amp;(ROW()-ROW($K$2))),"")</x:f>
      </x:c>
      <x:c r="L1304" t="str">
        <x:f>IF(K1304="","",ROW()-ROW($L$2)-INDEX($H$3:$H$168,K1304))</x:f>
      </x:c>
      <x:c r="M1304" t="str">
        <x:f>IF(K1304="","",IF(L1304=1,1,FIND(CHAR(1),SUBSTITUTE(INDEX($B$3:$B$168,K1304),CHAR(10),CHAR(1),L1304-1))+1))</x:f>
      </x:c>
      <x:c r="N1304" t="str">
        <x:f>IF(K1304="","",IFERROR(FIND(CHAR(1),SUBSTITUTE(INDEX($B$3:$B$168,K1304),CHAR(10),CHAR(1),L1304)),LEN(INDEX($B$3:$B$168,K1304))+1))</x:f>
      </x:c>
    </x:row>
    <x:row r="1305">
      <x:c r="A1305"/>
      <x:c r="B1305"/>
      <x:c r="C1305"/>
      <x:c r="D1305" t="str">
        <x:f>IFERROR(IF(1303&lt;=$O$1,INDEX($A$3:$A$168,MATCH(1303,$I$3:$I$168,0)),IF(1303&lt;=$O$1+$O$2,INDEX($F$3:$F$1994,MATCH(1303-$O$1,$G$3:$G$1994,0)),"")),"")</x:f>
      </x:c>
      <x:c r="E1305" t="str">
        <x:f>IF(K1305="","",IF(N1305&lt;=M1305,"",TRIM(CLEAN(MID(INDEX($B$3:$B$168,K1305),M1305,N1305-M1305)))))</x:f>
      </x:c>
      <x:c r="F1305" t="str">
        <x:f>IF(E1305="","",IF(E1305=TRIM(INDEX($A$3:$A$168,K1305)),"",IF(RIGHT(TRIM(INDEX($A$3:$A$168,K1305)),1)="]",LEFT(TRIM(INDEX($A$3:$A$168,K1305)),LEN(TRIM(INDEX($A$3:$A$168,K1305)))-1)&amp;", "&amp;SUBSTITUTE(SUBSTITUTE(SUBSTITUTE(E1305," [",", "),"[",", "),"]","")&amp;"]",TRIM(INDEX($A$3:$A$168,K1305))&amp;" ["&amp;SUBSTITUTE(SUBSTITUTE(SUBSTITUTE(E1305," [",", "),"[",", "),"]","")&amp;"]")))</x:f>
      </x:c>
      <x:c r="G1305" t="str">
        <x:f>IF(F1305&lt;&gt;"",ROWS($F$3:F1305)-COUNTBLANK($F$3:F1305),"")</x:f>
      </x:c>
      <x:c r="H1305"/>
      <x:c r="I1305"/>
      <x:c r="J1305"/>
      <x:c r="K1305" t="str">
        <x:f>IF(ROW()-ROW($K$2)&lt;=SUM($J$3:$J$168),COUNTIF($H$3:$H$168,"&lt;"&amp;(ROW()-ROW($K$2))),"")</x:f>
      </x:c>
      <x:c r="L1305" t="str">
        <x:f>IF(K1305="","",ROW()-ROW($L$2)-INDEX($H$3:$H$168,K1305))</x:f>
      </x:c>
      <x:c r="M1305" t="str">
        <x:f>IF(K1305="","",IF(L1305=1,1,FIND(CHAR(1),SUBSTITUTE(INDEX($B$3:$B$168,K1305),CHAR(10),CHAR(1),L1305-1))+1))</x:f>
      </x:c>
      <x:c r="N1305" t="str">
        <x:f>IF(K1305="","",IFERROR(FIND(CHAR(1),SUBSTITUTE(INDEX($B$3:$B$168,K1305),CHAR(10),CHAR(1),L1305)),LEN(INDEX($B$3:$B$168,K1305))+1))</x:f>
      </x:c>
    </x:row>
    <x:row r="1306">
      <x:c r="A1306"/>
      <x:c r="B1306"/>
      <x:c r="C1306"/>
      <x:c r="D1306" t="str">
        <x:f>IFERROR(IF(1304&lt;=$O$1,INDEX($A$3:$A$168,MATCH(1304,$I$3:$I$168,0)),IF(1304&lt;=$O$1+$O$2,INDEX($F$3:$F$1994,MATCH(1304-$O$1,$G$3:$G$1994,0)),"")),"")</x:f>
      </x:c>
      <x:c r="E1306" t="str">
        <x:f>IF(K1306="","",IF(N1306&lt;=M1306,"",TRIM(CLEAN(MID(INDEX($B$3:$B$168,K1306),M1306,N1306-M1306)))))</x:f>
      </x:c>
      <x:c r="F1306" t="str">
        <x:f>IF(E1306="","",IF(E1306=TRIM(INDEX($A$3:$A$168,K1306)),"",IF(RIGHT(TRIM(INDEX($A$3:$A$168,K1306)),1)="]",LEFT(TRIM(INDEX($A$3:$A$168,K1306)),LEN(TRIM(INDEX($A$3:$A$168,K1306)))-1)&amp;", "&amp;SUBSTITUTE(SUBSTITUTE(SUBSTITUTE(E1306," [",", "),"[",", "),"]","")&amp;"]",TRIM(INDEX($A$3:$A$168,K1306))&amp;" ["&amp;SUBSTITUTE(SUBSTITUTE(SUBSTITUTE(E1306," [",", "),"[",", "),"]","")&amp;"]")))</x:f>
      </x:c>
      <x:c r="G1306" t="str">
        <x:f>IF(F1306&lt;&gt;"",ROWS($F$3:F1306)-COUNTBLANK($F$3:F1306),"")</x:f>
      </x:c>
      <x:c r="H1306"/>
      <x:c r="I1306"/>
      <x:c r="J1306"/>
      <x:c r="K1306" t="str">
        <x:f>IF(ROW()-ROW($K$2)&lt;=SUM($J$3:$J$168),COUNTIF($H$3:$H$168,"&lt;"&amp;(ROW()-ROW($K$2))),"")</x:f>
      </x:c>
      <x:c r="L1306" t="str">
        <x:f>IF(K1306="","",ROW()-ROW($L$2)-INDEX($H$3:$H$168,K1306))</x:f>
      </x:c>
      <x:c r="M1306" t="str">
        <x:f>IF(K1306="","",IF(L1306=1,1,FIND(CHAR(1),SUBSTITUTE(INDEX($B$3:$B$168,K1306),CHAR(10),CHAR(1),L1306-1))+1))</x:f>
      </x:c>
      <x:c r="N1306" t="str">
        <x:f>IF(K1306="","",IFERROR(FIND(CHAR(1),SUBSTITUTE(INDEX($B$3:$B$168,K1306),CHAR(10),CHAR(1),L1306)),LEN(INDEX($B$3:$B$168,K1306))+1))</x:f>
      </x:c>
    </x:row>
    <x:row r="1307">
      <x:c r="A1307"/>
      <x:c r="B1307"/>
      <x:c r="C1307"/>
      <x:c r="D1307" t="str">
        <x:f>IFERROR(IF(1305&lt;=$O$1,INDEX($A$3:$A$168,MATCH(1305,$I$3:$I$168,0)),IF(1305&lt;=$O$1+$O$2,INDEX($F$3:$F$1994,MATCH(1305-$O$1,$G$3:$G$1994,0)),"")),"")</x:f>
      </x:c>
      <x:c r="E1307" t="str">
        <x:f>IF(K1307="","",IF(N1307&lt;=M1307,"",TRIM(CLEAN(MID(INDEX($B$3:$B$168,K1307),M1307,N1307-M1307)))))</x:f>
      </x:c>
      <x:c r="F1307" t="str">
        <x:f>IF(E1307="","",IF(E1307=TRIM(INDEX($A$3:$A$168,K1307)),"",IF(RIGHT(TRIM(INDEX($A$3:$A$168,K1307)),1)="]",LEFT(TRIM(INDEX($A$3:$A$168,K1307)),LEN(TRIM(INDEX($A$3:$A$168,K1307)))-1)&amp;", "&amp;SUBSTITUTE(SUBSTITUTE(SUBSTITUTE(E1307," [",", "),"[",", "),"]","")&amp;"]",TRIM(INDEX($A$3:$A$168,K1307))&amp;" ["&amp;SUBSTITUTE(SUBSTITUTE(SUBSTITUTE(E1307," [",", "),"[",", "),"]","")&amp;"]")))</x:f>
      </x:c>
      <x:c r="G1307" t="str">
        <x:f>IF(F1307&lt;&gt;"",ROWS($F$3:F1307)-COUNTBLANK($F$3:F1307),"")</x:f>
      </x:c>
      <x:c r="H1307"/>
      <x:c r="I1307"/>
      <x:c r="J1307"/>
      <x:c r="K1307" t="str">
        <x:f>IF(ROW()-ROW($K$2)&lt;=SUM($J$3:$J$168),COUNTIF($H$3:$H$168,"&lt;"&amp;(ROW()-ROW($K$2))),"")</x:f>
      </x:c>
      <x:c r="L1307" t="str">
        <x:f>IF(K1307="","",ROW()-ROW($L$2)-INDEX($H$3:$H$168,K1307))</x:f>
      </x:c>
      <x:c r="M1307" t="str">
        <x:f>IF(K1307="","",IF(L1307=1,1,FIND(CHAR(1),SUBSTITUTE(INDEX($B$3:$B$168,K1307),CHAR(10),CHAR(1),L1307-1))+1))</x:f>
      </x:c>
      <x:c r="N1307" t="str">
        <x:f>IF(K1307="","",IFERROR(FIND(CHAR(1),SUBSTITUTE(INDEX($B$3:$B$168,K1307),CHAR(10),CHAR(1),L1307)),LEN(INDEX($B$3:$B$168,K1307))+1))</x:f>
      </x:c>
    </x:row>
    <x:row r="1308">
      <x:c r="A1308"/>
      <x:c r="B1308"/>
      <x:c r="C1308"/>
      <x:c r="D1308" t="str">
        <x:f>IFERROR(IF(1306&lt;=$O$1,INDEX($A$3:$A$168,MATCH(1306,$I$3:$I$168,0)),IF(1306&lt;=$O$1+$O$2,INDEX($F$3:$F$1994,MATCH(1306-$O$1,$G$3:$G$1994,0)),"")),"")</x:f>
      </x:c>
      <x:c r="E1308" t="str">
        <x:f>IF(K1308="","",IF(N1308&lt;=M1308,"",TRIM(CLEAN(MID(INDEX($B$3:$B$168,K1308),M1308,N1308-M1308)))))</x:f>
      </x:c>
      <x:c r="F1308" t="str">
        <x:f>IF(E1308="","",IF(E1308=TRIM(INDEX($A$3:$A$168,K1308)),"",IF(RIGHT(TRIM(INDEX($A$3:$A$168,K1308)),1)="]",LEFT(TRIM(INDEX($A$3:$A$168,K1308)),LEN(TRIM(INDEX($A$3:$A$168,K1308)))-1)&amp;", "&amp;SUBSTITUTE(SUBSTITUTE(SUBSTITUTE(E1308," [",", "),"[",", "),"]","")&amp;"]",TRIM(INDEX($A$3:$A$168,K1308))&amp;" ["&amp;SUBSTITUTE(SUBSTITUTE(SUBSTITUTE(E1308," [",", "),"[",", "),"]","")&amp;"]")))</x:f>
      </x:c>
      <x:c r="G1308" t="str">
        <x:f>IF(F1308&lt;&gt;"",ROWS($F$3:F1308)-COUNTBLANK($F$3:F1308),"")</x:f>
      </x:c>
      <x:c r="H1308"/>
      <x:c r="I1308"/>
      <x:c r="J1308"/>
      <x:c r="K1308" t="str">
        <x:f>IF(ROW()-ROW($K$2)&lt;=SUM($J$3:$J$168),COUNTIF($H$3:$H$168,"&lt;"&amp;(ROW()-ROW($K$2))),"")</x:f>
      </x:c>
      <x:c r="L1308" t="str">
        <x:f>IF(K1308="","",ROW()-ROW($L$2)-INDEX($H$3:$H$168,K1308))</x:f>
      </x:c>
      <x:c r="M1308" t="str">
        <x:f>IF(K1308="","",IF(L1308=1,1,FIND(CHAR(1),SUBSTITUTE(INDEX($B$3:$B$168,K1308),CHAR(10),CHAR(1),L1308-1))+1))</x:f>
      </x:c>
      <x:c r="N1308" t="str">
        <x:f>IF(K1308="","",IFERROR(FIND(CHAR(1),SUBSTITUTE(INDEX($B$3:$B$168,K1308),CHAR(10),CHAR(1),L1308)),LEN(INDEX($B$3:$B$168,K1308))+1))</x:f>
      </x:c>
    </x:row>
    <x:row r="1309">
      <x:c r="A1309"/>
      <x:c r="B1309"/>
      <x:c r="C1309"/>
      <x:c r="D1309" t="str">
        <x:f>IFERROR(IF(1307&lt;=$O$1,INDEX($A$3:$A$168,MATCH(1307,$I$3:$I$168,0)),IF(1307&lt;=$O$1+$O$2,INDEX($F$3:$F$1994,MATCH(1307-$O$1,$G$3:$G$1994,0)),"")),"")</x:f>
      </x:c>
      <x:c r="E1309" t="str">
        <x:f>IF(K1309="","",IF(N1309&lt;=M1309,"",TRIM(CLEAN(MID(INDEX($B$3:$B$168,K1309),M1309,N1309-M1309)))))</x:f>
      </x:c>
      <x:c r="F1309" t="str">
        <x:f>IF(E1309="","",IF(E1309=TRIM(INDEX($A$3:$A$168,K1309)),"",IF(RIGHT(TRIM(INDEX($A$3:$A$168,K1309)),1)="]",LEFT(TRIM(INDEX($A$3:$A$168,K1309)),LEN(TRIM(INDEX($A$3:$A$168,K1309)))-1)&amp;", "&amp;SUBSTITUTE(SUBSTITUTE(SUBSTITUTE(E1309," [",", "),"[",", "),"]","")&amp;"]",TRIM(INDEX($A$3:$A$168,K1309))&amp;" ["&amp;SUBSTITUTE(SUBSTITUTE(SUBSTITUTE(E1309," [",", "),"[",", "),"]","")&amp;"]")))</x:f>
      </x:c>
      <x:c r="G1309" t="str">
        <x:f>IF(F1309&lt;&gt;"",ROWS($F$3:F1309)-COUNTBLANK($F$3:F1309),"")</x:f>
      </x:c>
      <x:c r="H1309"/>
      <x:c r="I1309"/>
      <x:c r="J1309"/>
      <x:c r="K1309" t="str">
        <x:f>IF(ROW()-ROW($K$2)&lt;=SUM($J$3:$J$168),COUNTIF($H$3:$H$168,"&lt;"&amp;(ROW()-ROW($K$2))),"")</x:f>
      </x:c>
      <x:c r="L1309" t="str">
        <x:f>IF(K1309="","",ROW()-ROW($L$2)-INDEX($H$3:$H$168,K1309))</x:f>
      </x:c>
      <x:c r="M1309" t="str">
        <x:f>IF(K1309="","",IF(L1309=1,1,FIND(CHAR(1),SUBSTITUTE(INDEX($B$3:$B$168,K1309),CHAR(10),CHAR(1),L1309-1))+1))</x:f>
      </x:c>
      <x:c r="N1309" t="str">
        <x:f>IF(K1309="","",IFERROR(FIND(CHAR(1),SUBSTITUTE(INDEX($B$3:$B$168,K1309),CHAR(10),CHAR(1),L1309)),LEN(INDEX($B$3:$B$168,K1309))+1))</x:f>
      </x:c>
    </x:row>
    <x:row r="1310">
      <x:c r="A1310"/>
      <x:c r="B1310"/>
      <x:c r="C1310"/>
      <x:c r="D1310" t="str">
        <x:f>IFERROR(IF(1308&lt;=$O$1,INDEX($A$3:$A$168,MATCH(1308,$I$3:$I$168,0)),IF(1308&lt;=$O$1+$O$2,INDEX($F$3:$F$1994,MATCH(1308-$O$1,$G$3:$G$1994,0)),"")),"")</x:f>
      </x:c>
      <x:c r="E1310" t="str">
        <x:f>IF(K1310="","",IF(N1310&lt;=M1310,"",TRIM(CLEAN(MID(INDEX($B$3:$B$168,K1310),M1310,N1310-M1310)))))</x:f>
      </x:c>
      <x:c r="F1310" t="str">
        <x:f>IF(E1310="","",IF(E1310=TRIM(INDEX($A$3:$A$168,K1310)),"",IF(RIGHT(TRIM(INDEX($A$3:$A$168,K1310)),1)="]",LEFT(TRIM(INDEX($A$3:$A$168,K1310)),LEN(TRIM(INDEX($A$3:$A$168,K1310)))-1)&amp;", "&amp;SUBSTITUTE(SUBSTITUTE(SUBSTITUTE(E1310," [",", "),"[",", "),"]","")&amp;"]",TRIM(INDEX($A$3:$A$168,K1310))&amp;" ["&amp;SUBSTITUTE(SUBSTITUTE(SUBSTITUTE(E1310," [",", "),"[",", "),"]","")&amp;"]")))</x:f>
      </x:c>
      <x:c r="G1310" t="str">
        <x:f>IF(F1310&lt;&gt;"",ROWS($F$3:F1310)-COUNTBLANK($F$3:F1310),"")</x:f>
      </x:c>
      <x:c r="H1310"/>
      <x:c r="I1310"/>
      <x:c r="J1310"/>
      <x:c r="K1310" t="str">
        <x:f>IF(ROW()-ROW($K$2)&lt;=SUM($J$3:$J$168),COUNTIF($H$3:$H$168,"&lt;"&amp;(ROW()-ROW($K$2))),"")</x:f>
      </x:c>
      <x:c r="L1310" t="str">
        <x:f>IF(K1310="","",ROW()-ROW($L$2)-INDEX($H$3:$H$168,K1310))</x:f>
      </x:c>
      <x:c r="M1310" t="str">
        <x:f>IF(K1310="","",IF(L1310=1,1,FIND(CHAR(1),SUBSTITUTE(INDEX($B$3:$B$168,K1310),CHAR(10),CHAR(1),L1310-1))+1))</x:f>
      </x:c>
      <x:c r="N1310" t="str">
        <x:f>IF(K1310="","",IFERROR(FIND(CHAR(1),SUBSTITUTE(INDEX($B$3:$B$168,K1310),CHAR(10),CHAR(1),L1310)),LEN(INDEX($B$3:$B$168,K1310))+1))</x:f>
      </x:c>
    </x:row>
    <x:row r="1311">
      <x:c r="A1311"/>
      <x:c r="B1311"/>
      <x:c r="C1311"/>
      <x:c r="D1311" t="str">
        <x:f>IFERROR(IF(1309&lt;=$O$1,INDEX($A$3:$A$168,MATCH(1309,$I$3:$I$168,0)),IF(1309&lt;=$O$1+$O$2,INDEX($F$3:$F$1994,MATCH(1309-$O$1,$G$3:$G$1994,0)),"")),"")</x:f>
      </x:c>
      <x:c r="E1311" t="str">
        <x:f>IF(K1311="","",IF(N1311&lt;=M1311,"",TRIM(CLEAN(MID(INDEX($B$3:$B$168,K1311),M1311,N1311-M1311)))))</x:f>
      </x:c>
      <x:c r="F1311" t="str">
        <x:f>IF(E1311="","",IF(E1311=TRIM(INDEX($A$3:$A$168,K1311)),"",IF(RIGHT(TRIM(INDEX($A$3:$A$168,K1311)),1)="]",LEFT(TRIM(INDEX($A$3:$A$168,K1311)),LEN(TRIM(INDEX($A$3:$A$168,K1311)))-1)&amp;", "&amp;SUBSTITUTE(SUBSTITUTE(SUBSTITUTE(E1311," [",", "),"[",", "),"]","")&amp;"]",TRIM(INDEX($A$3:$A$168,K1311))&amp;" ["&amp;SUBSTITUTE(SUBSTITUTE(SUBSTITUTE(E1311," [",", "),"[",", "),"]","")&amp;"]")))</x:f>
      </x:c>
      <x:c r="G1311" t="str">
        <x:f>IF(F1311&lt;&gt;"",ROWS($F$3:F1311)-COUNTBLANK($F$3:F1311),"")</x:f>
      </x:c>
      <x:c r="H1311"/>
      <x:c r="I1311"/>
      <x:c r="J1311"/>
      <x:c r="K1311" t="str">
        <x:f>IF(ROW()-ROW($K$2)&lt;=SUM($J$3:$J$168),COUNTIF($H$3:$H$168,"&lt;"&amp;(ROW()-ROW($K$2))),"")</x:f>
      </x:c>
      <x:c r="L1311" t="str">
        <x:f>IF(K1311="","",ROW()-ROW($L$2)-INDEX($H$3:$H$168,K1311))</x:f>
      </x:c>
      <x:c r="M1311" t="str">
        <x:f>IF(K1311="","",IF(L1311=1,1,FIND(CHAR(1),SUBSTITUTE(INDEX($B$3:$B$168,K1311),CHAR(10),CHAR(1),L1311-1))+1))</x:f>
      </x:c>
      <x:c r="N1311" t="str">
        <x:f>IF(K1311="","",IFERROR(FIND(CHAR(1),SUBSTITUTE(INDEX($B$3:$B$168,K1311),CHAR(10),CHAR(1),L1311)),LEN(INDEX($B$3:$B$168,K1311))+1))</x:f>
      </x:c>
    </x:row>
    <x:row r="1312">
      <x:c r="A1312"/>
      <x:c r="B1312"/>
      <x:c r="C1312"/>
      <x:c r="D1312" t="str">
        <x:f>IFERROR(IF(1310&lt;=$O$1,INDEX($A$3:$A$168,MATCH(1310,$I$3:$I$168,0)),IF(1310&lt;=$O$1+$O$2,INDEX($F$3:$F$1994,MATCH(1310-$O$1,$G$3:$G$1994,0)),"")),"")</x:f>
      </x:c>
      <x:c r="E1312" t="str">
        <x:f>IF(K1312="","",IF(N1312&lt;=M1312,"",TRIM(CLEAN(MID(INDEX($B$3:$B$168,K1312),M1312,N1312-M1312)))))</x:f>
      </x:c>
      <x:c r="F1312" t="str">
        <x:f>IF(E1312="","",IF(E1312=TRIM(INDEX($A$3:$A$168,K1312)),"",IF(RIGHT(TRIM(INDEX($A$3:$A$168,K1312)),1)="]",LEFT(TRIM(INDEX($A$3:$A$168,K1312)),LEN(TRIM(INDEX($A$3:$A$168,K1312)))-1)&amp;", "&amp;SUBSTITUTE(SUBSTITUTE(SUBSTITUTE(E1312," [",", "),"[",", "),"]","")&amp;"]",TRIM(INDEX($A$3:$A$168,K1312))&amp;" ["&amp;SUBSTITUTE(SUBSTITUTE(SUBSTITUTE(E1312," [",", "),"[",", "),"]","")&amp;"]")))</x:f>
      </x:c>
      <x:c r="G1312" t="str">
        <x:f>IF(F1312&lt;&gt;"",ROWS($F$3:F1312)-COUNTBLANK($F$3:F1312),"")</x:f>
      </x:c>
      <x:c r="H1312"/>
      <x:c r="I1312"/>
      <x:c r="J1312"/>
      <x:c r="K1312" t="str">
        <x:f>IF(ROW()-ROW($K$2)&lt;=SUM($J$3:$J$168),COUNTIF($H$3:$H$168,"&lt;"&amp;(ROW()-ROW($K$2))),"")</x:f>
      </x:c>
      <x:c r="L1312" t="str">
        <x:f>IF(K1312="","",ROW()-ROW($L$2)-INDEX($H$3:$H$168,K1312))</x:f>
      </x:c>
      <x:c r="M1312" t="str">
        <x:f>IF(K1312="","",IF(L1312=1,1,FIND(CHAR(1),SUBSTITUTE(INDEX($B$3:$B$168,K1312),CHAR(10),CHAR(1),L1312-1))+1))</x:f>
      </x:c>
      <x:c r="N1312" t="str">
        <x:f>IF(K1312="","",IFERROR(FIND(CHAR(1),SUBSTITUTE(INDEX($B$3:$B$168,K1312),CHAR(10),CHAR(1),L1312)),LEN(INDEX($B$3:$B$168,K1312))+1))</x:f>
      </x:c>
    </x:row>
    <x:row r="1313">
      <x:c r="A1313"/>
      <x:c r="B1313"/>
      <x:c r="C1313"/>
      <x:c r="D1313" t="str">
        <x:f>IFERROR(IF(1311&lt;=$O$1,INDEX($A$3:$A$168,MATCH(1311,$I$3:$I$168,0)),IF(1311&lt;=$O$1+$O$2,INDEX($F$3:$F$1994,MATCH(1311-$O$1,$G$3:$G$1994,0)),"")),"")</x:f>
      </x:c>
      <x:c r="E1313" t="str">
        <x:f>IF(K1313="","",IF(N1313&lt;=M1313,"",TRIM(CLEAN(MID(INDEX($B$3:$B$168,K1313),M1313,N1313-M1313)))))</x:f>
      </x:c>
      <x:c r="F1313" t="str">
        <x:f>IF(E1313="","",IF(E1313=TRIM(INDEX($A$3:$A$168,K1313)),"",IF(RIGHT(TRIM(INDEX($A$3:$A$168,K1313)),1)="]",LEFT(TRIM(INDEX($A$3:$A$168,K1313)),LEN(TRIM(INDEX($A$3:$A$168,K1313)))-1)&amp;", "&amp;SUBSTITUTE(SUBSTITUTE(SUBSTITUTE(E1313," [",", "),"[",", "),"]","")&amp;"]",TRIM(INDEX($A$3:$A$168,K1313))&amp;" ["&amp;SUBSTITUTE(SUBSTITUTE(SUBSTITUTE(E1313," [",", "),"[",", "),"]","")&amp;"]")))</x:f>
      </x:c>
      <x:c r="G1313" t="str">
        <x:f>IF(F1313&lt;&gt;"",ROWS($F$3:F1313)-COUNTBLANK($F$3:F1313),"")</x:f>
      </x:c>
      <x:c r="H1313"/>
      <x:c r="I1313"/>
      <x:c r="J1313"/>
      <x:c r="K1313" t="str">
        <x:f>IF(ROW()-ROW($K$2)&lt;=SUM($J$3:$J$168),COUNTIF($H$3:$H$168,"&lt;"&amp;(ROW()-ROW($K$2))),"")</x:f>
      </x:c>
      <x:c r="L1313" t="str">
        <x:f>IF(K1313="","",ROW()-ROW($L$2)-INDEX($H$3:$H$168,K1313))</x:f>
      </x:c>
      <x:c r="M1313" t="str">
        <x:f>IF(K1313="","",IF(L1313=1,1,FIND(CHAR(1),SUBSTITUTE(INDEX($B$3:$B$168,K1313),CHAR(10),CHAR(1),L1313-1))+1))</x:f>
      </x:c>
      <x:c r="N1313" t="str">
        <x:f>IF(K1313="","",IFERROR(FIND(CHAR(1),SUBSTITUTE(INDEX($B$3:$B$168,K1313),CHAR(10),CHAR(1),L1313)),LEN(INDEX($B$3:$B$168,K1313))+1))</x:f>
      </x:c>
    </x:row>
    <x:row r="1314">
      <x:c r="A1314"/>
      <x:c r="B1314"/>
      <x:c r="C1314"/>
      <x:c r="D1314" t="str">
        <x:f>IFERROR(IF(1312&lt;=$O$1,INDEX($A$3:$A$168,MATCH(1312,$I$3:$I$168,0)),IF(1312&lt;=$O$1+$O$2,INDEX($F$3:$F$1994,MATCH(1312-$O$1,$G$3:$G$1994,0)),"")),"")</x:f>
      </x:c>
      <x:c r="E1314" t="str">
        <x:f>IF(K1314="","",IF(N1314&lt;=M1314,"",TRIM(CLEAN(MID(INDEX($B$3:$B$168,K1314),M1314,N1314-M1314)))))</x:f>
      </x:c>
      <x:c r="F1314" t="str">
        <x:f>IF(E1314="","",IF(E1314=TRIM(INDEX($A$3:$A$168,K1314)),"",IF(RIGHT(TRIM(INDEX($A$3:$A$168,K1314)),1)="]",LEFT(TRIM(INDEX($A$3:$A$168,K1314)),LEN(TRIM(INDEX($A$3:$A$168,K1314)))-1)&amp;", "&amp;SUBSTITUTE(SUBSTITUTE(SUBSTITUTE(E1314," [",", "),"[",", "),"]","")&amp;"]",TRIM(INDEX($A$3:$A$168,K1314))&amp;" ["&amp;SUBSTITUTE(SUBSTITUTE(SUBSTITUTE(E1314," [",", "),"[",", "),"]","")&amp;"]")))</x:f>
      </x:c>
      <x:c r="G1314" t="str">
        <x:f>IF(F1314&lt;&gt;"",ROWS($F$3:F1314)-COUNTBLANK($F$3:F1314),"")</x:f>
      </x:c>
      <x:c r="H1314"/>
      <x:c r="I1314"/>
      <x:c r="J1314"/>
      <x:c r="K1314" t="str">
        <x:f>IF(ROW()-ROW($K$2)&lt;=SUM($J$3:$J$168),COUNTIF($H$3:$H$168,"&lt;"&amp;(ROW()-ROW($K$2))),"")</x:f>
      </x:c>
      <x:c r="L1314" t="str">
        <x:f>IF(K1314="","",ROW()-ROW($L$2)-INDEX($H$3:$H$168,K1314))</x:f>
      </x:c>
      <x:c r="M1314" t="str">
        <x:f>IF(K1314="","",IF(L1314=1,1,FIND(CHAR(1),SUBSTITUTE(INDEX($B$3:$B$168,K1314),CHAR(10),CHAR(1),L1314-1))+1))</x:f>
      </x:c>
      <x:c r="N1314" t="str">
        <x:f>IF(K1314="","",IFERROR(FIND(CHAR(1),SUBSTITUTE(INDEX($B$3:$B$168,K1314),CHAR(10),CHAR(1),L1314)),LEN(INDEX($B$3:$B$168,K1314))+1))</x:f>
      </x:c>
    </x:row>
    <x:row r="1315">
      <x:c r="A1315"/>
      <x:c r="B1315"/>
      <x:c r="C1315"/>
      <x:c r="D1315" t="str">
        <x:f>IFERROR(IF(1313&lt;=$O$1,INDEX($A$3:$A$168,MATCH(1313,$I$3:$I$168,0)),IF(1313&lt;=$O$1+$O$2,INDEX($F$3:$F$1994,MATCH(1313-$O$1,$G$3:$G$1994,0)),"")),"")</x:f>
      </x:c>
      <x:c r="E1315" t="str">
        <x:f>IF(K1315="","",IF(N1315&lt;=M1315,"",TRIM(CLEAN(MID(INDEX($B$3:$B$168,K1315),M1315,N1315-M1315)))))</x:f>
      </x:c>
      <x:c r="F1315" t="str">
        <x:f>IF(E1315="","",IF(E1315=TRIM(INDEX($A$3:$A$168,K1315)),"",IF(RIGHT(TRIM(INDEX($A$3:$A$168,K1315)),1)="]",LEFT(TRIM(INDEX($A$3:$A$168,K1315)),LEN(TRIM(INDEX($A$3:$A$168,K1315)))-1)&amp;", "&amp;SUBSTITUTE(SUBSTITUTE(SUBSTITUTE(E1315," [",", "),"[",", "),"]","")&amp;"]",TRIM(INDEX($A$3:$A$168,K1315))&amp;" ["&amp;SUBSTITUTE(SUBSTITUTE(SUBSTITUTE(E1315," [",", "),"[",", "),"]","")&amp;"]")))</x:f>
      </x:c>
      <x:c r="G1315" t="str">
        <x:f>IF(F1315&lt;&gt;"",ROWS($F$3:F1315)-COUNTBLANK($F$3:F1315),"")</x:f>
      </x:c>
      <x:c r="H1315"/>
      <x:c r="I1315"/>
      <x:c r="J1315"/>
      <x:c r="K1315" t="str">
        <x:f>IF(ROW()-ROW($K$2)&lt;=SUM($J$3:$J$168),COUNTIF($H$3:$H$168,"&lt;"&amp;(ROW()-ROW($K$2))),"")</x:f>
      </x:c>
      <x:c r="L1315" t="str">
        <x:f>IF(K1315="","",ROW()-ROW($L$2)-INDEX($H$3:$H$168,K1315))</x:f>
      </x:c>
      <x:c r="M1315" t="str">
        <x:f>IF(K1315="","",IF(L1315=1,1,FIND(CHAR(1),SUBSTITUTE(INDEX($B$3:$B$168,K1315),CHAR(10),CHAR(1),L1315-1))+1))</x:f>
      </x:c>
      <x:c r="N1315" t="str">
        <x:f>IF(K1315="","",IFERROR(FIND(CHAR(1),SUBSTITUTE(INDEX($B$3:$B$168,K1315),CHAR(10),CHAR(1),L1315)),LEN(INDEX($B$3:$B$168,K1315))+1))</x:f>
      </x:c>
    </x:row>
    <x:row r="1316">
      <x:c r="A1316"/>
      <x:c r="B1316"/>
      <x:c r="C1316"/>
      <x:c r="D1316" t="str">
        <x:f>IFERROR(IF(1314&lt;=$O$1,INDEX($A$3:$A$168,MATCH(1314,$I$3:$I$168,0)),IF(1314&lt;=$O$1+$O$2,INDEX($F$3:$F$1994,MATCH(1314-$O$1,$G$3:$G$1994,0)),"")),"")</x:f>
      </x:c>
      <x:c r="E1316" t="str">
        <x:f>IF(K1316="","",IF(N1316&lt;=M1316,"",TRIM(CLEAN(MID(INDEX($B$3:$B$168,K1316),M1316,N1316-M1316)))))</x:f>
      </x:c>
      <x:c r="F1316" t="str">
        <x:f>IF(E1316="","",IF(E1316=TRIM(INDEX($A$3:$A$168,K1316)),"",IF(RIGHT(TRIM(INDEX($A$3:$A$168,K1316)),1)="]",LEFT(TRIM(INDEX($A$3:$A$168,K1316)),LEN(TRIM(INDEX($A$3:$A$168,K1316)))-1)&amp;", "&amp;SUBSTITUTE(SUBSTITUTE(SUBSTITUTE(E1316," [",", "),"[",", "),"]","")&amp;"]",TRIM(INDEX($A$3:$A$168,K1316))&amp;" ["&amp;SUBSTITUTE(SUBSTITUTE(SUBSTITUTE(E1316," [",", "),"[",", "),"]","")&amp;"]")))</x:f>
      </x:c>
      <x:c r="G1316" t="str">
        <x:f>IF(F1316&lt;&gt;"",ROWS($F$3:F1316)-COUNTBLANK($F$3:F1316),"")</x:f>
      </x:c>
      <x:c r="H1316"/>
      <x:c r="I1316"/>
      <x:c r="J1316"/>
      <x:c r="K1316" t="str">
        <x:f>IF(ROW()-ROW($K$2)&lt;=SUM($J$3:$J$168),COUNTIF($H$3:$H$168,"&lt;"&amp;(ROW()-ROW($K$2))),"")</x:f>
      </x:c>
      <x:c r="L1316" t="str">
        <x:f>IF(K1316="","",ROW()-ROW($L$2)-INDEX($H$3:$H$168,K1316))</x:f>
      </x:c>
      <x:c r="M1316" t="str">
        <x:f>IF(K1316="","",IF(L1316=1,1,FIND(CHAR(1),SUBSTITUTE(INDEX($B$3:$B$168,K1316),CHAR(10),CHAR(1),L1316-1))+1))</x:f>
      </x:c>
      <x:c r="N1316" t="str">
        <x:f>IF(K1316="","",IFERROR(FIND(CHAR(1),SUBSTITUTE(INDEX($B$3:$B$168,K1316),CHAR(10),CHAR(1),L1316)),LEN(INDEX($B$3:$B$168,K1316))+1))</x:f>
      </x:c>
    </x:row>
    <x:row r="1317">
      <x:c r="A1317"/>
      <x:c r="B1317"/>
      <x:c r="C1317"/>
      <x:c r="D1317" t="str">
        <x:f>IFERROR(IF(1315&lt;=$O$1,INDEX($A$3:$A$168,MATCH(1315,$I$3:$I$168,0)),IF(1315&lt;=$O$1+$O$2,INDEX($F$3:$F$1994,MATCH(1315-$O$1,$G$3:$G$1994,0)),"")),"")</x:f>
      </x:c>
      <x:c r="E1317" t="str">
        <x:f>IF(K1317="","",IF(N1317&lt;=M1317,"",TRIM(CLEAN(MID(INDEX($B$3:$B$168,K1317),M1317,N1317-M1317)))))</x:f>
      </x:c>
      <x:c r="F1317" t="str">
        <x:f>IF(E1317="","",IF(E1317=TRIM(INDEX($A$3:$A$168,K1317)),"",IF(RIGHT(TRIM(INDEX($A$3:$A$168,K1317)),1)="]",LEFT(TRIM(INDEX($A$3:$A$168,K1317)),LEN(TRIM(INDEX($A$3:$A$168,K1317)))-1)&amp;", "&amp;SUBSTITUTE(SUBSTITUTE(SUBSTITUTE(E1317," [",", "),"[",", "),"]","")&amp;"]",TRIM(INDEX($A$3:$A$168,K1317))&amp;" ["&amp;SUBSTITUTE(SUBSTITUTE(SUBSTITUTE(E1317," [",", "),"[",", "),"]","")&amp;"]")))</x:f>
      </x:c>
      <x:c r="G1317" t="str">
        <x:f>IF(F1317&lt;&gt;"",ROWS($F$3:F1317)-COUNTBLANK($F$3:F1317),"")</x:f>
      </x:c>
      <x:c r="H1317"/>
      <x:c r="I1317"/>
      <x:c r="J1317"/>
      <x:c r="K1317" t="str">
        <x:f>IF(ROW()-ROW($K$2)&lt;=SUM($J$3:$J$168),COUNTIF($H$3:$H$168,"&lt;"&amp;(ROW()-ROW($K$2))),"")</x:f>
      </x:c>
      <x:c r="L1317" t="str">
        <x:f>IF(K1317="","",ROW()-ROW($L$2)-INDEX($H$3:$H$168,K1317))</x:f>
      </x:c>
      <x:c r="M1317" t="str">
        <x:f>IF(K1317="","",IF(L1317=1,1,FIND(CHAR(1),SUBSTITUTE(INDEX($B$3:$B$168,K1317),CHAR(10),CHAR(1),L1317-1))+1))</x:f>
      </x:c>
      <x:c r="N1317" t="str">
        <x:f>IF(K1317="","",IFERROR(FIND(CHAR(1),SUBSTITUTE(INDEX($B$3:$B$168,K1317),CHAR(10),CHAR(1),L1317)),LEN(INDEX($B$3:$B$168,K1317))+1))</x:f>
      </x:c>
    </x:row>
    <x:row r="1318">
      <x:c r="A1318"/>
      <x:c r="B1318"/>
      <x:c r="C1318"/>
      <x:c r="D1318" t="str">
        <x:f>IFERROR(IF(1316&lt;=$O$1,INDEX($A$3:$A$168,MATCH(1316,$I$3:$I$168,0)),IF(1316&lt;=$O$1+$O$2,INDEX($F$3:$F$1994,MATCH(1316-$O$1,$G$3:$G$1994,0)),"")),"")</x:f>
      </x:c>
      <x:c r="E1318" t="str">
        <x:f>IF(K1318="","",IF(N1318&lt;=M1318,"",TRIM(CLEAN(MID(INDEX($B$3:$B$168,K1318),M1318,N1318-M1318)))))</x:f>
      </x:c>
      <x:c r="F1318" t="str">
        <x:f>IF(E1318="","",IF(E1318=TRIM(INDEX($A$3:$A$168,K1318)),"",IF(RIGHT(TRIM(INDEX($A$3:$A$168,K1318)),1)="]",LEFT(TRIM(INDEX($A$3:$A$168,K1318)),LEN(TRIM(INDEX($A$3:$A$168,K1318)))-1)&amp;", "&amp;SUBSTITUTE(SUBSTITUTE(SUBSTITUTE(E1318," [",", "),"[",", "),"]","")&amp;"]",TRIM(INDEX($A$3:$A$168,K1318))&amp;" ["&amp;SUBSTITUTE(SUBSTITUTE(SUBSTITUTE(E1318," [",", "),"[",", "),"]","")&amp;"]")))</x:f>
      </x:c>
      <x:c r="G1318" t="str">
        <x:f>IF(F1318&lt;&gt;"",ROWS($F$3:F1318)-COUNTBLANK($F$3:F1318),"")</x:f>
      </x:c>
      <x:c r="H1318"/>
      <x:c r="I1318"/>
      <x:c r="J1318"/>
      <x:c r="K1318" t="str">
        <x:f>IF(ROW()-ROW($K$2)&lt;=SUM($J$3:$J$168),COUNTIF($H$3:$H$168,"&lt;"&amp;(ROW()-ROW($K$2))),"")</x:f>
      </x:c>
      <x:c r="L1318" t="str">
        <x:f>IF(K1318="","",ROW()-ROW($L$2)-INDEX($H$3:$H$168,K1318))</x:f>
      </x:c>
      <x:c r="M1318" t="str">
        <x:f>IF(K1318="","",IF(L1318=1,1,FIND(CHAR(1),SUBSTITUTE(INDEX($B$3:$B$168,K1318),CHAR(10),CHAR(1),L1318-1))+1))</x:f>
      </x:c>
      <x:c r="N1318" t="str">
        <x:f>IF(K1318="","",IFERROR(FIND(CHAR(1),SUBSTITUTE(INDEX($B$3:$B$168,K1318),CHAR(10),CHAR(1),L1318)),LEN(INDEX($B$3:$B$168,K1318))+1))</x:f>
      </x:c>
    </x:row>
    <x:row r="1319">
      <x:c r="A1319"/>
      <x:c r="B1319"/>
      <x:c r="C1319"/>
      <x:c r="D1319" t="str">
        <x:f>IFERROR(IF(1317&lt;=$O$1,INDEX($A$3:$A$168,MATCH(1317,$I$3:$I$168,0)),IF(1317&lt;=$O$1+$O$2,INDEX($F$3:$F$1994,MATCH(1317-$O$1,$G$3:$G$1994,0)),"")),"")</x:f>
      </x:c>
      <x:c r="E1319" t="str">
        <x:f>IF(K1319="","",IF(N1319&lt;=M1319,"",TRIM(CLEAN(MID(INDEX($B$3:$B$168,K1319),M1319,N1319-M1319)))))</x:f>
      </x:c>
      <x:c r="F1319" t="str">
        <x:f>IF(E1319="","",IF(E1319=TRIM(INDEX($A$3:$A$168,K1319)),"",IF(RIGHT(TRIM(INDEX($A$3:$A$168,K1319)),1)="]",LEFT(TRIM(INDEX($A$3:$A$168,K1319)),LEN(TRIM(INDEX($A$3:$A$168,K1319)))-1)&amp;", "&amp;SUBSTITUTE(SUBSTITUTE(SUBSTITUTE(E1319," [",", "),"[",", "),"]","")&amp;"]",TRIM(INDEX($A$3:$A$168,K1319))&amp;" ["&amp;SUBSTITUTE(SUBSTITUTE(SUBSTITUTE(E1319," [",", "),"[",", "),"]","")&amp;"]")))</x:f>
      </x:c>
      <x:c r="G1319" t="str">
        <x:f>IF(F1319&lt;&gt;"",ROWS($F$3:F1319)-COUNTBLANK($F$3:F1319),"")</x:f>
      </x:c>
      <x:c r="H1319"/>
      <x:c r="I1319"/>
      <x:c r="J1319"/>
      <x:c r="K1319" t="str">
        <x:f>IF(ROW()-ROW($K$2)&lt;=SUM($J$3:$J$168),COUNTIF($H$3:$H$168,"&lt;"&amp;(ROW()-ROW($K$2))),"")</x:f>
      </x:c>
      <x:c r="L1319" t="str">
        <x:f>IF(K1319="","",ROW()-ROW($L$2)-INDEX($H$3:$H$168,K1319))</x:f>
      </x:c>
      <x:c r="M1319" t="str">
        <x:f>IF(K1319="","",IF(L1319=1,1,FIND(CHAR(1),SUBSTITUTE(INDEX($B$3:$B$168,K1319),CHAR(10),CHAR(1),L1319-1))+1))</x:f>
      </x:c>
      <x:c r="N1319" t="str">
        <x:f>IF(K1319="","",IFERROR(FIND(CHAR(1),SUBSTITUTE(INDEX($B$3:$B$168,K1319),CHAR(10),CHAR(1),L1319)),LEN(INDEX($B$3:$B$168,K1319))+1))</x:f>
      </x:c>
    </x:row>
    <x:row r="1320">
      <x:c r="A1320"/>
      <x:c r="B1320"/>
      <x:c r="C1320"/>
      <x:c r="D1320" t="str">
        <x:f>IFERROR(IF(1318&lt;=$O$1,INDEX($A$3:$A$168,MATCH(1318,$I$3:$I$168,0)),IF(1318&lt;=$O$1+$O$2,INDEX($F$3:$F$1994,MATCH(1318-$O$1,$G$3:$G$1994,0)),"")),"")</x:f>
      </x:c>
      <x:c r="E1320" t="str">
        <x:f>IF(K1320="","",IF(N1320&lt;=M1320,"",TRIM(CLEAN(MID(INDEX($B$3:$B$168,K1320),M1320,N1320-M1320)))))</x:f>
      </x:c>
      <x:c r="F1320" t="str">
        <x:f>IF(E1320="","",IF(E1320=TRIM(INDEX($A$3:$A$168,K1320)),"",IF(RIGHT(TRIM(INDEX($A$3:$A$168,K1320)),1)="]",LEFT(TRIM(INDEX($A$3:$A$168,K1320)),LEN(TRIM(INDEX($A$3:$A$168,K1320)))-1)&amp;", "&amp;SUBSTITUTE(SUBSTITUTE(SUBSTITUTE(E1320," [",", "),"[",", "),"]","")&amp;"]",TRIM(INDEX($A$3:$A$168,K1320))&amp;" ["&amp;SUBSTITUTE(SUBSTITUTE(SUBSTITUTE(E1320," [",", "),"[",", "),"]","")&amp;"]")))</x:f>
      </x:c>
      <x:c r="G1320" t="str">
        <x:f>IF(F1320&lt;&gt;"",ROWS($F$3:F1320)-COUNTBLANK($F$3:F1320),"")</x:f>
      </x:c>
      <x:c r="H1320"/>
      <x:c r="I1320"/>
      <x:c r="J1320"/>
      <x:c r="K1320" t="str">
        <x:f>IF(ROW()-ROW($K$2)&lt;=SUM($J$3:$J$168),COUNTIF($H$3:$H$168,"&lt;"&amp;(ROW()-ROW($K$2))),"")</x:f>
      </x:c>
      <x:c r="L1320" t="str">
        <x:f>IF(K1320="","",ROW()-ROW($L$2)-INDEX($H$3:$H$168,K1320))</x:f>
      </x:c>
      <x:c r="M1320" t="str">
        <x:f>IF(K1320="","",IF(L1320=1,1,FIND(CHAR(1),SUBSTITUTE(INDEX($B$3:$B$168,K1320),CHAR(10),CHAR(1),L1320-1))+1))</x:f>
      </x:c>
      <x:c r="N1320" t="str">
        <x:f>IF(K1320="","",IFERROR(FIND(CHAR(1),SUBSTITUTE(INDEX($B$3:$B$168,K1320),CHAR(10),CHAR(1),L1320)),LEN(INDEX($B$3:$B$168,K1320))+1))</x:f>
      </x:c>
    </x:row>
    <x:row r="1321">
      <x:c r="A1321"/>
      <x:c r="B1321"/>
      <x:c r="C1321"/>
      <x:c r="D1321" t="str">
        <x:f>IFERROR(IF(1319&lt;=$O$1,INDEX($A$3:$A$168,MATCH(1319,$I$3:$I$168,0)),IF(1319&lt;=$O$1+$O$2,INDEX($F$3:$F$1994,MATCH(1319-$O$1,$G$3:$G$1994,0)),"")),"")</x:f>
      </x:c>
      <x:c r="E1321" t="str">
        <x:f>IF(K1321="","",IF(N1321&lt;=M1321,"",TRIM(CLEAN(MID(INDEX($B$3:$B$168,K1321),M1321,N1321-M1321)))))</x:f>
      </x:c>
      <x:c r="F1321" t="str">
        <x:f>IF(E1321="","",IF(E1321=TRIM(INDEX($A$3:$A$168,K1321)),"",IF(RIGHT(TRIM(INDEX($A$3:$A$168,K1321)),1)="]",LEFT(TRIM(INDEX($A$3:$A$168,K1321)),LEN(TRIM(INDEX($A$3:$A$168,K1321)))-1)&amp;", "&amp;SUBSTITUTE(SUBSTITUTE(SUBSTITUTE(E1321," [",", "),"[",", "),"]","")&amp;"]",TRIM(INDEX($A$3:$A$168,K1321))&amp;" ["&amp;SUBSTITUTE(SUBSTITUTE(SUBSTITUTE(E1321," [",", "),"[",", "),"]","")&amp;"]")))</x:f>
      </x:c>
      <x:c r="G1321" t="str">
        <x:f>IF(F1321&lt;&gt;"",ROWS($F$3:F1321)-COUNTBLANK($F$3:F1321),"")</x:f>
      </x:c>
      <x:c r="H1321"/>
      <x:c r="I1321"/>
      <x:c r="J1321"/>
      <x:c r="K1321" t="str">
        <x:f>IF(ROW()-ROW($K$2)&lt;=SUM($J$3:$J$168),COUNTIF($H$3:$H$168,"&lt;"&amp;(ROW()-ROW($K$2))),"")</x:f>
      </x:c>
      <x:c r="L1321" t="str">
        <x:f>IF(K1321="","",ROW()-ROW($L$2)-INDEX($H$3:$H$168,K1321))</x:f>
      </x:c>
      <x:c r="M1321" t="str">
        <x:f>IF(K1321="","",IF(L1321=1,1,FIND(CHAR(1),SUBSTITUTE(INDEX($B$3:$B$168,K1321),CHAR(10),CHAR(1),L1321-1))+1))</x:f>
      </x:c>
      <x:c r="N1321" t="str">
        <x:f>IF(K1321="","",IFERROR(FIND(CHAR(1),SUBSTITUTE(INDEX($B$3:$B$168,K1321),CHAR(10),CHAR(1),L1321)),LEN(INDEX($B$3:$B$168,K1321))+1))</x:f>
      </x:c>
    </x:row>
    <x:row r="1322">
      <x:c r="A1322"/>
      <x:c r="B1322"/>
      <x:c r="C1322"/>
      <x:c r="D1322" t="str">
        <x:f>IFERROR(IF(1320&lt;=$O$1,INDEX($A$3:$A$168,MATCH(1320,$I$3:$I$168,0)),IF(1320&lt;=$O$1+$O$2,INDEX($F$3:$F$1994,MATCH(1320-$O$1,$G$3:$G$1994,0)),"")),"")</x:f>
      </x:c>
      <x:c r="E1322" t="str">
        <x:f>IF(K1322="","",IF(N1322&lt;=M1322,"",TRIM(CLEAN(MID(INDEX($B$3:$B$168,K1322),M1322,N1322-M1322)))))</x:f>
      </x:c>
      <x:c r="F1322" t="str">
        <x:f>IF(E1322="","",IF(E1322=TRIM(INDEX($A$3:$A$168,K1322)),"",IF(RIGHT(TRIM(INDEX($A$3:$A$168,K1322)),1)="]",LEFT(TRIM(INDEX($A$3:$A$168,K1322)),LEN(TRIM(INDEX($A$3:$A$168,K1322)))-1)&amp;", "&amp;SUBSTITUTE(SUBSTITUTE(SUBSTITUTE(E1322," [",", "),"[",", "),"]","")&amp;"]",TRIM(INDEX($A$3:$A$168,K1322))&amp;" ["&amp;SUBSTITUTE(SUBSTITUTE(SUBSTITUTE(E1322," [",", "),"[",", "),"]","")&amp;"]")))</x:f>
      </x:c>
      <x:c r="G1322" t="str">
        <x:f>IF(F1322&lt;&gt;"",ROWS($F$3:F1322)-COUNTBLANK($F$3:F1322),"")</x:f>
      </x:c>
      <x:c r="H1322"/>
      <x:c r="I1322"/>
      <x:c r="J1322"/>
      <x:c r="K1322" t="str">
        <x:f>IF(ROW()-ROW($K$2)&lt;=SUM($J$3:$J$168),COUNTIF($H$3:$H$168,"&lt;"&amp;(ROW()-ROW($K$2))),"")</x:f>
      </x:c>
      <x:c r="L1322" t="str">
        <x:f>IF(K1322="","",ROW()-ROW($L$2)-INDEX($H$3:$H$168,K1322))</x:f>
      </x:c>
      <x:c r="M1322" t="str">
        <x:f>IF(K1322="","",IF(L1322=1,1,FIND(CHAR(1),SUBSTITUTE(INDEX($B$3:$B$168,K1322),CHAR(10),CHAR(1),L1322-1))+1))</x:f>
      </x:c>
      <x:c r="N1322" t="str">
        <x:f>IF(K1322="","",IFERROR(FIND(CHAR(1),SUBSTITUTE(INDEX($B$3:$B$168,K1322),CHAR(10),CHAR(1),L1322)),LEN(INDEX($B$3:$B$168,K1322))+1))</x:f>
      </x:c>
    </x:row>
    <x:row r="1323">
      <x:c r="A1323"/>
      <x:c r="B1323"/>
      <x:c r="C1323"/>
      <x:c r="D1323" t="str">
        <x:f>IFERROR(IF(1321&lt;=$O$1,INDEX($A$3:$A$168,MATCH(1321,$I$3:$I$168,0)),IF(1321&lt;=$O$1+$O$2,INDEX($F$3:$F$1994,MATCH(1321-$O$1,$G$3:$G$1994,0)),"")),"")</x:f>
      </x:c>
      <x:c r="E1323" t="str">
        <x:f>IF(K1323="","",IF(N1323&lt;=M1323,"",TRIM(CLEAN(MID(INDEX($B$3:$B$168,K1323),M1323,N1323-M1323)))))</x:f>
      </x:c>
      <x:c r="F1323" t="str">
        <x:f>IF(E1323="","",IF(E1323=TRIM(INDEX($A$3:$A$168,K1323)),"",IF(RIGHT(TRIM(INDEX($A$3:$A$168,K1323)),1)="]",LEFT(TRIM(INDEX($A$3:$A$168,K1323)),LEN(TRIM(INDEX($A$3:$A$168,K1323)))-1)&amp;", "&amp;SUBSTITUTE(SUBSTITUTE(SUBSTITUTE(E1323," [",", "),"[",", "),"]","")&amp;"]",TRIM(INDEX($A$3:$A$168,K1323))&amp;" ["&amp;SUBSTITUTE(SUBSTITUTE(SUBSTITUTE(E1323," [",", "),"[",", "),"]","")&amp;"]")))</x:f>
      </x:c>
      <x:c r="G1323" t="str">
        <x:f>IF(F1323&lt;&gt;"",ROWS($F$3:F1323)-COUNTBLANK($F$3:F1323),"")</x:f>
      </x:c>
      <x:c r="H1323"/>
      <x:c r="I1323"/>
      <x:c r="J1323"/>
      <x:c r="K1323" t="str">
        <x:f>IF(ROW()-ROW($K$2)&lt;=SUM($J$3:$J$168),COUNTIF($H$3:$H$168,"&lt;"&amp;(ROW()-ROW($K$2))),"")</x:f>
      </x:c>
      <x:c r="L1323" t="str">
        <x:f>IF(K1323="","",ROW()-ROW($L$2)-INDEX($H$3:$H$168,K1323))</x:f>
      </x:c>
      <x:c r="M1323" t="str">
        <x:f>IF(K1323="","",IF(L1323=1,1,FIND(CHAR(1),SUBSTITUTE(INDEX($B$3:$B$168,K1323),CHAR(10),CHAR(1),L1323-1))+1))</x:f>
      </x:c>
      <x:c r="N1323" t="str">
        <x:f>IF(K1323="","",IFERROR(FIND(CHAR(1),SUBSTITUTE(INDEX($B$3:$B$168,K1323),CHAR(10),CHAR(1),L1323)),LEN(INDEX($B$3:$B$168,K1323))+1))</x:f>
      </x:c>
    </x:row>
    <x:row r="1324">
      <x:c r="A1324"/>
      <x:c r="B1324"/>
      <x:c r="C1324"/>
      <x:c r="D1324" t="str">
        <x:f>IFERROR(IF(1322&lt;=$O$1,INDEX($A$3:$A$168,MATCH(1322,$I$3:$I$168,0)),IF(1322&lt;=$O$1+$O$2,INDEX($F$3:$F$1994,MATCH(1322-$O$1,$G$3:$G$1994,0)),"")),"")</x:f>
      </x:c>
      <x:c r="E1324" t="str">
        <x:f>IF(K1324="","",IF(N1324&lt;=M1324,"",TRIM(CLEAN(MID(INDEX($B$3:$B$168,K1324),M1324,N1324-M1324)))))</x:f>
      </x:c>
      <x:c r="F1324" t="str">
        <x:f>IF(E1324="","",IF(E1324=TRIM(INDEX($A$3:$A$168,K1324)),"",IF(RIGHT(TRIM(INDEX($A$3:$A$168,K1324)),1)="]",LEFT(TRIM(INDEX($A$3:$A$168,K1324)),LEN(TRIM(INDEX($A$3:$A$168,K1324)))-1)&amp;", "&amp;SUBSTITUTE(SUBSTITUTE(SUBSTITUTE(E1324," [",", "),"[",", "),"]","")&amp;"]",TRIM(INDEX($A$3:$A$168,K1324))&amp;" ["&amp;SUBSTITUTE(SUBSTITUTE(SUBSTITUTE(E1324," [",", "),"[",", "),"]","")&amp;"]")))</x:f>
      </x:c>
      <x:c r="G1324" t="str">
        <x:f>IF(F1324&lt;&gt;"",ROWS($F$3:F1324)-COUNTBLANK($F$3:F1324),"")</x:f>
      </x:c>
      <x:c r="H1324"/>
      <x:c r="I1324"/>
      <x:c r="J1324"/>
      <x:c r="K1324" t="str">
        <x:f>IF(ROW()-ROW($K$2)&lt;=SUM($J$3:$J$168),COUNTIF($H$3:$H$168,"&lt;"&amp;(ROW()-ROW($K$2))),"")</x:f>
      </x:c>
      <x:c r="L1324" t="str">
        <x:f>IF(K1324="","",ROW()-ROW($L$2)-INDEX($H$3:$H$168,K1324))</x:f>
      </x:c>
      <x:c r="M1324" t="str">
        <x:f>IF(K1324="","",IF(L1324=1,1,FIND(CHAR(1),SUBSTITUTE(INDEX($B$3:$B$168,K1324),CHAR(10),CHAR(1),L1324-1))+1))</x:f>
      </x:c>
      <x:c r="N1324" t="str">
        <x:f>IF(K1324="","",IFERROR(FIND(CHAR(1),SUBSTITUTE(INDEX($B$3:$B$168,K1324),CHAR(10),CHAR(1),L1324)),LEN(INDEX($B$3:$B$168,K1324))+1))</x:f>
      </x:c>
    </x:row>
    <x:row r="1325">
      <x:c r="A1325"/>
      <x:c r="B1325"/>
      <x:c r="C1325"/>
      <x:c r="D1325" t="str">
        <x:f>IFERROR(IF(1323&lt;=$O$1,INDEX($A$3:$A$168,MATCH(1323,$I$3:$I$168,0)),IF(1323&lt;=$O$1+$O$2,INDEX($F$3:$F$1994,MATCH(1323-$O$1,$G$3:$G$1994,0)),"")),"")</x:f>
      </x:c>
      <x:c r="E1325" t="str">
        <x:f>IF(K1325="","",IF(N1325&lt;=M1325,"",TRIM(CLEAN(MID(INDEX($B$3:$B$168,K1325),M1325,N1325-M1325)))))</x:f>
      </x:c>
      <x:c r="F1325" t="str">
        <x:f>IF(E1325="","",IF(E1325=TRIM(INDEX($A$3:$A$168,K1325)),"",IF(RIGHT(TRIM(INDEX($A$3:$A$168,K1325)),1)="]",LEFT(TRIM(INDEX($A$3:$A$168,K1325)),LEN(TRIM(INDEX($A$3:$A$168,K1325)))-1)&amp;", "&amp;SUBSTITUTE(SUBSTITUTE(SUBSTITUTE(E1325," [",", "),"[",", "),"]","")&amp;"]",TRIM(INDEX($A$3:$A$168,K1325))&amp;" ["&amp;SUBSTITUTE(SUBSTITUTE(SUBSTITUTE(E1325," [",", "),"[",", "),"]","")&amp;"]")))</x:f>
      </x:c>
      <x:c r="G1325" t="str">
        <x:f>IF(F1325&lt;&gt;"",ROWS($F$3:F1325)-COUNTBLANK($F$3:F1325),"")</x:f>
      </x:c>
      <x:c r="H1325"/>
      <x:c r="I1325"/>
      <x:c r="J1325"/>
      <x:c r="K1325" t="str">
        <x:f>IF(ROW()-ROW($K$2)&lt;=SUM($J$3:$J$168),COUNTIF($H$3:$H$168,"&lt;"&amp;(ROW()-ROW($K$2))),"")</x:f>
      </x:c>
      <x:c r="L1325" t="str">
        <x:f>IF(K1325="","",ROW()-ROW($L$2)-INDEX($H$3:$H$168,K1325))</x:f>
      </x:c>
      <x:c r="M1325" t="str">
        <x:f>IF(K1325="","",IF(L1325=1,1,FIND(CHAR(1),SUBSTITUTE(INDEX($B$3:$B$168,K1325),CHAR(10),CHAR(1),L1325-1))+1))</x:f>
      </x:c>
      <x:c r="N1325" t="str">
        <x:f>IF(K1325="","",IFERROR(FIND(CHAR(1),SUBSTITUTE(INDEX($B$3:$B$168,K1325),CHAR(10),CHAR(1),L1325)),LEN(INDEX($B$3:$B$168,K1325))+1))</x:f>
      </x:c>
    </x:row>
    <x:row r="1326">
      <x:c r="A1326"/>
      <x:c r="B1326"/>
      <x:c r="C1326"/>
      <x:c r="D1326" t="str">
        <x:f>IFERROR(IF(1324&lt;=$O$1,INDEX($A$3:$A$168,MATCH(1324,$I$3:$I$168,0)),IF(1324&lt;=$O$1+$O$2,INDEX($F$3:$F$1994,MATCH(1324-$O$1,$G$3:$G$1994,0)),"")),"")</x:f>
      </x:c>
      <x:c r="E1326" t="str">
        <x:f>IF(K1326="","",IF(N1326&lt;=M1326,"",TRIM(CLEAN(MID(INDEX($B$3:$B$168,K1326),M1326,N1326-M1326)))))</x:f>
      </x:c>
      <x:c r="F1326" t="str">
        <x:f>IF(E1326="","",IF(E1326=TRIM(INDEX($A$3:$A$168,K1326)),"",IF(RIGHT(TRIM(INDEX($A$3:$A$168,K1326)),1)="]",LEFT(TRIM(INDEX($A$3:$A$168,K1326)),LEN(TRIM(INDEX($A$3:$A$168,K1326)))-1)&amp;", "&amp;SUBSTITUTE(SUBSTITUTE(SUBSTITUTE(E1326," [",", "),"[",", "),"]","")&amp;"]",TRIM(INDEX($A$3:$A$168,K1326))&amp;" ["&amp;SUBSTITUTE(SUBSTITUTE(SUBSTITUTE(E1326," [",", "),"[",", "),"]","")&amp;"]")))</x:f>
      </x:c>
      <x:c r="G1326" t="str">
        <x:f>IF(F1326&lt;&gt;"",ROWS($F$3:F1326)-COUNTBLANK($F$3:F1326),"")</x:f>
      </x:c>
      <x:c r="H1326"/>
      <x:c r="I1326"/>
      <x:c r="J1326"/>
      <x:c r="K1326" t="str">
        <x:f>IF(ROW()-ROW($K$2)&lt;=SUM($J$3:$J$168),COUNTIF($H$3:$H$168,"&lt;"&amp;(ROW()-ROW($K$2))),"")</x:f>
      </x:c>
      <x:c r="L1326" t="str">
        <x:f>IF(K1326="","",ROW()-ROW($L$2)-INDEX($H$3:$H$168,K1326))</x:f>
      </x:c>
      <x:c r="M1326" t="str">
        <x:f>IF(K1326="","",IF(L1326=1,1,FIND(CHAR(1),SUBSTITUTE(INDEX($B$3:$B$168,K1326),CHAR(10),CHAR(1),L1326-1))+1))</x:f>
      </x:c>
      <x:c r="N1326" t="str">
        <x:f>IF(K1326="","",IFERROR(FIND(CHAR(1),SUBSTITUTE(INDEX($B$3:$B$168,K1326),CHAR(10),CHAR(1),L1326)),LEN(INDEX($B$3:$B$168,K1326))+1))</x:f>
      </x:c>
    </x:row>
    <x:row r="1327">
      <x:c r="A1327"/>
      <x:c r="B1327"/>
      <x:c r="C1327"/>
      <x:c r="D1327" t="str">
        <x:f>IFERROR(IF(1325&lt;=$O$1,INDEX($A$3:$A$168,MATCH(1325,$I$3:$I$168,0)),IF(1325&lt;=$O$1+$O$2,INDEX($F$3:$F$1994,MATCH(1325-$O$1,$G$3:$G$1994,0)),"")),"")</x:f>
      </x:c>
      <x:c r="E1327" t="str">
        <x:f>IF(K1327="","",IF(N1327&lt;=M1327,"",TRIM(CLEAN(MID(INDEX($B$3:$B$168,K1327),M1327,N1327-M1327)))))</x:f>
      </x:c>
      <x:c r="F1327" t="str">
        <x:f>IF(E1327="","",IF(E1327=TRIM(INDEX($A$3:$A$168,K1327)),"",IF(RIGHT(TRIM(INDEX($A$3:$A$168,K1327)),1)="]",LEFT(TRIM(INDEX($A$3:$A$168,K1327)),LEN(TRIM(INDEX($A$3:$A$168,K1327)))-1)&amp;", "&amp;SUBSTITUTE(SUBSTITUTE(SUBSTITUTE(E1327," [",", "),"[",", "),"]","")&amp;"]",TRIM(INDEX($A$3:$A$168,K1327))&amp;" ["&amp;SUBSTITUTE(SUBSTITUTE(SUBSTITUTE(E1327," [",", "),"[",", "),"]","")&amp;"]")))</x:f>
      </x:c>
      <x:c r="G1327" t="str">
        <x:f>IF(F1327&lt;&gt;"",ROWS($F$3:F1327)-COUNTBLANK($F$3:F1327),"")</x:f>
      </x:c>
      <x:c r="H1327"/>
      <x:c r="I1327"/>
      <x:c r="J1327"/>
      <x:c r="K1327" t="str">
        <x:f>IF(ROW()-ROW($K$2)&lt;=SUM($J$3:$J$168),COUNTIF($H$3:$H$168,"&lt;"&amp;(ROW()-ROW($K$2))),"")</x:f>
      </x:c>
      <x:c r="L1327" t="str">
        <x:f>IF(K1327="","",ROW()-ROW($L$2)-INDEX($H$3:$H$168,K1327))</x:f>
      </x:c>
      <x:c r="M1327" t="str">
        <x:f>IF(K1327="","",IF(L1327=1,1,FIND(CHAR(1),SUBSTITUTE(INDEX($B$3:$B$168,K1327),CHAR(10),CHAR(1),L1327-1))+1))</x:f>
      </x:c>
      <x:c r="N1327" t="str">
        <x:f>IF(K1327="","",IFERROR(FIND(CHAR(1),SUBSTITUTE(INDEX($B$3:$B$168,K1327),CHAR(10),CHAR(1),L1327)),LEN(INDEX($B$3:$B$168,K1327))+1))</x:f>
      </x:c>
    </x:row>
    <x:row r="1328">
      <x:c r="A1328"/>
      <x:c r="B1328"/>
      <x:c r="C1328"/>
      <x:c r="D1328" t="str">
        <x:f>IFERROR(IF(1326&lt;=$O$1,INDEX($A$3:$A$168,MATCH(1326,$I$3:$I$168,0)),IF(1326&lt;=$O$1+$O$2,INDEX($F$3:$F$1994,MATCH(1326-$O$1,$G$3:$G$1994,0)),"")),"")</x:f>
      </x:c>
      <x:c r="E1328" t="str">
        <x:f>IF(K1328="","",IF(N1328&lt;=M1328,"",TRIM(CLEAN(MID(INDEX($B$3:$B$168,K1328),M1328,N1328-M1328)))))</x:f>
      </x:c>
      <x:c r="F1328" t="str">
        <x:f>IF(E1328="","",IF(E1328=TRIM(INDEX($A$3:$A$168,K1328)),"",IF(RIGHT(TRIM(INDEX($A$3:$A$168,K1328)),1)="]",LEFT(TRIM(INDEX($A$3:$A$168,K1328)),LEN(TRIM(INDEX($A$3:$A$168,K1328)))-1)&amp;", "&amp;SUBSTITUTE(SUBSTITUTE(SUBSTITUTE(E1328," [",", "),"[",", "),"]","")&amp;"]",TRIM(INDEX($A$3:$A$168,K1328))&amp;" ["&amp;SUBSTITUTE(SUBSTITUTE(SUBSTITUTE(E1328," [",", "),"[",", "),"]","")&amp;"]")))</x:f>
      </x:c>
      <x:c r="G1328" t="str">
        <x:f>IF(F1328&lt;&gt;"",ROWS($F$3:F1328)-COUNTBLANK($F$3:F1328),"")</x:f>
      </x:c>
      <x:c r="H1328"/>
      <x:c r="I1328"/>
      <x:c r="J1328"/>
      <x:c r="K1328" t="str">
        <x:f>IF(ROW()-ROW($K$2)&lt;=SUM($J$3:$J$168),COUNTIF($H$3:$H$168,"&lt;"&amp;(ROW()-ROW($K$2))),"")</x:f>
      </x:c>
      <x:c r="L1328" t="str">
        <x:f>IF(K1328="","",ROW()-ROW($L$2)-INDEX($H$3:$H$168,K1328))</x:f>
      </x:c>
      <x:c r="M1328" t="str">
        <x:f>IF(K1328="","",IF(L1328=1,1,FIND(CHAR(1),SUBSTITUTE(INDEX($B$3:$B$168,K1328),CHAR(10),CHAR(1),L1328-1))+1))</x:f>
      </x:c>
      <x:c r="N1328" t="str">
        <x:f>IF(K1328="","",IFERROR(FIND(CHAR(1),SUBSTITUTE(INDEX($B$3:$B$168,K1328),CHAR(10),CHAR(1),L1328)),LEN(INDEX($B$3:$B$168,K1328))+1))</x:f>
      </x:c>
    </x:row>
    <x:row r="1329">
      <x:c r="A1329"/>
      <x:c r="B1329"/>
      <x:c r="C1329"/>
      <x:c r="D1329" t="str">
        <x:f>IFERROR(IF(1327&lt;=$O$1,INDEX($A$3:$A$168,MATCH(1327,$I$3:$I$168,0)),IF(1327&lt;=$O$1+$O$2,INDEX($F$3:$F$1994,MATCH(1327-$O$1,$G$3:$G$1994,0)),"")),"")</x:f>
      </x:c>
      <x:c r="E1329" t="str">
        <x:f>IF(K1329="","",IF(N1329&lt;=M1329,"",TRIM(CLEAN(MID(INDEX($B$3:$B$168,K1329),M1329,N1329-M1329)))))</x:f>
      </x:c>
      <x:c r="F1329" t="str">
        <x:f>IF(E1329="","",IF(E1329=TRIM(INDEX($A$3:$A$168,K1329)),"",IF(RIGHT(TRIM(INDEX($A$3:$A$168,K1329)),1)="]",LEFT(TRIM(INDEX($A$3:$A$168,K1329)),LEN(TRIM(INDEX($A$3:$A$168,K1329)))-1)&amp;", "&amp;SUBSTITUTE(SUBSTITUTE(SUBSTITUTE(E1329," [",", "),"[",", "),"]","")&amp;"]",TRIM(INDEX($A$3:$A$168,K1329))&amp;" ["&amp;SUBSTITUTE(SUBSTITUTE(SUBSTITUTE(E1329," [",", "),"[",", "),"]","")&amp;"]")))</x:f>
      </x:c>
      <x:c r="G1329" t="str">
        <x:f>IF(F1329&lt;&gt;"",ROWS($F$3:F1329)-COUNTBLANK($F$3:F1329),"")</x:f>
      </x:c>
      <x:c r="H1329"/>
      <x:c r="I1329"/>
      <x:c r="J1329"/>
      <x:c r="K1329" t="str">
        <x:f>IF(ROW()-ROW($K$2)&lt;=SUM($J$3:$J$168),COUNTIF($H$3:$H$168,"&lt;"&amp;(ROW()-ROW($K$2))),"")</x:f>
      </x:c>
      <x:c r="L1329" t="str">
        <x:f>IF(K1329="","",ROW()-ROW($L$2)-INDEX($H$3:$H$168,K1329))</x:f>
      </x:c>
      <x:c r="M1329" t="str">
        <x:f>IF(K1329="","",IF(L1329=1,1,FIND(CHAR(1),SUBSTITUTE(INDEX($B$3:$B$168,K1329),CHAR(10),CHAR(1),L1329-1))+1))</x:f>
      </x:c>
      <x:c r="N1329" t="str">
        <x:f>IF(K1329="","",IFERROR(FIND(CHAR(1),SUBSTITUTE(INDEX($B$3:$B$168,K1329),CHAR(10),CHAR(1),L1329)),LEN(INDEX($B$3:$B$168,K1329))+1))</x:f>
      </x:c>
    </x:row>
    <x:row r="1330">
      <x:c r="A1330"/>
      <x:c r="B1330"/>
      <x:c r="C1330"/>
      <x:c r="D1330" t="str">
        <x:f>IFERROR(IF(1328&lt;=$O$1,INDEX($A$3:$A$168,MATCH(1328,$I$3:$I$168,0)),IF(1328&lt;=$O$1+$O$2,INDEX($F$3:$F$1994,MATCH(1328-$O$1,$G$3:$G$1994,0)),"")),"")</x:f>
      </x:c>
      <x:c r="E1330" t="str">
        <x:f>IF(K1330="","",IF(N1330&lt;=M1330,"",TRIM(CLEAN(MID(INDEX($B$3:$B$168,K1330),M1330,N1330-M1330)))))</x:f>
      </x:c>
      <x:c r="F1330" t="str">
        <x:f>IF(E1330="","",IF(E1330=TRIM(INDEX($A$3:$A$168,K1330)),"",IF(RIGHT(TRIM(INDEX($A$3:$A$168,K1330)),1)="]",LEFT(TRIM(INDEX($A$3:$A$168,K1330)),LEN(TRIM(INDEX($A$3:$A$168,K1330)))-1)&amp;", "&amp;SUBSTITUTE(SUBSTITUTE(SUBSTITUTE(E1330," [",", "),"[",", "),"]","")&amp;"]",TRIM(INDEX($A$3:$A$168,K1330))&amp;" ["&amp;SUBSTITUTE(SUBSTITUTE(SUBSTITUTE(E1330," [",", "),"[",", "),"]","")&amp;"]")))</x:f>
      </x:c>
      <x:c r="G1330" t="str">
        <x:f>IF(F1330&lt;&gt;"",ROWS($F$3:F1330)-COUNTBLANK($F$3:F1330),"")</x:f>
      </x:c>
      <x:c r="H1330"/>
      <x:c r="I1330"/>
      <x:c r="J1330"/>
      <x:c r="K1330" t="str">
        <x:f>IF(ROW()-ROW($K$2)&lt;=SUM($J$3:$J$168),COUNTIF($H$3:$H$168,"&lt;"&amp;(ROW()-ROW($K$2))),"")</x:f>
      </x:c>
      <x:c r="L1330" t="str">
        <x:f>IF(K1330="","",ROW()-ROW($L$2)-INDEX($H$3:$H$168,K1330))</x:f>
      </x:c>
      <x:c r="M1330" t="str">
        <x:f>IF(K1330="","",IF(L1330=1,1,FIND(CHAR(1),SUBSTITUTE(INDEX($B$3:$B$168,K1330),CHAR(10),CHAR(1),L1330-1))+1))</x:f>
      </x:c>
      <x:c r="N1330" t="str">
        <x:f>IF(K1330="","",IFERROR(FIND(CHAR(1),SUBSTITUTE(INDEX($B$3:$B$168,K1330),CHAR(10),CHAR(1),L1330)),LEN(INDEX($B$3:$B$168,K1330))+1))</x:f>
      </x:c>
    </x:row>
    <x:row r="1331">
      <x:c r="A1331"/>
      <x:c r="B1331"/>
      <x:c r="C1331"/>
      <x:c r="D1331" t="str">
        <x:f>IFERROR(IF(1329&lt;=$O$1,INDEX($A$3:$A$168,MATCH(1329,$I$3:$I$168,0)),IF(1329&lt;=$O$1+$O$2,INDEX($F$3:$F$1994,MATCH(1329-$O$1,$G$3:$G$1994,0)),"")),"")</x:f>
      </x:c>
      <x:c r="E1331" t="str">
        <x:f>IF(K1331="","",IF(N1331&lt;=M1331,"",TRIM(CLEAN(MID(INDEX($B$3:$B$168,K1331),M1331,N1331-M1331)))))</x:f>
      </x:c>
      <x:c r="F1331" t="str">
        <x:f>IF(E1331="","",IF(E1331=TRIM(INDEX($A$3:$A$168,K1331)),"",IF(RIGHT(TRIM(INDEX($A$3:$A$168,K1331)),1)="]",LEFT(TRIM(INDEX($A$3:$A$168,K1331)),LEN(TRIM(INDEX($A$3:$A$168,K1331)))-1)&amp;", "&amp;SUBSTITUTE(SUBSTITUTE(SUBSTITUTE(E1331," [",", "),"[",", "),"]","")&amp;"]",TRIM(INDEX($A$3:$A$168,K1331))&amp;" ["&amp;SUBSTITUTE(SUBSTITUTE(SUBSTITUTE(E1331," [",", "),"[",", "),"]","")&amp;"]")))</x:f>
      </x:c>
      <x:c r="G1331" t="str">
        <x:f>IF(F1331&lt;&gt;"",ROWS($F$3:F1331)-COUNTBLANK($F$3:F1331),"")</x:f>
      </x:c>
      <x:c r="H1331"/>
      <x:c r="I1331"/>
      <x:c r="J1331"/>
      <x:c r="K1331" t="str">
        <x:f>IF(ROW()-ROW($K$2)&lt;=SUM($J$3:$J$168),COUNTIF($H$3:$H$168,"&lt;"&amp;(ROW()-ROW($K$2))),"")</x:f>
      </x:c>
      <x:c r="L1331" t="str">
        <x:f>IF(K1331="","",ROW()-ROW($L$2)-INDEX($H$3:$H$168,K1331))</x:f>
      </x:c>
      <x:c r="M1331" t="str">
        <x:f>IF(K1331="","",IF(L1331=1,1,FIND(CHAR(1),SUBSTITUTE(INDEX($B$3:$B$168,K1331),CHAR(10),CHAR(1),L1331-1))+1))</x:f>
      </x:c>
      <x:c r="N1331" t="str">
        <x:f>IF(K1331="","",IFERROR(FIND(CHAR(1),SUBSTITUTE(INDEX($B$3:$B$168,K1331),CHAR(10),CHAR(1),L1331)),LEN(INDEX($B$3:$B$168,K1331))+1))</x:f>
      </x:c>
    </x:row>
    <x:row r="1332">
      <x:c r="A1332"/>
      <x:c r="B1332"/>
      <x:c r="C1332"/>
      <x:c r="D1332" t="str">
        <x:f>IFERROR(IF(1330&lt;=$O$1,INDEX($A$3:$A$168,MATCH(1330,$I$3:$I$168,0)),IF(1330&lt;=$O$1+$O$2,INDEX($F$3:$F$1994,MATCH(1330-$O$1,$G$3:$G$1994,0)),"")),"")</x:f>
      </x:c>
      <x:c r="E1332" t="str">
        <x:f>IF(K1332="","",IF(N1332&lt;=M1332,"",TRIM(CLEAN(MID(INDEX($B$3:$B$168,K1332),M1332,N1332-M1332)))))</x:f>
      </x:c>
      <x:c r="F1332" t="str">
        <x:f>IF(E1332="","",IF(E1332=TRIM(INDEX($A$3:$A$168,K1332)),"",IF(RIGHT(TRIM(INDEX($A$3:$A$168,K1332)),1)="]",LEFT(TRIM(INDEX($A$3:$A$168,K1332)),LEN(TRIM(INDEX($A$3:$A$168,K1332)))-1)&amp;", "&amp;SUBSTITUTE(SUBSTITUTE(SUBSTITUTE(E1332," [",", "),"[",", "),"]","")&amp;"]",TRIM(INDEX($A$3:$A$168,K1332))&amp;" ["&amp;SUBSTITUTE(SUBSTITUTE(SUBSTITUTE(E1332," [",", "),"[",", "),"]","")&amp;"]")))</x:f>
      </x:c>
      <x:c r="G1332" t="str">
        <x:f>IF(F1332&lt;&gt;"",ROWS($F$3:F1332)-COUNTBLANK($F$3:F1332),"")</x:f>
      </x:c>
      <x:c r="H1332"/>
      <x:c r="I1332"/>
      <x:c r="J1332"/>
      <x:c r="K1332" t="str">
        <x:f>IF(ROW()-ROW($K$2)&lt;=SUM($J$3:$J$168),COUNTIF($H$3:$H$168,"&lt;"&amp;(ROW()-ROW($K$2))),"")</x:f>
      </x:c>
      <x:c r="L1332" t="str">
        <x:f>IF(K1332="","",ROW()-ROW($L$2)-INDEX($H$3:$H$168,K1332))</x:f>
      </x:c>
      <x:c r="M1332" t="str">
        <x:f>IF(K1332="","",IF(L1332=1,1,FIND(CHAR(1),SUBSTITUTE(INDEX($B$3:$B$168,K1332),CHAR(10),CHAR(1),L1332-1))+1))</x:f>
      </x:c>
      <x:c r="N1332" t="str">
        <x:f>IF(K1332="","",IFERROR(FIND(CHAR(1),SUBSTITUTE(INDEX($B$3:$B$168,K1332),CHAR(10),CHAR(1),L1332)),LEN(INDEX($B$3:$B$168,K1332))+1))</x:f>
      </x:c>
    </x:row>
    <x:row r="1333">
      <x:c r="A1333"/>
      <x:c r="B1333"/>
      <x:c r="C1333"/>
      <x:c r="D1333" t="str">
        <x:f>IFERROR(IF(1331&lt;=$O$1,INDEX($A$3:$A$168,MATCH(1331,$I$3:$I$168,0)),IF(1331&lt;=$O$1+$O$2,INDEX($F$3:$F$1994,MATCH(1331-$O$1,$G$3:$G$1994,0)),"")),"")</x:f>
      </x:c>
      <x:c r="E1333" t="str">
        <x:f>IF(K1333="","",IF(N1333&lt;=M1333,"",TRIM(CLEAN(MID(INDEX($B$3:$B$168,K1333),M1333,N1333-M1333)))))</x:f>
      </x:c>
      <x:c r="F1333" t="str">
        <x:f>IF(E1333="","",IF(E1333=TRIM(INDEX($A$3:$A$168,K1333)),"",IF(RIGHT(TRIM(INDEX($A$3:$A$168,K1333)),1)="]",LEFT(TRIM(INDEX($A$3:$A$168,K1333)),LEN(TRIM(INDEX($A$3:$A$168,K1333)))-1)&amp;", "&amp;SUBSTITUTE(SUBSTITUTE(SUBSTITUTE(E1333," [",", "),"[",", "),"]","")&amp;"]",TRIM(INDEX($A$3:$A$168,K1333))&amp;" ["&amp;SUBSTITUTE(SUBSTITUTE(SUBSTITUTE(E1333," [",", "),"[",", "),"]","")&amp;"]")))</x:f>
      </x:c>
      <x:c r="G1333" t="str">
        <x:f>IF(F1333&lt;&gt;"",ROWS($F$3:F1333)-COUNTBLANK($F$3:F1333),"")</x:f>
      </x:c>
      <x:c r="H1333"/>
      <x:c r="I1333"/>
      <x:c r="J1333"/>
      <x:c r="K1333" t="str">
        <x:f>IF(ROW()-ROW($K$2)&lt;=SUM($J$3:$J$168),COUNTIF($H$3:$H$168,"&lt;"&amp;(ROW()-ROW($K$2))),"")</x:f>
      </x:c>
      <x:c r="L1333" t="str">
        <x:f>IF(K1333="","",ROW()-ROW($L$2)-INDEX($H$3:$H$168,K1333))</x:f>
      </x:c>
      <x:c r="M1333" t="str">
        <x:f>IF(K1333="","",IF(L1333=1,1,FIND(CHAR(1),SUBSTITUTE(INDEX($B$3:$B$168,K1333),CHAR(10),CHAR(1),L1333-1))+1))</x:f>
      </x:c>
      <x:c r="N1333" t="str">
        <x:f>IF(K1333="","",IFERROR(FIND(CHAR(1),SUBSTITUTE(INDEX($B$3:$B$168,K1333),CHAR(10),CHAR(1),L1333)),LEN(INDEX($B$3:$B$168,K1333))+1))</x:f>
      </x:c>
    </x:row>
    <x:row r="1334">
      <x:c r="A1334"/>
      <x:c r="B1334"/>
      <x:c r="C1334"/>
      <x:c r="D1334" t="str">
        <x:f>IFERROR(IF(1332&lt;=$O$1,INDEX($A$3:$A$168,MATCH(1332,$I$3:$I$168,0)),IF(1332&lt;=$O$1+$O$2,INDEX($F$3:$F$1994,MATCH(1332-$O$1,$G$3:$G$1994,0)),"")),"")</x:f>
      </x:c>
      <x:c r="E1334" t="str">
        <x:f>IF(K1334="","",IF(N1334&lt;=M1334,"",TRIM(CLEAN(MID(INDEX($B$3:$B$168,K1334),M1334,N1334-M1334)))))</x:f>
      </x:c>
      <x:c r="F1334" t="str">
        <x:f>IF(E1334="","",IF(E1334=TRIM(INDEX($A$3:$A$168,K1334)),"",IF(RIGHT(TRIM(INDEX($A$3:$A$168,K1334)),1)="]",LEFT(TRIM(INDEX($A$3:$A$168,K1334)),LEN(TRIM(INDEX($A$3:$A$168,K1334)))-1)&amp;", "&amp;SUBSTITUTE(SUBSTITUTE(SUBSTITUTE(E1334," [",", "),"[",", "),"]","")&amp;"]",TRIM(INDEX($A$3:$A$168,K1334))&amp;" ["&amp;SUBSTITUTE(SUBSTITUTE(SUBSTITUTE(E1334," [",", "),"[",", "),"]","")&amp;"]")))</x:f>
      </x:c>
      <x:c r="G1334" t="str">
        <x:f>IF(F1334&lt;&gt;"",ROWS($F$3:F1334)-COUNTBLANK($F$3:F1334),"")</x:f>
      </x:c>
      <x:c r="H1334"/>
      <x:c r="I1334"/>
      <x:c r="J1334"/>
      <x:c r="K1334" t="str">
        <x:f>IF(ROW()-ROW($K$2)&lt;=SUM($J$3:$J$168),COUNTIF($H$3:$H$168,"&lt;"&amp;(ROW()-ROW($K$2))),"")</x:f>
      </x:c>
      <x:c r="L1334" t="str">
        <x:f>IF(K1334="","",ROW()-ROW($L$2)-INDEX($H$3:$H$168,K1334))</x:f>
      </x:c>
      <x:c r="M1334" t="str">
        <x:f>IF(K1334="","",IF(L1334=1,1,FIND(CHAR(1),SUBSTITUTE(INDEX($B$3:$B$168,K1334),CHAR(10),CHAR(1),L1334-1))+1))</x:f>
      </x:c>
      <x:c r="N1334" t="str">
        <x:f>IF(K1334="","",IFERROR(FIND(CHAR(1),SUBSTITUTE(INDEX($B$3:$B$168,K1334),CHAR(10),CHAR(1),L1334)),LEN(INDEX($B$3:$B$168,K1334))+1))</x:f>
      </x:c>
    </x:row>
    <x:row r="1335">
      <x:c r="A1335"/>
      <x:c r="B1335"/>
      <x:c r="C1335"/>
      <x:c r="D1335" t="str">
        <x:f>IFERROR(IF(1333&lt;=$O$1,INDEX($A$3:$A$168,MATCH(1333,$I$3:$I$168,0)),IF(1333&lt;=$O$1+$O$2,INDEX($F$3:$F$1994,MATCH(1333-$O$1,$G$3:$G$1994,0)),"")),"")</x:f>
      </x:c>
      <x:c r="E1335" t="str">
        <x:f>IF(K1335="","",IF(N1335&lt;=M1335,"",TRIM(CLEAN(MID(INDEX($B$3:$B$168,K1335),M1335,N1335-M1335)))))</x:f>
      </x:c>
      <x:c r="F1335" t="str">
        <x:f>IF(E1335="","",IF(E1335=TRIM(INDEX($A$3:$A$168,K1335)),"",IF(RIGHT(TRIM(INDEX($A$3:$A$168,K1335)),1)="]",LEFT(TRIM(INDEX($A$3:$A$168,K1335)),LEN(TRIM(INDEX($A$3:$A$168,K1335)))-1)&amp;", "&amp;SUBSTITUTE(SUBSTITUTE(SUBSTITUTE(E1335," [",", "),"[",", "),"]","")&amp;"]",TRIM(INDEX($A$3:$A$168,K1335))&amp;" ["&amp;SUBSTITUTE(SUBSTITUTE(SUBSTITUTE(E1335," [",", "),"[",", "),"]","")&amp;"]")))</x:f>
      </x:c>
      <x:c r="G1335" t="str">
        <x:f>IF(F1335&lt;&gt;"",ROWS($F$3:F1335)-COUNTBLANK($F$3:F1335),"")</x:f>
      </x:c>
      <x:c r="H1335"/>
      <x:c r="I1335"/>
      <x:c r="J1335"/>
      <x:c r="K1335" t="str">
        <x:f>IF(ROW()-ROW($K$2)&lt;=SUM($J$3:$J$168),COUNTIF($H$3:$H$168,"&lt;"&amp;(ROW()-ROW($K$2))),"")</x:f>
      </x:c>
      <x:c r="L1335" t="str">
        <x:f>IF(K1335="","",ROW()-ROW($L$2)-INDEX($H$3:$H$168,K1335))</x:f>
      </x:c>
      <x:c r="M1335" t="str">
        <x:f>IF(K1335="","",IF(L1335=1,1,FIND(CHAR(1),SUBSTITUTE(INDEX($B$3:$B$168,K1335),CHAR(10),CHAR(1),L1335-1))+1))</x:f>
      </x:c>
      <x:c r="N1335" t="str">
        <x:f>IF(K1335="","",IFERROR(FIND(CHAR(1),SUBSTITUTE(INDEX($B$3:$B$168,K1335),CHAR(10),CHAR(1),L1335)),LEN(INDEX($B$3:$B$168,K1335))+1))</x:f>
      </x:c>
    </x:row>
    <x:row r="1336">
      <x:c r="A1336"/>
      <x:c r="B1336"/>
      <x:c r="C1336"/>
      <x:c r="D1336" t="str">
        <x:f>IFERROR(IF(1334&lt;=$O$1,INDEX($A$3:$A$168,MATCH(1334,$I$3:$I$168,0)),IF(1334&lt;=$O$1+$O$2,INDEX($F$3:$F$1994,MATCH(1334-$O$1,$G$3:$G$1994,0)),"")),"")</x:f>
      </x:c>
      <x:c r="E1336" t="str">
        <x:f>IF(K1336="","",IF(N1336&lt;=M1336,"",TRIM(CLEAN(MID(INDEX($B$3:$B$168,K1336),M1336,N1336-M1336)))))</x:f>
      </x:c>
      <x:c r="F1336" t="str">
        <x:f>IF(E1336="","",IF(E1336=TRIM(INDEX($A$3:$A$168,K1336)),"",IF(RIGHT(TRIM(INDEX($A$3:$A$168,K1336)),1)="]",LEFT(TRIM(INDEX($A$3:$A$168,K1336)),LEN(TRIM(INDEX($A$3:$A$168,K1336)))-1)&amp;", "&amp;SUBSTITUTE(SUBSTITUTE(SUBSTITUTE(E1336," [",", "),"[",", "),"]","")&amp;"]",TRIM(INDEX($A$3:$A$168,K1336))&amp;" ["&amp;SUBSTITUTE(SUBSTITUTE(SUBSTITUTE(E1336," [",", "),"[",", "),"]","")&amp;"]")))</x:f>
      </x:c>
      <x:c r="G1336" t="str">
        <x:f>IF(F1336&lt;&gt;"",ROWS($F$3:F1336)-COUNTBLANK($F$3:F1336),"")</x:f>
      </x:c>
      <x:c r="H1336"/>
      <x:c r="I1336"/>
      <x:c r="J1336"/>
      <x:c r="K1336" t="str">
        <x:f>IF(ROW()-ROW($K$2)&lt;=SUM($J$3:$J$168),COUNTIF($H$3:$H$168,"&lt;"&amp;(ROW()-ROW($K$2))),"")</x:f>
      </x:c>
      <x:c r="L1336" t="str">
        <x:f>IF(K1336="","",ROW()-ROW($L$2)-INDEX($H$3:$H$168,K1336))</x:f>
      </x:c>
      <x:c r="M1336" t="str">
        <x:f>IF(K1336="","",IF(L1336=1,1,FIND(CHAR(1),SUBSTITUTE(INDEX($B$3:$B$168,K1336),CHAR(10),CHAR(1),L1336-1))+1))</x:f>
      </x:c>
      <x:c r="N1336" t="str">
        <x:f>IF(K1336="","",IFERROR(FIND(CHAR(1),SUBSTITUTE(INDEX($B$3:$B$168,K1336),CHAR(10),CHAR(1),L1336)),LEN(INDEX($B$3:$B$168,K1336))+1))</x:f>
      </x:c>
    </x:row>
    <x:row r="1337">
      <x:c r="A1337"/>
      <x:c r="B1337"/>
      <x:c r="C1337"/>
      <x:c r="D1337" t="str">
        <x:f>IFERROR(IF(1335&lt;=$O$1,INDEX($A$3:$A$168,MATCH(1335,$I$3:$I$168,0)),IF(1335&lt;=$O$1+$O$2,INDEX($F$3:$F$1994,MATCH(1335-$O$1,$G$3:$G$1994,0)),"")),"")</x:f>
      </x:c>
      <x:c r="E1337" t="str">
        <x:f>IF(K1337="","",IF(N1337&lt;=M1337,"",TRIM(CLEAN(MID(INDEX($B$3:$B$168,K1337),M1337,N1337-M1337)))))</x:f>
      </x:c>
      <x:c r="F1337" t="str">
        <x:f>IF(E1337="","",IF(E1337=TRIM(INDEX($A$3:$A$168,K1337)),"",IF(RIGHT(TRIM(INDEX($A$3:$A$168,K1337)),1)="]",LEFT(TRIM(INDEX($A$3:$A$168,K1337)),LEN(TRIM(INDEX($A$3:$A$168,K1337)))-1)&amp;", "&amp;SUBSTITUTE(SUBSTITUTE(SUBSTITUTE(E1337," [",", "),"[",", "),"]","")&amp;"]",TRIM(INDEX($A$3:$A$168,K1337))&amp;" ["&amp;SUBSTITUTE(SUBSTITUTE(SUBSTITUTE(E1337," [",", "),"[",", "),"]","")&amp;"]")))</x:f>
      </x:c>
      <x:c r="G1337" t="str">
        <x:f>IF(F1337&lt;&gt;"",ROWS($F$3:F1337)-COUNTBLANK($F$3:F1337),"")</x:f>
      </x:c>
      <x:c r="H1337"/>
      <x:c r="I1337"/>
      <x:c r="J1337"/>
      <x:c r="K1337" t="str">
        <x:f>IF(ROW()-ROW($K$2)&lt;=SUM($J$3:$J$168),COUNTIF($H$3:$H$168,"&lt;"&amp;(ROW()-ROW($K$2))),"")</x:f>
      </x:c>
      <x:c r="L1337" t="str">
        <x:f>IF(K1337="","",ROW()-ROW($L$2)-INDEX($H$3:$H$168,K1337))</x:f>
      </x:c>
      <x:c r="M1337" t="str">
        <x:f>IF(K1337="","",IF(L1337=1,1,FIND(CHAR(1),SUBSTITUTE(INDEX($B$3:$B$168,K1337),CHAR(10),CHAR(1),L1337-1))+1))</x:f>
      </x:c>
      <x:c r="N1337" t="str">
        <x:f>IF(K1337="","",IFERROR(FIND(CHAR(1),SUBSTITUTE(INDEX($B$3:$B$168,K1337),CHAR(10),CHAR(1),L1337)),LEN(INDEX($B$3:$B$168,K1337))+1))</x:f>
      </x:c>
    </x:row>
    <x:row r="1338">
      <x:c r="A1338"/>
      <x:c r="B1338"/>
      <x:c r="C1338"/>
      <x:c r="D1338" t="str">
        <x:f>IFERROR(IF(1336&lt;=$O$1,INDEX($A$3:$A$168,MATCH(1336,$I$3:$I$168,0)),IF(1336&lt;=$O$1+$O$2,INDEX($F$3:$F$1994,MATCH(1336-$O$1,$G$3:$G$1994,0)),"")),"")</x:f>
      </x:c>
      <x:c r="E1338" t="str">
        <x:f>IF(K1338="","",IF(N1338&lt;=M1338,"",TRIM(CLEAN(MID(INDEX($B$3:$B$168,K1338),M1338,N1338-M1338)))))</x:f>
      </x:c>
      <x:c r="F1338" t="str">
        <x:f>IF(E1338="","",IF(E1338=TRIM(INDEX($A$3:$A$168,K1338)),"",IF(RIGHT(TRIM(INDEX($A$3:$A$168,K1338)),1)="]",LEFT(TRIM(INDEX($A$3:$A$168,K1338)),LEN(TRIM(INDEX($A$3:$A$168,K1338)))-1)&amp;", "&amp;SUBSTITUTE(SUBSTITUTE(SUBSTITUTE(E1338," [",", "),"[",", "),"]","")&amp;"]",TRIM(INDEX($A$3:$A$168,K1338))&amp;" ["&amp;SUBSTITUTE(SUBSTITUTE(SUBSTITUTE(E1338," [",", "),"[",", "),"]","")&amp;"]")))</x:f>
      </x:c>
      <x:c r="G1338" t="str">
        <x:f>IF(F1338&lt;&gt;"",ROWS($F$3:F1338)-COUNTBLANK($F$3:F1338),"")</x:f>
      </x:c>
      <x:c r="H1338"/>
      <x:c r="I1338"/>
      <x:c r="J1338"/>
      <x:c r="K1338" t="str">
        <x:f>IF(ROW()-ROW($K$2)&lt;=SUM($J$3:$J$168),COUNTIF($H$3:$H$168,"&lt;"&amp;(ROW()-ROW($K$2))),"")</x:f>
      </x:c>
      <x:c r="L1338" t="str">
        <x:f>IF(K1338="","",ROW()-ROW($L$2)-INDEX($H$3:$H$168,K1338))</x:f>
      </x:c>
      <x:c r="M1338" t="str">
        <x:f>IF(K1338="","",IF(L1338=1,1,FIND(CHAR(1),SUBSTITUTE(INDEX($B$3:$B$168,K1338),CHAR(10),CHAR(1),L1338-1))+1))</x:f>
      </x:c>
      <x:c r="N1338" t="str">
        <x:f>IF(K1338="","",IFERROR(FIND(CHAR(1),SUBSTITUTE(INDEX($B$3:$B$168,K1338),CHAR(10),CHAR(1),L1338)),LEN(INDEX($B$3:$B$168,K1338))+1))</x:f>
      </x:c>
    </x:row>
    <x:row r="1339">
      <x:c r="A1339"/>
      <x:c r="B1339"/>
      <x:c r="C1339"/>
      <x:c r="D1339" t="str">
        <x:f>IFERROR(IF(1337&lt;=$O$1,INDEX($A$3:$A$168,MATCH(1337,$I$3:$I$168,0)),IF(1337&lt;=$O$1+$O$2,INDEX($F$3:$F$1994,MATCH(1337-$O$1,$G$3:$G$1994,0)),"")),"")</x:f>
      </x:c>
      <x:c r="E1339" t="str">
        <x:f>IF(K1339="","",IF(N1339&lt;=M1339,"",TRIM(CLEAN(MID(INDEX($B$3:$B$168,K1339),M1339,N1339-M1339)))))</x:f>
      </x:c>
      <x:c r="F1339" t="str">
        <x:f>IF(E1339="","",IF(E1339=TRIM(INDEX($A$3:$A$168,K1339)),"",IF(RIGHT(TRIM(INDEX($A$3:$A$168,K1339)),1)="]",LEFT(TRIM(INDEX($A$3:$A$168,K1339)),LEN(TRIM(INDEX($A$3:$A$168,K1339)))-1)&amp;", "&amp;SUBSTITUTE(SUBSTITUTE(SUBSTITUTE(E1339," [",", "),"[",", "),"]","")&amp;"]",TRIM(INDEX($A$3:$A$168,K1339))&amp;" ["&amp;SUBSTITUTE(SUBSTITUTE(SUBSTITUTE(E1339," [",", "),"[",", "),"]","")&amp;"]")))</x:f>
      </x:c>
      <x:c r="G1339" t="str">
        <x:f>IF(F1339&lt;&gt;"",ROWS($F$3:F1339)-COUNTBLANK($F$3:F1339),"")</x:f>
      </x:c>
      <x:c r="H1339"/>
      <x:c r="I1339"/>
      <x:c r="J1339"/>
      <x:c r="K1339" t="str">
        <x:f>IF(ROW()-ROW($K$2)&lt;=SUM($J$3:$J$168),COUNTIF($H$3:$H$168,"&lt;"&amp;(ROW()-ROW($K$2))),"")</x:f>
      </x:c>
      <x:c r="L1339" t="str">
        <x:f>IF(K1339="","",ROW()-ROW($L$2)-INDEX($H$3:$H$168,K1339))</x:f>
      </x:c>
      <x:c r="M1339" t="str">
        <x:f>IF(K1339="","",IF(L1339=1,1,FIND(CHAR(1),SUBSTITUTE(INDEX($B$3:$B$168,K1339),CHAR(10),CHAR(1),L1339-1))+1))</x:f>
      </x:c>
      <x:c r="N1339" t="str">
        <x:f>IF(K1339="","",IFERROR(FIND(CHAR(1),SUBSTITUTE(INDEX($B$3:$B$168,K1339),CHAR(10),CHAR(1),L1339)),LEN(INDEX($B$3:$B$168,K1339))+1))</x:f>
      </x:c>
    </x:row>
    <x:row r="1340">
      <x:c r="A1340"/>
      <x:c r="B1340"/>
      <x:c r="C1340"/>
      <x:c r="D1340" t="str">
        <x:f>IFERROR(IF(1338&lt;=$O$1,INDEX($A$3:$A$168,MATCH(1338,$I$3:$I$168,0)),IF(1338&lt;=$O$1+$O$2,INDEX($F$3:$F$1994,MATCH(1338-$O$1,$G$3:$G$1994,0)),"")),"")</x:f>
      </x:c>
      <x:c r="E1340" t="str">
        <x:f>IF(K1340="","",IF(N1340&lt;=M1340,"",TRIM(CLEAN(MID(INDEX($B$3:$B$168,K1340),M1340,N1340-M1340)))))</x:f>
      </x:c>
      <x:c r="F1340" t="str">
        <x:f>IF(E1340="","",IF(E1340=TRIM(INDEX($A$3:$A$168,K1340)),"",IF(RIGHT(TRIM(INDEX($A$3:$A$168,K1340)),1)="]",LEFT(TRIM(INDEX($A$3:$A$168,K1340)),LEN(TRIM(INDEX($A$3:$A$168,K1340)))-1)&amp;", "&amp;SUBSTITUTE(SUBSTITUTE(SUBSTITUTE(E1340," [",", "),"[",", "),"]","")&amp;"]",TRIM(INDEX($A$3:$A$168,K1340))&amp;" ["&amp;SUBSTITUTE(SUBSTITUTE(SUBSTITUTE(E1340," [",", "),"[",", "),"]","")&amp;"]")))</x:f>
      </x:c>
      <x:c r="G1340" t="str">
        <x:f>IF(F1340&lt;&gt;"",ROWS($F$3:F1340)-COUNTBLANK($F$3:F1340),"")</x:f>
      </x:c>
      <x:c r="H1340"/>
      <x:c r="I1340"/>
      <x:c r="J1340"/>
      <x:c r="K1340" t="str">
        <x:f>IF(ROW()-ROW($K$2)&lt;=SUM($J$3:$J$168),COUNTIF($H$3:$H$168,"&lt;"&amp;(ROW()-ROW($K$2))),"")</x:f>
      </x:c>
      <x:c r="L1340" t="str">
        <x:f>IF(K1340="","",ROW()-ROW($L$2)-INDEX($H$3:$H$168,K1340))</x:f>
      </x:c>
      <x:c r="M1340" t="str">
        <x:f>IF(K1340="","",IF(L1340=1,1,FIND(CHAR(1),SUBSTITUTE(INDEX($B$3:$B$168,K1340),CHAR(10),CHAR(1),L1340-1))+1))</x:f>
      </x:c>
      <x:c r="N1340" t="str">
        <x:f>IF(K1340="","",IFERROR(FIND(CHAR(1),SUBSTITUTE(INDEX($B$3:$B$168,K1340),CHAR(10),CHAR(1),L1340)),LEN(INDEX($B$3:$B$168,K1340))+1))</x:f>
      </x:c>
    </x:row>
    <x:row r="1341">
      <x:c r="A1341"/>
      <x:c r="B1341"/>
      <x:c r="C1341"/>
      <x:c r="D1341" t="str">
        <x:f>IFERROR(IF(1339&lt;=$O$1,INDEX($A$3:$A$168,MATCH(1339,$I$3:$I$168,0)),IF(1339&lt;=$O$1+$O$2,INDEX($F$3:$F$1994,MATCH(1339-$O$1,$G$3:$G$1994,0)),"")),"")</x:f>
      </x:c>
      <x:c r="E1341" t="str">
        <x:f>IF(K1341="","",IF(N1341&lt;=M1341,"",TRIM(CLEAN(MID(INDEX($B$3:$B$168,K1341),M1341,N1341-M1341)))))</x:f>
      </x:c>
      <x:c r="F1341" t="str">
        <x:f>IF(E1341="","",IF(E1341=TRIM(INDEX($A$3:$A$168,K1341)),"",IF(RIGHT(TRIM(INDEX($A$3:$A$168,K1341)),1)="]",LEFT(TRIM(INDEX($A$3:$A$168,K1341)),LEN(TRIM(INDEX($A$3:$A$168,K1341)))-1)&amp;", "&amp;SUBSTITUTE(SUBSTITUTE(SUBSTITUTE(E1341," [",", "),"[",", "),"]","")&amp;"]",TRIM(INDEX($A$3:$A$168,K1341))&amp;" ["&amp;SUBSTITUTE(SUBSTITUTE(SUBSTITUTE(E1341," [",", "),"[",", "),"]","")&amp;"]")))</x:f>
      </x:c>
      <x:c r="G1341" t="str">
        <x:f>IF(F1341&lt;&gt;"",ROWS($F$3:F1341)-COUNTBLANK($F$3:F1341),"")</x:f>
      </x:c>
      <x:c r="H1341"/>
      <x:c r="I1341"/>
      <x:c r="J1341"/>
      <x:c r="K1341" t="str">
        <x:f>IF(ROW()-ROW($K$2)&lt;=SUM($J$3:$J$168),COUNTIF($H$3:$H$168,"&lt;"&amp;(ROW()-ROW($K$2))),"")</x:f>
      </x:c>
      <x:c r="L1341" t="str">
        <x:f>IF(K1341="","",ROW()-ROW($L$2)-INDEX($H$3:$H$168,K1341))</x:f>
      </x:c>
      <x:c r="M1341" t="str">
        <x:f>IF(K1341="","",IF(L1341=1,1,FIND(CHAR(1),SUBSTITUTE(INDEX($B$3:$B$168,K1341),CHAR(10),CHAR(1),L1341-1))+1))</x:f>
      </x:c>
      <x:c r="N1341" t="str">
        <x:f>IF(K1341="","",IFERROR(FIND(CHAR(1),SUBSTITUTE(INDEX($B$3:$B$168,K1341),CHAR(10),CHAR(1),L1341)),LEN(INDEX($B$3:$B$168,K1341))+1))</x:f>
      </x:c>
    </x:row>
    <x:row r="1342">
      <x:c r="A1342"/>
      <x:c r="B1342"/>
      <x:c r="C1342"/>
      <x:c r="D1342" t="str">
        <x:f>IFERROR(IF(1340&lt;=$O$1,INDEX($A$3:$A$168,MATCH(1340,$I$3:$I$168,0)),IF(1340&lt;=$O$1+$O$2,INDEX($F$3:$F$1994,MATCH(1340-$O$1,$G$3:$G$1994,0)),"")),"")</x:f>
      </x:c>
      <x:c r="E1342" t="str">
        <x:f>IF(K1342="","",IF(N1342&lt;=M1342,"",TRIM(CLEAN(MID(INDEX($B$3:$B$168,K1342),M1342,N1342-M1342)))))</x:f>
      </x:c>
      <x:c r="F1342" t="str">
        <x:f>IF(E1342="","",IF(E1342=TRIM(INDEX($A$3:$A$168,K1342)),"",IF(RIGHT(TRIM(INDEX($A$3:$A$168,K1342)),1)="]",LEFT(TRIM(INDEX($A$3:$A$168,K1342)),LEN(TRIM(INDEX($A$3:$A$168,K1342)))-1)&amp;", "&amp;SUBSTITUTE(SUBSTITUTE(SUBSTITUTE(E1342," [",", "),"[",", "),"]","")&amp;"]",TRIM(INDEX($A$3:$A$168,K1342))&amp;" ["&amp;SUBSTITUTE(SUBSTITUTE(SUBSTITUTE(E1342," [",", "),"[",", "),"]","")&amp;"]")))</x:f>
      </x:c>
      <x:c r="G1342" t="str">
        <x:f>IF(F1342&lt;&gt;"",ROWS($F$3:F1342)-COUNTBLANK($F$3:F1342),"")</x:f>
      </x:c>
      <x:c r="H1342"/>
      <x:c r="I1342"/>
      <x:c r="J1342"/>
      <x:c r="K1342" t="str">
        <x:f>IF(ROW()-ROW($K$2)&lt;=SUM($J$3:$J$168),COUNTIF($H$3:$H$168,"&lt;"&amp;(ROW()-ROW($K$2))),"")</x:f>
      </x:c>
      <x:c r="L1342" t="str">
        <x:f>IF(K1342="","",ROW()-ROW($L$2)-INDEX($H$3:$H$168,K1342))</x:f>
      </x:c>
      <x:c r="M1342" t="str">
        <x:f>IF(K1342="","",IF(L1342=1,1,FIND(CHAR(1),SUBSTITUTE(INDEX($B$3:$B$168,K1342),CHAR(10),CHAR(1),L1342-1))+1))</x:f>
      </x:c>
      <x:c r="N1342" t="str">
        <x:f>IF(K1342="","",IFERROR(FIND(CHAR(1),SUBSTITUTE(INDEX($B$3:$B$168,K1342),CHAR(10),CHAR(1),L1342)),LEN(INDEX($B$3:$B$168,K1342))+1))</x:f>
      </x:c>
    </x:row>
    <x:row r="1343">
      <x:c r="A1343"/>
      <x:c r="B1343"/>
      <x:c r="C1343"/>
      <x:c r="D1343" t="str">
        <x:f>IFERROR(IF(1341&lt;=$O$1,INDEX($A$3:$A$168,MATCH(1341,$I$3:$I$168,0)),IF(1341&lt;=$O$1+$O$2,INDEX($F$3:$F$1994,MATCH(1341-$O$1,$G$3:$G$1994,0)),"")),"")</x:f>
      </x:c>
      <x:c r="E1343" t="str">
        <x:f>IF(K1343="","",IF(N1343&lt;=M1343,"",TRIM(CLEAN(MID(INDEX($B$3:$B$168,K1343),M1343,N1343-M1343)))))</x:f>
      </x:c>
      <x:c r="F1343" t="str">
        <x:f>IF(E1343="","",IF(E1343=TRIM(INDEX($A$3:$A$168,K1343)),"",IF(RIGHT(TRIM(INDEX($A$3:$A$168,K1343)),1)="]",LEFT(TRIM(INDEX($A$3:$A$168,K1343)),LEN(TRIM(INDEX($A$3:$A$168,K1343)))-1)&amp;", "&amp;SUBSTITUTE(SUBSTITUTE(SUBSTITUTE(E1343," [",", "),"[",", "),"]","")&amp;"]",TRIM(INDEX($A$3:$A$168,K1343))&amp;" ["&amp;SUBSTITUTE(SUBSTITUTE(SUBSTITUTE(E1343," [",", "),"[",", "),"]","")&amp;"]")))</x:f>
      </x:c>
      <x:c r="G1343" t="str">
        <x:f>IF(F1343&lt;&gt;"",ROWS($F$3:F1343)-COUNTBLANK($F$3:F1343),"")</x:f>
      </x:c>
      <x:c r="H1343"/>
      <x:c r="I1343"/>
      <x:c r="J1343"/>
      <x:c r="K1343" t="str">
        <x:f>IF(ROW()-ROW($K$2)&lt;=SUM($J$3:$J$168),COUNTIF($H$3:$H$168,"&lt;"&amp;(ROW()-ROW($K$2))),"")</x:f>
      </x:c>
      <x:c r="L1343" t="str">
        <x:f>IF(K1343="","",ROW()-ROW($L$2)-INDEX($H$3:$H$168,K1343))</x:f>
      </x:c>
      <x:c r="M1343" t="str">
        <x:f>IF(K1343="","",IF(L1343=1,1,FIND(CHAR(1),SUBSTITUTE(INDEX($B$3:$B$168,K1343),CHAR(10),CHAR(1),L1343-1))+1))</x:f>
      </x:c>
      <x:c r="N1343" t="str">
        <x:f>IF(K1343="","",IFERROR(FIND(CHAR(1),SUBSTITUTE(INDEX($B$3:$B$168,K1343),CHAR(10),CHAR(1),L1343)),LEN(INDEX($B$3:$B$168,K1343))+1))</x:f>
      </x:c>
    </x:row>
    <x:row r="1344">
      <x:c r="A1344"/>
      <x:c r="B1344"/>
      <x:c r="C1344"/>
      <x:c r="D1344" t="str">
        <x:f>IFERROR(IF(1342&lt;=$O$1,INDEX($A$3:$A$168,MATCH(1342,$I$3:$I$168,0)),IF(1342&lt;=$O$1+$O$2,INDEX($F$3:$F$1994,MATCH(1342-$O$1,$G$3:$G$1994,0)),"")),"")</x:f>
      </x:c>
      <x:c r="E1344" t="str">
        <x:f>IF(K1344="","",IF(N1344&lt;=M1344,"",TRIM(CLEAN(MID(INDEX($B$3:$B$168,K1344),M1344,N1344-M1344)))))</x:f>
      </x:c>
      <x:c r="F1344" t="str">
        <x:f>IF(E1344="","",IF(E1344=TRIM(INDEX($A$3:$A$168,K1344)),"",IF(RIGHT(TRIM(INDEX($A$3:$A$168,K1344)),1)="]",LEFT(TRIM(INDEX($A$3:$A$168,K1344)),LEN(TRIM(INDEX($A$3:$A$168,K1344)))-1)&amp;", "&amp;SUBSTITUTE(SUBSTITUTE(SUBSTITUTE(E1344," [",", "),"[",", "),"]","")&amp;"]",TRIM(INDEX($A$3:$A$168,K1344))&amp;" ["&amp;SUBSTITUTE(SUBSTITUTE(SUBSTITUTE(E1344," [",", "),"[",", "),"]","")&amp;"]")))</x:f>
      </x:c>
      <x:c r="G1344" t="str">
        <x:f>IF(F1344&lt;&gt;"",ROWS($F$3:F1344)-COUNTBLANK($F$3:F1344),"")</x:f>
      </x:c>
      <x:c r="H1344"/>
      <x:c r="I1344"/>
      <x:c r="J1344"/>
      <x:c r="K1344" t="str">
        <x:f>IF(ROW()-ROW($K$2)&lt;=SUM($J$3:$J$168),COUNTIF($H$3:$H$168,"&lt;"&amp;(ROW()-ROW($K$2))),"")</x:f>
      </x:c>
      <x:c r="L1344" t="str">
        <x:f>IF(K1344="","",ROW()-ROW($L$2)-INDEX($H$3:$H$168,K1344))</x:f>
      </x:c>
      <x:c r="M1344" t="str">
        <x:f>IF(K1344="","",IF(L1344=1,1,FIND(CHAR(1),SUBSTITUTE(INDEX($B$3:$B$168,K1344),CHAR(10),CHAR(1),L1344-1))+1))</x:f>
      </x:c>
      <x:c r="N1344" t="str">
        <x:f>IF(K1344="","",IFERROR(FIND(CHAR(1),SUBSTITUTE(INDEX($B$3:$B$168,K1344),CHAR(10),CHAR(1),L1344)),LEN(INDEX($B$3:$B$168,K1344))+1))</x:f>
      </x:c>
    </x:row>
    <x:row r="1345">
      <x:c r="A1345"/>
      <x:c r="B1345"/>
      <x:c r="C1345"/>
      <x:c r="D1345" t="str">
        <x:f>IFERROR(IF(1343&lt;=$O$1,INDEX($A$3:$A$168,MATCH(1343,$I$3:$I$168,0)),IF(1343&lt;=$O$1+$O$2,INDEX($F$3:$F$1994,MATCH(1343-$O$1,$G$3:$G$1994,0)),"")),"")</x:f>
      </x:c>
      <x:c r="E1345" t="str">
        <x:f>IF(K1345="","",IF(N1345&lt;=M1345,"",TRIM(CLEAN(MID(INDEX($B$3:$B$168,K1345),M1345,N1345-M1345)))))</x:f>
      </x:c>
      <x:c r="F1345" t="str">
        <x:f>IF(E1345="","",IF(E1345=TRIM(INDEX($A$3:$A$168,K1345)),"",IF(RIGHT(TRIM(INDEX($A$3:$A$168,K1345)),1)="]",LEFT(TRIM(INDEX($A$3:$A$168,K1345)),LEN(TRIM(INDEX($A$3:$A$168,K1345)))-1)&amp;", "&amp;SUBSTITUTE(SUBSTITUTE(SUBSTITUTE(E1345," [",", "),"[",", "),"]","")&amp;"]",TRIM(INDEX($A$3:$A$168,K1345))&amp;" ["&amp;SUBSTITUTE(SUBSTITUTE(SUBSTITUTE(E1345," [",", "),"[",", "),"]","")&amp;"]")))</x:f>
      </x:c>
      <x:c r="G1345" t="str">
        <x:f>IF(F1345&lt;&gt;"",ROWS($F$3:F1345)-COUNTBLANK($F$3:F1345),"")</x:f>
      </x:c>
      <x:c r="H1345"/>
      <x:c r="I1345"/>
      <x:c r="J1345"/>
      <x:c r="K1345" t="str">
        <x:f>IF(ROW()-ROW($K$2)&lt;=SUM($J$3:$J$168),COUNTIF($H$3:$H$168,"&lt;"&amp;(ROW()-ROW($K$2))),"")</x:f>
      </x:c>
      <x:c r="L1345" t="str">
        <x:f>IF(K1345="","",ROW()-ROW($L$2)-INDEX($H$3:$H$168,K1345))</x:f>
      </x:c>
      <x:c r="M1345" t="str">
        <x:f>IF(K1345="","",IF(L1345=1,1,FIND(CHAR(1),SUBSTITUTE(INDEX($B$3:$B$168,K1345),CHAR(10),CHAR(1),L1345-1))+1))</x:f>
      </x:c>
      <x:c r="N1345" t="str">
        <x:f>IF(K1345="","",IFERROR(FIND(CHAR(1),SUBSTITUTE(INDEX($B$3:$B$168,K1345),CHAR(10),CHAR(1),L1345)),LEN(INDEX($B$3:$B$168,K1345))+1))</x:f>
      </x:c>
    </x:row>
    <x:row r="1346">
      <x:c r="A1346"/>
      <x:c r="B1346"/>
      <x:c r="C1346"/>
      <x:c r="D1346" t="str">
        <x:f>IFERROR(IF(1344&lt;=$O$1,INDEX($A$3:$A$168,MATCH(1344,$I$3:$I$168,0)),IF(1344&lt;=$O$1+$O$2,INDEX($F$3:$F$1994,MATCH(1344-$O$1,$G$3:$G$1994,0)),"")),"")</x:f>
      </x:c>
      <x:c r="E1346" t="str">
        <x:f>IF(K1346="","",IF(N1346&lt;=M1346,"",TRIM(CLEAN(MID(INDEX($B$3:$B$168,K1346),M1346,N1346-M1346)))))</x:f>
      </x:c>
      <x:c r="F1346" t="str">
        <x:f>IF(E1346="","",IF(E1346=TRIM(INDEX($A$3:$A$168,K1346)),"",IF(RIGHT(TRIM(INDEX($A$3:$A$168,K1346)),1)="]",LEFT(TRIM(INDEX($A$3:$A$168,K1346)),LEN(TRIM(INDEX($A$3:$A$168,K1346)))-1)&amp;", "&amp;SUBSTITUTE(SUBSTITUTE(SUBSTITUTE(E1346," [",", "),"[",", "),"]","")&amp;"]",TRIM(INDEX($A$3:$A$168,K1346))&amp;" ["&amp;SUBSTITUTE(SUBSTITUTE(SUBSTITUTE(E1346," [",", "),"[",", "),"]","")&amp;"]")))</x:f>
      </x:c>
      <x:c r="G1346" t="str">
        <x:f>IF(F1346&lt;&gt;"",ROWS($F$3:F1346)-COUNTBLANK($F$3:F1346),"")</x:f>
      </x:c>
      <x:c r="H1346"/>
      <x:c r="I1346"/>
      <x:c r="J1346"/>
      <x:c r="K1346" t="str">
        <x:f>IF(ROW()-ROW($K$2)&lt;=SUM($J$3:$J$168),COUNTIF($H$3:$H$168,"&lt;"&amp;(ROW()-ROW($K$2))),"")</x:f>
      </x:c>
      <x:c r="L1346" t="str">
        <x:f>IF(K1346="","",ROW()-ROW($L$2)-INDEX($H$3:$H$168,K1346))</x:f>
      </x:c>
      <x:c r="M1346" t="str">
        <x:f>IF(K1346="","",IF(L1346=1,1,FIND(CHAR(1),SUBSTITUTE(INDEX($B$3:$B$168,K1346),CHAR(10),CHAR(1),L1346-1))+1))</x:f>
      </x:c>
      <x:c r="N1346" t="str">
        <x:f>IF(K1346="","",IFERROR(FIND(CHAR(1),SUBSTITUTE(INDEX($B$3:$B$168,K1346),CHAR(10),CHAR(1),L1346)),LEN(INDEX($B$3:$B$168,K1346))+1))</x:f>
      </x:c>
    </x:row>
    <x:row r="1347">
      <x:c r="A1347"/>
      <x:c r="B1347"/>
      <x:c r="C1347"/>
      <x:c r="D1347" t="str">
        <x:f>IFERROR(IF(1345&lt;=$O$1,INDEX($A$3:$A$168,MATCH(1345,$I$3:$I$168,0)),IF(1345&lt;=$O$1+$O$2,INDEX($F$3:$F$1994,MATCH(1345-$O$1,$G$3:$G$1994,0)),"")),"")</x:f>
      </x:c>
      <x:c r="E1347" t="str">
        <x:f>IF(K1347="","",IF(N1347&lt;=M1347,"",TRIM(CLEAN(MID(INDEX($B$3:$B$168,K1347),M1347,N1347-M1347)))))</x:f>
      </x:c>
      <x:c r="F1347" t="str">
        <x:f>IF(E1347="","",IF(E1347=TRIM(INDEX($A$3:$A$168,K1347)),"",IF(RIGHT(TRIM(INDEX($A$3:$A$168,K1347)),1)="]",LEFT(TRIM(INDEX($A$3:$A$168,K1347)),LEN(TRIM(INDEX($A$3:$A$168,K1347)))-1)&amp;", "&amp;SUBSTITUTE(SUBSTITUTE(SUBSTITUTE(E1347," [",", "),"[",", "),"]","")&amp;"]",TRIM(INDEX($A$3:$A$168,K1347))&amp;" ["&amp;SUBSTITUTE(SUBSTITUTE(SUBSTITUTE(E1347," [",", "),"[",", "),"]","")&amp;"]")))</x:f>
      </x:c>
      <x:c r="G1347" t="str">
        <x:f>IF(F1347&lt;&gt;"",ROWS($F$3:F1347)-COUNTBLANK($F$3:F1347),"")</x:f>
      </x:c>
      <x:c r="H1347"/>
      <x:c r="I1347"/>
      <x:c r="J1347"/>
      <x:c r="K1347" t="str">
        <x:f>IF(ROW()-ROW($K$2)&lt;=SUM($J$3:$J$168),COUNTIF($H$3:$H$168,"&lt;"&amp;(ROW()-ROW($K$2))),"")</x:f>
      </x:c>
      <x:c r="L1347" t="str">
        <x:f>IF(K1347="","",ROW()-ROW($L$2)-INDEX($H$3:$H$168,K1347))</x:f>
      </x:c>
      <x:c r="M1347" t="str">
        <x:f>IF(K1347="","",IF(L1347=1,1,FIND(CHAR(1),SUBSTITUTE(INDEX($B$3:$B$168,K1347),CHAR(10),CHAR(1),L1347-1))+1))</x:f>
      </x:c>
      <x:c r="N1347" t="str">
        <x:f>IF(K1347="","",IFERROR(FIND(CHAR(1),SUBSTITUTE(INDEX($B$3:$B$168,K1347),CHAR(10),CHAR(1),L1347)),LEN(INDEX($B$3:$B$168,K1347))+1))</x:f>
      </x:c>
    </x:row>
    <x:row r="1348">
      <x:c r="A1348"/>
      <x:c r="B1348"/>
      <x:c r="C1348"/>
      <x:c r="D1348" t="str">
        <x:f>IFERROR(IF(1346&lt;=$O$1,INDEX($A$3:$A$168,MATCH(1346,$I$3:$I$168,0)),IF(1346&lt;=$O$1+$O$2,INDEX($F$3:$F$1994,MATCH(1346-$O$1,$G$3:$G$1994,0)),"")),"")</x:f>
      </x:c>
      <x:c r="E1348" t="str">
        <x:f>IF(K1348="","",IF(N1348&lt;=M1348,"",TRIM(CLEAN(MID(INDEX($B$3:$B$168,K1348),M1348,N1348-M1348)))))</x:f>
      </x:c>
      <x:c r="F1348" t="str">
        <x:f>IF(E1348="","",IF(E1348=TRIM(INDEX($A$3:$A$168,K1348)),"",IF(RIGHT(TRIM(INDEX($A$3:$A$168,K1348)),1)="]",LEFT(TRIM(INDEX($A$3:$A$168,K1348)),LEN(TRIM(INDEX($A$3:$A$168,K1348)))-1)&amp;", "&amp;SUBSTITUTE(SUBSTITUTE(SUBSTITUTE(E1348," [",", "),"[",", "),"]","")&amp;"]",TRIM(INDEX($A$3:$A$168,K1348))&amp;" ["&amp;SUBSTITUTE(SUBSTITUTE(SUBSTITUTE(E1348," [",", "),"[",", "),"]","")&amp;"]")))</x:f>
      </x:c>
      <x:c r="G1348" t="str">
        <x:f>IF(F1348&lt;&gt;"",ROWS($F$3:F1348)-COUNTBLANK($F$3:F1348),"")</x:f>
      </x:c>
      <x:c r="H1348"/>
      <x:c r="I1348"/>
      <x:c r="J1348"/>
      <x:c r="K1348" t="str">
        <x:f>IF(ROW()-ROW($K$2)&lt;=SUM($J$3:$J$168),COUNTIF($H$3:$H$168,"&lt;"&amp;(ROW()-ROW($K$2))),"")</x:f>
      </x:c>
      <x:c r="L1348" t="str">
        <x:f>IF(K1348="","",ROW()-ROW($L$2)-INDEX($H$3:$H$168,K1348))</x:f>
      </x:c>
      <x:c r="M1348" t="str">
        <x:f>IF(K1348="","",IF(L1348=1,1,FIND(CHAR(1),SUBSTITUTE(INDEX($B$3:$B$168,K1348),CHAR(10),CHAR(1),L1348-1))+1))</x:f>
      </x:c>
      <x:c r="N1348" t="str">
        <x:f>IF(K1348="","",IFERROR(FIND(CHAR(1),SUBSTITUTE(INDEX($B$3:$B$168,K1348),CHAR(10),CHAR(1),L1348)),LEN(INDEX($B$3:$B$168,K1348))+1))</x:f>
      </x:c>
    </x:row>
    <x:row r="1349">
      <x:c r="A1349"/>
      <x:c r="B1349"/>
      <x:c r="C1349"/>
      <x:c r="D1349" t="str">
        <x:f>IFERROR(IF(1347&lt;=$O$1,INDEX($A$3:$A$168,MATCH(1347,$I$3:$I$168,0)),IF(1347&lt;=$O$1+$O$2,INDEX($F$3:$F$1994,MATCH(1347-$O$1,$G$3:$G$1994,0)),"")),"")</x:f>
      </x:c>
      <x:c r="E1349" t="str">
        <x:f>IF(K1349="","",IF(N1349&lt;=M1349,"",TRIM(CLEAN(MID(INDEX($B$3:$B$168,K1349),M1349,N1349-M1349)))))</x:f>
      </x:c>
      <x:c r="F1349" t="str">
        <x:f>IF(E1349="","",IF(E1349=TRIM(INDEX($A$3:$A$168,K1349)),"",IF(RIGHT(TRIM(INDEX($A$3:$A$168,K1349)),1)="]",LEFT(TRIM(INDEX($A$3:$A$168,K1349)),LEN(TRIM(INDEX($A$3:$A$168,K1349)))-1)&amp;", "&amp;SUBSTITUTE(SUBSTITUTE(SUBSTITUTE(E1349," [",", "),"[",", "),"]","")&amp;"]",TRIM(INDEX($A$3:$A$168,K1349))&amp;" ["&amp;SUBSTITUTE(SUBSTITUTE(SUBSTITUTE(E1349," [",", "),"[",", "),"]","")&amp;"]")))</x:f>
      </x:c>
      <x:c r="G1349" t="str">
        <x:f>IF(F1349&lt;&gt;"",ROWS($F$3:F1349)-COUNTBLANK($F$3:F1349),"")</x:f>
      </x:c>
      <x:c r="H1349"/>
      <x:c r="I1349"/>
      <x:c r="J1349"/>
      <x:c r="K1349" t="str">
        <x:f>IF(ROW()-ROW($K$2)&lt;=SUM($J$3:$J$168),COUNTIF($H$3:$H$168,"&lt;"&amp;(ROW()-ROW($K$2))),"")</x:f>
      </x:c>
      <x:c r="L1349" t="str">
        <x:f>IF(K1349="","",ROW()-ROW($L$2)-INDEX($H$3:$H$168,K1349))</x:f>
      </x:c>
      <x:c r="M1349" t="str">
        <x:f>IF(K1349="","",IF(L1349=1,1,FIND(CHAR(1),SUBSTITUTE(INDEX($B$3:$B$168,K1349),CHAR(10),CHAR(1),L1349-1))+1))</x:f>
      </x:c>
      <x:c r="N1349" t="str">
        <x:f>IF(K1349="","",IFERROR(FIND(CHAR(1),SUBSTITUTE(INDEX($B$3:$B$168,K1349),CHAR(10),CHAR(1),L1349)),LEN(INDEX($B$3:$B$168,K1349))+1))</x:f>
      </x:c>
    </x:row>
    <x:row r="1350">
      <x:c r="A1350"/>
      <x:c r="B1350"/>
      <x:c r="C1350"/>
      <x:c r="D1350" t="str">
        <x:f>IFERROR(IF(1348&lt;=$O$1,INDEX($A$3:$A$168,MATCH(1348,$I$3:$I$168,0)),IF(1348&lt;=$O$1+$O$2,INDEX($F$3:$F$1994,MATCH(1348-$O$1,$G$3:$G$1994,0)),"")),"")</x:f>
      </x:c>
      <x:c r="E1350" t="str">
        <x:f>IF(K1350="","",IF(N1350&lt;=M1350,"",TRIM(CLEAN(MID(INDEX($B$3:$B$168,K1350),M1350,N1350-M1350)))))</x:f>
      </x:c>
      <x:c r="F1350" t="str">
        <x:f>IF(E1350="","",IF(E1350=TRIM(INDEX($A$3:$A$168,K1350)),"",IF(RIGHT(TRIM(INDEX($A$3:$A$168,K1350)),1)="]",LEFT(TRIM(INDEX($A$3:$A$168,K1350)),LEN(TRIM(INDEX($A$3:$A$168,K1350)))-1)&amp;", "&amp;SUBSTITUTE(SUBSTITUTE(SUBSTITUTE(E1350," [",", "),"[",", "),"]","")&amp;"]",TRIM(INDEX($A$3:$A$168,K1350))&amp;" ["&amp;SUBSTITUTE(SUBSTITUTE(SUBSTITUTE(E1350," [",", "),"[",", "),"]","")&amp;"]")))</x:f>
      </x:c>
      <x:c r="G1350" t="str">
        <x:f>IF(F1350&lt;&gt;"",ROWS($F$3:F1350)-COUNTBLANK($F$3:F1350),"")</x:f>
      </x:c>
      <x:c r="H1350"/>
      <x:c r="I1350"/>
      <x:c r="J1350"/>
      <x:c r="K1350" t="str">
        <x:f>IF(ROW()-ROW($K$2)&lt;=SUM($J$3:$J$168),COUNTIF($H$3:$H$168,"&lt;"&amp;(ROW()-ROW($K$2))),"")</x:f>
      </x:c>
      <x:c r="L1350" t="str">
        <x:f>IF(K1350="","",ROW()-ROW($L$2)-INDEX($H$3:$H$168,K1350))</x:f>
      </x:c>
      <x:c r="M1350" t="str">
        <x:f>IF(K1350="","",IF(L1350=1,1,FIND(CHAR(1),SUBSTITUTE(INDEX($B$3:$B$168,K1350),CHAR(10),CHAR(1),L1350-1))+1))</x:f>
      </x:c>
      <x:c r="N1350" t="str">
        <x:f>IF(K1350="","",IFERROR(FIND(CHAR(1),SUBSTITUTE(INDEX($B$3:$B$168,K1350),CHAR(10),CHAR(1),L1350)),LEN(INDEX($B$3:$B$168,K1350))+1))</x:f>
      </x:c>
    </x:row>
    <x:row r="1351">
      <x:c r="A1351"/>
      <x:c r="B1351"/>
      <x:c r="C1351"/>
      <x:c r="D1351" t="str">
        <x:f>IFERROR(IF(1349&lt;=$O$1,INDEX($A$3:$A$168,MATCH(1349,$I$3:$I$168,0)),IF(1349&lt;=$O$1+$O$2,INDEX($F$3:$F$1994,MATCH(1349-$O$1,$G$3:$G$1994,0)),"")),"")</x:f>
      </x:c>
      <x:c r="E1351" t="str">
        <x:f>IF(K1351="","",IF(N1351&lt;=M1351,"",TRIM(CLEAN(MID(INDEX($B$3:$B$168,K1351),M1351,N1351-M1351)))))</x:f>
      </x:c>
      <x:c r="F1351" t="str">
        <x:f>IF(E1351="","",IF(E1351=TRIM(INDEX($A$3:$A$168,K1351)),"",IF(RIGHT(TRIM(INDEX($A$3:$A$168,K1351)),1)="]",LEFT(TRIM(INDEX($A$3:$A$168,K1351)),LEN(TRIM(INDEX($A$3:$A$168,K1351)))-1)&amp;", "&amp;SUBSTITUTE(SUBSTITUTE(SUBSTITUTE(E1351," [",", "),"[",", "),"]","")&amp;"]",TRIM(INDEX($A$3:$A$168,K1351))&amp;" ["&amp;SUBSTITUTE(SUBSTITUTE(SUBSTITUTE(E1351," [",", "),"[",", "),"]","")&amp;"]")))</x:f>
      </x:c>
      <x:c r="G1351" t="str">
        <x:f>IF(F1351&lt;&gt;"",ROWS($F$3:F1351)-COUNTBLANK($F$3:F1351),"")</x:f>
      </x:c>
      <x:c r="H1351"/>
      <x:c r="I1351"/>
      <x:c r="J1351"/>
      <x:c r="K1351" t="str">
        <x:f>IF(ROW()-ROW($K$2)&lt;=SUM($J$3:$J$168),COUNTIF($H$3:$H$168,"&lt;"&amp;(ROW()-ROW($K$2))),"")</x:f>
      </x:c>
      <x:c r="L1351" t="str">
        <x:f>IF(K1351="","",ROW()-ROW($L$2)-INDEX($H$3:$H$168,K1351))</x:f>
      </x:c>
      <x:c r="M1351" t="str">
        <x:f>IF(K1351="","",IF(L1351=1,1,FIND(CHAR(1),SUBSTITUTE(INDEX($B$3:$B$168,K1351),CHAR(10),CHAR(1),L1351-1))+1))</x:f>
      </x:c>
      <x:c r="N1351" t="str">
        <x:f>IF(K1351="","",IFERROR(FIND(CHAR(1),SUBSTITUTE(INDEX($B$3:$B$168,K1351),CHAR(10),CHAR(1),L1351)),LEN(INDEX($B$3:$B$168,K1351))+1))</x:f>
      </x:c>
    </x:row>
    <x:row r="1352">
      <x:c r="A1352"/>
      <x:c r="B1352"/>
      <x:c r="C1352"/>
      <x:c r="D1352" t="str">
        <x:f>IFERROR(IF(1350&lt;=$O$1,INDEX($A$3:$A$168,MATCH(1350,$I$3:$I$168,0)),IF(1350&lt;=$O$1+$O$2,INDEX($F$3:$F$1994,MATCH(1350-$O$1,$G$3:$G$1994,0)),"")),"")</x:f>
      </x:c>
      <x:c r="E1352" t="str">
        <x:f>IF(K1352="","",IF(N1352&lt;=M1352,"",TRIM(CLEAN(MID(INDEX($B$3:$B$168,K1352),M1352,N1352-M1352)))))</x:f>
      </x:c>
      <x:c r="F1352" t="str">
        <x:f>IF(E1352="","",IF(E1352=TRIM(INDEX($A$3:$A$168,K1352)),"",IF(RIGHT(TRIM(INDEX($A$3:$A$168,K1352)),1)="]",LEFT(TRIM(INDEX($A$3:$A$168,K1352)),LEN(TRIM(INDEX($A$3:$A$168,K1352)))-1)&amp;", "&amp;SUBSTITUTE(SUBSTITUTE(SUBSTITUTE(E1352," [",", "),"[",", "),"]","")&amp;"]",TRIM(INDEX($A$3:$A$168,K1352))&amp;" ["&amp;SUBSTITUTE(SUBSTITUTE(SUBSTITUTE(E1352," [",", "),"[",", "),"]","")&amp;"]")))</x:f>
      </x:c>
      <x:c r="G1352" t="str">
        <x:f>IF(F1352&lt;&gt;"",ROWS($F$3:F1352)-COUNTBLANK($F$3:F1352),"")</x:f>
      </x:c>
      <x:c r="H1352"/>
      <x:c r="I1352"/>
      <x:c r="J1352"/>
      <x:c r="K1352" t="str">
        <x:f>IF(ROW()-ROW($K$2)&lt;=SUM($J$3:$J$168),COUNTIF($H$3:$H$168,"&lt;"&amp;(ROW()-ROW($K$2))),"")</x:f>
      </x:c>
      <x:c r="L1352" t="str">
        <x:f>IF(K1352="","",ROW()-ROW($L$2)-INDEX($H$3:$H$168,K1352))</x:f>
      </x:c>
      <x:c r="M1352" t="str">
        <x:f>IF(K1352="","",IF(L1352=1,1,FIND(CHAR(1),SUBSTITUTE(INDEX($B$3:$B$168,K1352),CHAR(10),CHAR(1),L1352-1))+1))</x:f>
      </x:c>
      <x:c r="N1352" t="str">
        <x:f>IF(K1352="","",IFERROR(FIND(CHAR(1),SUBSTITUTE(INDEX($B$3:$B$168,K1352),CHAR(10),CHAR(1),L1352)),LEN(INDEX($B$3:$B$168,K1352))+1))</x:f>
      </x:c>
    </x:row>
    <x:row r="1353">
      <x:c r="A1353"/>
      <x:c r="B1353"/>
      <x:c r="C1353"/>
      <x:c r="D1353" t="str">
        <x:f>IFERROR(IF(1351&lt;=$O$1,INDEX($A$3:$A$168,MATCH(1351,$I$3:$I$168,0)),IF(1351&lt;=$O$1+$O$2,INDEX($F$3:$F$1994,MATCH(1351-$O$1,$G$3:$G$1994,0)),"")),"")</x:f>
      </x:c>
      <x:c r="E1353" t="str">
        <x:f>IF(K1353="","",IF(N1353&lt;=M1353,"",TRIM(CLEAN(MID(INDEX($B$3:$B$168,K1353),M1353,N1353-M1353)))))</x:f>
      </x:c>
      <x:c r="F1353" t="str">
        <x:f>IF(E1353="","",IF(E1353=TRIM(INDEX($A$3:$A$168,K1353)),"",IF(RIGHT(TRIM(INDEX($A$3:$A$168,K1353)),1)="]",LEFT(TRIM(INDEX($A$3:$A$168,K1353)),LEN(TRIM(INDEX($A$3:$A$168,K1353)))-1)&amp;", "&amp;SUBSTITUTE(SUBSTITUTE(SUBSTITUTE(E1353," [",", "),"[",", "),"]","")&amp;"]",TRIM(INDEX($A$3:$A$168,K1353))&amp;" ["&amp;SUBSTITUTE(SUBSTITUTE(SUBSTITUTE(E1353," [",", "),"[",", "),"]","")&amp;"]")))</x:f>
      </x:c>
      <x:c r="G1353" t="str">
        <x:f>IF(F1353&lt;&gt;"",ROWS($F$3:F1353)-COUNTBLANK($F$3:F1353),"")</x:f>
      </x:c>
      <x:c r="H1353"/>
      <x:c r="I1353"/>
      <x:c r="J1353"/>
      <x:c r="K1353" t="str">
        <x:f>IF(ROW()-ROW($K$2)&lt;=SUM($J$3:$J$168),COUNTIF($H$3:$H$168,"&lt;"&amp;(ROW()-ROW($K$2))),"")</x:f>
      </x:c>
      <x:c r="L1353" t="str">
        <x:f>IF(K1353="","",ROW()-ROW($L$2)-INDEX($H$3:$H$168,K1353))</x:f>
      </x:c>
      <x:c r="M1353" t="str">
        <x:f>IF(K1353="","",IF(L1353=1,1,FIND(CHAR(1),SUBSTITUTE(INDEX($B$3:$B$168,K1353),CHAR(10),CHAR(1),L1353-1))+1))</x:f>
      </x:c>
      <x:c r="N1353" t="str">
        <x:f>IF(K1353="","",IFERROR(FIND(CHAR(1),SUBSTITUTE(INDEX($B$3:$B$168,K1353),CHAR(10),CHAR(1),L1353)),LEN(INDEX($B$3:$B$168,K1353))+1))</x:f>
      </x:c>
    </x:row>
    <x:row r="1354">
      <x:c r="A1354"/>
      <x:c r="B1354"/>
      <x:c r="C1354"/>
      <x:c r="D1354" t="str">
        <x:f>IFERROR(IF(1352&lt;=$O$1,INDEX($A$3:$A$168,MATCH(1352,$I$3:$I$168,0)),IF(1352&lt;=$O$1+$O$2,INDEX($F$3:$F$1994,MATCH(1352-$O$1,$G$3:$G$1994,0)),"")),"")</x:f>
      </x:c>
      <x:c r="E1354" t="str">
        <x:f>IF(K1354="","",IF(N1354&lt;=M1354,"",TRIM(CLEAN(MID(INDEX($B$3:$B$168,K1354),M1354,N1354-M1354)))))</x:f>
      </x:c>
      <x:c r="F1354" t="str">
        <x:f>IF(E1354="","",IF(E1354=TRIM(INDEX($A$3:$A$168,K1354)),"",IF(RIGHT(TRIM(INDEX($A$3:$A$168,K1354)),1)="]",LEFT(TRIM(INDEX($A$3:$A$168,K1354)),LEN(TRIM(INDEX($A$3:$A$168,K1354)))-1)&amp;", "&amp;SUBSTITUTE(SUBSTITUTE(SUBSTITUTE(E1354," [",", "),"[",", "),"]","")&amp;"]",TRIM(INDEX($A$3:$A$168,K1354))&amp;" ["&amp;SUBSTITUTE(SUBSTITUTE(SUBSTITUTE(E1354," [",", "),"[",", "),"]","")&amp;"]")))</x:f>
      </x:c>
      <x:c r="G1354" t="str">
        <x:f>IF(F1354&lt;&gt;"",ROWS($F$3:F1354)-COUNTBLANK($F$3:F1354),"")</x:f>
      </x:c>
      <x:c r="H1354"/>
      <x:c r="I1354"/>
      <x:c r="J1354"/>
      <x:c r="K1354" t="str">
        <x:f>IF(ROW()-ROW($K$2)&lt;=SUM($J$3:$J$168),COUNTIF($H$3:$H$168,"&lt;"&amp;(ROW()-ROW($K$2))),"")</x:f>
      </x:c>
      <x:c r="L1354" t="str">
        <x:f>IF(K1354="","",ROW()-ROW($L$2)-INDEX($H$3:$H$168,K1354))</x:f>
      </x:c>
      <x:c r="M1354" t="str">
        <x:f>IF(K1354="","",IF(L1354=1,1,FIND(CHAR(1),SUBSTITUTE(INDEX($B$3:$B$168,K1354),CHAR(10),CHAR(1),L1354-1))+1))</x:f>
      </x:c>
      <x:c r="N1354" t="str">
        <x:f>IF(K1354="","",IFERROR(FIND(CHAR(1),SUBSTITUTE(INDEX($B$3:$B$168,K1354),CHAR(10),CHAR(1),L1354)),LEN(INDEX($B$3:$B$168,K1354))+1))</x:f>
      </x:c>
    </x:row>
    <x:row r="1355">
      <x:c r="A1355"/>
      <x:c r="B1355"/>
      <x:c r="C1355"/>
      <x:c r="D1355" t="str">
        <x:f>IFERROR(IF(1353&lt;=$O$1,INDEX($A$3:$A$168,MATCH(1353,$I$3:$I$168,0)),IF(1353&lt;=$O$1+$O$2,INDEX($F$3:$F$1994,MATCH(1353-$O$1,$G$3:$G$1994,0)),"")),"")</x:f>
      </x:c>
      <x:c r="E1355" t="str">
        <x:f>IF(K1355="","",IF(N1355&lt;=M1355,"",TRIM(CLEAN(MID(INDEX($B$3:$B$168,K1355),M1355,N1355-M1355)))))</x:f>
      </x:c>
      <x:c r="F1355" t="str">
        <x:f>IF(E1355="","",IF(E1355=TRIM(INDEX($A$3:$A$168,K1355)),"",IF(RIGHT(TRIM(INDEX($A$3:$A$168,K1355)),1)="]",LEFT(TRIM(INDEX($A$3:$A$168,K1355)),LEN(TRIM(INDEX($A$3:$A$168,K1355)))-1)&amp;", "&amp;SUBSTITUTE(SUBSTITUTE(SUBSTITUTE(E1355," [",", "),"[",", "),"]","")&amp;"]",TRIM(INDEX($A$3:$A$168,K1355))&amp;" ["&amp;SUBSTITUTE(SUBSTITUTE(SUBSTITUTE(E1355," [",", "),"[",", "),"]","")&amp;"]")))</x:f>
      </x:c>
      <x:c r="G1355" t="str">
        <x:f>IF(F1355&lt;&gt;"",ROWS($F$3:F1355)-COUNTBLANK($F$3:F1355),"")</x:f>
      </x:c>
      <x:c r="H1355"/>
      <x:c r="I1355"/>
      <x:c r="J1355"/>
      <x:c r="K1355" t="str">
        <x:f>IF(ROW()-ROW($K$2)&lt;=SUM($J$3:$J$168),COUNTIF($H$3:$H$168,"&lt;"&amp;(ROW()-ROW($K$2))),"")</x:f>
      </x:c>
      <x:c r="L1355" t="str">
        <x:f>IF(K1355="","",ROW()-ROW($L$2)-INDEX($H$3:$H$168,K1355))</x:f>
      </x:c>
      <x:c r="M1355" t="str">
        <x:f>IF(K1355="","",IF(L1355=1,1,FIND(CHAR(1),SUBSTITUTE(INDEX($B$3:$B$168,K1355),CHAR(10),CHAR(1),L1355-1))+1))</x:f>
      </x:c>
      <x:c r="N1355" t="str">
        <x:f>IF(K1355="","",IFERROR(FIND(CHAR(1),SUBSTITUTE(INDEX($B$3:$B$168,K1355),CHAR(10),CHAR(1),L1355)),LEN(INDEX($B$3:$B$168,K1355))+1))</x:f>
      </x:c>
    </x:row>
    <x:row r="1356">
      <x:c r="A1356"/>
      <x:c r="B1356"/>
      <x:c r="C1356"/>
      <x:c r="D1356" t="str">
        <x:f>IFERROR(IF(1354&lt;=$O$1,INDEX($A$3:$A$168,MATCH(1354,$I$3:$I$168,0)),IF(1354&lt;=$O$1+$O$2,INDEX($F$3:$F$1994,MATCH(1354-$O$1,$G$3:$G$1994,0)),"")),"")</x:f>
      </x:c>
      <x:c r="E1356" t="str">
        <x:f>IF(K1356="","",IF(N1356&lt;=M1356,"",TRIM(CLEAN(MID(INDEX($B$3:$B$168,K1356),M1356,N1356-M1356)))))</x:f>
      </x:c>
      <x:c r="F1356" t="str">
        <x:f>IF(E1356="","",IF(E1356=TRIM(INDEX($A$3:$A$168,K1356)),"",IF(RIGHT(TRIM(INDEX($A$3:$A$168,K1356)),1)="]",LEFT(TRIM(INDEX($A$3:$A$168,K1356)),LEN(TRIM(INDEX($A$3:$A$168,K1356)))-1)&amp;", "&amp;SUBSTITUTE(SUBSTITUTE(SUBSTITUTE(E1356," [",", "),"[",", "),"]","")&amp;"]",TRIM(INDEX($A$3:$A$168,K1356))&amp;" ["&amp;SUBSTITUTE(SUBSTITUTE(SUBSTITUTE(E1356," [",", "),"[",", "),"]","")&amp;"]")))</x:f>
      </x:c>
      <x:c r="G1356" t="str">
        <x:f>IF(F1356&lt;&gt;"",ROWS($F$3:F1356)-COUNTBLANK($F$3:F1356),"")</x:f>
      </x:c>
      <x:c r="H1356"/>
      <x:c r="I1356"/>
      <x:c r="J1356"/>
      <x:c r="K1356" t="str">
        <x:f>IF(ROW()-ROW($K$2)&lt;=SUM($J$3:$J$168),COUNTIF($H$3:$H$168,"&lt;"&amp;(ROW()-ROW($K$2))),"")</x:f>
      </x:c>
      <x:c r="L1356" t="str">
        <x:f>IF(K1356="","",ROW()-ROW($L$2)-INDEX($H$3:$H$168,K1356))</x:f>
      </x:c>
      <x:c r="M1356" t="str">
        <x:f>IF(K1356="","",IF(L1356=1,1,FIND(CHAR(1),SUBSTITUTE(INDEX($B$3:$B$168,K1356),CHAR(10),CHAR(1),L1356-1))+1))</x:f>
      </x:c>
      <x:c r="N1356" t="str">
        <x:f>IF(K1356="","",IFERROR(FIND(CHAR(1),SUBSTITUTE(INDEX($B$3:$B$168,K1356),CHAR(10),CHAR(1),L1356)),LEN(INDEX($B$3:$B$168,K1356))+1))</x:f>
      </x:c>
    </x:row>
    <x:row r="1357">
      <x:c r="A1357"/>
      <x:c r="B1357"/>
      <x:c r="C1357"/>
      <x:c r="D1357" t="str">
        <x:f>IFERROR(IF(1355&lt;=$O$1,INDEX($A$3:$A$168,MATCH(1355,$I$3:$I$168,0)),IF(1355&lt;=$O$1+$O$2,INDEX($F$3:$F$1994,MATCH(1355-$O$1,$G$3:$G$1994,0)),"")),"")</x:f>
      </x:c>
      <x:c r="E1357" t="str">
        <x:f>IF(K1357="","",IF(N1357&lt;=M1357,"",TRIM(CLEAN(MID(INDEX($B$3:$B$168,K1357),M1357,N1357-M1357)))))</x:f>
      </x:c>
      <x:c r="F1357" t="str">
        <x:f>IF(E1357="","",IF(E1357=TRIM(INDEX($A$3:$A$168,K1357)),"",IF(RIGHT(TRIM(INDEX($A$3:$A$168,K1357)),1)="]",LEFT(TRIM(INDEX($A$3:$A$168,K1357)),LEN(TRIM(INDEX($A$3:$A$168,K1357)))-1)&amp;", "&amp;SUBSTITUTE(SUBSTITUTE(SUBSTITUTE(E1357," [",", "),"[",", "),"]","")&amp;"]",TRIM(INDEX($A$3:$A$168,K1357))&amp;" ["&amp;SUBSTITUTE(SUBSTITUTE(SUBSTITUTE(E1357," [",", "),"[",", "),"]","")&amp;"]")))</x:f>
      </x:c>
      <x:c r="G1357" t="str">
        <x:f>IF(F1357&lt;&gt;"",ROWS($F$3:F1357)-COUNTBLANK($F$3:F1357),"")</x:f>
      </x:c>
      <x:c r="H1357"/>
      <x:c r="I1357"/>
      <x:c r="J1357"/>
      <x:c r="K1357" t="str">
        <x:f>IF(ROW()-ROW($K$2)&lt;=SUM($J$3:$J$168),COUNTIF($H$3:$H$168,"&lt;"&amp;(ROW()-ROW($K$2))),"")</x:f>
      </x:c>
      <x:c r="L1357" t="str">
        <x:f>IF(K1357="","",ROW()-ROW($L$2)-INDEX($H$3:$H$168,K1357))</x:f>
      </x:c>
      <x:c r="M1357" t="str">
        <x:f>IF(K1357="","",IF(L1357=1,1,FIND(CHAR(1),SUBSTITUTE(INDEX($B$3:$B$168,K1357),CHAR(10),CHAR(1),L1357-1))+1))</x:f>
      </x:c>
      <x:c r="N1357" t="str">
        <x:f>IF(K1357="","",IFERROR(FIND(CHAR(1),SUBSTITUTE(INDEX($B$3:$B$168,K1357),CHAR(10),CHAR(1),L1357)),LEN(INDEX($B$3:$B$168,K1357))+1))</x:f>
      </x:c>
    </x:row>
    <x:row r="1358">
      <x:c r="A1358"/>
      <x:c r="B1358"/>
      <x:c r="C1358"/>
      <x:c r="D1358" t="str">
        <x:f>IFERROR(IF(1356&lt;=$O$1,INDEX($A$3:$A$168,MATCH(1356,$I$3:$I$168,0)),IF(1356&lt;=$O$1+$O$2,INDEX($F$3:$F$1994,MATCH(1356-$O$1,$G$3:$G$1994,0)),"")),"")</x:f>
      </x:c>
      <x:c r="E1358" t="str">
        <x:f>IF(K1358="","",IF(N1358&lt;=M1358,"",TRIM(CLEAN(MID(INDEX($B$3:$B$168,K1358),M1358,N1358-M1358)))))</x:f>
      </x:c>
      <x:c r="F1358" t="str">
        <x:f>IF(E1358="","",IF(E1358=TRIM(INDEX($A$3:$A$168,K1358)),"",IF(RIGHT(TRIM(INDEX($A$3:$A$168,K1358)),1)="]",LEFT(TRIM(INDEX($A$3:$A$168,K1358)),LEN(TRIM(INDEX($A$3:$A$168,K1358)))-1)&amp;", "&amp;SUBSTITUTE(SUBSTITUTE(SUBSTITUTE(E1358," [",", "),"[",", "),"]","")&amp;"]",TRIM(INDEX($A$3:$A$168,K1358))&amp;" ["&amp;SUBSTITUTE(SUBSTITUTE(SUBSTITUTE(E1358," [",", "),"[",", "),"]","")&amp;"]")))</x:f>
      </x:c>
      <x:c r="G1358" t="str">
        <x:f>IF(F1358&lt;&gt;"",ROWS($F$3:F1358)-COUNTBLANK($F$3:F1358),"")</x:f>
      </x:c>
      <x:c r="H1358"/>
      <x:c r="I1358"/>
      <x:c r="J1358"/>
      <x:c r="K1358" t="str">
        <x:f>IF(ROW()-ROW($K$2)&lt;=SUM($J$3:$J$168),COUNTIF($H$3:$H$168,"&lt;"&amp;(ROW()-ROW($K$2))),"")</x:f>
      </x:c>
      <x:c r="L1358" t="str">
        <x:f>IF(K1358="","",ROW()-ROW($L$2)-INDEX($H$3:$H$168,K1358))</x:f>
      </x:c>
      <x:c r="M1358" t="str">
        <x:f>IF(K1358="","",IF(L1358=1,1,FIND(CHAR(1),SUBSTITUTE(INDEX($B$3:$B$168,K1358),CHAR(10),CHAR(1),L1358-1))+1))</x:f>
      </x:c>
      <x:c r="N1358" t="str">
        <x:f>IF(K1358="","",IFERROR(FIND(CHAR(1),SUBSTITUTE(INDEX($B$3:$B$168,K1358),CHAR(10),CHAR(1),L1358)),LEN(INDEX($B$3:$B$168,K1358))+1))</x:f>
      </x:c>
    </x:row>
    <x:row r="1359">
      <x:c r="A1359"/>
      <x:c r="B1359"/>
      <x:c r="C1359"/>
      <x:c r="D1359" t="str">
        <x:f>IFERROR(IF(1357&lt;=$O$1,INDEX($A$3:$A$168,MATCH(1357,$I$3:$I$168,0)),IF(1357&lt;=$O$1+$O$2,INDEX($F$3:$F$1994,MATCH(1357-$O$1,$G$3:$G$1994,0)),"")),"")</x:f>
      </x:c>
      <x:c r="E1359" t="str">
        <x:f>IF(K1359="","",IF(N1359&lt;=M1359,"",TRIM(CLEAN(MID(INDEX($B$3:$B$168,K1359),M1359,N1359-M1359)))))</x:f>
      </x:c>
      <x:c r="F1359" t="str">
        <x:f>IF(E1359="","",IF(E1359=TRIM(INDEX($A$3:$A$168,K1359)),"",IF(RIGHT(TRIM(INDEX($A$3:$A$168,K1359)),1)="]",LEFT(TRIM(INDEX($A$3:$A$168,K1359)),LEN(TRIM(INDEX($A$3:$A$168,K1359)))-1)&amp;", "&amp;SUBSTITUTE(SUBSTITUTE(SUBSTITUTE(E1359," [",", "),"[",", "),"]","")&amp;"]",TRIM(INDEX($A$3:$A$168,K1359))&amp;" ["&amp;SUBSTITUTE(SUBSTITUTE(SUBSTITUTE(E1359," [",", "),"[",", "),"]","")&amp;"]")))</x:f>
      </x:c>
      <x:c r="G1359" t="str">
        <x:f>IF(F1359&lt;&gt;"",ROWS($F$3:F1359)-COUNTBLANK($F$3:F1359),"")</x:f>
      </x:c>
      <x:c r="H1359"/>
      <x:c r="I1359"/>
      <x:c r="J1359"/>
      <x:c r="K1359" t="str">
        <x:f>IF(ROW()-ROW($K$2)&lt;=SUM($J$3:$J$168),COUNTIF($H$3:$H$168,"&lt;"&amp;(ROW()-ROW($K$2))),"")</x:f>
      </x:c>
      <x:c r="L1359" t="str">
        <x:f>IF(K1359="","",ROW()-ROW($L$2)-INDEX($H$3:$H$168,K1359))</x:f>
      </x:c>
      <x:c r="M1359" t="str">
        <x:f>IF(K1359="","",IF(L1359=1,1,FIND(CHAR(1),SUBSTITUTE(INDEX($B$3:$B$168,K1359),CHAR(10),CHAR(1),L1359-1))+1))</x:f>
      </x:c>
      <x:c r="N1359" t="str">
        <x:f>IF(K1359="","",IFERROR(FIND(CHAR(1),SUBSTITUTE(INDEX($B$3:$B$168,K1359),CHAR(10),CHAR(1),L1359)),LEN(INDEX($B$3:$B$168,K1359))+1))</x:f>
      </x:c>
    </x:row>
    <x:row r="1360">
      <x:c r="A1360"/>
      <x:c r="B1360"/>
      <x:c r="C1360"/>
      <x:c r="D1360" t="str">
        <x:f>IFERROR(IF(1358&lt;=$O$1,INDEX($A$3:$A$168,MATCH(1358,$I$3:$I$168,0)),IF(1358&lt;=$O$1+$O$2,INDEX($F$3:$F$1994,MATCH(1358-$O$1,$G$3:$G$1994,0)),"")),"")</x:f>
      </x:c>
      <x:c r="E1360" t="str">
        <x:f>IF(K1360="","",IF(N1360&lt;=M1360,"",TRIM(CLEAN(MID(INDEX($B$3:$B$168,K1360),M1360,N1360-M1360)))))</x:f>
      </x:c>
      <x:c r="F1360" t="str">
        <x:f>IF(E1360="","",IF(E1360=TRIM(INDEX($A$3:$A$168,K1360)),"",IF(RIGHT(TRIM(INDEX($A$3:$A$168,K1360)),1)="]",LEFT(TRIM(INDEX($A$3:$A$168,K1360)),LEN(TRIM(INDEX($A$3:$A$168,K1360)))-1)&amp;", "&amp;SUBSTITUTE(SUBSTITUTE(SUBSTITUTE(E1360," [",", "),"[",", "),"]","")&amp;"]",TRIM(INDEX($A$3:$A$168,K1360))&amp;" ["&amp;SUBSTITUTE(SUBSTITUTE(SUBSTITUTE(E1360," [",", "),"[",", "),"]","")&amp;"]")))</x:f>
      </x:c>
      <x:c r="G1360" t="str">
        <x:f>IF(F1360&lt;&gt;"",ROWS($F$3:F1360)-COUNTBLANK($F$3:F1360),"")</x:f>
      </x:c>
      <x:c r="H1360"/>
      <x:c r="I1360"/>
      <x:c r="J1360"/>
      <x:c r="K1360" t="str">
        <x:f>IF(ROW()-ROW($K$2)&lt;=SUM($J$3:$J$168),COUNTIF($H$3:$H$168,"&lt;"&amp;(ROW()-ROW($K$2))),"")</x:f>
      </x:c>
      <x:c r="L1360" t="str">
        <x:f>IF(K1360="","",ROW()-ROW($L$2)-INDEX($H$3:$H$168,K1360))</x:f>
      </x:c>
      <x:c r="M1360" t="str">
        <x:f>IF(K1360="","",IF(L1360=1,1,FIND(CHAR(1),SUBSTITUTE(INDEX($B$3:$B$168,K1360),CHAR(10),CHAR(1),L1360-1))+1))</x:f>
      </x:c>
      <x:c r="N1360" t="str">
        <x:f>IF(K1360="","",IFERROR(FIND(CHAR(1),SUBSTITUTE(INDEX($B$3:$B$168,K1360),CHAR(10),CHAR(1),L1360)),LEN(INDEX($B$3:$B$168,K1360))+1))</x:f>
      </x:c>
    </x:row>
    <x:row r="1361">
      <x:c r="A1361"/>
      <x:c r="B1361"/>
      <x:c r="C1361"/>
      <x:c r="D1361" t="str">
        <x:f>IFERROR(IF(1359&lt;=$O$1,INDEX($A$3:$A$168,MATCH(1359,$I$3:$I$168,0)),IF(1359&lt;=$O$1+$O$2,INDEX($F$3:$F$1994,MATCH(1359-$O$1,$G$3:$G$1994,0)),"")),"")</x:f>
      </x:c>
      <x:c r="E1361" t="str">
        <x:f>IF(K1361="","",IF(N1361&lt;=M1361,"",TRIM(CLEAN(MID(INDEX($B$3:$B$168,K1361),M1361,N1361-M1361)))))</x:f>
      </x:c>
      <x:c r="F1361" t="str">
        <x:f>IF(E1361="","",IF(E1361=TRIM(INDEX($A$3:$A$168,K1361)),"",IF(RIGHT(TRIM(INDEX($A$3:$A$168,K1361)),1)="]",LEFT(TRIM(INDEX($A$3:$A$168,K1361)),LEN(TRIM(INDEX($A$3:$A$168,K1361)))-1)&amp;", "&amp;SUBSTITUTE(SUBSTITUTE(SUBSTITUTE(E1361," [",", "),"[",", "),"]","")&amp;"]",TRIM(INDEX($A$3:$A$168,K1361))&amp;" ["&amp;SUBSTITUTE(SUBSTITUTE(SUBSTITUTE(E1361," [",", "),"[",", "),"]","")&amp;"]")))</x:f>
      </x:c>
      <x:c r="G1361" t="str">
        <x:f>IF(F1361&lt;&gt;"",ROWS($F$3:F1361)-COUNTBLANK($F$3:F1361),"")</x:f>
      </x:c>
      <x:c r="H1361"/>
      <x:c r="I1361"/>
      <x:c r="J1361"/>
      <x:c r="K1361" t="str">
        <x:f>IF(ROW()-ROW($K$2)&lt;=SUM($J$3:$J$168),COUNTIF($H$3:$H$168,"&lt;"&amp;(ROW()-ROW($K$2))),"")</x:f>
      </x:c>
      <x:c r="L1361" t="str">
        <x:f>IF(K1361="","",ROW()-ROW($L$2)-INDEX($H$3:$H$168,K1361))</x:f>
      </x:c>
      <x:c r="M1361" t="str">
        <x:f>IF(K1361="","",IF(L1361=1,1,FIND(CHAR(1),SUBSTITUTE(INDEX($B$3:$B$168,K1361),CHAR(10),CHAR(1),L1361-1))+1))</x:f>
      </x:c>
      <x:c r="N1361" t="str">
        <x:f>IF(K1361="","",IFERROR(FIND(CHAR(1),SUBSTITUTE(INDEX($B$3:$B$168,K1361),CHAR(10),CHAR(1),L1361)),LEN(INDEX($B$3:$B$168,K1361))+1))</x:f>
      </x:c>
    </x:row>
    <x:row r="1362">
      <x:c r="A1362"/>
      <x:c r="B1362"/>
      <x:c r="C1362"/>
      <x:c r="D1362" t="str">
        <x:f>IFERROR(IF(1360&lt;=$O$1,INDEX($A$3:$A$168,MATCH(1360,$I$3:$I$168,0)),IF(1360&lt;=$O$1+$O$2,INDEX($F$3:$F$1994,MATCH(1360-$O$1,$G$3:$G$1994,0)),"")),"")</x:f>
      </x:c>
      <x:c r="E1362" t="str">
        <x:f>IF(K1362="","",IF(N1362&lt;=M1362,"",TRIM(CLEAN(MID(INDEX($B$3:$B$168,K1362),M1362,N1362-M1362)))))</x:f>
      </x:c>
      <x:c r="F1362" t="str">
        <x:f>IF(E1362="","",IF(E1362=TRIM(INDEX($A$3:$A$168,K1362)),"",IF(RIGHT(TRIM(INDEX($A$3:$A$168,K1362)),1)="]",LEFT(TRIM(INDEX($A$3:$A$168,K1362)),LEN(TRIM(INDEX($A$3:$A$168,K1362)))-1)&amp;", "&amp;SUBSTITUTE(SUBSTITUTE(SUBSTITUTE(E1362," [",", "),"[",", "),"]","")&amp;"]",TRIM(INDEX($A$3:$A$168,K1362))&amp;" ["&amp;SUBSTITUTE(SUBSTITUTE(SUBSTITUTE(E1362," [",", "),"[",", "),"]","")&amp;"]")))</x:f>
      </x:c>
      <x:c r="G1362" t="str">
        <x:f>IF(F1362&lt;&gt;"",ROWS($F$3:F1362)-COUNTBLANK($F$3:F1362),"")</x:f>
      </x:c>
      <x:c r="H1362"/>
      <x:c r="I1362"/>
      <x:c r="J1362"/>
      <x:c r="K1362" t="str">
        <x:f>IF(ROW()-ROW($K$2)&lt;=SUM($J$3:$J$168),COUNTIF($H$3:$H$168,"&lt;"&amp;(ROW()-ROW($K$2))),"")</x:f>
      </x:c>
      <x:c r="L1362" t="str">
        <x:f>IF(K1362="","",ROW()-ROW($L$2)-INDEX($H$3:$H$168,K1362))</x:f>
      </x:c>
      <x:c r="M1362" t="str">
        <x:f>IF(K1362="","",IF(L1362=1,1,FIND(CHAR(1),SUBSTITUTE(INDEX($B$3:$B$168,K1362),CHAR(10),CHAR(1),L1362-1))+1))</x:f>
      </x:c>
      <x:c r="N1362" t="str">
        <x:f>IF(K1362="","",IFERROR(FIND(CHAR(1),SUBSTITUTE(INDEX($B$3:$B$168,K1362),CHAR(10),CHAR(1),L1362)),LEN(INDEX($B$3:$B$168,K1362))+1))</x:f>
      </x:c>
    </x:row>
    <x:row r="1363">
      <x:c r="A1363"/>
      <x:c r="B1363"/>
      <x:c r="C1363"/>
      <x:c r="D1363" t="str">
        <x:f>IFERROR(IF(1361&lt;=$O$1,INDEX($A$3:$A$168,MATCH(1361,$I$3:$I$168,0)),IF(1361&lt;=$O$1+$O$2,INDEX($F$3:$F$1994,MATCH(1361-$O$1,$G$3:$G$1994,0)),"")),"")</x:f>
      </x:c>
      <x:c r="E1363" t="str">
        <x:f>IF(K1363="","",IF(N1363&lt;=M1363,"",TRIM(CLEAN(MID(INDEX($B$3:$B$168,K1363),M1363,N1363-M1363)))))</x:f>
      </x:c>
      <x:c r="F1363" t="str">
        <x:f>IF(E1363="","",IF(E1363=TRIM(INDEX($A$3:$A$168,K1363)),"",IF(RIGHT(TRIM(INDEX($A$3:$A$168,K1363)),1)="]",LEFT(TRIM(INDEX($A$3:$A$168,K1363)),LEN(TRIM(INDEX($A$3:$A$168,K1363)))-1)&amp;", "&amp;SUBSTITUTE(SUBSTITUTE(SUBSTITUTE(E1363," [",", "),"[",", "),"]","")&amp;"]",TRIM(INDEX($A$3:$A$168,K1363))&amp;" ["&amp;SUBSTITUTE(SUBSTITUTE(SUBSTITUTE(E1363," [",", "),"[",", "),"]","")&amp;"]")))</x:f>
      </x:c>
      <x:c r="G1363" t="str">
        <x:f>IF(F1363&lt;&gt;"",ROWS($F$3:F1363)-COUNTBLANK($F$3:F1363),"")</x:f>
      </x:c>
      <x:c r="H1363"/>
      <x:c r="I1363"/>
      <x:c r="J1363"/>
      <x:c r="K1363" t="str">
        <x:f>IF(ROW()-ROW($K$2)&lt;=SUM($J$3:$J$168),COUNTIF($H$3:$H$168,"&lt;"&amp;(ROW()-ROW($K$2))),"")</x:f>
      </x:c>
      <x:c r="L1363" t="str">
        <x:f>IF(K1363="","",ROW()-ROW($L$2)-INDEX($H$3:$H$168,K1363))</x:f>
      </x:c>
      <x:c r="M1363" t="str">
        <x:f>IF(K1363="","",IF(L1363=1,1,FIND(CHAR(1),SUBSTITUTE(INDEX($B$3:$B$168,K1363),CHAR(10),CHAR(1),L1363-1))+1))</x:f>
      </x:c>
      <x:c r="N1363" t="str">
        <x:f>IF(K1363="","",IFERROR(FIND(CHAR(1),SUBSTITUTE(INDEX($B$3:$B$168,K1363),CHAR(10),CHAR(1),L1363)),LEN(INDEX($B$3:$B$168,K1363))+1))</x:f>
      </x:c>
    </x:row>
    <x:row r="1364">
      <x:c r="A1364"/>
      <x:c r="B1364"/>
      <x:c r="C1364"/>
      <x:c r="D1364" t="str">
        <x:f>IFERROR(IF(1362&lt;=$O$1,INDEX($A$3:$A$168,MATCH(1362,$I$3:$I$168,0)),IF(1362&lt;=$O$1+$O$2,INDEX($F$3:$F$1994,MATCH(1362-$O$1,$G$3:$G$1994,0)),"")),"")</x:f>
      </x:c>
      <x:c r="E1364" t="str">
        <x:f>IF(K1364="","",IF(N1364&lt;=M1364,"",TRIM(CLEAN(MID(INDEX($B$3:$B$168,K1364),M1364,N1364-M1364)))))</x:f>
      </x:c>
      <x:c r="F1364" t="str">
        <x:f>IF(E1364="","",IF(E1364=TRIM(INDEX($A$3:$A$168,K1364)),"",IF(RIGHT(TRIM(INDEX($A$3:$A$168,K1364)),1)="]",LEFT(TRIM(INDEX($A$3:$A$168,K1364)),LEN(TRIM(INDEX($A$3:$A$168,K1364)))-1)&amp;", "&amp;SUBSTITUTE(SUBSTITUTE(SUBSTITUTE(E1364," [",", "),"[",", "),"]","")&amp;"]",TRIM(INDEX($A$3:$A$168,K1364))&amp;" ["&amp;SUBSTITUTE(SUBSTITUTE(SUBSTITUTE(E1364," [",", "),"[",", "),"]","")&amp;"]")))</x:f>
      </x:c>
      <x:c r="G1364" t="str">
        <x:f>IF(F1364&lt;&gt;"",ROWS($F$3:F1364)-COUNTBLANK($F$3:F1364),"")</x:f>
      </x:c>
      <x:c r="H1364"/>
      <x:c r="I1364"/>
      <x:c r="J1364"/>
      <x:c r="K1364" t="str">
        <x:f>IF(ROW()-ROW($K$2)&lt;=SUM($J$3:$J$168),COUNTIF($H$3:$H$168,"&lt;"&amp;(ROW()-ROW($K$2))),"")</x:f>
      </x:c>
      <x:c r="L1364" t="str">
        <x:f>IF(K1364="","",ROW()-ROW($L$2)-INDEX($H$3:$H$168,K1364))</x:f>
      </x:c>
      <x:c r="M1364" t="str">
        <x:f>IF(K1364="","",IF(L1364=1,1,FIND(CHAR(1),SUBSTITUTE(INDEX($B$3:$B$168,K1364),CHAR(10),CHAR(1),L1364-1))+1))</x:f>
      </x:c>
      <x:c r="N1364" t="str">
        <x:f>IF(K1364="","",IFERROR(FIND(CHAR(1),SUBSTITUTE(INDEX($B$3:$B$168,K1364),CHAR(10),CHAR(1),L1364)),LEN(INDEX($B$3:$B$168,K1364))+1))</x:f>
      </x:c>
    </x:row>
    <x:row r="1365">
      <x:c r="A1365"/>
      <x:c r="B1365"/>
      <x:c r="C1365"/>
      <x:c r="D1365" t="str">
        <x:f>IFERROR(IF(1363&lt;=$O$1,INDEX($A$3:$A$168,MATCH(1363,$I$3:$I$168,0)),IF(1363&lt;=$O$1+$O$2,INDEX($F$3:$F$1994,MATCH(1363-$O$1,$G$3:$G$1994,0)),"")),"")</x:f>
      </x:c>
      <x:c r="E1365" t="str">
        <x:f>IF(K1365="","",IF(N1365&lt;=M1365,"",TRIM(CLEAN(MID(INDEX($B$3:$B$168,K1365),M1365,N1365-M1365)))))</x:f>
      </x:c>
      <x:c r="F1365" t="str">
        <x:f>IF(E1365="","",IF(E1365=TRIM(INDEX($A$3:$A$168,K1365)),"",IF(RIGHT(TRIM(INDEX($A$3:$A$168,K1365)),1)="]",LEFT(TRIM(INDEX($A$3:$A$168,K1365)),LEN(TRIM(INDEX($A$3:$A$168,K1365)))-1)&amp;", "&amp;SUBSTITUTE(SUBSTITUTE(SUBSTITUTE(E1365," [",", "),"[",", "),"]","")&amp;"]",TRIM(INDEX($A$3:$A$168,K1365))&amp;" ["&amp;SUBSTITUTE(SUBSTITUTE(SUBSTITUTE(E1365," [",", "),"[",", "),"]","")&amp;"]")))</x:f>
      </x:c>
      <x:c r="G1365" t="str">
        <x:f>IF(F1365&lt;&gt;"",ROWS($F$3:F1365)-COUNTBLANK($F$3:F1365),"")</x:f>
      </x:c>
      <x:c r="H1365"/>
      <x:c r="I1365"/>
      <x:c r="J1365"/>
      <x:c r="K1365" t="str">
        <x:f>IF(ROW()-ROW($K$2)&lt;=SUM($J$3:$J$168),COUNTIF($H$3:$H$168,"&lt;"&amp;(ROW()-ROW($K$2))),"")</x:f>
      </x:c>
      <x:c r="L1365" t="str">
        <x:f>IF(K1365="","",ROW()-ROW($L$2)-INDEX($H$3:$H$168,K1365))</x:f>
      </x:c>
      <x:c r="M1365" t="str">
        <x:f>IF(K1365="","",IF(L1365=1,1,FIND(CHAR(1),SUBSTITUTE(INDEX($B$3:$B$168,K1365),CHAR(10),CHAR(1),L1365-1))+1))</x:f>
      </x:c>
      <x:c r="N1365" t="str">
        <x:f>IF(K1365="","",IFERROR(FIND(CHAR(1),SUBSTITUTE(INDEX($B$3:$B$168,K1365),CHAR(10),CHAR(1),L1365)),LEN(INDEX($B$3:$B$168,K1365))+1))</x:f>
      </x:c>
    </x:row>
    <x:row r="1366">
      <x:c r="A1366"/>
      <x:c r="B1366"/>
      <x:c r="C1366"/>
      <x:c r="D1366" t="str">
        <x:f>IFERROR(IF(1364&lt;=$O$1,INDEX($A$3:$A$168,MATCH(1364,$I$3:$I$168,0)),IF(1364&lt;=$O$1+$O$2,INDEX($F$3:$F$1994,MATCH(1364-$O$1,$G$3:$G$1994,0)),"")),"")</x:f>
      </x:c>
      <x:c r="E1366" t="str">
        <x:f>IF(K1366="","",IF(N1366&lt;=M1366,"",TRIM(CLEAN(MID(INDEX($B$3:$B$168,K1366),M1366,N1366-M1366)))))</x:f>
      </x:c>
      <x:c r="F1366" t="str">
        <x:f>IF(E1366="","",IF(E1366=TRIM(INDEX($A$3:$A$168,K1366)),"",IF(RIGHT(TRIM(INDEX($A$3:$A$168,K1366)),1)="]",LEFT(TRIM(INDEX($A$3:$A$168,K1366)),LEN(TRIM(INDEX($A$3:$A$168,K1366)))-1)&amp;", "&amp;SUBSTITUTE(SUBSTITUTE(SUBSTITUTE(E1366," [",", "),"[",", "),"]","")&amp;"]",TRIM(INDEX($A$3:$A$168,K1366))&amp;" ["&amp;SUBSTITUTE(SUBSTITUTE(SUBSTITUTE(E1366," [",", "),"[",", "),"]","")&amp;"]")))</x:f>
      </x:c>
      <x:c r="G1366" t="str">
        <x:f>IF(F1366&lt;&gt;"",ROWS($F$3:F1366)-COUNTBLANK($F$3:F1366),"")</x:f>
      </x:c>
      <x:c r="H1366"/>
      <x:c r="I1366"/>
      <x:c r="J1366"/>
      <x:c r="K1366" t="str">
        <x:f>IF(ROW()-ROW($K$2)&lt;=SUM($J$3:$J$168),COUNTIF($H$3:$H$168,"&lt;"&amp;(ROW()-ROW($K$2))),"")</x:f>
      </x:c>
      <x:c r="L1366" t="str">
        <x:f>IF(K1366="","",ROW()-ROW($L$2)-INDEX($H$3:$H$168,K1366))</x:f>
      </x:c>
      <x:c r="M1366" t="str">
        <x:f>IF(K1366="","",IF(L1366=1,1,FIND(CHAR(1),SUBSTITUTE(INDEX($B$3:$B$168,K1366),CHAR(10),CHAR(1),L1366-1))+1))</x:f>
      </x:c>
      <x:c r="N1366" t="str">
        <x:f>IF(K1366="","",IFERROR(FIND(CHAR(1),SUBSTITUTE(INDEX($B$3:$B$168,K1366),CHAR(10),CHAR(1),L1366)),LEN(INDEX($B$3:$B$168,K1366))+1))</x:f>
      </x:c>
    </x:row>
    <x:row r="1367">
      <x:c r="A1367"/>
      <x:c r="B1367"/>
      <x:c r="C1367"/>
      <x:c r="D1367" t="str">
        <x:f>IFERROR(IF(1365&lt;=$O$1,INDEX($A$3:$A$168,MATCH(1365,$I$3:$I$168,0)),IF(1365&lt;=$O$1+$O$2,INDEX($F$3:$F$1994,MATCH(1365-$O$1,$G$3:$G$1994,0)),"")),"")</x:f>
      </x:c>
      <x:c r="E1367" t="str">
        <x:f>IF(K1367="","",IF(N1367&lt;=M1367,"",TRIM(CLEAN(MID(INDEX($B$3:$B$168,K1367),M1367,N1367-M1367)))))</x:f>
      </x:c>
      <x:c r="F1367" t="str">
        <x:f>IF(E1367="","",IF(E1367=TRIM(INDEX($A$3:$A$168,K1367)),"",IF(RIGHT(TRIM(INDEX($A$3:$A$168,K1367)),1)="]",LEFT(TRIM(INDEX($A$3:$A$168,K1367)),LEN(TRIM(INDEX($A$3:$A$168,K1367)))-1)&amp;", "&amp;SUBSTITUTE(SUBSTITUTE(SUBSTITUTE(E1367," [",", "),"[",", "),"]","")&amp;"]",TRIM(INDEX($A$3:$A$168,K1367))&amp;" ["&amp;SUBSTITUTE(SUBSTITUTE(SUBSTITUTE(E1367," [",", "),"[",", "),"]","")&amp;"]")))</x:f>
      </x:c>
      <x:c r="G1367" t="str">
        <x:f>IF(F1367&lt;&gt;"",ROWS($F$3:F1367)-COUNTBLANK($F$3:F1367),"")</x:f>
      </x:c>
      <x:c r="H1367"/>
      <x:c r="I1367"/>
      <x:c r="J1367"/>
      <x:c r="K1367" t="str">
        <x:f>IF(ROW()-ROW($K$2)&lt;=SUM($J$3:$J$168),COUNTIF($H$3:$H$168,"&lt;"&amp;(ROW()-ROW($K$2))),"")</x:f>
      </x:c>
      <x:c r="L1367" t="str">
        <x:f>IF(K1367="","",ROW()-ROW($L$2)-INDEX($H$3:$H$168,K1367))</x:f>
      </x:c>
      <x:c r="M1367" t="str">
        <x:f>IF(K1367="","",IF(L1367=1,1,FIND(CHAR(1),SUBSTITUTE(INDEX($B$3:$B$168,K1367),CHAR(10),CHAR(1),L1367-1))+1))</x:f>
      </x:c>
      <x:c r="N1367" t="str">
        <x:f>IF(K1367="","",IFERROR(FIND(CHAR(1),SUBSTITUTE(INDEX($B$3:$B$168,K1367),CHAR(10),CHAR(1),L1367)),LEN(INDEX($B$3:$B$168,K1367))+1))</x:f>
      </x:c>
    </x:row>
    <x:row r="1368">
      <x:c r="A1368"/>
      <x:c r="B1368"/>
      <x:c r="C1368"/>
      <x:c r="D1368" t="str">
        <x:f>IFERROR(IF(1366&lt;=$O$1,INDEX($A$3:$A$168,MATCH(1366,$I$3:$I$168,0)),IF(1366&lt;=$O$1+$O$2,INDEX($F$3:$F$1994,MATCH(1366-$O$1,$G$3:$G$1994,0)),"")),"")</x:f>
      </x:c>
      <x:c r="E1368" t="str">
        <x:f>IF(K1368="","",IF(N1368&lt;=M1368,"",TRIM(CLEAN(MID(INDEX($B$3:$B$168,K1368),M1368,N1368-M1368)))))</x:f>
      </x:c>
      <x:c r="F1368" t="str">
        <x:f>IF(E1368="","",IF(E1368=TRIM(INDEX($A$3:$A$168,K1368)),"",IF(RIGHT(TRIM(INDEX($A$3:$A$168,K1368)),1)="]",LEFT(TRIM(INDEX($A$3:$A$168,K1368)),LEN(TRIM(INDEX($A$3:$A$168,K1368)))-1)&amp;", "&amp;SUBSTITUTE(SUBSTITUTE(SUBSTITUTE(E1368," [",", "),"[",", "),"]","")&amp;"]",TRIM(INDEX($A$3:$A$168,K1368))&amp;" ["&amp;SUBSTITUTE(SUBSTITUTE(SUBSTITUTE(E1368," [",", "),"[",", "),"]","")&amp;"]")))</x:f>
      </x:c>
      <x:c r="G1368" t="str">
        <x:f>IF(F1368&lt;&gt;"",ROWS($F$3:F1368)-COUNTBLANK($F$3:F1368),"")</x:f>
      </x:c>
      <x:c r="H1368"/>
      <x:c r="I1368"/>
      <x:c r="J1368"/>
      <x:c r="K1368" t="str">
        <x:f>IF(ROW()-ROW($K$2)&lt;=SUM($J$3:$J$168),COUNTIF($H$3:$H$168,"&lt;"&amp;(ROW()-ROW($K$2))),"")</x:f>
      </x:c>
      <x:c r="L1368" t="str">
        <x:f>IF(K1368="","",ROW()-ROW($L$2)-INDEX($H$3:$H$168,K1368))</x:f>
      </x:c>
      <x:c r="M1368" t="str">
        <x:f>IF(K1368="","",IF(L1368=1,1,FIND(CHAR(1),SUBSTITUTE(INDEX($B$3:$B$168,K1368),CHAR(10),CHAR(1),L1368-1))+1))</x:f>
      </x:c>
      <x:c r="N1368" t="str">
        <x:f>IF(K1368="","",IFERROR(FIND(CHAR(1),SUBSTITUTE(INDEX($B$3:$B$168,K1368),CHAR(10),CHAR(1),L1368)),LEN(INDEX($B$3:$B$168,K1368))+1))</x:f>
      </x:c>
    </x:row>
    <x:row r="1369">
      <x:c r="A1369"/>
      <x:c r="B1369"/>
      <x:c r="C1369"/>
      <x:c r="D1369" t="str">
        <x:f>IFERROR(IF(1367&lt;=$O$1,INDEX($A$3:$A$168,MATCH(1367,$I$3:$I$168,0)),IF(1367&lt;=$O$1+$O$2,INDEX($F$3:$F$1994,MATCH(1367-$O$1,$G$3:$G$1994,0)),"")),"")</x:f>
      </x:c>
      <x:c r="E1369" t="str">
        <x:f>IF(K1369="","",IF(N1369&lt;=M1369,"",TRIM(CLEAN(MID(INDEX($B$3:$B$168,K1369),M1369,N1369-M1369)))))</x:f>
      </x:c>
      <x:c r="F1369" t="str">
        <x:f>IF(E1369="","",IF(E1369=TRIM(INDEX($A$3:$A$168,K1369)),"",IF(RIGHT(TRIM(INDEX($A$3:$A$168,K1369)),1)="]",LEFT(TRIM(INDEX($A$3:$A$168,K1369)),LEN(TRIM(INDEX($A$3:$A$168,K1369)))-1)&amp;", "&amp;SUBSTITUTE(SUBSTITUTE(SUBSTITUTE(E1369," [",", "),"[",", "),"]","")&amp;"]",TRIM(INDEX($A$3:$A$168,K1369))&amp;" ["&amp;SUBSTITUTE(SUBSTITUTE(SUBSTITUTE(E1369," [",", "),"[",", "),"]","")&amp;"]")))</x:f>
      </x:c>
      <x:c r="G1369" t="str">
        <x:f>IF(F1369&lt;&gt;"",ROWS($F$3:F1369)-COUNTBLANK($F$3:F1369),"")</x:f>
      </x:c>
      <x:c r="H1369"/>
      <x:c r="I1369"/>
      <x:c r="J1369"/>
      <x:c r="K1369" t="str">
        <x:f>IF(ROW()-ROW($K$2)&lt;=SUM($J$3:$J$168),COUNTIF($H$3:$H$168,"&lt;"&amp;(ROW()-ROW($K$2))),"")</x:f>
      </x:c>
      <x:c r="L1369" t="str">
        <x:f>IF(K1369="","",ROW()-ROW($L$2)-INDEX($H$3:$H$168,K1369))</x:f>
      </x:c>
      <x:c r="M1369" t="str">
        <x:f>IF(K1369="","",IF(L1369=1,1,FIND(CHAR(1),SUBSTITUTE(INDEX($B$3:$B$168,K1369),CHAR(10),CHAR(1),L1369-1))+1))</x:f>
      </x:c>
      <x:c r="N1369" t="str">
        <x:f>IF(K1369="","",IFERROR(FIND(CHAR(1),SUBSTITUTE(INDEX($B$3:$B$168,K1369),CHAR(10),CHAR(1),L1369)),LEN(INDEX($B$3:$B$168,K1369))+1))</x:f>
      </x:c>
    </x:row>
    <x:row r="1370">
      <x:c r="A1370"/>
      <x:c r="B1370"/>
      <x:c r="C1370"/>
      <x:c r="D1370" t="str">
        <x:f>IFERROR(IF(1368&lt;=$O$1,INDEX($A$3:$A$168,MATCH(1368,$I$3:$I$168,0)),IF(1368&lt;=$O$1+$O$2,INDEX($F$3:$F$1994,MATCH(1368-$O$1,$G$3:$G$1994,0)),"")),"")</x:f>
      </x:c>
      <x:c r="E1370" t="str">
        <x:f>IF(K1370="","",IF(N1370&lt;=M1370,"",TRIM(CLEAN(MID(INDEX($B$3:$B$168,K1370),M1370,N1370-M1370)))))</x:f>
      </x:c>
      <x:c r="F1370" t="str">
        <x:f>IF(E1370="","",IF(E1370=TRIM(INDEX($A$3:$A$168,K1370)),"",IF(RIGHT(TRIM(INDEX($A$3:$A$168,K1370)),1)="]",LEFT(TRIM(INDEX($A$3:$A$168,K1370)),LEN(TRIM(INDEX($A$3:$A$168,K1370)))-1)&amp;", "&amp;SUBSTITUTE(SUBSTITUTE(SUBSTITUTE(E1370," [",", "),"[",", "),"]","")&amp;"]",TRIM(INDEX($A$3:$A$168,K1370))&amp;" ["&amp;SUBSTITUTE(SUBSTITUTE(SUBSTITUTE(E1370," [",", "),"[",", "),"]","")&amp;"]")))</x:f>
      </x:c>
      <x:c r="G1370" t="str">
        <x:f>IF(F1370&lt;&gt;"",ROWS($F$3:F1370)-COUNTBLANK($F$3:F1370),"")</x:f>
      </x:c>
      <x:c r="H1370"/>
      <x:c r="I1370"/>
      <x:c r="J1370"/>
      <x:c r="K1370" t="str">
        <x:f>IF(ROW()-ROW($K$2)&lt;=SUM($J$3:$J$168),COUNTIF($H$3:$H$168,"&lt;"&amp;(ROW()-ROW($K$2))),"")</x:f>
      </x:c>
      <x:c r="L1370" t="str">
        <x:f>IF(K1370="","",ROW()-ROW($L$2)-INDEX($H$3:$H$168,K1370))</x:f>
      </x:c>
      <x:c r="M1370" t="str">
        <x:f>IF(K1370="","",IF(L1370=1,1,FIND(CHAR(1),SUBSTITUTE(INDEX($B$3:$B$168,K1370),CHAR(10),CHAR(1),L1370-1))+1))</x:f>
      </x:c>
      <x:c r="N1370" t="str">
        <x:f>IF(K1370="","",IFERROR(FIND(CHAR(1),SUBSTITUTE(INDEX($B$3:$B$168,K1370),CHAR(10),CHAR(1),L1370)),LEN(INDEX($B$3:$B$168,K1370))+1))</x:f>
      </x:c>
    </x:row>
    <x:row r="1371">
      <x:c r="A1371"/>
      <x:c r="B1371"/>
      <x:c r="C1371"/>
      <x:c r="D1371" t="str">
        <x:f>IFERROR(IF(1369&lt;=$O$1,INDEX($A$3:$A$168,MATCH(1369,$I$3:$I$168,0)),IF(1369&lt;=$O$1+$O$2,INDEX($F$3:$F$1994,MATCH(1369-$O$1,$G$3:$G$1994,0)),"")),"")</x:f>
      </x:c>
      <x:c r="E1371" t="str">
        <x:f>IF(K1371="","",IF(N1371&lt;=M1371,"",TRIM(CLEAN(MID(INDEX($B$3:$B$168,K1371),M1371,N1371-M1371)))))</x:f>
      </x:c>
      <x:c r="F1371" t="str">
        <x:f>IF(E1371="","",IF(E1371=TRIM(INDEX($A$3:$A$168,K1371)),"",IF(RIGHT(TRIM(INDEX($A$3:$A$168,K1371)),1)="]",LEFT(TRIM(INDEX($A$3:$A$168,K1371)),LEN(TRIM(INDEX($A$3:$A$168,K1371)))-1)&amp;", "&amp;SUBSTITUTE(SUBSTITUTE(SUBSTITUTE(E1371," [",", "),"[",", "),"]","")&amp;"]",TRIM(INDEX($A$3:$A$168,K1371))&amp;" ["&amp;SUBSTITUTE(SUBSTITUTE(SUBSTITUTE(E1371," [",", "),"[",", "),"]","")&amp;"]")))</x:f>
      </x:c>
      <x:c r="G1371" t="str">
        <x:f>IF(F1371&lt;&gt;"",ROWS($F$3:F1371)-COUNTBLANK($F$3:F1371),"")</x:f>
      </x:c>
      <x:c r="H1371"/>
      <x:c r="I1371"/>
      <x:c r="J1371"/>
      <x:c r="K1371" t="str">
        <x:f>IF(ROW()-ROW($K$2)&lt;=SUM($J$3:$J$168),COUNTIF($H$3:$H$168,"&lt;"&amp;(ROW()-ROW($K$2))),"")</x:f>
      </x:c>
      <x:c r="L1371" t="str">
        <x:f>IF(K1371="","",ROW()-ROW($L$2)-INDEX($H$3:$H$168,K1371))</x:f>
      </x:c>
      <x:c r="M1371" t="str">
        <x:f>IF(K1371="","",IF(L1371=1,1,FIND(CHAR(1),SUBSTITUTE(INDEX($B$3:$B$168,K1371),CHAR(10),CHAR(1),L1371-1))+1))</x:f>
      </x:c>
      <x:c r="N1371" t="str">
        <x:f>IF(K1371="","",IFERROR(FIND(CHAR(1),SUBSTITUTE(INDEX($B$3:$B$168,K1371),CHAR(10),CHAR(1),L1371)),LEN(INDEX($B$3:$B$168,K1371))+1))</x:f>
      </x:c>
    </x:row>
    <x:row r="1372">
      <x:c r="A1372"/>
      <x:c r="B1372"/>
      <x:c r="C1372"/>
      <x:c r="D1372" t="str">
        <x:f>IFERROR(IF(1370&lt;=$O$1,INDEX($A$3:$A$168,MATCH(1370,$I$3:$I$168,0)),IF(1370&lt;=$O$1+$O$2,INDEX($F$3:$F$1994,MATCH(1370-$O$1,$G$3:$G$1994,0)),"")),"")</x:f>
      </x:c>
      <x:c r="E1372" t="str">
        <x:f>IF(K1372="","",IF(N1372&lt;=M1372,"",TRIM(CLEAN(MID(INDEX($B$3:$B$168,K1372),M1372,N1372-M1372)))))</x:f>
      </x:c>
      <x:c r="F1372" t="str">
        <x:f>IF(E1372="","",IF(E1372=TRIM(INDEX($A$3:$A$168,K1372)),"",IF(RIGHT(TRIM(INDEX($A$3:$A$168,K1372)),1)="]",LEFT(TRIM(INDEX($A$3:$A$168,K1372)),LEN(TRIM(INDEX($A$3:$A$168,K1372)))-1)&amp;", "&amp;SUBSTITUTE(SUBSTITUTE(SUBSTITUTE(E1372," [",", "),"[",", "),"]","")&amp;"]",TRIM(INDEX($A$3:$A$168,K1372))&amp;" ["&amp;SUBSTITUTE(SUBSTITUTE(SUBSTITUTE(E1372," [",", "),"[",", "),"]","")&amp;"]")))</x:f>
      </x:c>
      <x:c r="G1372" t="str">
        <x:f>IF(F1372&lt;&gt;"",ROWS($F$3:F1372)-COUNTBLANK($F$3:F1372),"")</x:f>
      </x:c>
      <x:c r="H1372"/>
      <x:c r="I1372"/>
      <x:c r="J1372"/>
      <x:c r="K1372" t="str">
        <x:f>IF(ROW()-ROW($K$2)&lt;=SUM($J$3:$J$168),COUNTIF($H$3:$H$168,"&lt;"&amp;(ROW()-ROW($K$2))),"")</x:f>
      </x:c>
      <x:c r="L1372" t="str">
        <x:f>IF(K1372="","",ROW()-ROW($L$2)-INDEX($H$3:$H$168,K1372))</x:f>
      </x:c>
      <x:c r="M1372" t="str">
        <x:f>IF(K1372="","",IF(L1372=1,1,FIND(CHAR(1),SUBSTITUTE(INDEX($B$3:$B$168,K1372),CHAR(10),CHAR(1),L1372-1))+1))</x:f>
      </x:c>
      <x:c r="N1372" t="str">
        <x:f>IF(K1372="","",IFERROR(FIND(CHAR(1),SUBSTITUTE(INDEX($B$3:$B$168,K1372),CHAR(10),CHAR(1),L1372)),LEN(INDEX($B$3:$B$168,K1372))+1))</x:f>
      </x:c>
    </x:row>
    <x:row r="1373">
      <x:c r="A1373"/>
      <x:c r="B1373"/>
      <x:c r="C1373"/>
      <x:c r="D1373" t="str">
        <x:f>IFERROR(IF(1371&lt;=$O$1,INDEX($A$3:$A$168,MATCH(1371,$I$3:$I$168,0)),IF(1371&lt;=$O$1+$O$2,INDEX($F$3:$F$1994,MATCH(1371-$O$1,$G$3:$G$1994,0)),"")),"")</x:f>
      </x:c>
      <x:c r="E1373" t="str">
        <x:f>IF(K1373="","",IF(N1373&lt;=M1373,"",TRIM(CLEAN(MID(INDEX($B$3:$B$168,K1373),M1373,N1373-M1373)))))</x:f>
      </x:c>
      <x:c r="F1373" t="str">
        <x:f>IF(E1373="","",IF(E1373=TRIM(INDEX($A$3:$A$168,K1373)),"",IF(RIGHT(TRIM(INDEX($A$3:$A$168,K1373)),1)="]",LEFT(TRIM(INDEX($A$3:$A$168,K1373)),LEN(TRIM(INDEX($A$3:$A$168,K1373)))-1)&amp;", "&amp;SUBSTITUTE(SUBSTITUTE(SUBSTITUTE(E1373," [",", "),"[",", "),"]","")&amp;"]",TRIM(INDEX($A$3:$A$168,K1373))&amp;" ["&amp;SUBSTITUTE(SUBSTITUTE(SUBSTITUTE(E1373," [",", "),"[",", "),"]","")&amp;"]")))</x:f>
      </x:c>
      <x:c r="G1373" t="str">
        <x:f>IF(F1373&lt;&gt;"",ROWS($F$3:F1373)-COUNTBLANK($F$3:F1373),"")</x:f>
      </x:c>
      <x:c r="H1373"/>
      <x:c r="I1373"/>
      <x:c r="J1373"/>
      <x:c r="K1373" t="str">
        <x:f>IF(ROW()-ROW($K$2)&lt;=SUM($J$3:$J$168),COUNTIF($H$3:$H$168,"&lt;"&amp;(ROW()-ROW($K$2))),"")</x:f>
      </x:c>
      <x:c r="L1373" t="str">
        <x:f>IF(K1373="","",ROW()-ROW($L$2)-INDEX($H$3:$H$168,K1373))</x:f>
      </x:c>
      <x:c r="M1373" t="str">
        <x:f>IF(K1373="","",IF(L1373=1,1,FIND(CHAR(1),SUBSTITUTE(INDEX($B$3:$B$168,K1373),CHAR(10),CHAR(1),L1373-1))+1))</x:f>
      </x:c>
      <x:c r="N1373" t="str">
        <x:f>IF(K1373="","",IFERROR(FIND(CHAR(1),SUBSTITUTE(INDEX($B$3:$B$168,K1373),CHAR(10),CHAR(1),L1373)),LEN(INDEX($B$3:$B$168,K1373))+1))</x:f>
      </x:c>
    </x:row>
    <x:row r="1374">
      <x:c r="A1374"/>
      <x:c r="B1374"/>
      <x:c r="C1374"/>
      <x:c r="D1374" t="str">
        <x:f>IFERROR(IF(1372&lt;=$O$1,INDEX($A$3:$A$168,MATCH(1372,$I$3:$I$168,0)),IF(1372&lt;=$O$1+$O$2,INDEX($F$3:$F$1994,MATCH(1372-$O$1,$G$3:$G$1994,0)),"")),"")</x:f>
      </x:c>
      <x:c r="E1374" t="str">
        <x:f>IF(K1374="","",IF(N1374&lt;=M1374,"",TRIM(CLEAN(MID(INDEX($B$3:$B$168,K1374),M1374,N1374-M1374)))))</x:f>
      </x:c>
      <x:c r="F1374" t="str">
        <x:f>IF(E1374="","",IF(E1374=TRIM(INDEX($A$3:$A$168,K1374)),"",IF(RIGHT(TRIM(INDEX($A$3:$A$168,K1374)),1)="]",LEFT(TRIM(INDEX($A$3:$A$168,K1374)),LEN(TRIM(INDEX($A$3:$A$168,K1374)))-1)&amp;", "&amp;SUBSTITUTE(SUBSTITUTE(SUBSTITUTE(E1374," [",", "),"[",", "),"]","")&amp;"]",TRIM(INDEX($A$3:$A$168,K1374))&amp;" ["&amp;SUBSTITUTE(SUBSTITUTE(SUBSTITUTE(E1374," [",", "),"[",", "),"]","")&amp;"]")))</x:f>
      </x:c>
      <x:c r="G1374" t="str">
        <x:f>IF(F1374&lt;&gt;"",ROWS($F$3:F1374)-COUNTBLANK($F$3:F1374),"")</x:f>
      </x:c>
      <x:c r="H1374"/>
      <x:c r="I1374"/>
      <x:c r="J1374"/>
      <x:c r="K1374" t="str">
        <x:f>IF(ROW()-ROW($K$2)&lt;=SUM($J$3:$J$168),COUNTIF($H$3:$H$168,"&lt;"&amp;(ROW()-ROW($K$2))),"")</x:f>
      </x:c>
      <x:c r="L1374" t="str">
        <x:f>IF(K1374="","",ROW()-ROW($L$2)-INDEX($H$3:$H$168,K1374))</x:f>
      </x:c>
      <x:c r="M1374" t="str">
        <x:f>IF(K1374="","",IF(L1374=1,1,FIND(CHAR(1),SUBSTITUTE(INDEX($B$3:$B$168,K1374),CHAR(10),CHAR(1),L1374-1))+1))</x:f>
      </x:c>
      <x:c r="N1374" t="str">
        <x:f>IF(K1374="","",IFERROR(FIND(CHAR(1),SUBSTITUTE(INDEX($B$3:$B$168,K1374),CHAR(10),CHAR(1),L1374)),LEN(INDEX($B$3:$B$168,K1374))+1))</x:f>
      </x:c>
    </x:row>
    <x:row r="1375">
      <x:c r="A1375"/>
      <x:c r="B1375"/>
      <x:c r="C1375"/>
      <x:c r="D1375" t="str">
        <x:f>IFERROR(IF(1373&lt;=$O$1,INDEX($A$3:$A$168,MATCH(1373,$I$3:$I$168,0)),IF(1373&lt;=$O$1+$O$2,INDEX($F$3:$F$1994,MATCH(1373-$O$1,$G$3:$G$1994,0)),"")),"")</x:f>
      </x:c>
      <x:c r="E1375" t="str">
        <x:f>IF(K1375="","",IF(N1375&lt;=M1375,"",TRIM(CLEAN(MID(INDEX($B$3:$B$168,K1375),M1375,N1375-M1375)))))</x:f>
      </x:c>
      <x:c r="F1375" t="str">
        <x:f>IF(E1375="","",IF(E1375=TRIM(INDEX($A$3:$A$168,K1375)),"",IF(RIGHT(TRIM(INDEX($A$3:$A$168,K1375)),1)="]",LEFT(TRIM(INDEX($A$3:$A$168,K1375)),LEN(TRIM(INDEX($A$3:$A$168,K1375)))-1)&amp;", "&amp;SUBSTITUTE(SUBSTITUTE(SUBSTITUTE(E1375," [",", "),"[",", "),"]","")&amp;"]",TRIM(INDEX($A$3:$A$168,K1375))&amp;" ["&amp;SUBSTITUTE(SUBSTITUTE(SUBSTITUTE(E1375," [",", "),"[",", "),"]","")&amp;"]")))</x:f>
      </x:c>
      <x:c r="G1375" t="str">
        <x:f>IF(F1375&lt;&gt;"",ROWS($F$3:F1375)-COUNTBLANK($F$3:F1375),"")</x:f>
      </x:c>
      <x:c r="H1375"/>
      <x:c r="I1375"/>
      <x:c r="J1375"/>
      <x:c r="K1375" t="str">
        <x:f>IF(ROW()-ROW($K$2)&lt;=SUM($J$3:$J$168),COUNTIF($H$3:$H$168,"&lt;"&amp;(ROW()-ROW($K$2))),"")</x:f>
      </x:c>
      <x:c r="L1375" t="str">
        <x:f>IF(K1375="","",ROW()-ROW($L$2)-INDEX($H$3:$H$168,K1375))</x:f>
      </x:c>
      <x:c r="M1375" t="str">
        <x:f>IF(K1375="","",IF(L1375=1,1,FIND(CHAR(1),SUBSTITUTE(INDEX($B$3:$B$168,K1375),CHAR(10),CHAR(1),L1375-1))+1))</x:f>
      </x:c>
      <x:c r="N1375" t="str">
        <x:f>IF(K1375="","",IFERROR(FIND(CHAR(1),SUBSTITUTE(INDEX($B$3:$B$168,K1375),CHAR(10),CHAR(1),L1375)),LEN(INDEX($B$3:$B$168,K1375))+1))</x:f>
      </x:c>
    </x:row>
    <x:row r="1376">
      <x:c r="A1376"/>
      <x:c r="B1376"/>
      <x:c r="C1376"/>
      <x:c r="D1376" t="str">
        <x:f>IFERROR(IF(1374&lt;=$O$1,INDEX($A$3:$A$168,MATCH(1374,$I$3:$I$168,0)),IF(1374&lt;=$O$1+$O$2,INDEX($F$3:$F$1994,MATCH(1374-$O$1,$G$3:$G$1994,0)),"")),"")</x:f>
      </x:c>
      <x:c r="E1376" t="str">
        <x:f>IF(K1376="","",IF(N1376&lt;=M1376,"",TRIM(CLEAN(MID(INDEX($B$3:$B$168,K1376),M1376,N1376-M1376)))))</x:f>
      </x:c>
      <x:c r="F1376" t="str">
        <x:f>IF(E1376="","",IF(E1376=TRIM(INDEX($A$3:$A$168,K1376)),"",IF(RIGHT(TRIM(INDEX($A$3:$A$168,K1376)),1)="]",LEFT(TRIM(INDEX($A$3:$A$168,K1376)),LEN(TRIM(INDEX($A$3:$A$168,K1376)))-1)&amp;", "&amp;SUBSTITUTE(SUBSTITUTE(SUBSTITUTE(E1376," [",", "),"[",", "),"]","")&amp;"]",TRIM(INDEX($A$3:$A$168,K1376))&amp;" ["&amp;SUBSTITUTE(SUBSTITUTE(SUBSTITUTE(E1376," [",", "),"[",", "),"]","")&amp;"]")))</x:f>
      </x:c>
      <x:c r="G1376" t="str">
        <x:f>IF(F1376&lt;&gt;"",ROWS($F$3:F1376)-COUNTBLANK($F$3:F1376),"")</x:f>
      </x:c>
      <x:c r="H1376"/>
      <x:c r="I1376"/>
      <x:c r="J1376"/>
      <x:c r="K1376" t="str">
        <x:f>IF(ROW()-ROW($K$2)&lt;=SUM($J$3:$J$168),COUNTIF($H$3:$H$168,"&lt;"&amp;(ROW()-ROW($K$2))),"")</x:f>
      </x:c>
      <x:c r="L1376" t="str">
        <x:f>IF(K1376="","",ROW()-ROW($L$2)-INDEX($H$3:$H$168,K1376))</x:f>
      </x:c>
      <x:c r="M1376" t="str">
        <x:f>IF(K1376="","",IF(L1376=1,1,FIND(CHAR(1),SUBSTITUTE(INDEX($B$3:$B$168,K1376),CHAR(10),CHAR(1),L1376-1))+1))</x:f>
      </x:c>
      <x:c r="N1376" t="str">
        <x:f>IF(K1376="","",IFERROR(FIND(CHAR(1),SUBSTITUTE(INDEX($B$3:$B$168,K1376),CHAR(10),CHAR(1),L1376)),LEN(INDEX($B$3:$B$168,K1376))+1))</x:f>
      </x:c>
    </x:row>
    <x:row r="1377">
      <x:c r="A1377"/>
      <x:c r="B1377"/>
      <x:c r="C1377"/>
      <x:c r="D1377" t="str">
        <x:f>IFERROR(IF(1375&lt;=$O$1,INDEX($A$3:$A$168,MATCH(1375,$I$3:$I$168,0)),IF(1375&lt;=$O$1+$O$2,INDEX($F$3:$F$1994,MATCH(1375-$O$1,$G$3:$G$1994,0)),"")),"")</x:f>
      </x:c>
      <x:c r="E1377" t="str">
        <x:f>IF(K1377="","",IF(N1377&lt;=M1377,"",TRIM(CLEAN(MID(INDEX($B$3:$B$168,K1377),M1377,N1377-M1377)))))</x:f>
      </x:c>
      <x:c r="F1377" t="str">
        <x:f>IF(E1377="","",IF(E1377=TRIM(INDEX($A$3:$A$168,K1377)),"",IF(RIGHT(TRIM(INDEX($A$3:$A$168,K1377)),1)="]",LEFT(TRIM(INDEX($A$3:$A$168,K1377)),LEN(TRIM(INDEX($A$3:$A$168,K1377)))-1)&amp;", "&amp;SUBSTITUTE(SUBSTITUTE(SUBSTITUTE(E1377," [",", "),"[",", "),"]","")&amp;"]",TRIM(INDEX($A$3:$A$168,K1377))&amp;" ["&amp;SUBSTITUTE(SUBSTITUTE(SUBSTITUTE(E1377," [",", "),"[",", "),"]","")&amp;"]")))</x:f>
      </x:c>
      <x:c r="G1377" t="str">
        <x:f>IF(F1377&lt;&gt;"",ROWS($F$3:F1377)-COUNTBLANK($F$3:F1377),"")</x:f>
      </x:c>
      <x:c r="H1377"/>
      <x:c r="I1377"/>
      <x:c r="J1377"/>
      <x:c r="K1377" t="str">
        <x:f>IF(ROW()-ROW($K$2)&lt;=SUM($J$3:$J$168),COUNTIF($H$3:$H$168,"&lt;"&amp;(ROW()-ROW($K$2))),"")</x:f>
      </x:c>
      <x:c r="L1377" t="str">
        <x:f>IF(K1377="","",ROW()-ROW($L$2)-INDEX($H$3:$H$168,K1377))</x:f>
      </x:c>
      <x:c r="M1377" t="str">
        <x:f>IF(K1377="","",IF(L1377=1,1,FIND(CHAR(1),SUBSTITUTE(INDEX($B$3:$B$168,K1377),CHAR(10),CHAR(1),L1377-1))+1))</x:f>
      </x:c>
      <x:c r="N1377" t="str">
        <x:f>IF(K1377="","",IFERROR(FIND(CHAR(1),SUBSTITUTE(INDEX($B$3:$B$168,K1377),CHAR(10),CHAR(1),L1377)),LEN(INDEX($B$3:$B$168,K1377))+1))</x:f>
      </x:c>
    </x:row>
    <x:row r="1378">
      <x:c r="A1378"/>
      <x:c r="B1378"/>
      <x:c r="C1378"/>
      <x:c r="D1378" t="str">
        <x:f>IFERROR(IF(1376&lt;=$O$1,INDEX($A$3:$A$168,MATCH(1376,$I$3:$I$168,0)),IF(1376&lt;=$O$1+$O$2,INDEX($F$3:$F$1994,MATCH(1376-$O$1,$G$3:$G$1994,0)),"")),"")</x:f>
      </x:c>
      <x:c r="E1378" t="str">
        <x:f>IF(K1378="","",IF(N1378&lt;=M1378,"",TRIM(CLEAN(MID(INDEX($B$3:$B$168,K1378),M1378,N1378-M1378)))))</x:f>
      </x:c>
      <x:c r="F1378" t="str">
        <x:f>IF(E1378="","",IF(E1378=TRIM(INDEX($A$3:$A$168,K1378)),"",IF(RIGHT(TRIM(INDEX($A$3:$A$168,K1378)),1)="]",LEFT(TRIM(INDEX($A$3:$A$168,K1378)),LEN(TRIM(INDEX($A$3:$A$168,K1378)))-1)&amp;", "&amp;SUBSTITUTE(SUBSTITUTE(SUBSTITUTE(E1378," [",", "),"[",", "),"]","")&amp;"]",TRIM(INDEX($A$3:$A$168,K1378))&amp;" ["&amp;SUBSTITUTE(SUBSTITUTE(SUBSTITUTE(E1378," [",", "),"[",", "),"]","")&amp;"]")))</x:f>
      </x:c>
      <x:c r="G1378" t="str">
        <x:f>IF(F1378&lt;&gt;"",ROWS($F$3:F1378)-COUNTBLANK($F$3:F1378),"")</x:f>
      </x:c>
      <x:c r="H1378"/>
      <x:c r="I1378"/>
      <x:c r="J1378"/>
      <x:c r="K1378" t="str">
        <x:f>IF(ROW()-ROW($K$2)&lt;=SUM($J$3:$J$168),COUNTIF($H$3:$H$168,"&lt;"&amp;(ROW()-ROW($K$2))),"")</x:f>
      </x:c>
      <x:c r="L1378" t="str">
        <x:f>IF(K1378="","",ROW()-ROW($L$2)-INDEX($H$3:$H$168,K1378))</x:f>
      </x:c>
      <x:c r="M1378" t="str">
        <x:f>IF(K1378="","",IF(L1378=1,1,FIND(CHAR(1),SUBSTITUTE(INDEX($B$3:$B$168,K1378),CHAR(10),CHAR(1),L1378-1))+1))</x:f>
      </x:c>
      <x:c r="N1378" t="str">
        <x:f>IF(K1378="","",IFERROR(FIND(CHAR(1),SUBSTITUTE(INDEX($B$3:$B$168,K1378),CHAR(10),CHAR(1),L1378)),LEN(INDEX($B$3:$B$168,K1378))+1))</x:f>
      </x:c>
    </x:row>
    <x:row r="1379">
      <x:c r="A1379"/>
      <x:c r="B1379"/>
      <x:c r="C1379"/>
      <x:c r="D1379" t="str">
        <x:f>IFERROR(IF(1377&lt;=$O$1,INDEX($A$3:$A$168,MATCH(1377,$I$3:$I$168,0)),IF(1377&lt;=$O$1+$O$2,INDEX($F$3:$F$1994,MATCH(1377-$O$1,$G$3:$G$1994,0)),"")),"")</x:f>
      </x:c>
      <x:c r="E1379" t="str">
        <x:f>IF(K1379="","",IF(N1379&lt;=M1379,"",TRIM(CLEAN(MID(INDEX($B$3:$B$168,K1379),M1379,N1379-M1379)))))</x:f>
      </x:c>
      <x:c r="F1379" t="str">
        <x:f>IF(E1379="","",IF(E1379=TRIM(INDEX($A$3:$A$168,K1379)),"",IF(RIGHT(TRIM(INDEX($A$3:$A$168,K1379)),1)="]",LEFT(TRIM(INDEX($A$3:$A$168,K1379)),LEN(TRIM(INDEX($A$3:$A$168,K1379)))-1)&amp;", "&amp;SUBSTITUTE(SUBSTITUTE(SUBSTITUTE(E1379," [",", "),"[",", "),"]","")&amp;"]",TRIM(INDEX($A$3:$A$168,K1379))&amp;" ["&amp;SUBSTITUTE(SUBSTITUTE(SUBSTITUTE(E1379," [",", "),"[",", "),"]","")&amp;"]")))</x:f>
      </x:c>
      <x:c r="G1379" t="str">
        <x:f>IF(F1379&lt;&gt;"",ROWS($F$3:F1379)-COUNTBLANK($F$3:F1379),"")</x:f>
      </x:c>
      <x:c r="H1379"/>
      <x:c r="I1379"/>
      <x:c r="J1379"/>
      <x:c r="K1379" t="str">
        <x:f>IF(ROW()-ROW($K$2)&lt;=SUM($J$3:$J$168),COUNTIF($H$3:$H$168,"&lt;"&amp;(ROW()-ROW($K$2))),"")</x:f>
      </x:c>
      <x:c r="L1379" t="str">
        <x:f>IF(K1379="","",ROW()-ROW($L$2)-INDEX($H$3:$H$168,K1379))</x:f>
      </x:c>
      <x:c r="M1379" t="str">
        <x:f>IF(K1379="","",IF(L1379=1,1,FIND(CHAR(1),SUBSTITUTE(INDEX($B$3:$B$168,K1379),CHAR(10),CHAR(1),L1379-1))+1))</x:f>
      </x:c>
      <x:c r="N1379" t="str">
        <x:f>IF(K1379="","",IFERROR(FIND(CHAR(1),SUBSTITUTE(INDEX($B$3:$B$168,K1379),CHAR(10),CHAR(1),L1379)),LEN(INDEX($B$3:$B$168,K1379))+1))</x:f>
      </x:c>
    </x:row>
    <x:row r="1380">
      <x:c r="A1380"/>
      <x:c r="B1380"/>
      <x:c r="C1380"/>
      <x:c r="D1380" t="str">
        <x:f>IFERROR(IF(1378&lt;=$O$1,INDEX($A$3:$A$168,MATCH(1378,$I$3:$I$168,0)),IF(1378&lt;=$O$1+$O$2,INDEX($F$3:$F$1994,MATCH(1378-$O$1,$G$3:$G$1994,0)),"")),"")</x:f>
      </x:c>
      <x:c r="E1380" t="str">
        <x:f>IF(K1380="","",IF(N1380&lt;=M1380,"",TRIM(CLEAN(MID(INDEX($B$3:$B$168,K1380),M1380,N1380-M1380)))))</x:f>
      </x:c>
      <x:c r="F1380" t="str">
        <x:f>IF(E1380="","",IF(E1380=TRIM(INDEX($A$3:$A$168,K1380)),"",IF(RIGHT(TRIM(INDEX($A$3:$A$168,K1380)),1)="]",LEFT(TRIM(INDEX($A$3:$A$168,K1380)),LEN(TRIM(INDEX($A$3:$A$168,K1380)))-1)&amp;", "&amp;SUBSTITUTE(SUBSTITUTE(SUBSTITUTE(E1380," [",", "),"[",", "),"]","")&amp;"]",TRIM(INDEX($A$3:$A$168,K1380))&amp;" ["&amp;SUBSTITUTE(SUBSTITUTE(SUBSTITUTE(E1380," [",", "),"[",", "),"]","")&amp;"]")))</x:f>
      </x:c>
      <x:c r="G1380" t="str">
        <x:f>IF(F1380&lt;&gt;"",ROWS($F$3:F1380)-COUNTBLANK($F$3:F1380),"")</x:f>
      </x:c>
      <x:c r="H1380"/>
      <x:c r="I1380"/>
      <x:c r="J1380"/>
      <x:c r="K1380" t="str">
        <x:f>IF(ROW()-ROW($K$2)&lt;=SUM($J$3:$J$168),COUNTIF($H$3:$H$168,"&lt;"&amp;(ROW()-ROW($K$2))),"")</x:f>
      </x:c>
      <x:c r="L1380" t="str">
        <x:f>IF(K1380="","",ROW()-ROW($L$2)-INDEX($H$3:$H$168,K1380))</x:f>
      </x:c>
      <x:c r="M1380" t="str">
        <x:f>IF(K1380="","",IF(L1380=1,1,FIND(CHAR(1),SUBSTITUTE(INDEX($B$3:$B$168,K1380),CHAR(10),CHAR(1),L1380-1))+1))</x:f>
      </x:c>
      <x:c r="N1380" t="str">
        <x:f>IF(K1380="","",IFERROR(FIND(CHAR(1),SUBSTITUTE(INDEX($B$3:$B$168,K1380),CHAR(10),CHAR(1),L1380)),LEN(INDEX($B$3:$B$168,K1380))+1))</x:f>
      </x:c>
    </x:row>
    <x:row r="1381">
      <x:c r="A1381"/>
      <x:c r="B1381"/>
      <x:c r="C1381"/>
      <x:c r="D1381" t="str">
        <x:f>IFERROR(IF(1379&lt;=$O$1,INDEX($A$3:$A$168,MATCH(1379,$I$3:$I$168,0)),IF(1379&lt;=$O$1+$O$2,INDEX($F$3:$F$1994,MATCH(1379-$O$1,$G$3:$G$1994,0)),"")),"")</x:f>
      </x:c>
      <x:c r="E1381" t="str">
        <x:f>IF(K1381="","",IF(N1381&lt;=M1381,"",TRIM(CLEAN(MID(INDEX($B$3:$B$168,K1381),M1381,N1381-M1381)))))</x:f>
      </x:c>
      <x:c r="F1381" t="str">
        <x:f>IF(E1381="","",IF(E1381=TRIM(INDEX($A$3:$A$168,K1381)),"",IF(RIGHT(TRIM(INDEX($A$3:$A$168,K1381)),1)="]",LEFT(TRIM(INDEX($A$3:$A$168,K1381)),LEN(TRIM(INDEX($A$3:$A$168,K1381)))-1)&amp;", "&amp;SUBSTITUTE(SUBSTITUTE(SUBSTITUTE(E1381," [",", "),"[",", "),"]","")&amp;"]",TRIM(INDEX($A$3:$A$168,K1381))&amp;" ["&amp;SUBSTITUTE(SUBSTITUTE(SUBSTITUTE(E1381," [",", "),"[",", "),"]","")&amp;"]")))</x:f>
      </x:c>
      <x:c r="G1381" t="str">
        <x:f>IF(F1381&lt;&gt;"",ROWS($F$3:F1381)-COUNTBLANK($F$3:F1381),"")</x:f>
      </x:c>
      <x:c r="H1381"/>
      <x:c r="I1381"/>
      <x:c r="J1381"/>
      <x:c r="K1381" t="str">
        <x:f>IF(ROW()-ROW($K$2)&lt;=SUM($J$3:$J$168),COUNTIF($H$3:$H$168,"&lt;"&amp;(ROW()-ROW($K$2))),"")</x:f>
      </x:c>
      <x:c r="L1381" t="str">
        <x:f>IF(K1381="","",ROW()-ROW($L$2)-INDEX($H$3:$H$168,K1381))</x:f>
      </x:c>
      <x:c r="M1381" t="str">
        <x:f>IF(K1381="","",IF(L1381=1,1,FIND(CHAR(1),SUBSTITUTE(INDEX($B$3:$B$168,K1381),CHAR(10),CHAR(1),L1381-1))+1))</x:f>
      </x:c>
      <x:c r="N1381" t="str">
        <x:f>IF(K1381="","",IFERROR(FIND(CHAR(1),SUBSTITUTE(INDEX($B$3:$B$168,K1381),CHAR(10),CHAR(1),L1381)),LEN(INDEX($B$3:$B$168,K1381))+1))</x:f>
      </x:c>
    </x:row>
    <x:row r="1382">
      <x:c r="A1382"/>
      <x:c r="B1382"/>
      <x:c r="C1382"/>
      <x:c r="D1382" t="str">
        <x:f>IFERROR(IF(1380&lt;=$O$1,INDEX($A$3:$A$168,MATCH(1380,$I$3:$I$168,0)),IF(1380&lt;=$O$1+$O$2,INDEX($F$3:$F$1994,MATCH(1380-$O$1,$G$3:$G$1994,0)),"")),"")</x:f>
      </x:c>
      <x:c r="E1382" t="str">
        <x:f>IF(K1382="","",IF(N1382&lt;=M1382,"",TRIM(CLEAN(MID(INDEX($B$3:$B$168,K1382),M1382,N1382-M1382)))))</x:f>
      </x:c>
      <x:c r="F1382" t="str">
        <x:f>IF(E1382="","",IF(E1382=TRIM(INDEX($A$3:$A$168,K1382)),"",IF(RIGHT(TRIM(INDEX($A$3:$A$168,K1382)),1)="]",LEFT(TRIM(INDEX($A$3:$A$168,K1382)),LEN(TRIM(INDEX($A$3:$A$168,K1382)))-1)&amp;", "&amp;SUBSTITUTE(SUBSTITUTE(SUBSTITUTE(E1382," [",", "),"[",", "),"]","")&amp;"]",TRIM(INDEX($A$3:$A$168,K1382))&amp;" ["&amp;SUBSTITUTE(SUBSTITUTE(SUBSTITUTE(E1382," [",", "),"[",", "),"]","")&amp;"]")))</x:f>
      </x:c>
      <x:c r="G1382" t="str">
        <x:f>IF(F1382&lt;&gt;"",ROWS($F$3:F1382)-COUNTBLANK($F$3:F1382),"")</x:f>
      </x:c>
      <x:c r="H1382"/>
      <x:c r="I1382"/>
      <x:c r="J1382"/>
      <x:c r="K1382" t="str">
        <x:f>IF(ROW()-ROW($K$2)&lt;=SUM($J$3:$J$168),COUNTIF($H$3:$H$168,"&lt;"&amp;(ROW()-ROW($K$2))),"")</x:f>
      </x:c>
      <x:c r="L1382" t="str">
        <x:f>IF(K1382="","",ROW()-ROW($L$2)-INDEX($H$3:$H$168,K1382))</x:f>
      </x:c>
      <x:c r="M1382" t="str">
        <x:f>IF(K1382="","",IF(L1382=1,1,FIND(CHAR(1),SUBSTITUTE(INDEX($B$3:$B$168,K1382),CHAR(10),CHAR(1),L1382-1))+1))</x:f>
      </x:c>
      <x:c r="N1382" t="str">
        <x:f>IF(K1382="","",IFERROR(FIND(CHAR(1),SUBSTITUTE(INDEX($B$3:$B$168,K1382),CHAR(10),CHAR(1),L1382)),LEN(INDEX($B$3:$B$168,K1382))+1))</x:f>
      </x:c>
    </x:row>
    <x:row r="1383">
      <x:c r="A1383"/>
      <x:c r="B1383"/>
      <x:c r="C1383"/>
      <x:c r="D1383" t="str">
        <x:f>IFERROR(IF(1381&lt;=$O$1,INDEX($A$3:$A$168,MATCH(1381,$I$3:$I$168,0)),IF(1381&lt;=$O$1+$O$2,INDEX($F$3:$F$1994,MATCH(1381-$O$1,$G$3:$G$1994,0)),"")),"")</x:f>
      </x:c>
      <x:c r="E1383" t="str">
        <x:f>IF(K1383="","",IF(N1383&lt;=M1383,"",TRIM(CLEAN(MID(INDEX($B$3:$B$168,K1383),M1383,N1383-M1383)))))</x:f>
      </x:c>
      <x:c r="F1383" t="str">
        <x:f>IF(E1383="","",IF(E1383=TRIM(INDEX($A$3:$A$168,K1383)),"",IF(RIGHT(TRIM(INDEX($A$3:$A$168,K1383)),1)="]",LEFT(TRIM(INDEX($A$3:$A$168,K1383)),LEN(TRIM(INDEX($A$3:$A$168,K1383)))-1)&amp;", "&amp;SUBSTITUTE(SUBSTITUTE(SUBSTITUTE(E1383," [",", "),"[",", "),"]","")&amp;"]",TRIM(INDEX($A$3:$A$168,K1383))&amp;" ["&amp;SUBSTITUTE(SUBSTITUTE(SUBSTITUTE(E1383," [",", "),"[",", "),"]","")&amp;"]")))</x:f>
      </x:c>
      <x:c r="G1383" t="str">
        <x:f>IF(F1383&lt;&gt;"",ROWS($F$3:F1383)-COUNTBLANK($F$3:F1383),"")</x:f>
      </x:c>
      <x:c r="H1383"/>
      <x:c r="I1383"/>
      <x:c r="J1383"/>
      <x:c r="K1383" t="str">
        <x:f>IF(ROW()-ROW($K$2)&lt;=SUM($J$3:$J$168),COUNTIF($H$3:$H$168,"&lt;"&amp;(ROW()-ROW($K$2))),"")</x:f>
      </x:c>
      <x:c r="L1383" t="str">
        <x:f>IF(K1383="","",ROW()-ROW($L$2)-INDEX($H$3:$H$168,K1383))</x:f>
      </x:c>
      <x:c r="M1383" t="str">
        <x:f>IF(K1383="","",IF(L1383=1,1,FIND(CHAR(1),SUBSTITUTE(INDEX($B$3:$B$168,K1383),CHAR(10),CHAR(1),L1383-1))+1))</x:f>
      </x:c>
      <x:c r="N1383" t="str">
        <x:f>IF(K1383="","",IFERROR(FIND(CHAR(1),SUBSTITUTE(INDEX($B$3:$B$168,K1383),CHAR(10),CHAR(1),L1383)),LEN(INDEX($B$3:$B$168,K1383))+1))</x:f>
      </x:c>
    </x:row>
    <x:row r="1384">
      <x:c r="A1384"/>
      <x:c r="B1384"/>
      <x:c r="C1384"/>
      <x:c r="D1384" t="str">
        <x:f>IFERROR(IF(1382&lt;=$O$1,INDEX($A$3:$A$168,MATCH(1382,$I$3:$I$168,0)),IF(1382&lt;=$O$1+$O$2,INDEX($F$3:$F$1994,MATCH(1382-$O$1,$G$3:$G$1994,0)),"")),"")</x:f>
      </x:c>
      <x:c r="E1384" t="str">
        <x:f>IF(K1384="","",IF(N1384&lt;=M1384,"",TRIM(CLEAN(MID(INDEX($B$3:$B$168,K1384),M1384,N1384-M1384)))))</x:f>
      </x:c>
      <x:c r="F1384" t="str">
        <x:f>IF(E1384="","",IF(E1384=TRIM(INDEX($A$3:$A$168,K1384)),"",IF(RIGHT(TRIM(INDEX($A$3:$A$168,K1384)),1)="]",LEFT(TRIM(INDEX($A$3:$A$168,K1384)),LEN(TRIM(INDEX($A$3:$A$168,K1384)))-1)&amp;", "&amp;SUBSTITUTE(SUBSTITUTE(SUBSTITUTE(E1384," [",", "),"[",", "),"]","")&amp;"]",TRIM(INDEX($A$3:$A$168,K1384))&amp;" ["&amp;SUBSTITUTE(SUBSTITUTE(SUBSTITUTE(E1384," [",", "),"[",", "),"]","")&amp;"]")))</x:f>
      </x:c>
      <x:c r="G1384" t="str">
        <x:f>IF(F1384&lt;&gt;"",ROWS($F$3:F1384)-COUNTBLANK($F$3:F1384),"")</x:f>
      </x:c>
      <x:c r="H1384"/>
      <x:c r="I1384"/>
      <x:c r="J1384"/>
      <x:c r="K1384" t="str">
        <x:f>IF(ROW()-ROW($K$2)&lt;=SUM($J$3:$J$168),COUNTIF($H$3:$H$168,"&lt;"&amp;(ROW()-ROW($K$2))),"")</x:f>
      </x:c>
      <x:c r="L1384" t="str">
        <x:f>IF(K1384="","",ROW()-ROW($L$2)-INDEX($H$3:$H$168,K1384))</x:f>
      </x:c>
      <x:c r="M1384" t="str">
        <x:f>IF(K1384="","",IF(L1384=1,1,FIND(CHAR(1),SUBSTITUTE(INDEX($B$3:$B$168,K1384),CHAR(10),CHAR(1),L1384-1))+1))</x:f>
      </x:c>
      <x:c r="N1384" t="str">
        <x:f>IF(K1384="","",IFERROR(FIND(CHAR(1),SUBSTITUTE(INDEX($B$3:$B$168,K1384),CHAR(10),CHAR(1),L1384)),LEN(INDEX($B$3:$B$168,K1384))+1))</x:f>
      </x:c>
    </x:row>
    <x:row r="1385">
      <x:c r="A1385"/>
      <x:c r="B1385"/>
      <x:c r="C1385"/>
      <x:c r="D1385" t="str">
        <x:f>IFERROR(IF(1383&lt;=$O$1,INDEX($A$3:$A$168,MATCH(1383,$I$3:$I$168,0)),IF(1383&lt;=$O$1+$O$2,INDEX($F$3:$F$1994,MATCH(1383-$O$1,$G$3:$G$1994,0)),"")),"")</x:f>
      </x:c>
      <x:c r="E1385" t="str">
        <x:f>IF(K1385="","",IF(N1385&lt;=M1385,"",TRIM(CLEAN(MID(INDEX($B$3:$B$168,K1385),M1385,N1385-M1385)))))</x:f>
      </x:c>
      <x:c r="F1385" t="str">
        <x:f>IF(E1385="","",IF(E1385=TRIM(INDEX($A$3:$A$168,K1385)),"",IF(RIGHT(TRIM(INDEX($A$3:$A$168,K1385)),1)="]",LEFT(TRIM(INDEX($A$3:$A$168,K1385)),LEN(TRIM(INDEX($A$3:$A$168,K1385)))-1)&amp;", "&amp;SUBSTITUTE(SUBSTITUTE(SUBSTITUTE(E1385," [",", "),"[",", "),"]","")&amp;"]",TRIM(INDEX($A$3:$A$168,K1385))&amp;" ["&amp;SUBSTITUTE(SUBSTITUTE(SUBSTITUTE(E1385," [",", "),"[",", "),"]","")&amp;"]")))</x:f>
      </x:c>
      <x:c r="G1385" t="str">
        <x:f>IF(F1385&lt;&gt;"",ROWS($F$3:F1385)-COUNTBLANK($F$3:F1385),"")</x:f>
      </x:c>
      <x:c r="H1385"/>
      <x:c r="I1385"/>
      <x:c r="J1385"/>
      <x:c r="K1385" t="str">
        <x:f>IF(ROW()-ROW($K$2)&lt;=SUM($J$3:$J$168),COUNTIF($H$3:$H$168,"&lt;"&amp;(ROW()-ROW($K$2))),"")</x:f>
      </x:c>
      <x:c r="L1385" t="str">
        <x:f>IF(K1385="","",ROW()-ROW($L$2)-INDEX($H$3:$H$168,K1385))</x:f>
      </x:c>
      <x:c r="M1385" t="str">
        <x:f>IF(K1385="","",IF(L1385=1,1,FIND(CHAR(1),SUBSTITUTE(INDEX($B$3:$B$168,K1385),CHAR(10),CHAR(1),L1385-1))+1))</x:f>
      </x:c>
      <x:c r="N1385" t="str">
        <x:f>IF(K1385="","",IFERROR(FIND(CHAR(1),SUBSTITUTE(INDEX($B$3:$B$168,K1385),CHAR(10),CHAR(1),L1385)),LEN(INDEX($B$3:$B$168,K1385))+1))</x:f>
      </x:c>
    </x:row>
    <x:row r="1386">
      <x:c r="A1386"/>
      <x:c r="B1386"/>
      <x:c r="C1386"/>
      <x:c r="D1386" t="str">
        <x:f>IFERROR(IF(1384&lt;=$O$1,INDEX($A$3:$A$168,MATCH(1384,$I$3:$I$168,0)),IF(1384&lt;=$O$1+$O$2,INDEX($F$3:$F$1994,MATCH(1384-$O$1,$G$3:$G$1994,0)),"")),"")</x:f>
      </x:c>
      <x:c r="E1386" t="str">
        <x:f>IF(K1386="","",IF(N1386&lt;=M1386,"",TRIM(CLEAN(MID(INDEX($B$3:$B$168,K1386),M1386,N1386-M1386)))))</x:f>
      </x:c>
      <x:c r="F1386" t="str">
        <x:f>IF(E1386="","",IF(E1386=TRIM(INDEX($A$3:$A$168,K1386)),"",IF(RIGHT(TRIM(INDEX($A$3:$A$168,K1386)),1)="]",LEFT(TRIM(INDEX($A$3:$A$168,K1386)),LEN(TRIM(INDEX($A$3:$A$168,K1386)))-1)&amp;", "&amp;SUBSTITUTE(SUBSTITUTE(SUBSTITUTE(E1386," [",", "),"[",", "),"]","")&amp;"]",TRIM(INDEX($A$3:$A$168,K1386))&amp;" ["&amp;SUBSTITUTE(SUBSTITUTE(SUBSTITUTE(E1386," [",", "),"[",", "),"]","")&amp;"]")))</x:f>
      </x:c>
      <x:c r="G1386" t="str">
        <x:f>IF(F1386&lt;&gt;"",ROWS($F$3:F1386)-COUNTBLANK($F$3:F1386),"")</x:f>
      </x:c>
      <x:c r="H1386"/>
      <x:c r="I1386"/>
      <x:c r="J1386"/>
      <x:c r="K1386" t="str">
        <x:f>IF(ROW()-ROW($K$2)&lt;=SUM($J$3:$J$168),COUNTIF($H$3:$H$168,"&lt;"&amp;(ROW()-ROW($K$2))),"")</x:f>
      </x:c>
      <x:c r="L1386" t="str">
        <x:f>IF(K1386="","",ROW()-ROW($L$2)-INDEX($H$3:$H$168,K1386))</x:f>
      </x:c>
      <x:c r="M1386" t="str">
        <x:f>IF(K1386="","",IF(L1386=1,1,FIND(CHAR(1),SUBSTITUTE(INDEX($B$3:$B$168,K1386),CHAR(10),CHAR(1),L1386-1))+1))</x:f>
      </x:c>
      <x:c r="N1386" t="str">
        <x:f>IF(K1386="","",IFERROR(FIND(CHAR(1),SUBSTITUTE(INDEX($B$3:$B$168,K1386),CHAR(10),CHAR(1),L1386)),LEN(INDEX($B$3:$B$168,K1386))+1))</x:f>
      </x:c>
    </x:row>
    <x:row r="1387">
      <x:c r="A1387"/>
      <x:c r="B1387"/>
      <x:c r="C1387"/>
      <x:c r="D1387" t="str">
        <x:f>IFERROR(IF(1385&lt;=$O$1,INDEX($A$3:$A$168,MATCH(1385,$I$3:$I$168,0)),IF(1385&lt;=$O$1+$O$2,INDEX($F$3:$F$1994,MATCH(1385-$O$1,$G$3:$G$1994,0)),"")),"")</x:f>
      </x:c>
      <x:c r="E1387" t="str">
        <x:f>IF(K1387="","",IF(N1387&lt;=M1387,"",TRIM(CLEAN(MID(INDEX($B$3:$B$168,K1387),M1387,N1387-M1387)))))</x:f>
      </x:c>
      <x:c r="F1387" t="str">
        <x:f>IF(E1387="","",IF(E1387=TRIM(INDEX($A$3:$A$168,K1387)),"",IF(RIGHT(TRIM(INDEX($A$3:$A$168,K1387)),1)="]",LEFT(TRIM(INDEX($A$3:$A$168,K1387)),LEN(TRIM(INDEX($A$3:$A$168,K1387)))-1)&amp;", "&amp;SUBSTITUTE(SUBSTITUTE(SUBSTITUTE(E1387," [",", "),"[",", "),"]","")&amp;"]",TRIM(INDEX($A$3:$A$168,K1387))&amp;" ["&amp;SUBSTITUTE(SUBSTITUTE(SUBSTITUTE(E1387," [",", "),"[",", "),"]","")&amp;"]")))</x:f>
      </x:c>
      <x:c r="G1387" t="str">
        <x:f>IF(F1387&lt;&gt;"",ROWS($F$3:F1387)-COUNTBLANK($F$3:F1387),"")</x:f>
      </x:c>
      <x:c r="H1387"/>
      <x:c r="I1387"/>
      <x:c r="J1387"/>
      <x:c r="K1387" t="str">
        <x:f>IF(ROW()-ROW($K$2)&lt;=SUM($J$3:$J$168),COUNTIF($H$3:$H$168,"&lt;"&amp;(ROW()-ROW($K$2))),"")</x:f>
      </x:c>
      <x:c r="L1387" t="str">
        <x:f>IF(K1387="","",ROW()-ROW($L$2)-INDEX($H$3:$H$168,K1387))</x:f>
      </x:c>
      <x:c r="M1387" t="str">
        <x:f>IF(K1387="","",IF(L1387=1,1,FIND(CHAR(1),SUBSTITUTE(INDEX($B$3:$B$168,K1387),CHAR(10),CHAR(1),L1387-1))+1))</x:f>
      </x:c>
      <x:c r="N1387" t="str">
        <x:f>IF(K1387="","",IFERROR(FIND(CHAR(1),SUBSTITUTE(INDEX($B$3:$B$168,K1387),CHAR(10),CHAR(1),L1387)),LEN(INDEX($B$3:$B$168,K1387))+1))</x:f>
      </x:c>
    </x:row>
    <x:row r="1388">
      <x:c r="A1388"/>
      <x:c r="B1388"/>
      <x:c r="C1388"/>
      <x:c r="D1388" t="str">
        <x:f>IFERROR(IF(1386&lt;=$O$1,INDEX($A$3:$A$168,MATCH(1386,$I$3:$I$168,0)),IF(1386&lt;=$O$1+$O$2,INDEX($F$3:$F$1994,MATCH(1386-$O$1,$G$3:$G$1994,0)),"")),"")</x:f>
      </x:c>
      <x:c r="E1388" t="str">
        <x:f>IF(K1388="","",IF(N1388&lt;=M1388,"",TRIM(CLEAN(MID(INDEX($B$3:$B$168,K1388),M1388,N1388-M1388)))))</x:f>
      </x:c>
      <x:c r="F1388" t="str">
        <x:f>IF(E1388="","",IF(E1388=TRIM(INDEX($A$3:$A$168,K1388)),"",IF(RIGHT(TRIM(INDEX($A$3:$A$168,K1388)),1)="]",LEFT(TRIM(INDEX($A$3:$A$168,K1388)),LEN(TRIM(INDEX($A$3:$A$168,K1388)))-1)&amp;", "&amp;SUBSTITUTE(SUBSTITUTE(SUBSTITUTE(E1388," [",", "),"[",", "),"]","")&amp;"]",TRIM(INDEX($A$3:$A$168,K1388))&amp;" ["&amp;SUBSTITUTE(SUBSTITUTE(SUBSTITUTE(E1388," [",", "),"[",", "),"]","")&amp;"]")))</x:f>
      </x:c>
      <x:c r="G1388" t="str">
        <x:f>IF(F1388&lt;&gt;"",ROWS($F$3:F1388)-COUNTBLANK($F$3:F1388),"")</x:f>
      </x:c>
      <x:c r="H1388"/>
      <x:c r="I1388"/>
      <x:c r="J1388"/>
      <x:c r="K1388" t="str">
        <x:f>IF(ROW()-ROW($K$2)&lt;=SUM($J$3:$J$168),COUNTIF($H$3:$H$168,"&lt;"&amp;(ROW()-ROW($K$2))),"")</x:f>
      </x:c>
      <x:c r="L1388" t="str">
        <x:f>IF(K1388="","",ROW()-ROW($L$2)-INDEX($H$3:$H$168,K1388))</x:f>
      </x:c>
      <x:c r="M1388" t="str">
        <x:f>IF(K1388="","",IF(L1388=1,1,FIND(CHAR(1),SUBSTITUTE(INDEX($B$3:$B$168,K1388),CHAR(10),CHAR(1),L1388-1))+1))</x:f>
      </x:c>
      <x:c r="N1388" t="str">
        <x:f>IF(K1388="","",IFERROR(FIND(CHAR(1),SUBSTITUTE(INDEX($B$3:$B$168,K1388),CHAR(10),CHAR(1),L1388)),LEN(INDEX($B$3:$B$168,K1388))+1))</x:f>
      </x:c>
    </x:row>
    <x:row r="1389">
      <x:c r="A1389"/>
      <x:c r="B1389"/>
      <x:c r="C1389"/>
      <x:c r="D1389" t="str">
        <x:f>IFERROR(IF(1387&lt;=$O$1,INDEX($A$3:$A$168,MATCH(1387,$I$3:$I$168,0)),IF(1387&lt;=$O$1+$O$2,INDEX($F$3:$F$1994,MATCH(1387-$O$1,$G$3:$G$1994,0)),"")),"")</x:f>
      </x:c>
      <x:c r="E1389" t="str">
        <x:f>IF(K1389="","",IF(N1389&lt;=M1389,"",TRIM(CLEAN(MID(INDEX($B$3:$B$168,K1389),M1389,N1389-M1389)))))</x:f>
      </x:c>
      <x:c r="F1389" t="str">
        <x:f>IF(E1389="","",IF(E1389=TRIM(INDEX($A$3:$A$168,K1389)),"",IF(RIGHT(TRIM(INDEX($A$3:$A$168,K1389)),1)="]",LEFT(TRIM(INDEX($A$3:$A$168,K1389)),LEN(TRIM(INDEX($A$3:$A$168,K1389)))-1)&amp;", "&amp;SUBSTITUTE(SUBSTITUTE(SUBSTITUTE(E1389," [",", "),"[",", "),"]","")&amp;"]",TRIM(INDEX($A$3:$A$168,K1389))&amp;" ["&amp;SUBSTITUTE(SUBSTITUTE(SUBSTITUTE(E1389," [",", "),"[",", "),"]","")&amp;"]")))</x:f>
      </x:c>
      <x:c r="G1389" t="str">
        <x:f>IF(F1389&lt;&gt;"",ROWS($F$3:F1389)-COUNTBLANK($F$3:F1389),"")</x:f>
      </x:c>
      <x:c r="H1389"/>
      <x:c r="I1389"/>
      <x:c r="J1389"/>
      <x:c r="K1389" t="str">
        <x:f>IF(ROW()-ROW($K$2)&lt;=SUM($J$3:$J$168),COUNTIF($H$3:$H$168,"&lt;"&amp;(ROW()-ROW($K$2))),"")</x:f>
      </x:c>
      <x:c r="L1389" t="str">
        <x:f>IF(K1389="","",ROW()-ROW($L$2)-INDEX($H$3:$H$168,K1389))</x:f>
      </x:c>
      <x:c r="M1389" t="str">
        <x:f>IF(K1389="","",IF(L1389=1,1,FIND(CHAR(1),SUBSTITUTE(INDEX($B$3:$B$168,K1389),CHAR(10),CHAR(1),L1389-1))+1))</x:f>
      </x:c>
      <x:c r="N1389" t="str">
        <x:f>IF(K1389="","",IFERROR(FIND(CHAR(1),SUBSTITUTE(INDEX($B$3:$B$168,K1389),CHAR(10),CHAR(1),L1389)),LEN(INDEX($B$3:$B$168,K1389))+1))</x:f>
      </x:c>
    </x:row>
    <x:row r="1390">
      <x:c r="A1390"/>
      <x:c r="B1390"/>
      <x:c r="C1390"/>
      <x:c r="D1390" t="str">
        <x:f>IFERROR(IF(1388&lt;=$O$1,INDEX($A$3:$A$168,MATCH(1388,$I$3:$I$168,0)),IF(1388&lt;=$O$1+$O$2,INDEX($F$3:$F$1994,MATCH(1388-$O$1,$G$3:$G$1994,0)),"")),"")</x:f>
      </x:c>
      <x:c r="E1390" t="str">
        <x:f>IF(K1390="","",IF(N1390&lt;=M1390,"",TRIM(CLEAN(MID(INDEX($B$3:$B$168,K1390),M1390,N1390-M1390)))))</x:f>
      </x:c>
      <x:c r="F1390" t="str">
        <x:f>IF(E1390="","",IF(E1390=TRIM(INDEX($A$3:$A$168,K1390)),"",IF(RIGHT(TRIM(INDEX($A$3:$A$168,K1390)),1)="]",LEFT(TRIM(INDEX($A$3:$A$168,K1390)),LEN(TRIM(INDEX($A$3:$A$168,K1390)))-1)&amp;", "&amp;SUBSTITUTE(SUBSTITUTE(SUBSTITUTE(E1390," [",", "),"[",", "),"]","")&amp;"]",TRIM(INDEX($A$3:$A$168,K1390))&amp;" ["&amp;SUBSTITUTE(SUBSTITUTE(SUBSTITUTE(E1390," [",", "),"[",", "),"]","")&amp;"]")))</x:f>
      </x:c>
      <x:c r="G1390" t="str">
        <x:f>IF(F1390&lt;&gt;"",ROWS($F$3:F1390)-COUNTBLANK($F$3:F1390),"")</x:f>
      </x:c>
      <x:c r="H1390"/>
      <x:c r="I1390"/>
      <x:c r="J1390"/>
      <x:c r="K1390" t="str">
        <x:f>IF(ROW()-ROW($K$2)&lt;=SUM($J$3:$J$168),COUNTIF($H$3:$H$168,"&lt;"&amp;(ROW()-ROW($K$2))),"")</x:f>
      </x:c>
      <x:c r="L1390" t="str">
        <x:f>IF(K1390="","",ROW()-ROW($L$2)-INDEX($H$3:$H$168,K1390))</x:f>
      </x:c>
      <x:c r="M1390" t="str">
        <x:f>IF(K1390="","",IF(L1390=1,1,FIND(CHAR(1),SUBSTITUTE(INDEX($B$3:$B$168,K1390),CHAR(10),CHAR(1),L1390-1))+1))</x:f>
      </x:c>
      <x:c r="N1390" t="str">
        <x:f>IF(K1390="","",IFERROR(FIND(CHAR(1),SUBSTITUTE(INDEX($B$3:$B$168,K1390),CHAR(10),CHAR(1),L1390)),LEN(INDEX($B$3:$B$168,K1390))+1))</x:f>
      </x:c>
    </x:row>
    <x:row r="1391">
      <x:c r="A1391"/>
      <x:c r="B1391"/>
      <x:c r="C1391"/>
      <x:c r="D1391" t="str">
        <x:f>IFERROR(IF(1389&lt;=$O$1,INDEX($A$3:$A$168,MATCH(1389,$I$3:$I$168,0)),IF(1389&lt;=$O$1+$O$2,INDEX($F$3:$F$1994,MATCH(1389-$O$1,$G$3:$G$1994,0)),"")),"")</x:f>
      </x:c>
      <x:c r="E1391" t="str">
        <x:f>IF(K1391="","",IF(N1391&lt;=M1391,"",TRIM(CLEAN(MID(INDEX($B$3:$B$168,K1391),M1391,N1391-M1391)))))</x:f>
      </x:c>
      <x:c r="F1391" t="str">
        <x:f>IF(E1391="","",IF(E1391=TRIM(INDEX($A$3:$A$168,K1391)),"",IF(RIGHT(TRIM(INDEX($A$3:$A$168,K1391)),1)="]",LEFT(TRIM(INDEX($A$3:$A$168,K1391)),LEN(TRIM(INDEX($A$3:$A$168,K1391)))-1)&amp;", "&amp;SUBSTITUTE(SUBSTITUTE(SUBSTITUTE(E1391," [",", "),"[",", "),"]","")&amp;"]",TRIM(INDEX($A$3:$A$168,K1391))&amp;" ["&amp;SUBSTITUTE(SUBSTITUTE(SUBSTITUTE(E1391," [",", "),"[",", "),"]","")&amp;"]")))</x:f>
      </x:c>
      <x:c r="G1391" t="str">
        <x:f>IF(F1391&lt;&gt;"",ROWS($F$3:F1391)-COUNTBLANK($F$3:F1391),"")</x:f>
      </x:c>
      <x:c r="H1391"/>
      <x:c r="I1391"/>
      <x:c r="J1391"/>
      <x:c r="K1391" t="str">
        <x:f>IF(ROW()-ROW($K$2)&lt;=SUM($J$3:$J$168),COUNTIF($H$3:$H$168,"&lt;"&amp;(ROW()-ROW($K$2))),"")</x:f>
      </x:c>
      <x:c r="L1391" t="str">
        <x:f>IF(K1391="","",ROW()-ROW($L$2)-INDEX($H$3:$H$168,K1391))</x:f>
      </x:c>
      <x:c r="M1391" t="str">
        <x:f>IF(K1391="","",IF(L1391=1,1,FIND(CHAR(1),SUBSTITUTE(INDEX($B$3:$B$168,K1391),CHAR(10),CHAR(1),L1391-1))+1))</x:f>
      </x:c>
      <x:c r="N1391" t="str">
        <x:f>IF(K1391="","",IFERROR(FIND(CHAR(1),SUBSTITUTE(INDEX($B$3:$B$168,K1391),CHAR(10),CHAR(1),L1391)),LEN(INDEX($B$3:$B$168,K1391))+1))</x:f>
      </x:c>
    </x:row>
    <x:row r="1392">
      <x:c r="A1392"/>
      <x:c r="B1392"/>
      <x:c r="C1392"/>
      <x:c r="D1392" t="str">
        <x:f>IFERROR(IF(1390&lt;=$O$1,INDEX($A$3:$A$168,MATCH(1390,$I$3:$I$168,0)),IF(1390&lt;=$O$1+$O$2,INDEX($F$3:$F$1994,MATCH(1390-$O$1,$G$3:$G$1994,0)),"")),"")</x:f>
      </x:c>
      <x:c r="E1392" t="str">
        <x:f>IF(K1392="","",IF(N1392&lt;=M1392,"",TRIM(CLEAN(MID(INDEX($B$3:$B$168,K1392),M1392,N1392-M1392)))))</x:f>
      </x:c>
      <x:c r="F1392" t="str">
        <x:f>IF(E1392="","",IF(E1392=TRIM(INDEX($A$3:$A$168,K1392)),"",IF(RIGHT(TRIM(INDEX($A$3:$A$168,K1392)),1)="]",LEFT(TRIM(INDEX($A$3:$A$168,K1392)),LEN(TRIM(INDEX($A$3:$A$168,K1392)))-1)&amp;", "&amp;SUBSTITUTE(SUBSTITUTE(SUBSTITUTE(E1392," [",", "),"[",", "),"]","")&amp;"]",TRIM(INDEX($A$3:$A$168,K1392))&amp;" ["&amp;SUBSTITUTE(SUBSTITUTE(SUBSTITUTE(E1392," [",", "),"[",", "),"]","")&amp;"]")))</x:f>
      </x:c>
      <x:c r="G1392" t="str">
        <x:f>IF(F1392&lt;&gt;"",ROWS($F$3:F1392)-COUNTBLANK($F$3:F1392),"")</x:f>
      </x:c>
      <x:c r="H1392"/>
      <x:c r="I1392"/>
      <x:c r="J1392"/>
      <x:c r="K1392" t="str">
        <x:f>IF(ROW()-ROW($K$2)&lt;=SUM($J$3:$J$168),COUNTIF($H$3:$H$168,"&lt;"&amp;(ROW()-ROW($K$2))),"")</x:f>
      </x:c>
      <x:c r="L1392" t="str">
        <x:f>IF(K1392="","",ROW()-ROW($L$2)-INDEX($H$3:$H$168,K1392))</x:f>
      </x:c>
      <x:c r="M1392" t="str">
        <x:f>IF(K1392="","",IF(L1392=1,1,FIND(CHAR(1),SUBSTITUTE(INDEX($B$3:$B$168,K1392),CHAR(10),CHAR(1),L1392-1))+1))</x:f>
      </x:c>
      <x:c r="N1392" t="str">
        <x:f>IF(K1392="","",IFERROR(FIND(CHAR(1),SUBSTITUTE(INDEX($B$3:$B$168,K1392),CHAR(10),CHAR(1),L1392)),LEN(INDEX($B$3:$B$168,K1392))+1))</x:f>
      </x:c>
    </x:row>
    <x:row r="1393">
      <x:c r="A1393"/>
      <x:c r="B1393"/>
      <x:c r="C1393"/>
      <x:c r="D1393" t="str">
        <x:f>IFERROR(IF(1391&lt;=$O$1,INDEX($A$3:$A$168,MATCH(1391,$I$3:$I$168,0)),IF(1391&lt;=$O$1+$O$2,INDEX($F$3:$F$1994,MATCH(1391-$O$1,$G$3:$G$1994,0)),"")),"")</x:f>
      </x:c>
      <x:c r="E1393" t="str">
        <x:f>IF(K1393="","",IF(N1393&lt;=M1393,"",TRIM(CLEAN(MID(INDEX($B$3:$B$168,K1393),M1393,N1393-M1393)))))</x:f>
      </x:c>
      <x:c r="F1393" t="str">
        <x:f>IF(E1393="","",IF(E1393=TRIM(INDEX($A$3:$A$168,K1393)),"",IF(RIGHT(TRIM(INDEX($A$3:$A$168,K1393)),1)="]",LEFT(TRIM(INDEX($A$3:$A$168,K1393)),LEN(TRIM(INDEX($A$3:$A$168,K1393)))-1)&amp;", "&amp;SUBSTITUTE(SUBSTITUTE(SUBSTITUTE(E1393," [",", "),"[",", "),"]","")&amp;"]",TRIM(INDEX($A$3:$A$168,K1393))&amp;" ["&amp;SUBSTITUTE(SUBSTITUTE(SUBSTITUTE(E1393," [",", "),"[",", "),"]","")&amp;"]")))</x:f>
      </x:c>
      <x:c r="G1393" t="str">
        <x:f>IF(F1393&lt;&gt;"",ROWS($F$3:F1393)-COUNTBLANK($F$3:F1393),"")</x:f>
      </x:c>
      <x:c r="H1393"/>
      <x:c r="I1393"/>
      <x:c r="J1393"/>
      <x:c r="K1393" t="str">
        <x:f>IF(ROW()-ROW($K$2)&lt;=SUM($J$3:$J$168),COUNTIF($H$3:$H$168,"&lt;"&amp;(ROW()-ROW($K$2))),"")</x:f>
      </x:c>
      <x:c r="L1393" t="str">
        <x:f>IF(K1393="","",ROW()-ROW($L$2)-INDEX($H$3:$H$168,K1393))</x:f>
      </x:c>
      <x:c r="M1393" t="str">
        <x:f>IF(K1393="","",IF(L1393=1,1,FIND(CHAR(1),SUBSTITUTE(INDEX($B$3:$B$168,K1393),CHAR(10),CHAR(1),L1393-1))+1))</x:f>
      </x:c>
      <x:c r="N1393" t="str">
        <x:f>IF(K1393="","",IFERROR(FIND(CHAR(1),SUBSTITUTE(INDEX($B$3:$B$168,K1393),CHAR(10),CHAR(1),L1393)),LEN(INDEX($B$3:$B$168,K1393))+1))</x:f>
      </x:c>
    </x:row>
    <x:row r="1394">
      <x:c r="A1394"/>
      <x:c r="B1394"/>
      <x:c r="C1394"/>
      <x:c r="D1394" t="str">
        <x:f>IFERROR(IF(1392&lt;=$O$1,INDEX($A$3:$A$168,MATCH(1392,$I$3:$I$168,0)),IF(1392&lt;=$O$1+$O$2,INDEX($F$3:$F$1994,MATCH(1392-$O$1,$G$3:$G$1994,0)),"")),"")</x:f>
      </x:c>
      <x:c r="E1394" t="str">
        <x:f>IF(K1394="","",IF(N1394&lt;=M1394,"",TRIM(CLEAN(MID(INDEX($B$3:$B$168,K1394),M1394,N1394-M1394)))))</x:f>
      </x:c>
      <x:c r="F1394" t="str">
        <x:f>IF(E1394="","",IF(E1394=TRIM(INDEX($A$3:$A$168,K1394)),"",IF(RIGHT(TRIM(INDEX($A$3:$A$168,K1394)),1)="]",LEFT(TRIM(INDEX($A$3:$A$168,K1394)),LEN(TRIM(INDEX($A$3:$A$168,K1394)))-1)&amp;", "&amp;SUBSTITUTE(SUBSTITUTE(SUBSTITUTE(E1394," [",", "),"[",", "),"]","")&amp;"]",TRIM(INDEX($A$3:$A$168,K1394))&amp;" ["&amp;SUBSTITUTE(SUBSTITUTE(SUBSTITUTE(E1394," [",", "),"[",", "),"]","")&amp;"]")))</x:f>
      </x:c>
      <x:c r="G1394" t="str">
        <x:f>IF(F1394&lt;&gt;"",ROWS($F$3:F1394)-COUNTBLANK($F$3:F1394),"")</x:f>
      </x:c>
      <x:c r="H1394"/>
      <x:c r="I1394"/>
      <x:c r="J1394"/>
      <x:c r="K1394" t="str">
        <x:f>IF(ROW()-ROW($K$2)&lt;=SUM($J$3:$J$168),COUNTIF($H$3:$H$168,"&lt;"&amp;(ROW()-ROW($K$2))),"")</x:f>
      </x:c>
      <x:c r="L1394" t="str">
        <x:f>IF(K1394="","",ROW()-ROW($L$2)-INDEX($H$3:$H$168,K1394))</x:f>
      </x:c>
      <x:c r="M1394" t="str">
        <x:f>IF(K1394="","",IF(L1394=1,1,FIND(CHAR(1),SUBSTITUTE(INDEX($B$3:$B$168,K1394),CHAR(10),CHAR(1),L1394-1))+1))</x:f>
      </x:c>
      <x:c r="N1394" t="str">
        <x:f>IF(K1394="","",IFERROR(FIND(CHAR(1),SUBSTITUTE(INDEX($B$3:$B$168,K1394),CHAR(10),CHAR(1),L1394)),LEN(INDEX($B$3:$B$168,K1394))+1))</x:f>
      </x:c>
    </x:row>
    <x:row r="1395">
      <x:c r="A1395"/>
      <x:c r="B1395"/>
      <x:c r="C1395"/>
      <x:c r="D1395" t="str">
        <x:f>IFERROR(IF(1393&lt;=$O$1,INDEX($A$3:$A$168,MATCH(1393,$I$3:$I$168,0)),IF(1393&lt;=$O$1+$O$2,INDEX($F$3:$F$1994,MATCH(1393-$O$1,$G$3:$G$1994,0)),"")),"")</x:f>
      </x:c>
      <x:c r="E1395" t="str">
        <x:f>IF(K1395="","",IF(N1395&lt;=M1395,"",TRIM(CLEAN(MID(INDEX($B$3:$B$168,K1395),M1395,N1395-M1395)))))</x:f>
      </x:c>
      <x:c r="F1395" t="str">
        <x:f>IF(E1395="","",IF(E1395=TRIM(INDEX($A$3:$A$168,K1395)),"",IF(RIGHT(TRIM(INDEX($A$3:$A$168,K1395)),1)="]",LEFT(TRIM(INDEX($A$3:$A$168,K1395)),LEN(TRIM(INDEX($A$3:$A$168,K1395)))-1)&amp;", "&amp;SUBSTITUTE(SUBSTITUTE(SUBSTITUTE(E1395," [",", "),"[",", "),"]","")&amp;"]",TRIM(INDEX($A$3:$A$168,K1395))&amp;" ["&amp;SUBSTITUTE(SUBSTITUTE(SUBSTITUTE(E1395," [",", "),"[",", "),"]","")&amp;"]")))</x:f>
      </x:c>
      <x:c r="G1395" t="str">
        <x:f>IF(F1395&lt;&gt;"",ROWS($F$3:F1395)-COUNTBLANK($F$3:F1395),"")</x:f>
      </x:c>
      <x:c r="H1395"/>
      <x:c r="I1395"/>
      <x:c r="J1395"/>
      <x:c r="K1395" t="str">
        <x:f>IF(ROW()-ROW($K$2)&lt;=SUM($J$3:$J$168),COUNTIF($H$3:$H$168,"&lt;"&amp;(ROW()-ROW($K$2))),"")</x:f>
      </x:c>
      <x:c r="L1395" t="str">
        <x:f>IF(K1395="","",ROW()-ROW($L$2)-INDEX($H$3:$H$168,K1395))</x:f>
      </x:c>
      <x:c r="M1395" t="str">
        <x:f>IF(K1395="","",IF(L1395=1,1,FIND(CHAR(1),SUBSTITUTE(INDEX($B$3:$B$168,K1395),CHAR(10),CHAR(1),L1395-1))+1))</x:f>
      </x:c>
      <x:c r="N1395" t="str">
        <x:f>IF(K1395="","",IFERROR(FIND(CHAR(1),SUBSTITUTE(INDEX($B$3:$B$168,K1395),CHAR(10),CHAR(1),L1395)),LEN(INDEX($B$3:$B$168,K1395))+1))</x:f>
      </x:c>
    </x:row>
    <x:row r="1396">
      <x:c r="A1396"/>
      <x:c r="B1396"/>
      <x:c r="C1396"/>
      <x:c r="D1396" t="str">
        <x:f>IFERROR(IF(1394&lt;=$O$1,INDEX($A$3:$A$168,MATCH(1394,$I$3:$I$168,0)),IF(1394&lt;=$O$1+$O$2,INDEX($F$3:$F$1994,MATCH(1394-$O$1,$G$3:$G$1994,0)),"")),"")</x:f>
      </x:c>
      <x:c r="E1396" t="str">
        <x:f>IF(K1396="","",IF(N1396&lt;=M1396,"",TRIM(CLEAN(MID(INDEX($B$3:$B$168,K1396),M1396,N1396-M1396)))))</x:f>
      </x:c>
      <x:c r="F1396" t="str">
        <x:f>IF(E1396="","",IF(E1396=TRIM(INDEX($A$3:$A$168,K1396)),"",IF(RIGHT(TRIM(INDEX($A$3:$A$168,K1396)),1)="]",LEFT(TRIM(INDEX($A$3:$A$168,K1396)),LEN(TRIM(INDEX($A$3:$A$168,K1396)))-1)&amp;", "&amp;SUBSTITUTE(SUBSTITUTE(SUBSTITUTE(E1396," [",", "),"[",", "),"]","")&amp;"]",TRIM(INDEX($A$3:$A$168,K1396))&amp;" ["&amp;SUBSTITUTE(SUBSTITUTE(SUBSTITUTE(E1396," [",", "),"[",", "),"]","")&amp;"]")))</x:f>
      </x:c>
      <x:c r="G1396" t="str">
        <x:f>IF(F1396&lt;&gt;"",ROWS($F$3:F1396)-COUNTBLANK($F$3:F1396),"")</x:f>
      </x:c>
      <x:c r="H1396"/>
      <x:c r="I1396"/>
      <x:c r="J1396"/>
      <x:c r="K1396" t="str">
        <x:f>IF(ROW()-ROW($K$2)&lt;=SUM($J$3:$J$168),COUNTIF($H$3:$H$168,"&lt;"&amp;(ROW()-ROW($K$2))),"")</x:f>
      </x:c>
      <x:c r="L1396" t="str">
        <x:f>IF(K1396="","",ROW()-ROW($L$2)-INDEX($H$3:$H$168,K1396))</x:f>
      </x:c>
      <x:c r="M1396" t="str">
        <x:f>IF(K1396="","",IF(L1396=1,1,FIND(CHAR(1),SUBSTITUTE(INDEX($B$3:$B$168,K1396),CHAR(10),CHAR(1),L1396-1))+1))</x:f>
      </x:c>
      <x:c r="N1396" t="str">
        <x:f>IF(K1396="","",IFERROR(FIND(CHAR(1),SUBSTITUTE(INDEX($B$3:$B$168,K1396),CHAR(10),CHAR(1),L1396)),LEN(INDEX($B$3:$B$168,K1396))+1))</x:f>
      </x:c>
    </x:row>
    <x:row r="1397">
      <x:c r="A1397"/>
      <x:c r="B1397"/>
      <x:c r="C1397"/>
      <x:c r="D1397" t="str">
        <x:f>IFERROR(IF(1395&lt;=$O$1,INDEX($A$3:$A$168,MATCH(1395,$I$3:$I$168,0)),IF(1395&lt;=$O$1+$O$2,INDEX($F$3:$F$1994,MATCH(1395-$O$1,$G$3:$G$1994,0)),"")),"")</x:f>
      </x:c>
      <x:c r="E1397" t="str">
        <x:f>IF(K1397="","",IF(N1397&lt;=M1397,"",TRIM(CLEAN(MID(INDEX($B$3:$B$168,K1397),M1397,N1397-M1397)))))</x:f>
      </x:c>
      <x:c r="F1397" t="str">
        <x:f>IF(E1397="","",IF(E1397=TRIM(INDEX($A$3:$A$168,K1397)),"",IF(RIGHT(TRIM(INDEX($A$3:$A$168,K1397)),1)="]",LEFT(TRIM(INDEX($A$3:$A$168,K1397)),LEN(TRIM(INDEX($A$3:$A$168,K1397)))-1)&amp;", "&amp;SUBSTITUTE(SUBSTITUTE(SUBSTITUTE(E1397," [",", "),"[",", "),"]","")&amp;"]",TRIM(INDEX($A$3:$A$168,K1397))&amp;" ["&amp;SUBSTITUTE(SUBSTITUTE(SUBSTITUTE(E1397," [",", "),"[",", "),"]","")&amp;"]")))</x:f>
      </x:c>
      <x:c r="G1397" t="str">
        <x:f>IF(F1397&lt;&gt;"",ROWS($F$3:F1397)-COUNTBLANK($F$3:F1397),"")</x:f>
      </x:c>
      <x:c r="H1397"/>
      <x:c r="I1397"/>
      <x:c r="J1397"/>
      <x:c r="K1397" t="str">
        <x:f>IF(ROW()-ROW($K$2)&lt;=SUM($J$3:$J$168),COUNTIF($H$3:$H$168,"&lt;"&amp;(ROW()-ROW($K$2))),"")</x:f>
      </x:c>
      <x:c r="L1397" t="str">
        <x:f>IF(K1397="","",ROW()-ROW($L$2)-INDEX($H$3:$H$168,K1397))</x:f>
      </x:c>
      <x:c r="M1397" t="str">
        <x:f>IF(K1397="","",IF(L1397=1,1,FIND(CHAR(1),SUBSTITUTE(INDEX($B$3:$B$168,K1397),CHAR(10),CHAR(1),L1397-1))+1))</x:f>
      </x:c>
      <x:c r="N1397" t="str">
        <x:f>IF(K1397="","",IFERROR(FIND(CHAR(1),SUBSTITUTE(INDEX($B$3:$B$168,K1397),CHAR(10),CHAR(1),L1397)),LEN(INDEX($B$3:$B$168,K1397))+1))</x:f>
      </x:c>
    </x:row>
    <x:row r="1398">
      <x:c r="A1398"/>
      <x:c r="B1398"/>
      <x:c r="C1398"/>
      <x:c r="D1398" t="str">
        <x:f>IFERROR(IF(1396&lt;=$O$1,INDEX($A$3:$A$168,MATCH(1396,$I$3:$I$168,0)),IF(1396&lt;=$O$1+$O$2,INDEX($F$3:$F$1994,MATCH(1396-$O$1,$G$3:$G$1994,0)),"")),"")</x:f>
      </x:c>
      <x:c r="E1398" t="str">
        <x:f>IF(K1398="","",IF(N1398&lt;=M1398,"",TRIM(CLEAN(MID(INDEX($B$3:$B$168,K1398),M1398,N1398-M1398)))))</x:f>
      </x:c>
      <x:c r="F1398" t="str">
        <x:f>IF(E1398="","",IF(E1398=TRIM(INDEX($A$3:$A$168,K1398)),"",IF(RIGHT(TRIM(INDEX($A$3:$A$168,K1398)),1)="]",LEFT(TRIM(INDEX($A$3:$A$168,K1398)),LEN(TRIM(INDEX($A$3:$A$168,K1398)))-1)&amp;", "&amp;SUBSTITUTE(SUBSTITUTE(SUBSTITUTE(E1398," [",", "),"[",", "),"]","")&amp;"]",TRIM(INDEX($A$3:$A$168,K1398))&amp;" ["&amp;SUBSTITUTE(SUBSTITUTE(SUBSTITUTE(E1398," [",", "),"[",", "),"]","")&amp;"]")))</x:f>
      </x:c>
      <x:c r="G1398" t="str">
        <x:f>IF(F1398&lt;&gt;"",ROWS($F$3:F1398)-COUNTBLANK($F$3:F1398),"")</x:f>
      </x:c>
      <x:c r="H1398"/>
      <x:c r="I1398"/>
      <x:c r="J1398"/>
      <x:c r="K1398" t="str">
        <x:f>IF(ROW()-ROW($K$2)&lt;=SUM($J$3:$J$168),COUNTIF($H$3:$H$168,"&lt;"&amp;(ROW()-ROW($K$2))),"")</x:f>
      </x:c>
      <x:c r="L1398" t="str">
        <x:f>IF(K1398="","",ROW()-ROW($L$2)-INDEX($H$3:$H$168,K1398))</x:f>
      </x:c>
      <x:c r="M1398" t="str">
        <x:f>IF(K1398="","",IF(L1398=1,1,FIND(CHAR(1),SUBSTITUTE(INDEX($B$3:$B$168,K1398),CHAR(10),CHAR(1),L1398-1))+1))</x:f>
      </x:c>
      <x:c r="N1398" t="str">
        <x:f>IF(K1398="","",IFERROR(FIND(CHAR(1),SUBSTITUTE(INDEX($B$3:$B$168,K1398),CHAR(10),CHAR(1),L1398)),LEN(INDEX($B$3:$B$168,K1398))+1))</x:f>
      </x:c>
    </x:row>
    <x:row r="1399">
      <x:c r="A1399"/>
      <x:c r="B1399"/>
      <x:c r="C1399"/>
      <x:c r="D1399" t="str">
        <x:f>IFERROR(IF(1397&lt;=$O$1,INDEX($A$3:$A$168,MATCH(1397,$I$3:$I$168,0)),IF(1397&lt;=$O$1+$O$2,INDEX($F$3:$F$1994,MATCH(1397-$O$1,$G$3:$G$1994,0)),"")),"")</x:f>
      </x:c>
      <x:c r="E1399" t="str">
        <x:f>IF(K1399="","",IF(N1399&lt;=M1399,"",TRIM(CLEAN(MID(INDEX($B$3:$B$168,K1399),M1399,N1399-M1399)))))</x:f>
      </x:c>
      <x:c r="F1399" t="str">
        <x:f>IF(E1399="","",IF(E1399=TRIM(INDEX($A$3:$A$168,K1399)),"",IF(RIGHT(TRIM(INDEX($A$3:$A$168,K1399)),1)="]",LEFT(TRIM(INDEX($A$3:$A$168,K1399)),LEN(TRIM(INDEX($A$3:$A$168,K1399)))-1)&amp;", "&amp;SUBSTITUTE(SUBSTITUTE(SUBSTITUTE(E1399," [",", "),"[",", "),"]","")&amp;"]",TRIM(INDEX($A$3:$A$168,K1399))&amp;" ["&amp;SUBSTITUTE(SUBSTITUTE(SUBSTITUTE(E1399," [",", "),"[",", "),"]","")&amp;"]")))</x:f>
      </x:c>
      <x:c r="G1399" t="str">
        <x:f>IF(F1399&lt;&gt;"",ROWS($F$3:F1399)-COUNTBLANK($F$3:F1399),"")</x:f>
      </x:c>
      <x:c r="H1399"/>
      <x:c r="I1399"/>
      <x:c r="J1399"/>
      <x:c r="K1399" t="str">
        <x:f>IF(ROW()-ROW($K$2)&lt;=SUM($J$3:$J$168),COUNTIF($H$3:$H$168,"&lt;"&amp;(ROW()-ROW($K$2))),"")</x:f>
      </x:c>
      <x:c r="L1399" t="str">
        <x:f>IF(K1399="","",ROW()-ROW($L$2)-INDEX($H$3:$H$168,K1399))</x:f>
      </x:c>
      <x:c r="M1399" t="str">
        <x:f>IF(K1399="","",IF(L1399=1,1,FIND(CHAR(1),SUBSTITUTE(INDEX($B$3:$B$168,K1399),CHAR(10),CHAR(1),L1399-1))+1))</x:f>
      </x:c>
      <x:c r="N1399" t="str">
        <x:f>IF(K1399="","",IFERROR(FIND(CHAR(1),SUBSTITUTE(INDEX($B$3:$B$168,K1399),CHAR(10),CHAR(1),L1399)),LEN(INDEX($B$3:$B$168,K1399))+1))</x:f>
      </x:c>
    </x:row>
    <x:row r="1400">
      <x:c r="A1400"/>
      <x:c r="B1400"/>
      <x:c r="C1400"/>
      <x:c r="D1400" t="str">
        <x:f>IFERROR(IF(1398&lt;=$O$1,INDEX($A$3:$A$168,MATCH(1398,$I$3:$I$168,0)),IF(1398&lt;=$O$1+$O$2,INDEX($F$3:$F$1994,MATCH(1398-$O$1,$G$3:$G$1994,0)),"")),"")</x:f>
      </x:c>
      <x:c r="E1400" t="str">
        <x:f>IF(K1400="","",IF(N1400&lt;=M1400,"",TRIM(CLEAN(MID(INDEX($B$3:$B$168,K1400),M1400,N1400-M1400)))))</x:f>
      </x:c>
      <x:c r="F1400" t="str">
        <x:f>IF(E1400="","",IF(E1400=TRIM(INDEX($A$3:$A$168,K1400)),"",IF(RIGHT(TRIM(INDEX($A$3:$A$168,K1400)),1)="]",LEFT(TRIM(INDEX($A$3:$A$168,K1400)),LEN(TRIM(INDEX($A$3:$A$168,K1400)))-1)&amp;", "&amp;SUBSTITUTE(SUBSTITUTE(SUBSTITUTE(E1400," [",", "),"[",", "),"]","")&amp;"]",TRIM(INDEX($A$3:$A$168,K1400))&amp;" ["&amp;SUBSTITUTE(SUBSTITUTE(SUBSTITUTE(E1400," [",", "),"[",", "),"]","")&amp;"]")))</x:f>
      </x:c>
      <x:c r="G1400" t="str">
        <x:f>IF(F1400&lt;&gt;"",ROWS($F$3:F1400)-COUNTBLANK($F$3:F1400),"")</x:f>
      </x:c>
      <x:c r="H1400"/>
      <x:c r="I1400"/>
      <x:c r="J1400"/>
      <x:c r="K1400" t="str">
        <x:f>IF(ROW()-ROW($K$2)&lt;=SUM($J$3:$J$168),COUNTIF($H$3:$H$168,"&lt;"&amp;(ROW()-ROW($K$2))),"")</x:f>
      </x:c>
      <x:c r="L1400" t="str">
        <x:f>IF(K1400="","",ROW()-ROW($L$2)-INDEX($H$3:$H$168,K1400))</x:f>
      </x:c>
      <x:c r="M1400" t="str">
        <x:f>IF(K1400="","",IF(L1400=1,1,FIND(CHAR(1),SUBSTITUTE(INDEX($B$3:$B$168,K1400),CHAR(10),CHAR(1),L1400-1))+1))</x:f>
      </x:c>
      <x:c r="N1400" t="str">
        <x:f>IF(K1400="","",IFERROR(FIND(CHAR(1),SUBSTITUTE(INDEX($B$3:$B$168,K1400),CHAR(10),CHAR(1),L1400)),LEN(INDEX($B$3:$B$168,K1400))+1))</x:f>
      </x:c>
    </x:row>
    <x:row r="1401">
      <x:c r="A1401"/>
      <x:c r="B1401"/>
      <x:c r="C1401"/>
      <x:c r="D1401" t="str">
        <x:f>IFERROR(IF(1399&lt;=$O$1,INDEX($A$3:$A$168,MATCH(1399,$I$3:$I$168,0)),IF(1399&lt;=$O$1+$O$2,INDEX($F$3:$F$1994,MATCH(1399-$O$1,$G$3:$G$1994,0)),"")),"")</x:f>
      </x:c>
      <x:c r="E1401" t="str">
        <x:f>IF(K1401="","",IF(N1401&lt;=M1401,"",TRIM(CLEAN(MID(INDEX($B$3:$B$168,K1401),M1401,N1401-M1401)))))</x:f>
      </x:c>
      <x:c r="F1401" t="str">
        <x:f>IF(E1401="","",IF(E1401=TRIM(INDEX($A$3:$A$168,K1401)),"",IF(RIGHT(TRIM(INDEX($A$3:$A$168,K1401)),1)="]",LEFT(TRIM(INDEX($A$3:$A$168,K1401)),LEN(TRIM(INDEX($A$3:$A$168,K1401)))-1)&amp;", "&amp;SUBSTITUTE(SUBSTITUTE(SUBSTITUTE(E1401," [",", "),"[",", "),"]","")&amp;"]",TRIM(INDEX($A$3:$A$168,K1401))&amp;" ["&amp;SUBSTITUTE(SUBSTITUTE(SUBSTITUTE(E1401," [",", "),"[",", "),"]","")&amp;"]")))</x:f>
      </x:c>
      <x:c r="G1401" t="str">
        <x:f>IF(F1401&lt;&gt;"",ROWS($F$3:F1401)-COUNTBLANK($F$3:F1401),"")</x:f>
      </x:c>
      <x:c r="H1401"/>
      <x:c r="I1401"/>
      <x:c r="J1401"/>
      <x:c r="K1401" t="str">
        <x:f>IF(ROW()-ROW($K$2)&lt;=SUM($J$3:$J$168),COUNTIF($H$3:$H$168,"&lt;"&amp;(ROW()-ROW($K$2))),"")</x:f>
      </x:c>
      <x:c r="L1401" t="str">
        <x:f>IF(K1401="","",ROW()-ROW($L$2)-INDEX($H$3:$H$168,K1401))</x:f>
      </x:c>
      <x:c r="M1401" t="str">
        <x:f>IF(K1401="","",IF(L1401=1,1,FIND(CHAR(1),SUBSTITUTE(INDEX($B$3:$B$168,K1401),CHAR(10),CHAR(1),L1401-1))+1))</x:f>
      </x:c>
      <x:c r="N1401" t="str">
        <x:f>IF(K1401="","",IFERROR(FIND(CHAR(1),SUBSTITUTE(INDEX($B$3:$B$168,K1401),CHAR(10),CHAR(1),L1401)),LEN(INDEX($B$3:$B$168,K1401))+1))</x:f>
      </x:c>
    </x:row>
    <x:row r="1402">
      <x:c r="A1402"/>
      <x:c r="B1402"/>
      <x:c r="C1402"/>
      <x:c r="D1402" t="str">
        <x:f>IFERROR(IF(1400&lt;=$O$1,INDEX($A$3:$A$168,MATCH(1400,$I$3:$I$168,0)),IF(1400&lt;=$O$1+$O$2,INDEX($F$3:$F$1994,MATCH(1400-$O$1,$G$3:$G$1994,0)),"")),"")</x:f>
      </x:c>
      <x:c r="E1402" t="str">
        <x:f>IF(K1402="","",IF(N1402&lt;=M1402,"",TRIM(CLEAN(MID(INDEX($B$3:$B$168,K1402),M1402,N1402-M1402)))))</x:f>
      </x:c>
      <x:c r="F1402" t="str">
        <x:f>IF(E1402="","",IF(E1402=TRIM(INDEX($A$3:$A$168,K1402)),"",IF(RIGHT(TRIM(INDEX($A$3:$A$168,K1402)),1)="]",LEFT(TRIM(INDEX($A$3:$A$168,K1402)),LEN(TRIM(INDEX($A$3:$A$168,K1402)))-1)&amp;", "&amp;SUBSTITUTE(SUBSTITUTE(SUBSTITUTE(E1402," [",", "),"[",", "),"]","")&amp;"]",TRIM(INDEX($A$3:$A$168,K1402))&amp;" ["&amp;SUBSTITUTE(SUBSTITUTE(SUBSTITUTE(E1402," [",", "),"[",", "),"]","")&amp;"]")))</x:f>
      </x:c>
      <x:c r="G1402" t="str">
        <x:f>IF(F1402&lt;&gt;"",ROWS($F$3:F1402)-COUNTBLANK($F$3:F1402),"")</x:f>
      </x:c>
      <x:c r="H1402"/>
      <x:c r="I1402"/>
      <x:c r="J1402"/>
      <x:c r="K1402" t="str">
        <x:f>IF(ROW()-ROW($K$2)&lt;=SUM($J$3:$J$168),COUNTIF($H$3:$H$168,"&lt;"&amp;(ROW()-ROW($K$2))),"")</x:f>
      </x:c>
      <x:c r="L1402" t="str">
        <x:f>IF(K1402="","",ROW()-ROW($L$2)-INDEX($H$3:$H$168,K1402))</x:f>
      </x:c>
      <x:c r="M1402" t="str">
        <x:f>IF(K1402="","",IF(L1402=1,1,FIND(CHAR(1),SUBSTITUTE(INDEX($B$3:$B$168,K1402),CHAR(10),CHAR(1),L1402-1))+1))</x:f>
      </x:c>
      <x:c r="N1402" t="str">
        <x:f>IF(K1402="","",IFERROR(FIND(CHAR(1),SUBSTITUTE(INDEX($B$3:$B$168,K1402),CHAR(10),CHAR(1),L1402)),LEN(INDEX($B$3:$B$168,K1402))+1))</x:f>
      </x:c>
    </x:row>
    <x:row r="1403">
      <x:c r="A1403"/>
      <x:c r="B1403"/>
      <x:c r="C1403"/>
      <x:c r="D1403" t="str">
        <x:f>IFERROR(IF(1401&lt;=$O$1,INDEX($A$3:$A$168,MATCH(1401,$I$3:$I$168,0)),IF(1401&lt;=$O$1+$O$2,INDEX($F$3:$F$1994,MATCH(1401-$O$1,$G$3:$G$1994,0)),"")),"")</x:f>
      </x:c>
      <x:c r="E1403" t="str">
        <x:f>IF(K1403="","",IF(N1403&lt;=M1403,"",TRIM(CLEAN(MID(INDEX($B$3:$B$168,K1403),M1403,N1403-M1403)))))</x:f>
      </x:c>
      <x:c r="F1403" t="str">
        <x:f>IF(E1403="","",IF(E1403=TRIM(INDEX($A$3:$A$168,K1403)),"",IF(RIGHT(TRIM(INDEX($A$3:$A$168,K1403)),1)="]",LEFT(TRIM(INDEX($A$3:$A$168,K1403)),LEN(TRIM(INDEX($A$3:$A$168,K1403)))-1)&amp;", "&amp;SUBSTITUTE(SUBSTITUTE(SUBSTITUTE(E1403," [",", "),"[",", "),"]","")&amp;"]",TRIM(INDEX($A$3:$A$168,K1403))&amp;" ["&amp;SUBSTITUTE(SUBSTITUTE(SUBSTITUTE(E1403," [",", "),"[",", "),"]","")&amp;"]")))</x:f>
      </x:c>
      <x:c r="G1403" t="str">
        <x:f>IF(F1403&lt;&gt;"",ROWS($F$3:F1403)-COUNTBLANK($F$3:F1403),"")</x:f>
      </x:c>
      <x:c r="H1403"/>
      <x:c r="I1403"/>
      <x:c r="J1403"/>
      <x:c r="K1403" t="str">
        <x:f>IF(ROW()-ROW($K$2)&lt;=SUM($J$3:$J$168),COUNTIF($H$3:$H$168,"&lt;"&amp;(ROW()-ROW($K$2))),"")</x:f>
      </x:c>
      <x:c r="L1403" t="str">
        <x:f>IF(K1403="","",ROW()-ROW($L$2)-INDEX($H$3:$H$168,K1403))</x:f>
      </x:c>
      <x:c r="M1403" t="str">
        <x:f>IF(K1403="","",IF(L1403=1,1,FIND(CHAR(1),SUBSTITUTE(INDEX($B$3:$B$168,K1403),CHAR(10),CHAR(1),L1403-1))+1))</x:f>
      </x:c>
      <x:c r="N1403" t="str">
        <x:f>IF(K1403="","",IFERROR(FIND(CHAR(1),SUBSTITUTE(INDEX($B$3:$B$168,K1403),CHAR(10),CHAR(1),L1403)),LEN(INDEX($B$3:$B$168,K1403))+1))</x:f>
      </x:c>
    </x:row>
    <x:row r="1404">
      <x:c r="A1404"/>
      <x:c r="B1404"/>
      <x:c r="C1404"/>
      <x:c r="D1404" t="str">
        <x:f>IFERROR(IF(1402&lt;=$O$1,INDEX($A$3:$A$168,MATCH(1402,$I$3:$I$168,0)),IF(1402&lt;=$O$1+$O$2,INDEX($F$3:$F$1994,MATCH(1402-$O$1,$G$3:$G$1994,0)),"")),"")</x:f>
      </x:c>
      <x:c r="E1404" t="str">
        <x:f>IF(K1404="","",IF(N1404&lt;=M1404,"",TRIM(CLEAN(MID(INDEX($B$3:$B$168,K1404),M1404,N1404-M1404)))))</x:f>
      </x:c>
      <x:c r="F1404" t="str">
        <x:f>IF(E1404="","",IF(E1404=TRIM(INDEX($A$3:$A$168,K1404)),"",IF(RIGHT(TRIM(INDEX($A$3:$A$168,K1404)),1)="]",LEFT(TRIM(INDEX($A$3:$A$168,K1404)),LEN(TRIM(INDEX($A$3:$A$168,K1404)))-1)&amp;", "&amp;SUBSTITUTE(SUBSTITUTE(SUBSTITUTE(E1404," [",", "),"[",", "),"]","")&amp;"]",TRIM(INDEX($A$3:$A$168,K1404))&amp;" ["&amp;SUBSTITUTE(SUBSTITUTE(SUBSTITUTE(E1404," [",", "),"[",", "),"]","")&amp;"]")))</x:f>
      </x:c>
      <x:c r="G1404" t="str">
        <x:f>IF(F1404&lt;&gt;"",ROWS($F$3:F1404)-COUNTBLANK($F$3:F1404),"")</x:f>
      </x:c>
      <x:c r="H1404"/>
      <x:c r="I1404"/>
      <x:c r="J1404"/>
      <x:c r="K1404" t="str">
        <x:f>IF(ROW()-ROW($K$2)&lt;=SUM($J$3:$J$168),COUNTIF($H$3:$H$168,"&lt;"&amp;(ROW()-ROW($K$2))),"")</x:f>
      </x:c>
      <x:c r="L1404" t="str">
        <x:f>IF(K1404="","",ROW()-ROW($L$2)-INDEX($H$3:$H$168,K1404))</x:f>
      </x:c>
      <x:c r="M1404" t="str">
        <x:f>IF(K1404="","",IF(L1404=1,1,FIND(CHAR(1),SUBSTITUTE(INDEX($B$3:$B$168,K1404),CHAR(10),CHAR(1),L1404-1))+1))</x:f>
      </x:c>
      <x:c r="N1404" t="str">
        <x:f>IF(K1404="","",IFERROR(FIND(CHAR(1),SUBSTITUTE(INDEX($B$3:$B$168,K1404),CHAR(10),CHAR(1),L1404)),LEN(INDEX($B$3:$B$168,K1404))+1))</x:f>
      </x:c>
    </x:row>
    <x:row r="1405">
      <x:c r="A1405"/>
      <x:c r="B1405"/>
      <x:c r="C1405"/>
      <x:c r="D1405" t="str">
        <x:f>IFERROR(IF(1403&lt;=$O$1,INDEX($A$3:$A$168,MATCH(1403,$I$3:$I$168,0)),IF(1403&lt;=$O$1+$O$2,INDEX($F$3:$F$1994,MATCH(1403-$O$1,$G$3:$G$1994,0)),"")),"")</x:f>
      </x:c>
      <x:c r="E1405" t="str">
        <x:f>IF(K1405="","",IF(N1405&lt;=M1405,"",TRIM(CLEAN(MID(INDEX($B$3:$B$168,K1405),M1405,N1405-M1405)))))</x:f>
      </x:c>
      <x:c r="F1405" t="str">
        <x:f>IF(E1405="","",IF(E1405=TRIM(INDEX($A$3:$A$168,K1405)),"",IF(RIGHT(TRIM(INDEX($A$3:$A$168,K1405)),1)="]",LEFT(TRIM(INDEX($A$3:$A$168,K1405)),LEN(TRIM(INDEX($A$3:$A$168,K1405)))-1)&amp;", "&amp;SUBSTITUTE(SUBSTITUTE(SUBSTITUTE(E1405," [",", "),"[",", "),"]","")&amp;"]",TRIM(INDEX($A$3:$A$168,K1405))&amp;" ["&amp;SUBSTITUTE(SUBSTITUTE(SUBSTITUTE(E1405," [",", "),"[",", "),"]","")&amp;"]")))</x:f>
      </x:c>
      <x:c r="G1405" t="str">
        <x:f>IF(F1405&lt;&gt;"",ROWS($F$3:F1405)-COUNTBLANK($F$3:F1405),"")</x:f>
      </x:c>
      <x:c r="H1405"/>
      <x:c r="I1405"/>
      <x:c r="J1405"/>
      <x:c r="K1405" t="str">
        <x:f>IF(ROW()-ROW($K$2)&lt;=SUM($J$3:$J$168),COUNTIF($H$3:$H$168,"&lt;"&amp;(ROW()-ROW($K$2))),"")</x:f>
      </x:c>
      <x:c r="L1405" t="str">
        <x:f>IF(K1405="","",ROW()-ROW($L$2)-INDEX($H$3:$H$168,K1405))</x:f>
      </x:c>
      <x:c r="M1405" t="str">
        <x:f>IF(K1405="","",IF(L1405=1,1,FIND(CHAR(1),SUBSTITUTE(INDEX($B$3:$B$168,K1405),CHAR(10),CHAR(1),L1405-1))+1))</x:f>
      </x:c>
      <x:c r="N1405" t="str">
        <x:f>IF(K1405="","",IFERROR(FIND(CHAR(1),SUBSTITUTE(INDEX($B$3:$B$168,K1405),CHAR(10),CHAR(1),L1405)),LEN(INDEX($B$3:$B$168,K1405))+1))</x:f>
      </x:c>
    </x:row>
    <x:row r="1406">
      <x:c r="A1406"/>
      <x:c r="B1406"/>
      <x:c r="C1406"/>
      <x:c r="D1406" t="str">
        <x:f>IFERROR(IF(1404&lt;=$O$1,INDEX($A$3:$A$168,MATCH(1404,$I$3:$I$168,0)),IF(1404&lt;=$O$1+$O$2,INDEX($F$3:$F$1994,MATCH(1404-$O$1,$G$3:$G$1994,0)),"")),"")</x:f>
      </x:c>
      <x:c r="E1406" t="str">
        <x:f>IF(K1406="","",IF(N1406&lt;=M1406,"",TRIM(CLEAN(MID(INDEX($B$3:$B$168,K1406),M1406,N1406-M1406)))))</x:f>
      </x:c>
      <x:c r="F1406" t="str">
        <x:f>IF(E1406="","",IF(E1406=TRIM(INDEX($A$3:$A$168,K1406)),"",IF(RIGHT(TRIM(INDEX($A$3:$A$168,K1406)),1)="]",LEFT(TRIM(INDEX($A$3:$A$168,K1406)),LEN(TRIM(INDEX($A$3:$A$168,K1406)))-1)&amp;", "&amp;SUBSTITUTE(SUBSTITUTE(SUBSTITUTE(E1406," [",", "),"[",", "),"]","")&amp;"]",TRIM(INDEX($A$3:$A$168,K1406))&amp;" ["&amp;SUBSTITUTE(SUBSTITUTE(SUBSTITUTE(E1406," [",", "),"[",", "),"]","")&amp;"]")))</x:f>
      </x:c>
      <x:c r="G1406" t="str">
        <x:f>IF(F1406&lt;&gt;"",ROWS($F$3:F1406)-COUNTBLANK($F$3:F1406),"")</x:f>
      </x:c>
      <x:c r="H1406"/>
      <x:c r="I1406"/>
      <x:c r="J1406"/>
      <x:c r="K1406" t="str">
        <x:f>IF(ROW()-ROW($K$2)&lt;=SUM($J$3:$J$168),COUNTIF($H$3:$H$168,"&lt;"&amp;(ROW()-ROW($K$2))),"")</x:f>
      </x:c>
      <x:c r="L1406" t="str">
        <x:f>IF(K1406="","",ROW()-ROW($L$2)-INDEX($H$3:$H$168,K1406))</x:f>
      </x:c>
      <x:c r="M1406" t="str">
        <x:f>IF(K1406="","",IF(L1406=1,1,FIND(CHAR(1),SUBSTITUTE(INDEX($B$3:$B$168,K1406),CHAR(10),CHAR(1),L1406-1))+1))</x:f>
      </x:c>
      <x:c r="N1406" t="str">
        <x:f>IF(K1406="","",IFERROR(FIND(CHAR(1),SUBSTITUTE(INDEX($B$3:$B$168,K1406),CHAR(10),CHAR(1),L1406)),LEN(INDEX($B$3:$B$168,K1406))+1))</x:f>
      </x:c>
    </x:row>
    <x:row r="1407">
      <x:c r="A1407"/>
      <x:c r="B1407"/>
      <x:c r="C1407"/>
      <x:c r="D1407" t="str">
        <x:f>IFERROR(IF(1405&lt;=$O$1,INDEX($A$3:$A$168,MATCH(1405,$I$3:$I$168,0)),IF(1405&lt;=$O$1+$O$2,INDEX($F$3:$F$1994,MATCH(1405-$O$1,$G$3:$G$1994,0)),"")),"")</x:f>
      </x:c>
      <x:c r="E1407" t="str">
        <x:f>IF(K1407="","",IF(N1407&lt;=M1407,"",TRIM(CLEAN(MID(INDEX($B$3:$B$168,K1407),M1407,N1407-M1407)))))</x:f>
      </x:c>
      <x:c r="F1407" t="str">
        <x:f>IF(E1407="","",IF(E1407=TRIM(INDEX($A$3:$A$168,K1407)),"",IF(RIGHT(TRIM(INDEX($A$3:$A$168,K1407)),1)="]",LEFT(TRIM(INDEX($A$3:$A$168,K1407)),LEN(TRIM(INDEX($A$3:$A$168,K1407)))-1)&amp;", "&amp;SUBSTITUTE(SUBSTITUTE(SUBSTITUTE(E1407," [",", "),"[",", "),"]","")&amp;"]",TRIM(INDEX($A$3:$A$168,K1407))&amp;" ["&amp;SUBSTITUTE(SUBSTITUTE(SUBSTITUTE(E1407," [",", "),"[",", "),"]","")&amp;"]")))</x:f>
      </x:c>
      <x:c r="G1407" t="str">
        <x:f>IF(F1407&lt;&gt;"",ROWS($F$3:F1407)-COUNTBLANK($F$3:F1407),"")</x:f>
      </x:c>
      <x:c r="H1407"/>
      <x:c r="I1407"/>
      <x:c r="J1407"/>
      <x:c r="K1407" t="str">
        <x:f>IF(ROW()-ROW($K$2)&lt;=SUM($J$3:$J$168),COUNTIF($H$3:$H$168,"&lt;"&amp;(ROW()-ROW($K$2))),"")</x:f>
      </x:c>
      <x:c r="L1407" t="str">
        <x:f>IF(K1407="","",ROW()-ROW($L$2)-INDEX($H$3:$H$168,K1407))</x:f>
      </x:c>
      <x:c r="M1407" t="str">
        <x:f>IF(K1407="","",IF(L1407=1,1,FIND(CHAR(1),SUBSTITUTE(INDEX($B$3:$B$168,K1407),CHAR(10),CHAR(1),L1407-1))+1))</x:f>
      </x:c>
      <x:c r="N1407" t="str">
        <x:f>IF(K1407="","",IFERROR(FIND(CHAR(1),SUBSTITUTE(INDEX($B$3:$B$168,K1407),CHAR(10),CHAR(1),L1407)),LEN(INDEX($B$3:$B$168,K1407))+1))</x:f>
      </x:c>
    </x:row>
    <x:row r="1408">
      <x:c r="A1408"/>
      <x:c r="B1408"/>
      <x:c r="C1408"/>
      <x:c r="D1408" t="str">
        <x:f>IFERROR(IF(1406&lt;=$O$1,INDEX($A$3:$A$168,MATCH(1406,$I$3:$I$168,0)),IF(1406&lt;=$O$1+$O$2,INDEX($F$3:$F$1994,MATCH(1406-$O$1,$G$3:$G$1994,0)),"")),"")</x:f>
      </x:c>
      <x:c r="E1408" t="str">
        <x:f>IF(K1408="","",IF(N1408&lt;=M1408,"",TRIM(CLEAN(MID(INDEX($B$3:$B$168,K1408),M1408,N1408-M1408)))))</x:f>
      </x:c>
      <x:c r="F1408" t="str">
        <x:f>IF(E1408="","",IF(E1408=TRIM(INDEX($A$3:$A$168,K1408)),"",IF(RIGHT(TRIM(INDEX($A$3:$A$168,K1408)),1)="]",LEFT(TRIM(INDEX($A$3:$A$168,K1408)),LEN(TRIM(INDEX($A$3:$A$168,K1408)))-1)&amp;", "&amp;SUBSTITUTE(SUBSTITUTE(SUBSTITUTE(E1408," [",", "),"[",", "),"]","")&amp;"]",TRIM(INDEX($A$3:$A$168,K1408))&amp;" ["&amp;SUBSTITUTE(SUBSTITUTE(SUBSTITUTE(E1408," [",", "),"[",", "),"]","")&amp;"]")))</x:f>
      </x:c>
      <x:c r="G1408" t="str">
        <x:f>IF(F1408&lt;&gt;"",ROWS($F$3:F1408)-COUNTBLANK($F$3:F1408),"")</x:f>
      </x:c>
      <x:c r="H1408"/>
      <x:c r="I1408"/>
      <x:c r="J1408"/>
      <x:c r="K1408" t="str">
        <x:f>IF(ROW()-ROW($K$2)&lt;=SUM($J$3:$J$168),COUNTIF($H$3:$H$168,"&lt;"&amp;(ROW()-ROW($K$2))),"")</x:f>
      </x:c>
      <x:c r="L1408" t="str">
        <x:f>IF(K1408="","",ROW()-ROW($L$2)-INDEX($H$3:$H$168,K1408))</x:f>
      </x:c>
      <x:c r="M1408" t="str">
        <x:f>IF(K1408="","",IF(L1408=1,1,FIND(CHAR(1),SUBSTITUTE(INDEX($B$3:$B$168,K1408),CHAR(10),CHAR(1),L1408-1))+1))</x:f>
      </x:c>
      <x:c r="N1408" t="str">
        <x:f>IF(K1408="","",IFERROR(FIND(CHAR(1),SUBSTITUTE(INDEX($B$3:$B$168,K1408),CHAR(10),CHAR(1),L1408)),LEN(INDEX($B$3:$B$168,K1408))+1))</x:f>
      </x:c>
    </x:row>
    <x:row r="1409">
      <x:c r="A1409"/>
      <x:c r="B1409"/>
      <x:c r="C1409"/>
      <x:c r="D1409" t="str">
        <x:f>IFERROR(IF(1407&lt;=$O$1,INDEX($A$3:$A$168,MATCH(1407,$I$3:$I$168,0)),IF(1407&lt;=$O$1+$O$2,INDEX($F$3:$F$1994,MATCH(1407-$O$1,$G$3:$G$1994,0)),"")),"")</x:f>
      </x:c>
      <x:c r="E1409" t="str">
        <x:f>IF(K1409="","",IF(N1409&lt;=M1409,"",TRIM(CLEAN(MID(INDEX($B$3:$B$168,K1409),M1409,N1409-M1409)))))</x:f>
      </x:c>
      <x:c r="F1409" t="str">
        <x:f>IF(E1409="","",IF(E1409=TRIM(INDEX($A$3:$A$168,K1409)),"",IF(RIGHT(TRIM(INDEX($A$3:$A$168,K1409)),1)="]",LEFT(TRIM(INDEX($A$3:$A$168,K1409)),LEN(TRIM(INDEX($A$3:$A$168,K1409)))-1)&amp;", "&amp;SUBSTITUTE(SUBSTITUTE(SUBSTITUTE(E1409," [",", "),"[",", "),"]","")&amp;"]",TRIM(INDEX($A$3:$A$168,K1409))&amp;" ["&amp;SUBSTITUTE(SUBSTITUTE(SUBSTITUTE(E1409," [",", "),"[",", "),"]","")&amp;"]")))</x:f>
      </x:c>
      <x:c r="G1409" t="str">
        <x:f>IF(F1409&lt;&gt;"",ROWS($F$3:F1409)-COUNTBLANK($F$3:F1409),"")</x:f>
      </x:c>
      <x:c r="H1409"/>
      <x:c r="I1409"/>
      <x:c r="J1409"/>
      <x:c r="K1409" t="str">
        <x:f>IF(ROW()-ROW($K$2)&lt;=SUM($J$3:$J$168),COUNTIF($H$3:$H$168,"&lt;"&amp;(ROW()-ROW($K$2))),"")</x:f>
      </x:c>
      <x:c r="L1409" t="str">
        <x:f>IF(K1409="","",ROW()-ROW($L$2)-INDEX($H$3:$H$168,K1409))</x:f>
      </x:c>
      <x:c r="M1409" t="str">
        <x:f>IF(K1409="","",IF(L1409=1,1,FIND(CHAR(1),SUBSTITUTE(INDEX($B$3:$B$168,K1409),CHAR(10),CHAR(1),L1409-1))+1))</x:f>
      </x:c>
      <x:c r="N1409" t="str">
        <x:f>IF(K1409="","",IFERROR(FIND(CHAR(1),SUBSTITUTE(INDEX($B$3:$B$168,K1409),CHAR(10),CHAR(1),L1409)),LEN(INDEX($B$3:$B$168,K1409))+1))</x:f>
      </x:c>
    </x:row>
    <x:row r="1410">
      <x:c r="A1410"/>
      <x:c r="B1410"/>
      <x:c r="C1410"/>
      <x:c r="D1410" t="str">
        <x:f>IFERROR(IF(1408&lt;=$O$1,INDEX($A$3:$A$168,MATCH(1408,$I$3:$I$168,0)),IF(1408&lt;=$O$1+$O$2,INDEX($F$3:$F$1994,MATCH(1408-$O$1,$G$3:$G$1994,0)),"")),"")</x:f>
      </x:c>
      <x:c r="E1410" t="str">
        <x:f>IF(K1410="","",IF(N1410&lt;=M1410,"",TRIM(CLEAN(MID(INDEX($B$3:$B$168,K1410),M1410,N1410-M1410)))))</x:f>
      </x:c>
      <x:c r="F1410" t="str">
        <x:f>IF(E1410="","",IF(E1410=TRIM(INDEX($A$3:$A$168,K1410)),"",IF(RIGHT(TRIM(INDEX($A$3:$A$168,K1410)),1)="]",LEFT(TRIM(INDEX($A$3:$A$168,K1410)),LEN(TRIM(INDEX($A$3:$A$168,K1410)))-1)&amp;", "&amp;SUBSTITUTE(SUBSTITUTE(SUBSTITUTE(E1410," [",", "),"[",", "),"]","")&amp;"]",TRIM(INDEX($A$3:$A$168,K1410))&amp;" ["&amp;SUBSTITUTE(SUBSTITUTE(SUBSTITUTE(E1410," [",", "),"[",", "),"]","")&amp;"]")))</x:f>
      </x:c>
      <x:c r="G1410" t="str">
        <x:f>IF(F1410&lt;&gt;"",ROWS($F$3:F1410)-COUNTBLANK($F$3:F1410),"")</x:f>
      </x:c>
      <x:c r="H1410"/>
      <x:c r="I1410"/>
      <x:c r="J1410"/>
      <x:c r="K1410" t="str">
        <x:f>IF(ROW()-ROW($K$2)&lt;=SUM($J$3:$J$168),COUNTIF($H$3:$H$168,"&lt;"&amp;(ROW()-ROW($K$2))),"")</x:f>
      </x:c>
      <x:c r="L1410" t="str">
        <x:f>IF(K1410="","",ROW()-ROW($L$2)-INDEX($H$3:$H$168,K1410))</x:f>
      </x:c>
      <x:c r="M1410" t="str">
        <x:f>IF(K1410="","",IF(L1410=1,1,FIND(CHAR(1),SUBSTITUTE(INDEX($B$3:$B$168,K1410),CHAR(10),CHAR(1),L1410-1))+1))</x:f>
      </x:c>
      <x:c r="N1410" t="str">
        <x:f>IF(K1410="","",IFERROR(FIND(CHAR(1),SUBSTITUTE(INDEX($B$3:$B$168,K1410),CHAR(10),CHAR(1),L1410)),LEN(INDEX($B$3:$B$168,K1410))+1))</x:f>
      </x:c>
    </x:row>
    <x:row r="1411">
      <x:c r="A1411"/>
      <x:c r="B1411"/>
      <x:c r="C1411"/>
      <x:c r="D1411" t="str">
        <x:f>IFERROR(IF(1409&lt;=$O$1,INDEX($A$3:$A$168,MATCH(1409,$I$3:$I$168,0)),IF(1409&lt;=$O$1+$O$2,INDEX($F$3:$F$1994,MATCH(1409-$O$1,$G$3:$G$1994,0)),"")),"")</x:f>
      </x:c>
      <x:c r="E1411" t="str">
        <x:f>IF(K1411="","",IF(N1411&lt;=M1411,"",TRIM(CLEAN(MID(INDEX($B$3:$B$168,K1411),M1411,N1411-M1411)))))</x:f>
      </x:c>
      <x:c r="F1411" t="str">
        <x:f>IF(E1411="","",IF(E1411=TRIM(INDEX($A$3:$A$168,K1411)),"",IF(RIGHT(TRIM(INDEX($A$3:$A$168,K1411)),1)="]",LEFT(TRIM(INDEX($A$3:$A$168,K1411)),LEN(TRIM(INDEX($A$3:$A$168,K1411)))-1)&amp;", "&amp;SUBSTITUTE(SUBSTITUTE(SUBSTITUTE(E1411," [",", "),"[",", "),"]","")&amp;"]",TRIM(INDEX($A$3:$A$168,K1411))&amp;" ["&amp;SUBSTITUTE(SUBSTITUTE(SUBSTITUTE(E1411," [",", "),"[",", "),"]","")&amp;"]")))</x:f>
      </x:c>
      <x:c r="G1411" t="str">
        <x:f>IF(F1411&lt;&gt;"",ROWS($F$3:F1411)-COUNTBLANK($F$3:F1411),"")</x:f>
      </x:c>
      <x:c r="H1411"/>
      <x:c r="I1411"/>
      <x:c r="J1411"/>
      <x:c r="K1411" t="str">
        <x:f>IF(ROW()-ROW($K$2)&lt;=SUM($J$3:$J$168),COUNTIF($H$3:$H$168,"&lt;"&amp;(ROW()-ROW($K$2))),"")</x:f>
      </x:c>
      <x:c r="L1411" t="str">
        <x:f>IF(K1411="","",ROW()-ROW($L$2)-INDEX($H$3:$H$168,K1411))</x:f>
      </x:c>
      <x:c r="M1411" t="str">
        <x:f>IF(K1411="","",IF(L1411=1,1,FIND(CHAR(1),SUBSTITUTE(INDEX($B$3:$B$168,K1411),CHAR(10),CHAR(1),L1411-1))+1))</x:f>
      </x:c>
      <x:c r="N1411" t="str">
        <x:f>IF(K1411="","",IFERROR(FIND(CHAR(1),SUBSTITUTE(INDEX($B$3:$B$168,K1411),CHAR(10),CHAR(1),L1411)),LEN(INDEX($B$3:$B$168,K1411))+1))</x:f>
      </x:c>
    </x:row>
    <x:row r="1412">
      <x:c r="A1412"/>
      <x:c r="B1412"/>
      <x:c r="C1412"/>
      <x:c r="D1412" t="str">
        <x:f>IFERROR(IF(1410&lt;=$O$1,INDEX($A$3:$A$168,MATCH(1410,$I$3:$I$168,0)),IF(1410&lt;=$O$1+$O$2,INDEX($F$3:$F$1994,MATCH(1410-$O$1,$G$3:$G$1994,0)),"")),"")</x:f>
      </x:c>
      <x:c r="E1412" t="str">
        <x:f>IF(K1412="","",IF(N1412&lt;=M1412,"",TRIM(CLEAN(MID(INDEX($B$3:$B$168,K1412),M1412,N1412-M1412)))))</x:f>
      </x:c>
      <x:c r="F1412" t="str">
        <x:f>IF(E1412="","",IF(E1412=TRIM(INDEX($A$3:$A$168,K1412)),"",IF(RIGHT(TRIM(INDEX($A$3:$A$168,K1412)),1)="]",LEFT(TRIM(INDEX($A$3:$A$168,K1412)),LEN(TRIM(INDEX($A$3:$A$168,K1412)))-1)&amp;", "&amp;SUBSTITUTE(SUBSTITUTE(SUBSTITUTE(E1412," [",", "),"[",", "),"]","")&amp;"]",TRIM(INDEX($A$3:$A$168,K1412))&amp;" ["&amp;SUBSTITUTE(SUBSTITUTE(SUBSTITUTE(E1412," [",", "),"[",", "),"]","")&amp;"]")))</x:f>
      </x:c>
      <x:c r="G1412" t="str">
        <x:f>IF(F1412&lt;&gt;"",ROWS($F$3:F1412)-COUNTBLANK($F$3:F1412),"")</x:f>
      </x:c>
      <x:c r="H1412"/>
      <x:c r="I1412"/>
      <x:c r="J1412"/>
      <x:c r="K1412" t="str">
        <x:f>IF(ROW()-ROW($K$2)&lt;=SUM($J$3:$J$168),COUNTIF($H$3:$H$168,"&lt;"&amp;(ROW()-ROW($K$2))),"")</x:f>
      </x:c>
      <x:c r="L1412" t="str">
        <x:f>IF(K1412="","",ROW()-ROW($L$2)-INDEX($H$3:$H$168,K1412))</x:f>
      </x:c>
      <x:c r="M1412" t="str">
        <x:f>IF(K1412="","",IF(L1412=1,1,FIND(CHAR(1),SUBSTITUTE(INDEX($B$3:$B$168,K1412),CHAR(10),CHAR(1),L1412-1))+1))</x:f>
      </x:c>
      <x:c r="N1412" t="str">
        <x:f>IF(K1412="","",IFERROR(FIND(CHAR(1),SUBSTITUTE(INDEX($B$3:$B$168,K1412),CHAR(10),CHAR(1),L1412)),LEN(INDEX($B$3:$B$168,K1412))+1))</x:f>
      </x:c>
    </x:row>
    <x:row r="1413">
      <x:c r="A1413"/>
      <x:c r="B1413"/>
      <x:c r="C1413"/>
      <x:c r="D1413" t="str">
        <x:f>IFERROR(IF(1411&lt;=$O$1,INDEX($A$3:$A$168,MATCH(1411,$I$3:$I$168,0)),IF(1411&lt;=$O$1+$O$2,INDEX($F$3:$F$1994,MATCH(1411-$O$1,$G$3:$G$1994,0)),"")),"")</x:f>
      </x:c>
      <x:c r="E1413" t="str">
        <x:f>IF(K1413="","",IF(N1413&lt;=M1413,"",TRIM(CLEAN(MID(INDEX($B$3:$B$168,K1413),M1413,N1413-M1413)))))</x:f>
      </x:c>
      <x:c r="F1413" t="str">
        <x:f>IF(E1413="","",IF(E1413=TRIM(INDEX($A$3:$A$168,K1413)),"",IF(RIGHT(TRIM(INDEX($A$3:$A$168,K1413)),1)="]",LEFT(TRIM(INDEX($A$3:$A$168,K1413)),LEN(TRIM(INDEX($A$3:$A$168,K1413)))-1)&amp;", "&amp;SUBSTITUTE(SUBSTITUTE(SUBSTITUTE(E1413," [",", "),"[",", "),"]","")&amp;"]",TRIM(INDEX($A$3:$A$168,K1413))&amp;" ["&amp;SUBSTITUTE(SUBSTITUTE(SUBSTITUTE(E1413," [",", "),"[",", "),"]","")&amp;"]")))</x:f>
      </x:c>
      <x:c r="G1413" t="str">
        <x:f>IF(F1413&lt;&gt;"",ROWS($F$3:F1413)-COUNTBLANK($F$3:F1413),"")</x:f>
      </x:c>
      <x:c r="H1413"/>
      <x:c r="I1413"/>
      <x:c r="J1413"/>
      <x:c r="K1413" t="str">
        <x:f>IF(ROW()-ROW($K$2)&lt;=SUM($J$3:$J$168),COUNTIF($H$3:$H$168,"&lt;"&amp;(ROW()-ROW($K$2))),"")</x:f>
      </x:c>
      <x:c r="L1413" t="str">
        <x:f>IF(K1413="","",ROW()-ROW($L$2)-INDEX($H$3:$H$168,K1413))</x:f>
      </x:c>
      <x:c r="M1413" t="str">
        <x:f>IF(K1413="","",IF(L1413=1,1,FIND(CHAR(1),SUBSTITUTE(INDEX($B$3:$B$168,K1413),CHAR(10),CHAR(1),L1413-1))+1))</x:f>
      </x:c>
      <x:c r="N1413" t="str">
        <x:f>IF(K1413="","",IFERROR(FIND(CHAR(1),SUBSTITUTE(INDEX($B$3:$B$168,K1413),CHAR(10),CHAR(1),L1413)),LEN(INDEX($B$3:$B$168,K1413))+1))</x:f>
      </x:c>
    </x:row>
    <x:row r="1414">
      <x:c r="A1414"/>
      <x:c r="B1414"/>
      <x:c r="C1414"/>
      <x:c r="D1414" t="str">
        <x:f>IFERROR(IF(1412&lt;=$O$1,INDEX($A$3:$A$168,MATCH(1412,$I$3:$I$168,0)),IF(1412&lt;=$O$1+$O$2,INDEX($F$3:$F$1994,MATCH(1412-$O$1,$G$3:$G$1994,0)),"")),"")</x:f>
      </x:c>
      <x:c r="E1414" t="str">
        <x:f>IF(K1414="","",IF(N1414&lt;=M1414,"",TRIM(CLEAN(MID(INDEX($B$3:$B$168,K1414),M1414,N1414-M1414)))))</x:f>
      </x:c>
      <x:c r="F1414" t="str">
        <x:f>IF(E1414="","",IF(E1414=TRIM(INDEX($A$3:$A$168,K1414)),"",IF(RIGHT(TRIM(INDEX($A$3:$A$168,K1414)),1)="]",LEFT(TRIM(INDEX($A$3:$A$168,K1414)),LEN(TRIM(INDEX($A$3:$A$168,K1414)))-1)&amp;", "&amp;SUBSTITUTE(SUBSTITUTE(SUBSTITUTE(E1414," [",", "),"[",", "),"]","")&amp;"]",TRIM(INDEX($A$3:$A$168,K1414))&amp;" ["&amp;SUBSTITUTE(SUBSTITUTE(SUBSTITUTE(E1414," [",", "),"[",", "),"]","")&amp;"]")))</x:f>
      </x:c>
      <x:c r="G1414" t="str">
        <x:f>IF(F1414&lt;&gt;"",ROWS($F$3:F1414)-COUNTBLANK($F$3:F1414),"")</x:f>
      </x:c>
      <x:c r="H1414"/>
      <x:c r="I1414"/>
      <x:c r="J1414"/>
      <x:c r="K1414" t="str">
        <x:f>IF(ROW()-ROW($K$2)&lt;=SUM($J$3:$J$168),COUNTIF($H$3:$H$168,"&lt;"&amp;(ROW()-ROW($K$2))),"")</x:f>
      </x:c>
      <x:c r="L1414" t="str">
        <x:f>IF(K1414="","",ROW()-ROW($L$2)-INDEX($H$3:$H$168,K1414))</x:f>
      </x:c>
      <x:c r="M1414" t="str">
        <x:f>IF(K1414="","",IF(L1414=1,1,FIND(CHAR(1),SUBSTITUTE(INDEX($B$3:$B$168,K1414),CHAR(10),CHAR(1),L1414-1))+1))</x:f>
      </x:c>
      <x:c r="N1414" t="str">
        <x:f>IF(K1414="","",IFERROR(FIND(CHAR(1),SUBSTITUTE(INDEX($B$3:$B$168,K1414),CHAR(10),CHAR(1),L1414)),LEN(INDEX($B$3:$B$168,K1414))+1))</x:f>
      </x:c>
    </x:row>
    <x:row r="1415">
      <x:c r="A1415"/>
      <x:c r="B1415"/>
      <x:c r="C1415"/>
      <x:c r="D1415" t="str">
        <x:f>IFERROR(IF(1413&lt;=$O$1,INDEX($A$3:$A$168,MATCH(1413,$I$3:$I$168,0)),IF(1413&lt;=$O$1+$O$2,INDEX($F$3:$F$1994,MATCH(1413-$O$1,$G$3:$G$1994,0)),"")),"")</x:f>
      </x:c>
      <x:c r="E1415" t="str">
        <x:f>IF(K1415="","",IF(N1415&lt;=M1415,"",TRIM(CLEAN(MID(INDEX($B$3:$B$168,K1415),M1415,N1415-M1415)))))</x:f>
      </x:c>
      <x:c r="F1415" t="str">
        <x:f>IF(E1415="","",IF(E1415=TRIM(INDEX($A$3:$A$168,K1415)),"",IF(RIGHT(TRIM(INDEX($A$3:$A$168,K1415)),1)="]",LEFT(TRIM(INDEX($A$3:$A$168,K1415)),LEN(TRIM(INDEX($A$3:$A$168,K1415)))-1)&amp;", "&amp;SUBSTITUTE(SUBSTITUTE(SUBSTITUTE(E1415," [",", "),"[",", "),"]","")&amp;"]",TRIM(INDEX($A$3:$A$168,K1415))&amp;" ["&amp;SUBSTITUTE(SUBSTITUTE(SUBSTITUTE(E1415," [",", "),"[",", "),"]","")&amp;"]")))</x:f>
      </x:c>
      <x:c r="G1415" t="str">
        <x:f>IF(F1415&lt;&gt;"",ROWS($F$3:F1415)-COUNTBLANK($F$3:F1415),"")</x:f>
      </x:c>
      <x:c r="H1415"/>
      <x:c r="I1415"/>
      <x:c r="J1415"/>
      <x:c r="K1415" t="str">
        <x:f>IF(ROW()-ROW($K$2)&lt;=SUM($J$3:$J$168),COUNTIF($H$3:$H$168,"&lt;"&amp;(ROW()-ROW($K$2))),"")</x:f>
      </x:c>
      <x:c r="L1415" t="str">
        <x:f>IF(K1415="","",ROW()-ROW($L$2)-INDEX($H$3:$H$168,K1415))</x:f>
      </x:c>
      <x:c r="M1415" t="str">
        <x:f>IF(K1415="","",IF(L1415=1,1,FIND(CHAR(1),SUBSTITUTE(INDEX($B$3:$B$168,K1415),CHAR(10),CHAR(1),L1415-1))+1))</x:f>
      </x:c>
      <x:c r="N1415" t="str">
        <x:f>IF(K1415="","",IFERROR(FIND(CHAR(1),SUBSTITUTE(INDEX($B$3:$B$168,K1415),CHAR(10),CHAR(1),L1415)),LEN(INDEX($B$3:$B$168,K1415))+1))</x:f>
      </x:c>
    </x:row>
    <x:row r="1416">
      <x:c r="A1416"/>
      <x:c r="B1416"/>
      <x:c r="C1416"/>
      <x:c r="D1416" t="str">
        <x:f>IFERROR(IF(1414&lt;=$O$1,INDEX($A$3:$A$168,MATCH(1414,$I$3:$I$168,0)),IF(1414&lt;=$O$1+$O$2,INDEX($F$3:$F$1994,MATCH(1414-$O$1,$G$3:$G$1994,0)),"")),"")</x:f>
      </x:c>
      <x:c r="E1416" t="str">
        <x:f>IF(K1416="","",IF(N1416&lt;=M1416,"",TRIM(CLEAN(MID(INDEX($B$3:$B$168,K1416),M1416,N1416-M1416)))))</x:f>
      </x:c>
      <x:c r="F1416" t="str">
        <x:f>IF(E1416="","",IF(E1416=TRIM(INDEX($A$3:$A$168,K1416)),"",IF(RIGHT(TRIM(INDEX($A$3:$A$168,K1416)),1)="]",LEFT(TRIM(INDEX($A$3:$A$168,K1416)),LEN(TRIM(INDEX($A$3:$A$168,K1416)))-1)&amp;", "&amp;SUBSTITUTE(SUBSTITUTE(SUBSTITUTE(E1416," [",", "),"[",", "),"]","")&amp;"]",TRIM(INDEX($A$3:$A$168,K1416))&amp;" ["&amp;SUBSTITUTE(SUBSTITUTE(SUBSTITUTE(E1416," [",", "),"[",", "),"]","")&amp;"]")))</x:f>
      </x:c>
      <x:c r="G1416" t="str">
        <x:f>IF(F1416&lt;&gt;"",ROWS($F$3:F1416)-COUNTBLANK($F$3:F1416),"")</x:f>
      </x:c>
      <x:c r="H1416"/>
      <x:c r="I1416"/>
      <x:c r="J1416"/>
      <x:c r="K1416" t="str">
        <x:f>IF(ROW()-ROW($K$2)&lt;=SUM($J$3:$J$168),COUNTIF($H$3:$H$168,"&lt;"&amp;(ROW()-ROW($K$2))),"")</x:f>
      </x:c>
      <x:c r="L1416" t="str">
        <x:f>IF(K1416="","",ROW()-ROW($L$2)-INDEX($H$3:$H$168,K1416))</x:f>
      </x:c>
      <x:c r="M1416" t="str">
        <x:f>IF(K1416="","",IF(L1416=1,1,FIND(CHAR(1),SUBSTITUTE(INDEX($B$3:$B$168,K1416),CHAR(10),CHAR(1),L1416-1))+1))</x:f>
      </x:c>
      <x:c r="N1416" t="str">
        <x:f>IF(K1416="","",IFERROR(FIND(CHAR(1),SUBSTITUTE(INDEX($B$3:$B$168,K1416),CHAR(10),CHAR(1),L1416)),LEN(INDEX($B$3:$B$168,K1416))+1))</x:f>
      </x:c>
    </x:row>
    <x:row r="1417">
      <x:c r="A1417"/>
      <x:c r="B1417"/>
      <x:c r="C1417"/>
      <x:c r="D1417" t="str">
        <x:f>IFERROR(IF(1415&lt;=$O$1,INDEX($A$3:$A$168,MATCH(1415,$I$3:$I$168,0)),IF(1415&lt;=$O$1+$O$2,INDEX($F$3:$F$1994,MATCH(1415-$O$1,$G$3:$G$1994,0)),"")),"")</x:f>
      </x:c>
      <x:c r="E1417" t="str">
        <x:f>IF(K1417="","",IF(N1417&lt;=M1417,"",TRIM(CLEAN(MID(INDEX($B$3:$B$168,K1417),M1417,N1417-M1417)))))</x:f>
      </x:c>
      <x:c r="F1417" t="str">
        <x:f>IF(E1417="","",IF(E1417=TRIM(INDEX($A$3:$A$168,K1417)),"",IF(RIGHT(TRIM(INDEX($A$3:$A$168,K1417)),1)="]",LEFT(TRIM(INDEX($A$3:$A$168,K1417)),LEN(TRIM(INDEX($A$3:$A$168,K1417)))-1)&amp;", "&amp;SUBSTITUTE(SUBSTITUTE(SUBSTITUTE(E1417," [",", "),"[",", "),"]","")&amp;"]",TRIM(INDEX($A$3:$A$168,K1417))&amp;" ["&amp;SUBSTITUTE(SUBSTITUTE(SUBSTITUTE(E1417," [",", "),"[",", "),"]","")&amp;"]")))</x:f>
      </x:c>
      <x:c r="G1417" t="str">
        <x:f>IF(F1417&lt;&gt;"",ROWS($F$3:F1417)-COUNTBLANK($F$3:F1417),"")</x:f>
      </x:c>
      <x:c r="H1417"/>
      <x:c r="I1417"/>
      <x:c r="J1417"/>
      <x:c r="K1417" t="str">
        <x:f>IF(ROW()-ROW($K$2)&lt;=SUM($J$3:$J$168),COUNTIF($H$3:$H$168,"&lt;"&amp;(ROW()-ROW($K$2))),"")</x:f>
      </x:c>
      <x:c r="L1417" t="str">
        <x:f>IF(K1417="","",ROW()-ROW($L$2)-INDEX($H$3:$H$168,K1417))</x:f>
      </x:c>
      <x:c r="M1417" t="str">
        <x:f>IF(K1417="","",IF(L1417=1,1,FIND(CHAR(1),SUBSTITUTE(INDEX($B$3:$B$168,K1417),CHAR(10),CHAR(1),L1417-1))+1))</x:f>
      </x:c>
      <x:c r="N1417" t="str">
        <x:f>IF(K1417="","",IFERROR(FIND(CHAR(1),SUBSTITUTE(INDEX($B$3:$B$168,K1417),CHAR(10),CHAR(1),L1417)),LEN(INDEX($B$3:$B$168,K1417))+1))</x:f>
      </x:c>
    </x:row>
    <x:row r="1418">
      <x:c r="A1418"/>
      <x:c r="B1418"/>
      <x:c r="C1418"/>
      <x:c r="D1418" t="str">
        <x:f>IFERROR(IF(1416&lt;=$O$1,INDEX($A$3:$A$168,MATCH(1416,$I$3:$I$168,0)),IF(1416&lt;=$O$1+$O$2,INDEX($F$3:$F$1994,MATCH(1416-$O$1,$G$3:$G$1994,0)),"")),"")</x:f>
      </x:c>
      <x:c r="E1418" t="str">
        <x:f>IF(K1418="","",IF(N1418&lt;=M1418,"",TRIM(CLEAN(MID(INDEX($B$3:$B$168,K1418),M1418,N1418-M1418)))))</x:f>
      </x:c>
      <x:c r="F1418" t="str">
        <x:f>IF(E1418="","",IF(E1418=TRIM(INDEX($A$3:$A$168,K1418)),"",IF(RIGHT(TRIM(INDEX($A$3:$A$168,K1418)),1)="]",LEFT(TRIM(INDEX($A$3:$A$168,K1418)),LEN(TRIM(INDEX($A$3:$A$168,K1418)))-1)&amp;", "&amp;SUBSTITUTE(SUBSTITUTE(SUBSTITUTE(E1418," [",", "),"[",", "),"]","")&amp;"]",TRIM(INDEX($A$3:$A$168,K1418))&amp;" ["&amp;SUBSTITUTE(SUBSTITUTE(SUBSTITUTE(E1418," [",", "),"[",", "),"]","")&amp;"]")))</x:f>
      </x:c>
      <x:c r="G1418" t="str">
        <x:f>IF(F1418&lt;&gt;"",ROWS($F$3:F1418)-COUNTBLANK($F$3:F1418),"")</x:f>
      </x:c>
      <x:c r="H1418"/>
      <x:c r="I1418"/>
      <x:c r="J1418"/>
      <x:c r="K1418" t="str">
        <x:f>IF(ROW()-ROW($K$2)&lt;=SUM($J$3:$J$168),COUNTIF($H$3:$H$168,"&lt;"&amp;(ROW()-ROW($K$2))),"")</x:f>
      </x:c>
      <x:c r="L1418" t="str">
        <x:f>IF(K1418="","",ROW()-ROW($L$2)-INDEX($H$3:$H$168,K1418))</x:f>
      </x:c>
      <x:c r="M1418" t="str">
        <x:f>IF(K1418="","",IF(L1418=1,1,FIND(CHAR(1),SUBSTITUTE(INDEX($B$3:$B$168,K1418),CHAR(10),CHAR(1),L1418-1))+1))</x:f>
      </x:c>
      <x:c r="N1418" t="str">
        <x:f>IF(K1418="","",IFERROR(FIND(CHAR(1),SUBSTITUTE(INDEX($B$3:$B$168,K1418),CHAR(10),CHAR(1),L1418)),LEN(INDEX($B$3:$B$168,K1418))+1))</x:f>
      </x:c>
    </x:row>
    <x:row r="1419">
      <x:c r="A1419"/>
      <x:c r="B1419"/>
      <x:c r="C1419"/>
      <x:c r="D1419" t="str">
        <x:f>IFERROR(IF(1417&lt;=$O$1,INDEX($A$3:$A$168,MATCH(1417,$I$3:$I$168,0)),IF(1417&lt;=$O$1+$O$2,INDEX($F$3:$F$1994,MATCH(1417-$O$1,$G$3:$G$1994,0)),"")),"")</x:f>
      </x:c>
      <x:c r="E1419" t="str">
        <x:f>IF(K1419="","",IF(N1419&lt;=M1419,"",TRIM(CLEAN(MID(INDEX($B$3:$B$168,K1419),M1419,N1419-M1419)))))</x:f>
      </x:c>
      <x:c r="F1419" t="str">
        <x:f>IF(E1419="","",IF(E1419=TRIM(INDEX($A$3:$A$168,K1419)),"",IF(RIGHT(TRIM(INDEX($A$3:$A$168,K1419)),1)="]",LEFT(TRIM(INDEX($A$3:$A$168,K1419)),LEN(TRIM(INDEX($A$3:$A$168,K1419)))-1)&amp;", "&amp;SUBSTITUTE(SUBSTITUTE(SUBSTITUTE(E1419," [",", "),"[",", "),"]","")&amp;"]",TRIM(INDEX($A$3:$A$168,K1419))&amp;" ["&amp;SUBSTITUTE(SUBSTITUTE(SUBSTITUTE(E1419," [",", "),"[",", "),"]","")&amp;"]")))</x:f>
      </x:c>
      <x:c r="G1419" t="str">
        <x:f>IF(F1419&lt;&gt;"",ROWS($F$3:F1419)-COUNTBLANK($F$3:F1419),"")</x:f>
      </x:c>
      <x:c r="H1419"/>
      <x:c r="I1419"/>
      <x:c r="J1419"/>
      <x:c r="K1419" t="str">
        <x:f>IF(ROW()-ROW($K$2)&lt;=SUM($J$3:$J$168),COUNTIF($H$3:$H$168,"&lt;"&amp;(ROW()-ROW($K$2))),"")</x:f>
      </x:c>
      <x:c r="L1419" t="str">
        <x:f>IF(K1419="","",ROW()-ROW($L$2)-INDEX($H$3:$H$168,K1419))</x:f>
      </x:c>
      <x:c r="M1419" t="str">
        <x:f>IF(K1419="","",IF(L1419=1,1,FIND(CHAR(1),SUBSTITUTE(INDEX($B$3:$B$168,K1419),CHAR(10),CHAR(1),L1419-1))+1))</x:f>
      </x:c>
      <x:c r="N1419" t="str">
        <x:f>IF(K1419="","",IFERROR(FIND(CHAR(1),SUBSTITUTE(INDEX($B$3:$B$168,K1419),CHAR(10),CHAR(1),L1419)),LEN(INDEX($B$3:$B$168,K1419))+1))</x:f>
      </x:c>
    </x:row>
    <x:row r="1420">
      <x:c r="A1420"/>
      <x:c r="B1420"/>
      <x:c r="C1420"/>
      <x:c r="D1420" t="str">
        <x:f>IFERROR(IF(1418&lt;=$O$1,INDEX($A$3:$A$168,MATCH(1418,$I$3:$I$168,0)),IF(1418&lt;=$O$1+$O$2,INDEX($F$3:$F$1994,MATCH(1418-$O$1,$G$3:$G$1994,0)),"")),"")</x:f>
      </x:c>
      <x:c r="E1420" t="str">
        <x:f>IF(K1420="","",IF(N1420&lt;=M1420,"",TRIM(CLEAN(MID(INDEX($B$3:$B$168,K1420),M1420,N1420-M1420)))))</x:f>
      </x:c>
      <x:c r="F1420" t="str">
        <x:f>IF(E1420="","",IF(E1420=TRIM(INDEX($A$3:$A$168,K1420)),"",IF(RIGHT(TRIM(INDEX($A$3:$A$168,K1420)),1)="]",LEFT(TRIM(INDEX($A$3:$A$168,K1420)),LEN(TRIM(INDEX($A$3:$A$168,K1420)))-1)&amp;", "&amp;SUBSTITUTE(SUBSTITUTE(SUBSTITUTE(E1420," [",", "),"[",", "),"]","")&amp;"]",TRIM(INDEX($A$3:$A$168,K1420))&amp;" ["&amp;SUBSTITUTE(SUBSTITUTE(SUBSTITUTE(E1420," [",", "),"[",", "),"]","")&amp;"]")))</x:f>
      </x:c>
      <x:c r="G1420" t="str">
        <x:f>IF(F1420&lt;&gt;"",ROWS($F$3:F1420)-COUNTBLANK($F$3:F1420),"")</x:f>
      </x:c>
      <x:c r="H1420"/>
      <x:c r="I1420"/>
      <x:c r="J1420"/>
      <x:c r="K1420" t="str">
        <x:f>IF(ROW()-ROW($K$2)&lt;=SUM($J$3:$J$168),COUNTIF($H$3:$H$168,"&lt;"&amp;(ROW()-ROW($K$2))),"")</x:f>
      </x:c>
      <x:c r="L1420" t="str">
        <x:f>IF(K1420="","",ROW()-ROW($L$2)-INDEX($H$3:$H$168,K1420))</x:f>
      </x:c>
      <x:c r="M1420" t="str">
        <x:f>IF(K1420="","",IF(L1420=1,1,FIND(CHAR(1),SUBSTITUTE(INDEX($B$3:$B$168,K1420),CHAR(10),CHAR(1),L1420-1))+1))</x:f>
      </x:c>
      <x:c r="N1420" t="str">
        <x:f>IF(K1420="","",IFERROR(FIND(CHAR(1),SUBSTITUTE(INDEX($B$3:$B$168,K1420),CHAR(10),CHAR(1),L1420)),LEN(INDEX($B$3:$B$168,K1420))+1))</x:f>
      </x:c>
    </x:row>
    <x:row r="1421">
      <x:c r="A1421"/>
      <x:c r="B1421"/>
      <x:c r="C1421"/>
      <x:c r="D1421" t="str">
        <x:f>IFERROR(IF(1419&lt;=$O$1,INDEX($A$3:$A$168,MATCH(1419,$I$3:$I$168,0)),IF(1419&lt;=$O$1+$O$2,INDEX($F$3:$F$1994,MATCH(1419-$O$1,$G$3:$G$1994,0)),"")),"")</x:f>
      </x:c>
      <x:c r="E1421" t="str">
        <x:f>IF(K1421="","",IF(N1421&lt;=M1421,"",TRIM(CLEAN(MID(INDEX($B$3:$B$168,K1421),M1421,N1421-M1421)))))</x:f>
      </x:c>
      <x:c r="F1421" t="str">
        <x:f>IF(E1421="","",IF(E1421=TRIM(INDEX($A$3:$A$168,K1421)),"",IF(RIGHT(TRIM(INDEX($A$3:$A$168,K1421)),1)="]",LEFT(TRIM(INDEX($A$3:$A$168,K1421)),LEN(TRIM(INDEX($A$3:$A$168,K1421)))-1)&amp;", "&amp;SUBSTITUTE(SUBSTITUTE(SUBSTITUTE(E1421," [",", "),"[",", "),"]","")&amp;"]",TRIM(INDEX($A$3:$A$168,K1421))&amp;" ["&amp;SUBSTITUTE(SUBSTITUTE(SUBSTITUTE(E1421," [",", "),"[",", "),"]","")&amp;"]")))</x:f>
      </x:c>
      <x:c r="G1421" t="str">
        <x:f>IF(F1421&lt;&gt;"",ROWS($F$3:F1421)-COUNTBLANK($F$3:F1421),"")</x:f>
      </x:c>
      <x:c r="H1421"/>
      <x:c r="I1421"/>
      <x:c r="J1421"/>
      <x:c r="K1421" t="str">
        <x:f>IF(ROW()-ROW($K$2)&lt;=SUM($J$3:$J$168),COUNTIF($H$3:$H$168,"&lt;"&amp;(ROW()-ROW($K$2))),"")</x:f>
      </x:c>
      <x:c r="L1421" t="str">
        <x:f>IF(K1421="","",ROW()-ROW($L$2)-INDEX($H$3:$H$168,K1421))</x:f>
      </x:c>
      <x:c r="M1421" t="str">
        <x:f>IF(K1421="","",IF(L1421=1,1,FIND(CHAR(1),SUBSTITUTE(INDEX($B$3:$B$168,K1421),CHAR(10),CHAR(1),L1421-1))+1))</x:f>
      </x:c>
      <x:c r="N1421" t="str">
        <x:f>IF(K1421="","",IFERROR(FIND(CHAR(1),SUBSTITUTE(INDEX($B$3:$B$168,K1421),CHAR(10),CHAR(1),L1421)),LEN(INDEX($B$3:$B$168,K1421))+1))</x:f>
      </x:c>
    </x:row>
    <x:row r="1422">
      <x:c r="A1422"/>
      <x:c r="B1422"/>
      <x:c r="C1422"/>
      <x:c r="D1422" t="str">
        <x:f>IFERROR(IF(1420&lt;=$O$1,INDEX($A$3:$A$168,MATCH(1420,$I$3:$I$168,0)),IF(1420&lt;=$O$1+$O$2,INDEX($F$3:$F$1994,MATCH(1420-$O$1,$G$3:$G$1994,0)),"")),"")</x:f>
      </x:c>
      <x:c r="E1422" t="str">
        <x:f>IF(K1422="","",IF(N1422&lt;=M1422,"",TRIM(CLEAN(MID(INDEX($B$3:$B$168,K1422),M1422,N1422-M1422)))))</x:f>
      </x:c>
      <x:c r="F1422" t="str">
        <x:f>IF(E1422="","",IF(E1422=TRIM(INDEX($A$3:$A$168,K1422)),"",IF(RIGHT(TRIM(INDEX($A$3:$A$168,K1422)),1)="]",LEFT(TRIM(INDEX($A$3:$A$168,K1422)),LEN(TRIM(INDEX($A$3:$A$168,K1422)))-1)&amp;", "&amp;SUBSTITUTE(SUBSTITUTE(SUBSTITUTE(E1422," [",", "),"[",", "),"]","")&amp;"]",TRIM(INDEX($A$3:$A$168,K1422))&amp;" ["&amp;SUBSTITUTE(SUBSTITUTE(SUBSTITUTE(E1422," [",", "),"[",", "),"]","")&amp;"]")))</x:f>
      </x:c>
      <x:c r="G1422" t="str">
        <x:f>IF(F1422&lt;&gt;"",ROWS($F$3:F1422)-COUNTBLANK($F$3:F1422),"")</x:f>
      </x:c>
      <x:c r="H1422"/>
      <x:c r="I1422"/>
      <x:c r="J1422"/>
      <x:c r="K1422" t="str">
        <x:f>IF(ROW()-ROW($K$2)&lt;=SUM($J$3:$J$168),COUNTIF($H$3:$H$168,"&lt;"&amp;(ROW()-ROW($K$2))),"")</x:f>
      </x:c>
      <x:c r="L1422" t="str">
        <x:f>IF(K1422="","",ROW()-ROW($L$2)-INDEX($H$3:$H$168,K1422))</x:f>
      </x:c>
      <x:c r="M1422" t="str">
        <x:f>IF(K1422="","",IF(L1422=1,1,FIND(CHAR(1),SUBSTITUTE(INDEX($B$3:$B$168,K1422),CHAR(10),CHAR(1),L1422-1))+1))</x:f>
      </x:c>
      <x:c r="N1422" t="str">
        <x:f>IF(K1422="","",IFERROR(FIND(CHAR(1),SUBSTITUTE(INDEX($B$3:$B$168,K1422),CHAR(10),CHAR(1),L1422)),LEN(INDEX($B$3:$B$168,K1422))+1))</x:f>
      </x:c>
    </x:row>
    <x:row r="1423">
      <x:c r="A1423"/>
      <x:c r="B1423"/>
      <x:c r="C1423"/>
      <x:c r="D1423" t="str">
        <x:f>IFERROR(IF(1421&lt;=$O$1,INDEX($A$3:$A$168,MATCH(1421,$I$3:$I$168,0)),IF(1421&lt;=$O$1+$O$2,INDEX($F$3:$F$1994,MATCH(1421-$O$1,$G$3:$G$1994,0)),"")),"")</x:f>
      </x:c>
      <x:c r="E1423" t="str">
        <x:f>IF(K1423="","",IF(N1423&lt;=M1423,"",TRIM(CLEAN(MID(INDEX($B$3:$B$168,K1423),M1423,N1423-M1423)))))</x:f>
      </x:c>
      <x:c r="F1423" t="str">
        <x:f>IF(E1423="","",IF(E1423=TRIM(INDEX($A$3:$A$168,K1423)),"",IF(RIGHT(TRIM(INDEX($A$3:$A$168,K1423)),1)="]",LEFT(TRIM(INDEX($A$3:$A$168,K1423)),LEN(TRIM(INDEX($A$3:$A$168,K1423)))-1)&amp;", "&amp;SUBSTITUTE(SUBSTITUTE(SUBSTITUTE(E1423," [",", "),"[",", "),"]","")&amp;"]",TRIM(INDEX($A$3:$A$168,K1423))&amp;" ["&amp;SUBSTITUTE(SUBSTITUTE(SUBSTITUTE(E1423," [",", "),"[",", "),"]","")&amp;"]")))</x:f>
      </x:c>
      <x:c r="G1423" t="str">
        <x:f>IF(F1423&lt;&gt;"",ROWS($F$3:F1423)-COUNTBLANK($F$3:F1423),"")</x:f>
      </x:c>
      <x:c r="H1423"/>
      <x:c r="I1423"/>
      <x:c r="J1423"/>
      <x:c r="K1423" t="str">
        <x:f>IF(ROW()-ROW($K$2)&lt;=SUM($J$3:$J$168),COUNTIF($H$3:$H$168,"&lt;"&amp;(ROW()-ROW($K$2))),"")</x:f>
      </x:c>
      <x:c r="L1423" t="str">
        <x:f>IF(K1423="","",ROW()-ROW($L$2)-INDEX($H$3:$H$168,K1423))</x:f>
      </x:c>
      <x:c r="M1423" t="str">
        <x:f>IF(K1423="","",IF(L1423=1,1,FIND(CHAR(1),SUBSTITUTE(INDEX($B$3:$B$168,K1423),CHAR(10),CHAR(1),L1423-1))+1))</x:f>
      </x:c>
      <x:c r="N1423" t="str">
        <x:f>IF(K1423="","",IFERROR(FIND(CHAR(1),SUBSTITUTE(INDEX($B$3:$B$168,K1423),CHAR(10),CHAR(1),L1423)),LEN(INDEX($B$3:$B$168,K1423))+1))</x:f>
      </x:c>
    </x:row>
    <x:row r="1424">
      <x:c r="A1424"/>
      <x:c r="B1424"/>
      <x:c r="C1424"/>
      <x:c r="D1424" t="str">
        <x:f>IFERROR(IF(1422&lt;=$O$1,INDEX($A$3:$A$168,MATCH(1422,$I$3:$I$168,0)),IF(1422&lt;=$O$1+$O$2,INDEX($F$3:$F$1994,MATCH(1422-$O$1,$G$3:$G$1994,0)),"")),"")</x:f>
      </x:c>
      <x:c r="E1424" t="str">
        <x:f>IF(K1424="","",IF(N1424&lt;=M1424,"",TRIM(CLEAN(MID(INDEX($B$3:$B$168,K1424),M1424,N1424-M1424)))))</x:f>
      </x:c>
      <x:c r="F1424" t="str">
        <x:f>IF(E1424="","",IF(E1424=TRIM(INDEX($A$3:$A$168,K1424)),"",IF(RIGHT(TRIM(INDEX($A$3:$A$168,K1424)),1)="]",LEFT(TRIM(INDEX($A$3:$A$168,K1424)),LEN(TRIM(INDEX($A$3:$A$168,K1424)))-1)&amp;", "&amp;SUBSTITUTE(SUBSTITUTE(SUBSTITUTE(E1424," [",", "),"[",", "),"]","")&amp;"]",TRIM(INDEX($A$3:$A$168,K1424))&amp;" ["&amp;SUBSTITUTE(SUBSTITUTE(SUBSTITUTE(E1424," [",", "),"[",", "),"]","")&amp;"]")))</x:f>
      </x:c>
      <x:c r="G1424" t="str">
        <x:f>IF(F1424&lt;&gt;"",ROWS($F$3:F1424)-COUNTBLANK($F$3:F1424),"")</x:f>
      </x:c>
      <x:c r="H1424"/>
      <x:c r="I1424"/>
      <x:c r="J1424"/>
      <x:c r="K1424" t="str">
        <x:f>IF(ROW()-ROW($K$2)&lt;=SUM($J$3:$J$168),COUNTIF($H$3:$H$168,"&lt;"&amp;(ROW()-ROW($K$2))),"")</x:f>
      </x:c>
      <x:c r="L1424" t="str">
        <x:f>IF(K1424="","",ROW()-ROW($L$2)-INDEX($H$3:$H$168,K1424))</x:f>
      </x:c>
      <x:c r="M1424" t="str">
        <x:f>IF(K1424="","",IF(L1424=1,1,FIND(CHAR(1),SUBSTITUTE(INDEX($B$3:$B$168,K1424),CHAR(10),CHAR(1),L1424-1))+1))</x:f>
      </x:c>
      <x:c r="N1424" t="str">
        <x:f>IF(K1424="","",IFERROR(FIND(CHAR(1),SUBSTITUTE(INDEX($B$3:$B$168,K1424),CHAR(10),CHAR(1),L1424)),LEN(INDEX($B$3:$B$168,K1424))+1))</x:f>
      </x:c>
    </x:row>
    <x:row r="1425">
      <x:c r="A1425"/>
      <x:c r="B1425"/>
      <x:c r="C1425"/>
      <x:c r="D1425" t="str">
        <x:f>IFERROR(IF(1423&lt;=$O$1,INDEX($A$3:$A$168,MATCH(1423,$I$3:$I$168,0)),IF(1423&lt;=$O$1+$O$2,INDEX($F$3:$F$1994,MATCH(1423-$O$1,$G$3:$G$1994,0)),"")),"")</x:f>
      </x:c>
      <x:c r="E1425" t="str">
        <x:f>IF(K1425="","",IF(N1425&lt;=M1425,"",TRIM(CLEAN(MID(INDEX($B$3:$B$168,K1425),M1425,N1425-M1425)))))</x:f>
      </x:c>
      <x:c r="F1425" t="str">
        <x:f>IF(E1425="","",IF(E1425=TRIM(INDEX($A$3:$A$168,K1425)),"",IF(RIGHT(TRIM(INDEX($A$3:$A$168,K1425)),1)="]",LEFT(TRIM(INDEX($A$3:$A$168,K1425)),LEN(TRIM(INDEX($A$3:$A$168,K1425)))-1)&amp;", "&amp;SUBSTITUTE(SUBSTITUTE(SUBSTITUTE(E1425," [",", "),"[",", "),"]","")&amp;"]",TRIM(INDEX($A$3:$A$168,K1425))&amp;" ["&amp;SUBSTITUTE(SUBSTITUTE(SUBSTITUTE(E1425," [",", "),"[",", "),"]","")&amp;"]")))</x:f>
      </x:c>
      <x:c r="G1425" t="str">
        <x:f>IF(F1425&lt;&gt;"",ROWS($F$3:F1425)-COUNTBLANK($F$3:F1425),"")</x:f>
      </x:c>
      <x:c r="H1425"/>
      <x:c r="I1425"/>
      <x:c r="J1425"/>
      <x:c r="K1425" t="str">
        <x:f>IF(ROW()-ROW($K$2)&lt;=SUM($J$3:$J$168),COUNTIF($H$3:$H$168,"&lt;"&amp;(ROW()-ROW($K$2))),"")</x:f>
      </x:c>
      <x:c r="L1425" t="str">
        <x:f>IF(K1425="","",ROW()-ROW($L$2)-INDEX($H$3:$H$168,K1425))</x:f>
      </x:c>
      <x:c r="M1425" t="str">
        <x:f>IF(K1425="","",IF(L1425=1,1,FIND(CHAR(1),SUBSTITUTE(INDEX($B$3:$B$168,K1425),CHAR(10),CHAR(1),L1425-1))+1))</x:f>
      </x:c>
      <x:c r="N1425" t="str">
        <x:f>IF(K1425="","",IFERROR(FIND(CHAR(1),SUBSTITUTE(INDEX($B$3:$B$168,K1425),CHAR(10),CHAR(1),L1425)),LEN(INDEX($B$3:$B$168,K1425))+1))</x:f>
      </x:c>
    </x:row>
    <x:row r="1426">
      <x:c r="A1426"/>
      <x:c r="B1426"/>
      <x:c r="C1426"/>
      <x:c r="D1426" t="str">
        <x:f>IFERROR(IF(1424&lt;=$O$1,INDEX($A$3:$A$168,MATCH(1424,$I$3:$I$168,0)),IF(1424&lt;=$O$1+$O$2,INDEX($F$3:$F$1994,MATCH(1424-$O$1,$G$3:$G$1994,0)),"")),"")</x:f>
      </x:c>
      <x:c r="E1426" t="str">
        <x:f>IF(K1426="","",IF(N1426&lt;=M1426,"",TRIM(CLEAN(MID(INDEX($B$3:$B$168,K1426),M1426,N1426-M1426)))))</x:f>
      </x:c>
      <x:c r="F1426" t="str">
        <x:f>IF(E1426="","",IF(E1426=TRIM(INDEX($A$3:$A$168,K1426)),"",IF(RIGHT(TRIM(INDEX($A$3:$A$168,K1426)),1)="]",LEFT(TRIM(INDEX($A$3:$A$168,K1426)),LEN(TRIM(INDEX($A$3:$A$168,K1426)))-1)&amp;", "&amp;SUBSTITUTE(SUBSTITUTE(SUBSTITUTE(E1426," [",", "),"[",", "),"]","")&amp;"]",TRIM(INDEX($A$3:$A$168,K1426))&amp;" ["&amp;SUBSTITUTE(SUBSTITUTE(SUBSTITUTE(E1426," [",", "),"[",", "),"]","")&amp;"]")))</x:f>
      </x:c>
      <x:c r="G1426" t="str">
        <x:f>IF(F1426&lt;&gt;"",ROWS($F$3:F1426)-COUNTBLANK($F$3:F1426),"")</x:f>
      </x:c>
      <x:c r="H1426"/>
      <x:c r="I1426"/>
      <x:c r="J1426"/>
      <x:c r="K1426" t="str">
        <x:f>IF(ROW()-ROW($K$2)&lt;=SUM($J$3:$J$168),COUNTIF($H$3:$H$168,"&lt;"&amp;(ROW()-ROW($K$2))),"")</x:f>
      </x:c>
      <x:c r="L1426" t="str">
        <x:f>IF(K1426="","",ROW()-ROW($L$2)-INDEX($H$3:$H$168,K1426))</x:f>
      </x:c>
      <x:c r="M1426" t="str">
        <x:f>IF(K1426="","",IF(L1426=1,1,FIND(CHAR(1),SUBSTITUTE(INDEX($B$3:$B$168,K1426),CHAR(10),CHAR(1),L1426-1))+1))</x:f>
      </x:c>
      <x:c r="N1426" t="str">
        <x:f>IF(K1426="","",IFERROR(FIND(CHAR(1),SUBSTITUTE(INDEX($B$3:$B$168,K1426),CHAR(10),CHAR(1),L1426)),LEN(INDEX($B$3:$B$168,K1426))+1))</x:f>
      </x:c>
    </x:row>
    <x:row r="1427">
      <x:c r="A1427"/>
      <x:c r="B1427"/>
      <x:c r="C1427"/>
      <x:c r="D1427" t="str">
        <x:f>IFERROR(IF(1425&lt;=$O$1,INDEX($A$3:$A$168,MATCH(1425,$I$3:$I$168,0)),IF(1425&lt;=$O$1+$O$2,INDEX($F$3:$F$1994,MATCH(1425-$O$1,$G$3:$G$1994,0)),"")),"")</x:f>
      </x:c>
      <x:c r="E1427" t="str">
        <x:f>IF(K1427="","",IF(N1427&lt;=M1427,"",TRIM(CLEAN(MID(INDEX($B$3:$B$168,K1427),M1427,N1427-M1427)))))</x:f>
      </x:c>
      <x:c r="F1427" t="str">
        <x:f>IF(E1427="","",IF(E1427=TRIM(INDEX($A$3:$A$168,K1427)),"",IF(RIGHT(TRIM(INDEX($A$3:$A$168,K1427)),1)="]",LEFT(TRIM(INDEX($A$3:$A$168,K1427)),LEN(TRIM(INDEX($A$3:$A$168,K1427)))-1)&amp;", "&amp;SUBSTITUTE(SUBSTITUTE(SUBSTITUTE(E1427," [",", "),"[",", "),"]","")&amp;"]",TRIM(INDEX($A$3:$A$168,K1427))&amp;" ["&amp;SUBSTITUTE(SUBSTITUTE(SUBSTITUTE(E1427," [",", "),"[",", "),"]","")&amp;"]")))</x:f>
      </x:c>
      <x:c r="G1427" t="str">
        <x:f>IF(F1427&lt;&gt;"",ROWS($F$3:F1427)-COUNTBLANK($F$3:F1427),"")</x:f>
      </x:c>
      <x:c r="H1427"/>
      <x:c r="I1427"/>
      <x:c r="J1427"/>
      <x:c r="K1427" t="str">
        <x:f>IF(ROW()-ROW($K$2)&lt;=SUM($J$3:$J$168),COUNTIF($H$3:$H$168,"&lt;"&amp;(ROW()-ROW($K$2))),"")</x:f>
      </x:c>
      <x:c r="L1427" t="str">
        <x:f>IF(K1427="","",ROW()-ROW($L$2)-INDEX($H$3:$H$168,K1427))</x:f>
      </x:c>
      <x:c r="M1427" t="str">
        <x:f>IF(K1427="","",IF(L1427=1,1,FIND(CHAR(1),SUBSTITUTE(INDEX($B$3:$B$168,K1427),CHAR(10),CHAR(1),L1427-1))+1))</x:f>
      </x:c>
      <x:c r="N1427" t="str">
        <x:f>IF(K1427="","",IFERROR(FIND(CHAR(1),SUBSTITUTE(INDEX($B$3:$B$168,K1427),CHAR(10),CHAR(1),L1427)),LEN(INDEX($B$3:$B$168,K1427))+1))</x:f>
      </x:c>
    </x:row>
    <x:row r="1428">
      <x:c r="A1428"/>
      <x:c r="B1428"/>
      <x:c r="C1428"/>
      <x:c r="D1428" t="str">
        <x:f>IFERROR(IF(1426&lt;=$O$1,INDEX($A$3:$A$168,MATCH(1426,$I$3:$I$168,0)),IF(1426&lt;=$O$1+$O$2,INDEX($F$3:$F$1994,MATCH(1426-$O$1,$G$3:$G$1994,0)),"")),"")</x:f>
      </x:c>
      <x:c r="E1428" t="str">
        <x:f>IF(K1428="","",IF(N1428&lt;=M1428,"",TRIM(CLEAN(MID(INDEX($B$3:$B$168,K1428),M1428,N1428-M1428)))))</x:f>
      </x:c>
      <x:c r="F1428" t="str">
        <x:f>IF(E1428="","",IF(E1428=TRIM(INDEX($A$3:$A$168,K1428)),"",IF(RIGHT(TRIM(INDEX($A$3:$A$168,K1428)),1)="]",LEFT(TRIM(INDEX($A$3:$A$168,K1428)),LEN(TRIM(INDEX($A$3:$A$168,K1428)))-1)&amp;", "&amp;SUBSTITUTE(SUBSTITUTE(SUBSTITUTE(E1428," [",", "),"[",", "),"]","")&amp;"]",TRIM(INDEX($A$3:$A$168,K1428))&amp;" ["&amp;SUBSTITUTE(SUBSTITUTE(SUBSTITUTE(E1428," [",", "),"[",", "),"]","")&amp;"]")))</x:f>
      </x:c>
      <x:c r="G1428" t="str">
        <x:f>IF(F1428&lt;&gt;"",ROWS($F$3:F1428)-COUNTBLANK($F$3:F1428),"")</x:f>
      </x:c>
      <x:c r="H1428"/>
      <x:c r="I1428"/>
      <x:c r="J1428"/>
      <x:c r="K1428" t="str">
        <x:f>IF(ROW()-ROW($K$2)&lt;=SUM($J$3:$J$168),COUNTIF($H$3:$H$168,"&lt;"&amp;(ROW()-ROW($K$2))),"")</x:f>
      </x:c>
      <x:c r="L1428" t="str">
        <x:f>IF(K1428="","",ROW()-ROW($L$2)-INDEX($H$3:$H$168,K1428))</x:f>
      </x:c>
      <x:c r="M1428" t="str">
        <x:f>IF(K1428="","",IF(L1428=1,1,FIND(CHAR(1),SUBSTITUTE(INDEX($B$3:$B$168,K1428),CHAR(10),CHAR(1),L1428-1))+1))</x:f>
      </x:c>
      <x:c r="N1428" t="str">
        <x:f>IF(K1428="","",IFERROR(FIND(CHAR(1),SUBSTITUTE(INDEX($B$3:$B$168,K1428),CHAR(10),CHAR(1),L1428)),LEN(INDEX($B$3:$B$168,K1428))+1))</x:f>
      </x:c>
    </x:row>
    <x:row r="1429">
      <x:c r="A1429"/>
      <x:c r="B1429"/>
      <x:c r="C1429"/>
      <x:c r="D1429" t="str">
        <x:f>IFERROR(IF(1427&lt;=$O$1,INDEX($A$3:$A$168,MATCH(1427,$I$3:$I$168,0)),IF(1427&lt;=$O$1+$O$2,INDEX($F$3:$F$1994,MATCH(1427-$O$1,$G$3:$G$1994,0)),"")),"")</x:f>
      </x:c>
      <x:c r="E1429" t="str">
        <x:f>IF(K1429="","",IF(N1429&lt;=M1429,"",TRIM(CLEAN(MID(INDEX($B$3:$B$168,K1429),M1429,N1429-M1429)))))</x:f>
      </x:c>
      <x:c r="F1429" t="str">
        <x:f>IF(E1429="","",IF(E1429=TRIM(INDEX($A$3:$A$168,K1429)),"",IF(RIGHT(TRIM(INDEX($A$3:$A$168,K1429)),1)="]",LEFT(TRIM(INDEX($A$3:$A$168,K1429)),LEN(TRIM(INDEX($A$3:$A$168,K1429)))-1)&amp;", "&amp;SUBSTITUTE(SUBSTITUTE(SUBSTITUTE(E1429," [",", "),"[",", "),"]","")&amp;"]",TRIM(INDEX($A$3:$A$168,K1429))&amp;" ["&amp;SUBSTITUTE(SUBSTITUTE(SUBSTITUTE(E1429," [",", "),"[",", "),"]","")&amp;"]")))</x:f>
      </x:c>
      <x:c r="G1429" t="str">
        <x:f>IF(F1429&lt;&gt;"",ROWS($F$3:F1429)-COUNTBLANK($F$3:F1429),"")</x:f>
      </x:c>
      <x:c r="H1429"/>
      <x:c r="I1429"/>
      <x:c r="J1429"/>
      <x:c r="K1429" t="str">
        <x:f>IF(ROW()-ROW($K$2)&lt;=SUM($J$3:$J$168),COUNTIF($H$3:$H$168,"&lt;"&amp;(ROW()-ROW($K$2))),"")</x:f>
      </x:c>
      <x:c r="L1429" t="str">
        <x:f>IF(K1429="","",ROW()-ROW($L$2)-INDEX($H$3:$H$168,K1429))</x:f>
      </x:c>
      <x:c r="M1429" t="str">
        <x:f>IF(K1429="","",IF(L1429=1,1,FIND(CHAR(1),SUBSTITUTE(INDEX($B$3:$B$168,K1429),CHAR(10),CHAR(1),L1429-1))+1))</x:f>
      </x:c>
      <x:c r="N1429" t="str">
        <x:f>IF(K1429="","",IFERROR(FIND(CHAR(1),SUBSTITUTE(INDEX($B$3:$B$168,K1429),CHAR(10),CHAR(1),L1429)),LEN(INDEX($B$3:$B$168,K1429))+1))</x:f>
      </x:c>
    </x:row>
    <x:row r="1430">
      <x:c r="A1430"/>
      <x:c r="B1430"/>
      <x:c r="C1430"/>
      <x:c r="D1430" t="str">
        <x:f>IFERROR(IF(1428&lt;=$O$1,INDEX($A$3:$A$168,MATCH(1428,$I$3:$I$168,0)),IF(1428&lt;=$O$1+$O$2,INDEX($F$3:$F$1994,MATCH(1428-$O$1,$G$3:$G$1994,0)),"")),"")</x:f>
      </x:c>
      <x:c r="E1430" t="str">
        <x:f>IF(K1430="","",IF(N1430&lt;=M1430,"",TRIM(CLEAN(MID(INDEX($B$3:$B$168,K1430),M1430,N1430-M1430)))))</x:f>
      </x:c>
      <x:c r="F1430" t="str">
        <x:f>IF(E1430="","",IF(E1430=TRIM(INDEX($A$3:$A$168,K1430)),"",IF(RIGHT(TRIM(INDEX($A$3:$A$168,K1430)),1)="]",LEFT(TRIM(INDEX($A$3:$A$168,K1430)),LEN(TRIM(INDEX($A$3:$A$168,K1430)))-1)&amp;", "&amp;SUBSTITUTE(SUBSTITUTE(SUBSTITUTE(E1430," [",", "),"[",", "),"]","")&amp;"]",TRIM(INDEX($A$3:$A$168,K1430))&amp;" ["&amp;SUBSTITUTE(SUBSTITUTE(SUBSTITUTE(E1430," [",", "),"[",", "),"]","")&amp;"]")))</x:f>
      </x:c>
      <x:c r="G1430" t="str">
        <x:f>IF(F1430&lt;&gt;"",ROWS($F$3:F1430)-COUNTBLANK($F$3:F1430),"")</x:f>
      </x:c>
      <x:c r="H1430"/>
      <x:c r="I1430"/>
      <x:c r="J1430"/>
      <x:c r="K1430" t="str">
        <x:f>IF(ROW()-ROW($K$2)&lt;=SUM($J$3:$J$168),COUNTIF($H$3:$H$168,"&lt;"&amp;(ROW()-ROW($K$2))),"")</x:f>
      </x:c>
      <x:c r="L1430" t="str">
        <x:f>IF(K1430="","",ROW()-ROW($L$2)-INDEX($H$3:$H$168,K1430))</x:f>
      </x:c>
      <x:c r="M1430" t="str">
        <x:f>IF(K1430="","",IF(L1430=1,1,FIND(CHAR(1),SUBSTITUTE(INDEX($B$3:$B$168,K1430),CHAR(10),CHAR(1),L1430-1))+1))</x:f>
      </x:c>
      <x:c r="N1430" t="str">
        <x:f>IF(K1430="","",IFERROR(FIND(CHAR(1),SUBSTITUTE(INDEX($B$3:$B$168,K1430),CHAR(10),CHAR(1),L1430)),LEN(INDEX($B$3:$B$168,K1430))+1))</x:f>
      </x:c>
    </x:row>
    <x:row r="1431">
      <x:c r="A1431"/>
      <x:c r="B1431"/>
      <x:c r="C1431"/>
      <x:c r="D1431" t="str">
        <x:f>IFERROR(IF(1429&lt;=$O$1,INDEX($A$3:$A$168,MATCH(1429,$I$3:$I$168,0)),IF(1429&lt;=$O$1+$O$2,INDEX($F$3:$F$1994,MATCH(1429-$O$1,$G$3:$G$1994,0)),"")),"")</x:f>
      </x:c>
      <x:c r="E1431" t="str">
        <x:f>IF(K1431="","",IF(N1431&lt;=M1431,"",TRIM(CLEAN(MID(INDEX($B$3:$B$168,K1431),M1431,N1431-M1431)))))</x:f>
      </x:c>
      <x:c r="F1431" t="str">
        <x:f>IF(E1431="","",IF(E1431=TRIM(INDEX($A$3:$A$168,K1431)),"",IF(RIGHT(TRIM(INDEX($A$3:$A$168,K1431)),1)="]",LEFT(TRIM(INDEX($A$3:$A$168,K1431)),LEN(TRIM(INDEX($A$3:$A$168,K1431)))-1)&amp;", "&amp;SUBSTITUTE(SUBSTITUTE(SUBSTITUTE(E1431," [",", "),"[",", "),"]","")&amp;"]",TRIM(INDEX($A$3:$A$168,K1431))&amp;" ["&amp;SUBSTITUTE(SUBSTITUTE(SUBSTITUTE(E1431," [",", "),"[",", "),"]","")&amp;"]")))</x:f>
      </x:c>
      <x:c r="G1431" t="str">
        <x:f>IF(F1431&lt;&gt;"",ROWS($F$3:F1431)-COUNTBLANK($F$3:F1431),"")</x:f>
      </x:c>
      <x:c r="H1431"/>
      <x:c r="I1431"/>
      <x:c r="J1431"/>
      <x:c r="K1431" t="str">
        <x:f>IF(ROW()-ROW($K$2)&lt;=SUM($J$3:$J$168),COUNTIF($H$3:$H$168,"&lt;"&amp;(ROW()-ROW($K$2))),"")</x:f>
      </x:c>
      <x:c r="L1431" t="str">
        <x:f>IF(K1431="","",ROW()-ROW($L$2)-INDEX($H$3:$H$168,K1431))</x:f>
      </x:c>
      <x:c r="M1431" t="str">
        <x:f>IF(K1431="","",IF(L1431=1,1,FIND(CHAR(1),SUBSTITUTE(INDEX($B$3:$B$168,K1431),CHAR(10),CHAR(1),L1431-1))+1))</x:f>
      </x:c>
      <x:c r="N1431" t="str">
        <x:f>IF(K1431="","",IFERROR(FIND(CHAR(1),SUBSTITUTE(INDEX($B$3:$B$168,K1431),CHAR(10),CHAR(1),L1431)),LEN(INDEX($B$3:$B$168,K1431))+1))</x:f>
      </x:c>
    </x:row>
    <x:row r="1432">
      <x:c r="A1432"/>
      <x:c r="B1432"/>
      <x:c r="C1432"/>
      <x:c r="D1432" t="str">
        <x:f>IFERROR(IF(1430&lt;=$O$1,INDEX($A$3:$A$168,MATCH(1430,$I$3:$I$168,0)),IF(1430&lt;=$O$1+$O$2,INDEX($F$3:$F$1994,MATCH(1430-$O$1,$G$3:$G$1994,0)),"")),"")</x:f>
      </x:c>
      <x:c r="E1432" t="str">
        <x:f>IF(K1432="","",IF(N1432&lt;=M1432,"",TRIM(CLEAN(MID(INDEX($B$3:$B$168,K1432),M1432,N1432-M1432)))))</x:f>
      </x:c>
      <x:c r="F1432" t="str">
        <x:f>IF(E1432="","",IF(E1432=TRIM(INDEX($A$3:$A$168,K1432)),"",IF(RIGHT(TRIM(INDEX($A$3:$A$168,K1432)),1)="]",LEFT(TRIM(INDEX($A$3:$A$168,K1432)),LEN(TRIM(INDEX($A$3:$A$168,K1432)))-1)&amp;", "&amp;SUBSTITUTE(SUBSTITUTE(SUBSTITUTE(E1432," [",", "),"[",", "),"]","")&amp;"]",TRIM(INDEX($A$3:$A$168,K1432))&amp;" ["&amp;SUBSTITUTE(SUBSTITUTE(SUBSTITUTE(E1432," [",", "),"[",", "),"]","")&amp;"]")))</x:f>
      </x:c>
      <x:c r="G1432" t="str">
        <x:f>IF(F1432&lt;&gt;"",ROWS($F$3:F1432)-COUNTBLANK($F$3:F1432),"")</x:f>
      </x:c>
      <x:c r="H1432"/>
      <x:c r="I1432"/>
      <x:c r="J1432"/>
      <x:c r="K1432" t="str">
        <x:f>IF(ROW()-ROW($K$2)&lt;=SUM($J$3:$J$168),COUNTIF($H$3:$H$168,"&lt;"&amp;(ROW()-ROW($K$2))),"")</x:f>
      </x:c>
      <x:c r="L1432" t="str">
        <x:f>IF(K1432="","",ROW()-ROW($L$2)-INDEX($H$3:$H$168,K1432))</x:f>
      </x:c>
      <x:c r="M1432" t="str">
        <x:f>IF(K1432="","",IF(L1432=1,1,FIND(CHAR(1),SUBSTITUTE(INDEX($B$3:$B$168,K1432),CHAR(10),CHAR(1),L1432-1))+1))</x:f>
      </x:c>
      <x:c r="N1432" t="str">
        <x:f>IF(K1432="","",IFERROR(FIND(CHAR(1),SUBSTITUTE(INDEX($B$3:$B$168,K1432),CHAR(10),CHAR(1),L1432)),LEN(INDEX($B$3:$B$168,K1432))+1))</x:f>
      </x:c>
    </x:row>
    <x:row r="1433">
      <x:c r="A1433"/>
      <x:c r="B1433"/>
      <x:c r="C1433"/>
      <x:c r="D1433" t="str">
        <x:f>IFERROR(IF(1431&lt;=$O$1,INDEX($A$3:$A$168,MATCH(1431,$I$3:$I$168,0)),IF(1431&lt;=$O$1+$O$2,INDEX($F$3:$F$1994,MATCH(1431-$O$1,$G$3:$G$1994,0)),"")),"")</x:f>
      </x:c>
      <x:c r="E1433" t="str">
        <x:f>IF(K1433="","",IF(N1433&lt;=M1433,"",TRIM(CLEAN(MID(INDEX($B$3:$B$168,K1433),M1433,N1433-M1433)))))</x:f>
      </x:c>
      <x:c r="F1433" t="str">
        <x:f>IF(E1433="","",IF(E1433=TRIM(INDEX($A$3:$A$168,K1433)),"",IF(RIGHT(TRIM(INDEX($A$3:$A$168,K1433)),1)="]",LEFT(TRIM(INDEX($A$3:$A$168,K1433)),LEN(TRIM(INDEX($A$3:$A$168,K1433)))-1)&amp;", "&amp;SUBSTITUTE(SUBSTITUTE(SUBSTITUTE(E1433," [",", "),"[",", "),"]","")&amp;"]",TRIM(INDEX($A$3:$A$168,K1433))&amp;" ["&amp;SUBSTITUTE(SUBSTITUTE(SUBSTITUTE(E1433," [",", "),"[",", "),"]","")&amp;"]")))</x:f>
      </x:c>
      <x:c r="G1433" t="str">
        <x:f>IF(F1433&lt;&gt;"",ROWS($F$3:F1433)-COUNTBLANK($F$3:F1433),"")</x:f>
      </x:c>
      <x:c r="H1433"/>
      <x:c r="I1433"/>
      <x:c r="J1433"/>
      <x:c r="K1433" t="str">
        <x:f>IF(ROW()-ROW($K$2)&lt;=SUM($J$3:$J$168),COUNTIF($H$3:$H$168,"&lt;"&amp;(ROW()-ROW($K$2))),"")</x:f>
      </x:c>
      <x:c r="L1433" t="str">
        <x:f>IF(K1433="","",ROW()-ROW($L$2)-INDEX($H$3:$H$168,K1433))</x:f>
      </x:c>
      <x:c r="M1433" t="str">
        <x:f>IF(K1433="","",IF(L1433=1,1,FIND(CHAR(1),SUBSTITUTE(INDEX($B$3:$B$168,K1433),CHAR(10),CHAR(1),L1433-1))+1))</x:f>
      </x:c>
      <x:c r="N1433" t="str">
        <x:f>IF(K1433="","",IFERROR(FIND(CHAR(1),SUBSTITUTE(INDEX($B$3:$B$168,K1433),CHAR(10),CHAR(1),L1433)),LEN(INDEX($B$3:$B$168,K1433))+1))</x:f>
      </x:c>
    </x:row>
    <x:row r="1434">
      <x:c r="A1434"/>
      <x:c r="B1434"/>
      <x:c r="C1434"/>
      <x:c r="D1434" t="str">
        <x:f>IFERROR(IF(1432&lt;=$O$1,INDEX($A$3:$A$168,MATCH(1432,$I$3:$I$168,0)),IF(1432&lt;=$O$1+$O$2,INDEX($F$3:$F$1994,MATCH(1432-$O$1,$G$3:$G$1994,0)),"")),"")</x:f>
      </x:c>
      <x:c r="E1434" t="str">
        <x:f>IF(K1434="","",IF(N1434&lt;=M1434,"",TRIM(CLEAN(MID(INDEX($B$3:$B$168,K1434),M1434,N1434-M1434)))))</x:f>
      </x:c>
      <x:c r="F1434" t="str">
        <x:f>IF(E1434="","",IF(E1434=TRIM(INDEX($A$3:$A$168,K1434)),"",IF(RIGHT(TRIM(INDEX($A$3:$A$168,K1434)),1)="]",LEFT(TRIM(INDEX($A$3:$A$168,K1434)),LEN(TRIM(INDEX($A$3:$A$168,K1434)))-1)&amp;", "&amp;SUBSTITUTE(SUBSTITUTE(SUBSTITUTE(E1434," [",", "),"[",", "),"]","")&amp;"]",TRIM(INDEX($A$3:$A$168,K1434))&amp;" ["&amp;SUBSTITUTE(SUBSTITUTE(SUBSTITUTE(E1434," [",", "),"[",", "),"]","")&amp;"]")))</x:f>
      </x:c>
      <x:c r="G1434" t="str">
        <x:f>IF(F1434&lt;&gt;"",ROWS($F$3:F1434)-COUNTBLANK($F$3:F1434),"")</x:f>
      </x:c>
      <x:c r="H1434"/>
      <x:c r="I1434"/>
      <x:c r="J1434"/>
      <x:c r="K1434" t="str">
        <x:f>IF(ROW()-ROW($K$2)&lt;=SUM($J$3:$J$168),COUNTIF($H$3:$H$168,"&lt;"&amp;(ROW()-ROW($K$2))),"")</x:f>
      </x:c>
      <x:c r="L1434" t="str">
        <x:f>IF(K1434="","",ROW()-ROW($L$2)-INDEX($H$3:$H$168,K1434))</x:f>
      </x:c>
      <x:c r="M1434" t="str">
        <x:f>IF(K1434="","",IF(L1434=1,1,FIND(CHAR(1),SUBSTITUTE(INDEX($B$3:$B$168,K1434),CHAR(10),CHAR(1),L1434-1))+1))</x:f>
      </x:c>
      <x:c r="N1434" t="str">
        <x:f>IF(K1434="","",IFERROR(FIND(CHAR(1),SUBSTITUTE(INDEX($B$3:$B$168,K1434),CHAR(10),CHAR(1),L1434)),LEN(INDEX($B$3:$B$168,K1434))+1))</x:f>
      </x:c>
    </x:row>
    <x:row r="1435">
      <x:c r="A1435"/>
      <x:c r="B1435"/>
      <x:c r="C1435"/>
      <x:c r="D1435" t="str">
        <x:f>IFERROR(IF(1433&lt;=$O$1,INDEX($A$3:$A$168,MATCH(1433,$I$3:$I$168,0)),IF(1433&lt;=$O$1+$O$2,INDEX($F$3:$F$1994,MATCH(1433-$O$1,$G$3:$G$1994,0)),"")),"")</x:f>
      </x:c>
      <x:c r="E1435" t="str">
        <x:f>IF(K1435="","",IF(N1435&lt;=M1435,"",TRIM(CLEAN(MID(INDEX($B$3:$B$168,K1435),M1435,N1435-M1435)))))</x:f>
      </x:c>
      <x:c r="F1435" t="str">
        <x:f>IF(E1435="","",IF(E1435=TRIM(INDEX($A$3:$A$168,K1435)),"",IF(RIGHT(TRIM(INDEX($A$3:$A$168,K1435)),1)="]",LEFT(TRIM(INDEX($A$3:$A$168,K1435)),LEN(TRIM(INDEX($A$3:$A$168,K1435)))-1)&amp;", "&amp;SUBSTITUTE(SUBSTITUTE(SUBSTITUTE(E1435," [",", "),"[",", "),"]","")&amp;"]",TRIM(INDEX($A$3:$A$168,K1435))&amp;" ["&amp;SUBSTITUTE(SUBSTITUTE(SUBSTITUTE(E1435," [",", "),"[",", "),"]","")&amp;"]")))</x:f>
      </x:c>
      <x:c r="G1435" t="str">
        <x:f>IF(F1435&lt;&gt;"",ROWS($F$3:F1435)-COUNTBLANK($F$3:F1435),"")</x:f>
      </x:c>
      <x:c r="H1435"/>
      <x:c r="I1435"/>
      <x:c r="J1435"/>
      <x:c r="K1435" t="str">
        <x:f>IF(ROW()-ROW($K$2)&lt;=SUM($J$3:$J$168),COUNTIF($H$3:$H$168,"&lt;"&amp;(ROW()-ROW($K$2))),"")</x:f>
      </x:c>
      <x:c r="L1435" t="str">
        <x:f>IF(K1435="","",ROW()-ROW($L$2)-INDEX($H$3:$H$168,K1435))</x:f>
      </x:c>
      <x:c r="M1435" t="str">
        <x:f>IF(K1435="","",IF(L1435=1,1,FIND(CHAR(1),SUBSTITUTE(INDEX($B$3:$B$168,K1435),CHAR(10),CHAR(1),L1435-1))+1))</x:f>
      </x:c>
      <x:c r="N1435" t="str">
        <x:f>IF(K1435="","",IFERROR(FIND(CHAR(1),SUBSTITUTE(INDEX($B$3:$B$168,K1435),CHAR(10),CHAR(1),L1435)),LEN(INDEX($B$3:$B$168,K1435))+1))</x:f>
      </x:c>
    </x:row>
    <x:row r="1436">
      <x:c r="A1436"/>
      <x:c r="B1436"/>
      <x:c r="C1436"/>
      <x:c r="D1436" t="str">
        <x:f>IFERROR(IF(1434&lt;=$O$1,INDEX($A$3:$A$168,MATCH(1434,$I$3:$I$168,0)),IF(1434&lt;=$O$1+$O$2,INDEX($F$3:$F$1994,MATCH(1434-$O$1,$G$3:$G$1994,0)),"")),"")</x:f>
      </x:c>
      <x:c r="E1436" t="str">
        <x:f>IF(K1436="","",IF(N1436&lt;=M1436,"",TRIM(CLEAN(MID(INDEX($B$3:$B$168,K1436),M1436,N1436-M1436)))))</x:f>
      </x:c>
      <x:c r="F1436" t="str">
        <x:f>IF(E1436="","",IF(E1436=TRIM(INDEX($A$3:$A$168,K1436)),"",IF(RIGHT(TRIM(INDEX($A$3:$A$168,K1436)),1)="]",LEFT(TRIM(INDEX($A$3:$A$168,K1436)),LEN(TRIM(INDEX($A$3:$A$168,K1436)))-1)&amp;", "&amp;SUBSTITUTE(SUBSTITUTE(SUBSTITUTE(E1436," [",", "),"[",", "),"]","")&amp;"]",TRIM(INDEX($A$3:$A$168,K1436))&amp;" ["&amp;SUBSTITUTE(SUBSTITUTE(SUBSTITUTE(E1436," [",", "),"[",", "),"]","")&amp;"]")))</x:f>
      </x:c>
      <x:c r="G1436" t="str">
        <x:f>IF(F1436&lt;&gt;"",ROWS($F$3:F1436)-COUNTBLANK($F$3:F1436),"")</x:f>
      </x:c>
      <x:c r="H1436"/>
      <x:c r="I1436"/>
      <x:c r="J1436"/>
      <x:c r="K1436" t="str">
        <x:f>IF(ROW()-ROW($K$2)&lt;=SUM($J$3:$J$168),COUNTIF($H$3:$H$168,"&lt;"&amp;(ROW()-ROW($K$2))),"")</x:f>
      </x:c>
      <x:c r="L1436" t="str">
        <x:f>IF(K1436="","",ROW()-ROW($L$2)-INDEX($H$3:$H$168,K1436))</x:f>
      </x:c>
      <x:c r="M1436" t="str">
        <x:f>IF(K1436="","",IF(L1436=1,1,FIND(CHAR(1),SUBSTITUTE(INDEX($B$3:$B$168,K1436),CHAR(10),CHAR(1),L1436-1))+1))</x:f>
      </x:c>
      <x:c r="N1436" t="str">
        <x:f>IF(K1436="","",IFERROR(FIND(CHAR(1),SUBSTITUTE(INDEX($B$3:$B$168,K1436),CHAR(10),CHAR(1),L1436)),LEN(INDEX($B$3:$B$168,K1436))+1))</x:f>
      </x:c>
    </x:row>
    <x:row r="1437">
      <x:c r="A1437"/>
      <x:c r="B1437"/>
      <x:c r="C1437"/>
      <x:c r="D1437" t="str">
        <x:f>IFERROR(IF(1435&lt;=$O$1,INDEX($A$3:$A$168,MATCH(1435,$I$3:$I$168,0)),IF(1435&lt;=$O$1+$O$2,INDEX($F$3:$F$1994,MATCH(1435-$O$1,$G$3:$G$1994,0)),"")),"")</x:f>
      </x:c>
      <x:c r="E1437" t="str">
        <x:f>IF(K1437="","",IF(N1437&lt;=M1437,"",TRIM(CLEAN(MID(INDEX($B$3:$B$168,K1437),M1437,N1437-M1437)))))</x:f>
      </x:c>
      <x:c r="F1437" t="str">
        <x:f>IF(E1437="","",IF(E1437=TRIM(INDEX($A$3:$A$168,K1437)),"",IF(RIGHT(TRIM(INDEX($A$3:$A$168,K1437)),1)="]",LEFT(TRIM(INDEX($A$3:$A$168,K1437)),LEN(TRIM(INDEX($A$3:$A$168,K1437)))-1)&amp;", "&amp;SUBSTITUTE(SUBSTITUTE(SUBSTITUTE(E1437," [",", "),"[",", "),"]","")&amp;"]",TRIM(INDEX($A$3:$A$168,K1437))&amp;" ["&amp;SUBSTITUTE(SUBSTITUTE(SUBSTITUTE(E1437," [",", "),"[",", "),"]","")&amp;"]")))</x:f>
      </x:c>
      <x:c r="G1437" t="str">
        <x:f>IF(F1437&lt;&gt;"",ROWS($F$3:F1437)-COUNTBLANK($F$3:F1437),"")</x:f>
      </x:c>
      <x:c r="H1437"/>
      <x:c r="I1437"/>
      <x:c r="J1437"/>
      <x:c r="K1437" t="str">
        <x:f>IF(ROW()-ROW($K$2)&lt;=SUM($J$3:$J$168),COUNTIF($H$3:$H$168,"&lt;"&amp;(ROW()-ROW($K$2))),"")</x:f>
      </x:c>
      <x:c r="L1437" t="str">
        <x:f>IF(K1437="","",ROW()-ROW($L$2)-INDEX($H$3:$H$168,K1437))</x:f>
      </x:c>
      <x:c r="M1437" t="str">
        <x:f>IF(K1437="","",IF(L1437=1,1,FIND(CHAR(1),SUBSTITUTE(INDEX($B$3:$B$168,K1437),CHAR(10),CHAR(1),L1437-1))+1))</x:f>
      </x:c>
      <x:c r="N1437" t="str">
        <x:f>IF(K1437="","",IFERROR(FIND(CHAR(1),SUBSTITUTE(INDEX($B$3:$B$168,K1437),CHAR(10),CHAR(1),L1437)),LEN(INDEX($B$3:$B$168,K1437))+1))</x:f>
      </x:c>
    </x:row>
    <x:row r="1438">
      <x:c r="A1438"/>
      <x:c r="B1438"/>
      <x:c r="C1438"/>
      <x:c r="D1438" t="str">
        <x:f>IFERROR(IF(1436&lt;=$O$1,INDEX($A$3:$A$168,MATCH(1436,$I$3:$I$168,0)),IF(1436&lt;=$O$1+$O$2,INDEX($F$3:$F$1994,MATCH(1436-$O$1,$G$3:$G$1994,0)),"")),"")</x:f>
      </x:c>
      <x:c r="E1438" t="str">
        <x:f>IF(K1438="","",IF(N1438&lt;=M1438,"",TRIM(CLEAN(MID(INDEX($B$3:$B$168,K1438),M1438,N1438-M1438)))))</x:f>
      </x:c>
      <x:c r="F1438" t="str">
        <x:f>IF(E1438="","",IF(E1438=TRIM(INDEX($A$3:$A$168,K1438)),"",IF(RIGHT(TRIM(INDEX($A$3:$A$168,K1438)),1)="]",LEFT(TRIM(INDEX($A$3:$A$168,K1438)),LEN(TRIM(INDEX($A$3:$A$168,K1438)))-1)&amp;", "&amp;SUBSTITUTE(SUBSTITUTE(SUBSTITUTE(E1438," [",", "),"[",", "),"]","")&amp;"]",TRIM(INDEX($A$3:$A$168,K1438))&amp;" ["&amp;SUBSTITUTE(SUBSTITUTE(SUBSTITUTE(E1438," [",", "),"[",", "),"]","")&amp;"]")))</x:f>
      </x:c>
      <x:c r="G1438" t="str">
        <x:f>IF(F1438&lt;&gt;"",ROWS($F$3:F1438)-COUNTBLANK($F$3:F1438),"")</x:f>
      </x:c>
      <x:c r="H1438"/>
      <x:c r="I1438"/>
      <x:c r="J1438"/>
      <x:c r="K1438" t="str">
        <x:f>IF(ROW()-ROW($K$2)&lt;=SUM($J$3:$J$168),COUNTIF($H$3:$H$168,"&lt;"&amp;(ROW()-ROW($K$2))),"")</x:f>
      </x:c>
      <x:c r="L1438" t="str">
        <x:f>IF(K1438="","",ROW()-ROW($L$2)-INDEX($H$3:$H$168,K1438))</x:f>
      </x:c>
      <x:c r="M1438" t="str">
        <x:f>IF(K1438="","",IF(L1438=1,1,FIND(CHAR(1),SUBSTITUTE(INDEX($B$3:$B$168,K1438),CHAR(10),CHAR(1),L1438-1))+1))</x:f>
      </x:c>
      <x:c r="N1438" t="str">
        <x:f>IF(K1438="","",IFERROR(FIND(CHAR(1),SUBSTITUTE(INDEX($B$3:$B$168,K1438),CHAR(10),CHAR(1),L1438)),LEN(INDEX($B$3:$B$168,K1438))+1))</x:f>
      </x:c>
    </x:row>
    <x:row r="1439">
      <x:c r="A1439"/>
      <x:c r="B1439"/>
      <x:c r="C1439"/>
      <x:c r="D1439" t="str">
        <x:f>IFERROR(IF(1437&lt;=$O$1,INDEX($A$3:$A$168,MATCH(1437,$I$3:$I$168,0)),IF(1437&lt;=$O$1+$O$2,INDEX($F$3:$F$1994,MATCH(1437-$O$1,$G$3:$G$1994,0)),"")),"")</x:f>
      </x:c>
      <x:c r="E1439" t="str">
        <x:f>IF(K1439="","",IF(N1439&lt;=M1439,"",TRIM(CLEAN(MID(INDEX($B$3:$B$168,K1439),M1439,N1439-M1439)))))</x:f>
      </x:c>
      <x:c r="F1439" t="str">
        <x:f>IF(E1439="","",IF(E1439=TRIM(INDEX($A$3:$A$168,K1439)),"",IF(RIGHT(TRIM(INDEX($A$3:$A$168,K1439)),1)="]",LEFT(TRIM(INDEX($A$3:$A$168,K1439)),LEN(TRIM(INDEX($A$3:$A$168,K1439)))-1)&amp;", "&amp;SUBSTITUTE(SUBSTITUTE(SUBSTITUTE(E1439," [",", "),"[",", "),"]","")&amp;"]",TRIM(INDEX($A$3:$A$168,K1439))&amp;" ["&amp;SUBSTITUTE(SUBSTITUTE(SUBSTITUTE(E1439," [",", "),"[",", "),"]","")&amp;"]")))</x:f>
      </x:c>
      <x:c r="G1439" t="str">
        <x:f>IF(F1439&lt;&gt;"",ROWS($F$3:F1439)-COUNTBLANK($F$3:F1439),"")</x:f>
      </x:c>
      <x:c r="H1439"/>
      <x:c r="I1439"/>
      <x:c r="J1439"/>
      <x:c r="K1439" t="str">
        <x:f>IF(ROW()-ROW($K$2)&lt;=SUM($J$3:$J$168),COUNTIF($H$3:$H$168,"&lt;"&amp;(ROW()-ROW($K$2))),"")</x:f>
      </x:c>
      <x:c r="L1439" t="str">
        <x:f>IF(K1439="","",ROW()-ROW($L$2)-INDEX($H$3:$H$168,K1439))</x:f>
      </x:c>
      <x:c r="M1439" t="str">
        <x:f>IF(K1439="","",IF(L1439=1,1,FIND(CHAR(1),SUBSTITUTE(INDEX($B$3:$B$168,K1439),CHAR(10),CHAR(1),L1439-1))+1))</x:f>
      </x:c>
      <x:c r="N1439" t="str">
        <x:f>IF(K1439="","",IFERROR(FIND(CHAR(1),SUBSTITUTE(INDEX($B$3:$B$168,K1439),CHAR(10),CHAR(1),L1439)),LEN(INDEX($B$3:$B$168,K1439))+1))</x:f>
      </x:c>
    </x:row>
    <x:row r="1440">
      <x:c r="A1440"/>
      <x:c r="B1440"/>
      <x:c r="C1440"/>
      <x:c r="D1440" t="str">
        <x:f>IFERROR(IF(1438&lt;=$O$1,INDEX($A$3:$A$168,MATCH(1438,$I$3:$I$168,0)),IF(1438&lt;=$O$1+$O$2,INDEX($F$3:$F$1994,MATCH(1438-$O$1,$G$3:$G$1994,0)),"")),"")</x:f>
      </x:c>
      <x:c r="E1440" t="str">
        <x:f>IF(K1440="","",IF(N1440&lt;=M1440,"",TRIM(CLEAN(MID(INDEX($B$3:$B$168,K1440),M1440,N1440-M1440)))))</x:f>
      </x:c>
      <x:c r="F1440" t="str">
        <x:f>IF(E1440="","",IF(E1440=TRIM(INDEX($A$3:$A$168,K1440)),"",IF(RIGHT(TRIM(INDEX($A$3:$A$168,K1440)),1)="]",LEFT(TRIM(INDEX($A$3:$A$168,K1440)),LEN(TRIM(INDEX($A$3:$A$168,K1440)))-1)&amp;", "&amp;SUBSTITUTE(SUBSTITUTE(SUBSTITUTE(E1440," [",", "),"[",", "),"]","")&amp;"]",TRIM(INDEX($A$3:$A$168,K1440))&amp;" ["&amp;SUBSTITUTE(SUBSTITUTE(SUBSTITUTE(E1440," [",", "),"[",", "),"]","")&amp;"]")))</x:f>
      </x:c>
      <x:c r="G1440" t="str">
        <x:f>IF(F1440&lt;&gt;"",ROWS($F$3:F1440)-COUNTBLANK($F$3:F1440),"")</x:f>
      </x:c>
      <x:c r="H1440"/>
      <x:c r="I1440"/>
      <x:c r="J1440"/>
      <x:c r="K1440" t="str">
        <x:f>IF(ROW()-ROW($K$2)&lt;=SUM($J$3:$J$168),COUNTIF($H$3:$H$168,"&lt;"&amp;(ROW()-ROW($K$2))),"")</x:f>
      </x:c>
      <x:c r="L1440" t="str">
        <x:f>IF(K1440="","",ROW()-ROW($L$2)-INDEX($H$3:$H$168,K1440))</x:f>
      </x:c>
      <x:c r="M1440" t="str">
        <x:f>IF(K1440="","",IF(L1440=1,1,FIND(CHAR(1),SUBSTITUTE(INDEX($B$3:$B$168,K1440),CHAR(10),CHAR(1),L1440-1))+1))</x:f>
      </x:c>
      <x:c r="N1440" t="str">
        <x:f>IF(K1440="","",IFERROR(FIND(CHAR(1),SUBSTITUTE(INDEX($B$3:$B$168,K1440),CHAR(10),CHAR(1),L1440)),LEN(INDEX($B$3:$B$168,K1440))+1))</x:f>
      </x:c>
    </x:row>
    <x:row r="1441">
      <x:c r="A1441"/>
      <x:c r="B1441"/>
      <x:c r="C1441"/>
      <x:c r="D1441" t="str">
        <x:f>IFERROR(IF(1439&lt;=$O$1,INDEX($A$3:$A$168,MATCH(1439,$I$3:$I$168,0)),IF(1439&lt;=$O$1+$O$2,INDEX($F$3:$F$1994,MATCH(1439-$O$1,$G$3:$G$1994,0)),"")),"")</x:f>
      </x:c>
      <x:c r="E1441" t="str">
        <x:f>IF(K1441="","",IF(N1441&lt;=M1441,"",TRIM(CLEAN(MID(INDEX($B$3:$B$168,K1441),M1441,N1441-M1441)))))</x:f>
      </x:c>
      <x:c r="F1441" t="str">
        <x:f>IF(E1441="","",IF(E1441=TRIM(INDEX($A$3:$A$168,K1441)),"",IF(RIGHT(TRIM(INDEX($A$3:$A$168,K1441)),1)="]",LEFT(TRIM(INDEX($A$3:$A$168,K1441)),LEN(TRIM(INDEX($A$3:$A$168,K1441)))-1)&amp;", "&amp;SUBSTITUTE(SUBSTITUTE(SUBSTITUTE(E1441," [",", "),"[",", "),"]","")&amp;"]",TRIM(INDEX($A$3:$A$168,K1441))&amp;" ["&amp;SUBSTITUTE(SUBSTITUTE(SUBSTITUTE(E1441," [",", "),"[",", "),"]","")&amp;"]")))</x:f>
      </x:c>
      <x:c r="G1441" t="str">
        <x:f>IF(F1441&lt;&gt;"",ROWS($F$3:F1441)-COUNTBLANK($F$3:F1441),"")</x:f>
      </x:c>
      <x:c r="H1441"/>
      <x:c r="I1441"/>
      <x:c r="J1441"/>
      <x:c r="K1441" t="str">
        <x:f>IF(ROW()-ROW($K$2)&lt;=SUM($J$3:$J$168),COUNTIF($H$3:$H$168,"&lt;"&amp;(ROW()-ROW($K$2))),"")</x:f>
      </x:c>
      <x:c r="L1441" t="str">
        <x:f>IF(K1441="","",ROW()-ROW($L$2)-INDEX($H$3:$H$168,K1441))</x:f>
      </x:c>
      <x:c r="M1441" t="str">
        <x:f>IF(K1441="","",IF(L1441=1,1,FIND(CHAR(1),SUBSTITUTE(INDEX($B$3:$B$168,K1441),CHAR(10),CHAR(1),L1441-1))+1))</x:f>
      </x:c>
      <x:c r="N1441" t="str">
        <x:f>IF(K1441="","",IFERROR(FIND(CHAR(1),SUBSTITUTE(INDEX($B$3:$B$168,K1441),CHAR(10),CHAR(1),L1441)),LEN(INDEX($B$3:$B$168,K1441))+1))</x:f>
      </x:c>
    </x:row>
    <x:row r="1442">
      <x:c r="A1442"/>
      <x:c r="B1442"/>
      <x:c r="C1442"/>
      <x:c r="D1442" t="str">
        <x:f>IFERROR(IF(1440&lt;=$O$1,INDEX($A$3:$A$168,MATCH(1440,$I$3:$I$168,0)),IF(1440&lt;=$O$1+$O$2,INDEX($F$3:$F$1994,MATCH(1440-$O$1,$G$3:$G$1994,0)),"")),"")</x:f>
      </x:c>
      <x:c r="E1442" t="str">
        <x:f>IF(K1442="","",IF(N1442&lt;=M1442,"",TRIM(CLEAN(MID(INDEX($B$3:$B$168,K1442),M1442,N1442-M1442)))))</x:f>
      </x:c>
      <x:c r="F1442" t="str">
        <x:f>IF(E1442="","",IF(E1442=TRIM(INDEX($A$3:$A$168,K1442)),"",IF(RIGHT(TRIM(INDEX($A$3:$A$168,K1442)),1)="]",LEFT(TRIM(INDEX($A$3:$A$168,K1442)),LEN(TRIM(INDEX($A$3:$A$168,K1442)))-1)&amp;", "&amp;SUBSTITUTE(SUBSTITUTE(SUBSTITUTE(E1442," [",", "),"[",", "),"]","")&amp;"]",TRIM(INDEX($A$3:$A$168,K1442))&amp;" ["&amp;SUBSTITUTE(SUBSTITUTE(SUBSTITUTE(E1442," [",", "),"[",", "),"]","")&amp;"]")))</x:f>
      </x:c>
      <x:c r="G1442" t="str">
        <x:f>IF(F1442&lt;&gt;"",ROWS($F$3:F1442)-COUNTBLANK($F$3:F1442),"")</x:f>
      </x:c>
      <x:c r="H1442"/>
      <x:c r="I1442"/>
      <x:c r="J1442"/>
      <x:c r="K1442" t="str">
        <x:f>IF(ROW()-ROW($K$2)&lt;=SUM($J$3:$J$168),COUNTIF($H$3:$H$168,"&lt;"&amp;(ROW()-ROW($K$2))),"")</x:f>
      </x:c>
      <x:c r="L1442" t="str">
        <x:f>IF(K1442="","",ROW()-ROW($L$2)-INDEX($H$3:$H$168,K1442))</x:f>
      </x:c>
      <x:c r="M1442" t="str">
        <x:f>IF(K1442="","",IF(L1442=1,1,FIND(CHAR(1),SUBSTITUTE(INDEX($B$3:$B$168,K1442),CHAR(10),CHAR(1),L1442-1))+1))</x:f>
      </x:c>
      <x:c r="N1442" t="str">
        <x:f>IF(K1442="","",IFERROR(FIND(CHAR(1),SUBSTITUTE(INDEX($B$3:$B$168,K1442),CHAR(10),CHAR(1),L1442)),LEN(INDEX($B$3:$B$168,K1442))+1))</x:f>
      </x:c>
    </x:row>
    <x:row r="1443">
      <x:c r="A1443"/>
      <x:c r="B1443"/>
      <x:c r="C1443"/>
      <x:c r="D1443" t="str">
        <x:f>IFERROR(IF(1441&lt;=$O$1,INDEX($A$3:$A$168,MATCH(1441,$I$3:$I$168,0)),IF(1441&lt;=$O$1+$O$2,INDEX($F$3:$F$1994,MATCH(1441-$O$1,$G$3:$G$1994,0)),"")),"")</x:f>
      </x:c>
      <x:c r="E1443" t="str">
        <x:f>IF(K1443="","",IF(N1443&lt;=M1443,"",TRIM(CLEAN(MID(INDEX($B$3:$B$168,K1443),M1443,N1443-M1443)))))</x:f>
      </x:c>
      <x:c r="F1443" t="str">
        <x:f>IF(E1443="","",IF(E1443=TRIM(INDEX($A$3:$A$168,K1443)),"",IF(RIGHT(TRIM(INDEX($A$3:$A$168,K1443)),1)="]",LEFT(TRIM(INDEX($A$3:$A$168,K1443)),LEN(TRIM(INDEX($A$3:$A$168,K1443)))-1)&amp;", "&amp;SUBSTITUTE(SUBSTITUTE(SUBSTITUTE(E1443," [",", "),"[",", "),"]","")&amp;"]",TRIM(INDEX($A$3:$A$168,K1443))&amp;" ["&amp;SUBSTITUTE(SUBSTITUTE(SUBSTITUTE(E1443," [",", "),"[",", "),"]","")&amp;"]")))</x:f>
      </x:c>
      <x:c r="G1443" t="str">
        <x:f>IF(F1443&lt;&gt;"",ROWS($F$3:F1443)-COUNTBLANK($F$3:F1443),"")</x:f>
      </x:c>
      <x:c r="H1443"/>
      <x:c r="I1443"/>
      <x:c r="J1443"/>
      <x:c r="K1443" t="str">
        <x:f>IF(ROW()-ROW($K$2)&lt;=SUM($J$3:$J$168),COUNTIF($H$3:$H$168,"&lt;"&amp;(ROW()-ROW($K$2))),"")</x:f>
      </x:c>
      <x:c r="L1443" t="str">
        <x:f>IF(K1443="","",ROW()-ROW($L$2)-INDEX($H$3:$H$168,K1443))</x:f>
      </x:c>
      <x:c r="M1443" t="str">
        <x:f>IF(K1443="","",IF(L1443=1,1,FIND(CHAR(1),SUBSTITUTE(INDEX($B$3:$B$168,K1443),CHAR(10),CHAR(1),L1443-1))+1))</x:f>
      </x:c>
      <x:c r="N1443" t="str">
        <x:f>IF(K1443="","",IFERROR(FIND(CHAR(1),SUBSTITUTE(INDEX($B$3:$B$168,K1443),CHAR(10),CHAR(1),L1443)),LEN(INDEX($B$3:$B$168,K1443))+1))</x:f>
      </x:c>
    </x:row>
    <x:row r="1444">
      <x:c r="A1444"/>
      <x:c r="B1444"/>
      <x:c r="C1444"/>
      <x:c r="D1444" t="str">
        <x:f>IFERROR(IF(1442&lt;=$O$1,INDEX($A$3:$A$168,MATCH(1442,$I$3:$I$168,0)),IF(1442&lt;=$O$1+$O$2,INDEX($F$3:$F$1994,MATCH(1442-$O$1,$G$3:$G$1994,0)),"")),"")</x:f>
      </x:c>
      <x:c r="E1444" t="str">
        <x:f>IF(K1444="","",IF(N1444&lt;=M1444,"",TRIM(CLEAN(MID(INDEX($B$3:$B$168,K1444),M1444,N1444-M1444)))))</x:f>
      </x:c>
      <x:c r="F1444" t="str">
        <x:f>IF(E1444="","",IF(E1444=TRIM(INDEX($A$3:$A$168,K1444)),"",IF(RIGHT(TRIM(INDEX($A$3:$A$168,K1444)),1)="]",LEFT(TRIM(INDEX($A$3:$A$168,K1444)),LEN(TRIM(INDEX($A$3:$A$168,K1444)))-1)&amp;", "&amp;SUBSTITUTE(SUBSTITUTE(SUBSTITUTE(E1444," [",", "),"[",", "),"]","")&amp;"]",TRIM(INDEX($A$3:$A$168,K1444))&amp;" ["&amp;SUBSTITUTE(SUBSTITUTE(SUBSTITUTE(E1444," [",", "),"[",", "),"]","")&amp;"]")))</x:f>
      </x:c>
      <x:c r="G1444" t="str">
        <x:f>IF(F1444&lt;&gt;"",ROWS($F$3:F1444)-COUNTBLANK($F$3:F1444),"")</x:f>
      </x:c>
      <x:c r="H1444"/>
      <x:c r="I1444"/>
      <x:c r="J1444"/>
      <x:c r="K1444" t="str">
        <x:f>IF(ROW()-ROW($K$2)&lt;=SUM($J$3:$J$168),COUNTIF($H$3:$H$168,"&lt;"&amp;(ROW()-ROW($K$2))),"")</x:f>
      </x:c>
      <x:c r="L1444" t="str">
        <x:f>IF(K1444="","",ROW()-ROW($L$2)-INDEX($H$3:$H$168,K1444))</x:f>
      </x:c>
      <x:c r="M1444" t="str">
        <x:f>IF(K1444="","",IF(L1444=1,1,FIND(CHAR(1),SUBSTITUTE(INDEX($B$3:$B$168,K1444),CHAR(10),CHAR(1),L1444-1))+1))</x:f>
      </x:c>
      <x:c r="N1444" t="str">
        <x:f>IF(K1444="","",IFERROR(FIND(CHAR(1),SUBSTITUTE(INDEX($B$3:$B$168,K1444),CHAR(10),CHAR(1),L1444)),LEN(INDEX($B$3:$B$168,K1444))+1))</x:f>
      </x:c>
    </x:row>
    <x:row r="1445">
      <x:c r="A1445"/>
      <x:c r="B1445"/>
      <x:c r="C1445"/>
      <x:c r="D1445" t="str">
        <x:f>IFERROR(IF(1443&lt;=$O$1,INDEX($A$3:$A$168,MATCH(1443,$I$3:$I$168,0)),IF(1443&lt;=$O$1+$O$2,INDEX($F$3:$F$1994,MATCH(1443-$O$1,$G$3:$G$1994,0)),"")),"")</x:f>
      </x:c>
      <x:c r="E1445" t="str">
        <x:f>IF(K1445="","",IF(N1445&lt;=M1445,"",TRIM(CLEAN(MID(INDEX($B$3:$B$168,K1445),M1445,N1445-M1445)))))</x:f>
      </x:c>
      <x:c r="F1445" t="str">
        <x:f>IF(E1445="","",IF(E1445=TRIM(INDEX($A$3:$A$168,K1445)),"",IF(RIGHT(TRIM(INDEX($A$3:$A$168,K1445)),1)="]",LEFT(TRIM(INDEX($A$3:$A$168,K1445)),LEN(TRIM(INDEX($A$3:$A$168,K1445)))-1)&amp;", "&amp;SUBSTITUTE(SUBSTITUTE(SUBSTITUTE(E1445," [",", "),"[",", "),"]","")&amp;"]",TRIM(INDEX($A$3:$A$168,K1445))&amp;" ["&amp;SUBSTITUTE(SUBSTITUTE(SUBSTITUTE(E1445," [",", "),"[",", "),"]","")&amp;"]")))</x:f>
      </x:c>
      <x:c r="G1445" t="str">
        <x:f>IF(F1445&lt;&gt;"",ROWS($F$3:F1445)-COUNTBLANK($F$3:F1445),"")</x:f>
      </x:c>
      <x:c r="H1445"/>
      <x:c r="I1445"/>
      <x:c r="J1445"/>
      <x:c r="K1445" t="str">
        <x:f>IF(ROW()-ROW($K$2)&lt;=SUM($J$3:$J$168),COUNTIF($H$3:$H$168,"&lt;"&amp;(ROW()-ROW($K$2))),"")</x:f>
      </x:c>
      <x:c r="L1445" t="str">
        <x:f>IF(K1445="","",ROW()-ROW($L$2)-INDEX($H$3:$H$168,K1445))</x:f>
      </x:c>
      <x:c r="M1445" t="str">
        <x:f>IF(K1445="","",IF(L1445=1,1,FIND(CHAR(1),SUBSTITUTE(INDEX($B$3:$B$168,K1445),CHAR(10),CHAR(1),L1445-1))+1))</x:f>
      </x:c>
      <x:c r="N1445" t="str">
        <x:f>IF(K1445="","",IFERROR(FIND(CHAR(1),SUBSTITUTE(INDEX($B$3:$B$168,K1445),CHAR(10),CHAR(1),L1445)),LEN(INDEX($B$3:$B$168,K1445))+1))</x:f>
      </x:c>
    </x:row>
    <x:row r="1446">
      <x:c r="A1446"/>
      <x:c r="B1446"/>
      <x:c r="C1446"/>
      <x:c r="D1446" t="str">
        <x:f>IFERROR(IF(1444&lt;=$O$1,INDEX($A$3:$A$168,MATCH(1444,$I$3:$I$168,0)),IF(1444&lt;=$O$1+$O$2,INDEX($F$3:$F$1994,MATCH(1444-$O$1,$G$3:$G$1994,0)),"")),"")</x:f>
      </x:c>
      <x:c r="E1446" t="str">
        <x:f>IF(K1446="","",IF(N1446&lt;=M1446,"",TRIM(CLEAN(MID(INDEX($B$3:$B$168,K1446),M1446,N1446-M1446)))))</x:f>
      </x:c>
      <x:c r="F1446" t="str">
        <x:f>IF(E1446="","",IF(E1446=TRIM(INDEX($A$3:$A$168,K1446)),"",IF(RIGHT(TRIM(INDEX($A$3:$A$168,K1446)),1)="]",LEFT(TRIM(INDEX($A$3:$A$168,K1446)),LEN(TRIM(INDEX($A$3:$A$168,K1446)))-1)&amp;", "&amp;SUBSTITUTE(SUBSTITUTE(SUBSTITUTE(E1446," [",", "),"[",", "),"]","")&amp;"]",TRIM(INDEX($A$3:$A$168,K1446))&amp;" ["&amp;SUBSTITUTE(SUBSTITUTE(SUBSTITUTE(E1446," [",", "),"[",", "),"]","")&amp;"]")))</x:f>
      </x:c>
      <x:c r="G1446" t="str">
        <x:f>IF(F1446&lt;&gt;"",ROWS($F$3:F1446)-COUNTBLANK($F$3:F1446),"")</x:f>
      </x:c>
      <x:c r="H1446"/>
      <x:c r="I1446"/>
      <x:c r="J1446"/>
      <x:c r="K1446" t="str">
        <x:f>IF(ROW()-ROW($K$2)&lt;=SUM($J$3:$J$168),COUNTIF($H$3:$H$168,"&lt;"&amp;(ROW()-ROW($K$2))),"")</x:f>
      </x:c>
      <x:c r="L1446" t="str">
        <x:f>IF(K1446="","",ROW()-ROW($L$2)-INDEX($H$3:$H$168,K1446))</x:f>
      </x:c>
      <x:c r="M1446" t="str">
        <x:f>IF(K1446="","",IF(L1446=1,1,FIND(CHAR(1),SUBSTITUTE(INDEX($B$3:$B$168,K1446),CHAR(10),CHAR(1),L1446-1))+1))</x:f>
      </x:c>
      <x:c r="N1446" t="str">
        <x:f>IF(K1446="","",IFERROR(FIND(CHAR(1),SUBSTITUTE(INDEX($B$3:$B$168,K1446),CHAR(10),CHAR(1),L1446)),LEN(INDEX($B$3:$B$168,K1446))+1))</x:f>
      </x:c>
    </x:row>
    <x:row r="1447">
      <x:c r="A1447"/>
      <x:c r="B1447"/>
      <x:c r="C1447"/>
      <x:c r="D1447" t="str">
        <x:f>IFERROR(IF(1445&lt;=$O$1,INDEX($A$3:$A$168,MATCH(1445,$I$3:$I$168,0)),IF(1445&lt;=$O$1+$O$2,INDEX($F$3:$F$1994,MATCH(1445-$O$1,$G$3:$G$1994,0)),"")),"")</x:f>
      </x:c>
      <x:c r="E1447" t="str">
        <x:f>IF(K1447="","",IF(N1447&lt;=M1447,"",TRIM(CLEAN(MID(INDEX($B$3:$B$168,K1447),M1447,N1447-M1447)))))</x:f>
      </x:c>
      <x:c r="F1447" t="str">
        <x:f>IF(E1447="","",IF(E1447=TRIM(INDEX($A$3:$A$168,K1447)),"",IF(RIGHT(TRIM(INDEX($A$3:$A$168,K1447)),1)="]",LEFT(TRIM(INDEX($A$3:$A$168,K1447)),LEN(TRIM(INDEX($A$3:$A$168,K1447)))-1)&amp;", "&amp;SUBSTITUTE(SUBSTITUTE(SUBSTITUTE(E1447," [",", "),"[",", "),"]","")&amp;"]",TRIM(INDEX($A$3:$A$168,K1447))&amp;" ["&amp;SUBSTITUTE(SUBSTITUTE(SUBSTITUTE(E1447," [",", "),"[",", "),"]","")&amp;"]")))</x:f>
      </x:c>
      <x:c r="G1447" t="str">
        <x:f>IF(F1447&lt;&gt;"",ROWS($F$3:F1447)-COUNTBLANK($F$3:F1447),"")</x:f>
      </x:c>
      <x:c r="H1447"/>
      <x:c r="I1447"/>
      <x:c r="J1447"/>
      <x:c r="K1447" t="str">
        <x:f>IF(ROW()-ROW($K$2)&lt;=SUM($J$3:$J$168),COUNTIF($H$3:$H$168,"&lt;"&amp;(ROW()-ROW($K$2))),"")</x:f>
      </x:c>
      <x:c r="L1447" t="str">
        <x:f>IF(K1447="","",ROW()-ROW($L$2)-INDEX($H$3:$H$168,K1447))</x:f>
      </x:c>
      <x:c r="M1447" t="str">
        <x:f>IF(K1447="","",IF(L1447=1,1,FIND(CHAR(1),SUBSTITUTE(INDEX($B$3:$B$168,K1447),CHAR(10),CHAR(1),L1447-1))+1))</x:f>
      </x:c>
      <x:c r="N1447" t="str">
        <x:f>IF(K1447="","",IFERROR(FIND(CHAR(1),SUBSTITUTE(INDEX($B$3:$B$168,K1447),CHAR(10),CHAR(1),L1447)),LEN(INDEX($B$3:$B$168,K1447))+1))</x:f>
      </x:c>
    </x:row>
    <x:row r="1448">
      <x:c r="A1448"/>
      <x:c r="B1448"/>
      <x:c r="C1448"/>
      <x:c r="D1448" t="str">
        <x:f>IFERROR(IF(1446&lt;=$O$1,INDEX($A$3:$A$168,MATCH(1446,$I$3:$I$168,0)),IF(1446&lt;=$O$1+$O$2,INDEX($F$3:$F$1994,MATCH(1446-$O$1,$G$3:$G$1994,0)),"")),"")</x:f>
      </x:c>
      <x:c r="E1448" t="str">
        <x:f>IF(K1448="","",IF(N1448&lt;=M1448,"",TRIM(CLEAN(MID(INDEX($B$3:$B$168,K1448),M1448,N1448-M1448)))))</x:f>
      </x:c>
      <x:c r="F1448" t="str">
        <x:f>IF(E1448="","",IF(E1448=TRIM(INDEX($A$3:$A$168,K1448)),"",IF(RIGHT(TRIM(INDEX($A$3:$A$168,K1448)),1)="]",LEFT(TRIM(INDEX($A$3:$A$168,K1448)),LEN(TRIM(INDEX($A$3:$A$168,K1448)))-1)&amp;", "&amp;SUBSTITUTE(SUBSTITUTE(SUBSTITUTE(E1448," [",", "),"[",", "),"]","")&amp;"]",TRIM(INDEX($A$3:$A$168,K1448))&amp;" ["&amp;SUBSTITUTE(SUBSTITUTE(SUBSTITUTE(E1448," [",", "),"[",", "),"]","")&amp;"]")))</x:f>
      </x:c>
      <x:c r="G1448" t="str">
        <x:f>IF(F1448&lt;&gt;"",ROWS($F$3:F1448)-COUNTBLANK($F$3:F1448),"")</x:f>
      </x:c>
      <x:c r="H1448"/>
      <x:c r="I1448"/>
      <x:c r="J1448"/>
      <x:c r="K1448" t="str">
        <x:f>IF(ROW()-ROW($K$2)&lt;=SUM($J$3:$J$168),COUNTIF($H$3:$H$168,"&lt;"&amp;(ROW()-ROW($K$2))),"")</x:f>
      </x:c>
      <x:c r="L1448" t="str">
        <x:f>IF(K1448="","",ROW()-ROW($L$2)-INDEX($H$3:$H$168,K1448))</x:f>
      </x:c>
      <x:c r="M1448" t="str">
        <x:f>IF(K1448="","",IF(L1448=1,1,FIND(CHAR(1),SUBSTITUTE(INDEX($B$3:$B$168,K1448),CHAR(10),CHAR(1),L1448-1))+1))</x:f>
      </x:c>
      <x:c r="N1448" t="str">
        <x:f>IF(K1448="","",IFERROR(FIND(CHAR(1),SUBSTITUTE(INDEX($B$3:$B$168,K1448),CHAR(10),CHAR(1),L1448)),LEN(INDEX($B$3:$B$168,K1448))+1))</x:f>
      </x:c>
    </x:row>
    <x:row r="1449">
      <x:c r="A1449"/>
      <x:c r="B1449"/>
      <x:c r="C1449"/>
      <x:c r="D1449" t="str">
        <x:f>IFERROR(IF(1447&lt;=$O$1,INDEX($A$3:$A$168,MATCH(1447,$I$3:$I$168,0)),IF(1447&lt;=$O$1+$O$2,INDEX($F$3:$F$1994,MATCH(1447-$O$1,$G$3:$G$1994,0)),"")),"")</x:f>
      </x:c>
      <x:c r="E1449" t="str">
        <x:f>IF(K1449="","",IF(N1449&lt;=M1449,"",TRIM(CLEAN(MID(INDEX($B$3:$B$168,K1449),M1449,N1449-M1449)))))</x:f>
      </x:c>
      <x:c r="F1449" t="str">
        <x:f>IF(E1449="","",IF(E1449=TRIM(INDEX($A$3:$A$168,K1449)),"",IF(RIGHT(TRIM(INDEX($A$3:$A$168,K1449)),1)="]",LEFT(TRIM(INDEX($A$3:$A$168,K1449)),LEN(TRIM(INDEX($A$3:$A$168,K1449)))-1)&amp;", "&amp;SUBSTITUTE(SUBSTITUTE(SUBSTITUTE(E1449," [",", "),"[",", "),"]","")&amp;"]",TRIM(INDEX($A$3:$A$168,K1449))&amp;" ["&amp;SUBSTITUTE(SUBSTITUTE(SUBSTITUTE(E1449," [",", "),"[",", "),"]","")&amp;"]")))</x:f>
      </x:c>
      <x:c r="G1449" t="str">
        <x:f>IF(F1449&lt;&gt;"",ROWS($F$3:F1449)-COUNTBLANK($F$3:F1449),"")</x:f>
      </x:c>
      <x:c r="H1449"/>
      <x:c r="I1449"/>
      <x:c r="J1449"/>
      <x:c r="K1449" t="str">
        <x:f>IF(ROW()-ROW($K$2)&lt;=SUM($J$3:$J$168),COUNTIF($H$3:$H$168,"&lt;"&amp;(ROW()-ROW($K$2))),"")</x:f>
      </x:c>
      <x:c r="L1449" t="str">
        <x:f>IF(K1449="","",ROW()-ROW($L$2)-INDEX($H$3:$H$168,K1449))</x:f>
      </x:c>
      <x:c r="M1449" t="str">
        <x:f>IF(K1449="","",IF(L1449=1,1,FIND(CHAR(1),SUBSTITUTE(INDEX($B$3:$B$168,K1449),CHAR(10),CHAR(1),L1449-1))+1))</x:f>
      </x:c>
      <x:c r="N1449" t="str">
        <x:f>IF(K1449="","",IFERROR(FIND(CHAR(1),SUBSTITUTE(INDEX($B$3:$B$168,K1449),CHAR(10),CHAR(1),L1449)),LEN(INDEX($B$3:$B$168,K1449))+1))</x:f>
      </x:c>
    </x:row>
    <x:row r="1450">
      <x:c r="A1450"/>
      <x:c r="B1450"/>
      <x:c r="C1450"/>
      <x:c r="D1450" t="str">
        <x:f>IFERROR(IF(1448&lt;=$O$1,INDEX($A$3:$A$168,MATCH(1448,$I$3:$I$168,0)),IF(1448&lt;=$O$1+$O$2,INDEX($F$3:$F$1994,MATCH(1448-$O$1,$G$3:$G$1994,0)),"")),"")</x:f>
      </x:c>
      <x:c r="E1450" t="str">
        <x:f>IF(K1450="","",IF(N1450&lt;=M1450,"",TRIM(CLEAN(MID(INDEX($B$3:$B$168,K1450),M1450,N1450-M1450)))))</x:f>
      </x:c>
      <x:c r="F1450" t="str">
        <x:f>IF(E1450="","",IF(E1450=TRIM(INDEX($A$3:$A$168,K1450)),"",IF(RIGHT(TRIM(INDEX($A$3:$A$168,K1450)),1)="]",LEFT(TRIM(INDEX($A$3:$A$168,K1450)),LEN(TRIM(INDEX($A$3:$A$168,K1450)))-1)&amp;", "&amp;SUBSTITUTE(SUBSTITUTE(SUBSTITUTE(E1450," [",", "),"[",", "),"]","")&amp;"]",TRIM(INDEX($A$3:$A$168,K1450))&amp;" ["&amp;SUBSTITUTE(SUBSTITUTE(SUBSTITUTE(E1450," [",", "),"[",", "),"]","")&amp;"]")))</x:f>
      </x:c>
      <x:c r="G1450" t="str">
        <x:f>IF(F1450&lt;&gt;"",ROWS($F$3:F1450)-COUNTBLANK($F$3:F1450),"")</x:f>
      </x:c>
      <x:c r="H1450"/>
      <x:c r="I1450"/>
      <x:c r="J1450"/>
      <x:c r="K1450" t="str">
        <x:f>IF(ROW()-ROW($K$2)&lt;=SUM($J$3:$J$168),COUNTIF($H$3:$H$168,"&lt;"&amp;(ROW()-ROW($K$2))),"")</x:f>
      </x:c>
      <x:c r="L1450" t="str">
        <x:f>IF(K1450="","",ROW()-ROW($L$2)-INDEX($H$3:$H$168,K1450))</x:f>
      </x:c>
      <x:c r="M1450" t="str">
        <x:f>IF(K1450="","",IF(L1450=1,1,FIND(CHAR(1),SUBSTITUTE(INDEX($B$3:$B$168,K1450),CHAR(10),CHAR(1),L1450-1))+1))</x:f>
      </x:c>
      <x:c r="N1450" t="str">
        <x:f>IF(K1450="","",IFERROR(FIND(CHAR(1),SUBSTITUTE(INDEX($B$3:$B$168,K1450),CHAR(10),CHAR(1),L1450)),LEN(INDEX($B$3:$B$168,K1450))+1))</x:f>
      </x:c>
    </x:row>
    <x:row r="1451">
      <x:c r="A1451"/>
      <x:c r="B1451"/>
      <x:c r="C1451"/>
      <x:c r="D1451" t="str">
        <x:f>IFERROR(IF(1449&lt;=$O$1,INDEX($A$3:$A$168,MATCH(1449,$I$3:$I$168,0)),IF(1449&lt;=$O$1+$O$2,INDEX($F$3:$F$1994,MATCH(1449-$O$1,$G$3:$G$1994,0)),"")),"")</x:f>
      </x:c>
      <x:c r="E1451" t="str">
        <x:f>IF(K1451="","",IF(N1451&lt;=M1451,"",TRIM(CLEAN(MID(INDEX($B$3:$B$168,K1451),M1451,N1451-M1451)))))</x:f>
      </x:c>
      <x:c r="F1451" t="str">
        <x:f>IF(E1451="","",IF(E1451=TRIM(INDEX($A$3:$A$168,K1451)),"",IF(RIGHT(TRIM(INDEX($A$3:$A$168,K1451)),1)="]",LEFT(TRIM(INDEX($A$3:$A$168,K1451)),LEN(TRIM(INDEX($A$3:$A$168,K1451)))-1)&amp;", "&amp;SUBSTITUTE(SUBSTITUTE(SUBSTITUTE(E1451," [",", "),"[",", "),"]","")&amp;"]",TRIM(INDEX($A$3:$A$168,K1451))&amp;" ["&amp;SUBSTITUTE(SUBSTITUTE(SUBSTITUTE(E1451," [",", "),"[",", "),"]","")&amp;"]")))</x:f>
      </x:c>
      <x:c r="G1451" t="str">
        <x:f>IF(F1451&lt;&gt;"",ROWS($F$3:F1451)-COUNTBLANK($F$3:F1451),"")</x:f>
      </x:c>
      <x:c r="H1451"/>
      <x:c r="I1451"/>
      <x:c r="J1451"/>
      <x:c r="K1451" t="str">
        <x:f>IF(ROW()-ROW($K$2)&lt;=SUM($J$3:$J$168),COUNTIF($H$3:$H$168,"&lt;"&amp;(ROW()-ROW($K$2))),"")</x:f>
      </x:c>
      <x:c r="L1451" t="str">
        <x:f>IF(K1451="","",ROW()-ROW($L$2)-INDEX($H$3:$H$168,K1451))</x:f>
      </x:c>
      <x:c r="M1451" t="str">
        <x:f>IF(K1451="","",IF(L1451=1,1,FIND(CHAR(1),SUBSTITUTE(INDEX($B$3:$B$168,K1451),CHAR(10),CHAR(1),L1451-1))+1))</x:f>
      </x:c>
      <x:c r="N1451" t="str">
        <x:f>IF(K1451="","",IFERROR(FIND(CHAR(1),SUBSTITUTE(INDEX($B$3:$B$168,K1451),CHAR(10),CHAR(1),L1451)),LEN(INDEX($B$3:$B$168,K1451))+1))</x:f>
      </x:c>
    </x:row>
    <x:row r="1452">
      <x:c r="A1452"/>
      <x:c r="B1452"/>
      <x:c r="C1452"/>
      <x:c r="D1452" t="str">
        <x:f>IFERROR(IF(1450&lt;=$O$1,INDEX($A$3:$A$168,MATCH(1450,$I$3:$I$168,0)),IF(1450&lt;=$O$1+$O$2,INDEX($F$3:$F$1994,MATCH(1450-$O$1,$G$3:$G$1994,0)),"")),"")</x:f>
      </x:c>
      <x:c r="E1452" t="str">
        <x:f>IF(K1452="","",IF(N1452&lt;=M1452,"",TRIM(CLEAN(MID(INDEX($B$3:$B$168,K1452),M1452,N1452-M1452)))))</x:f>
      </x:c>
      <x:c r="F1452" t="str">
        <x:f>IF(E1452="","",IF(E1452=TRIM(INDEX($A$3:$A$168,K1452)),"",IF(RIGHT(TRIM(INDEX($A$3:$A$168,K1452)),1)="]",LEFT(TRIM(INDEX($A$3:$A$168,K1452)),LEN(TRIM(INDEX($A$3:$A$168,K1452)))-1)&amp;", "&amp;SUBSTITUTE(SUBSTITUTE(SUBSTITUTE(E1452," [",", "),"[",", "),"]","")&amp;"]",TRIM(INDEX($A$3:$A$168,K1452))&amp;" ["&amp;SUBSTITUTE(SUBSTITUTE(SUBSTITUTE(E1452," [",", "),"[",", "),"]","")&amp;"]")))</x:f>
      </x:c>
      <x:c r="G1452" t="str">
        <x:f>IF(F1452&lt;&gt;"",ROWS($F$3:F1452)-COUNTBLANK($F$3:F1452),"")</x:f>
      </x:c>
      <x:c r="H1452"/>
      <x:c r="I1452"/>
      <x:c r="J1452"/>
      <x:c r="K1452" t="str">
        <x:f>IF(ROW()-ROW($K$2)&lt;=SUM($J$3:$J$168),COUNTIF($H$3:$H$168,"&lt;"&amp;(ROW()-ROW($K$2))),"")</x:f>
      </x:c>
      <x:c r="L1452" t="str">
        <x:f>IF(K1452="","",ROW()-ROW($L$2)-INDEX($H$3:$H$168,K1452))</x:f>
      </x:c>
      <x:c r="M1452" t="str">
        <x:f>IF(K1452="","",IF(L1452=1,1,FIND(CHAR(1),SUBSTITUTE(INDEX($B$3:$B$168,K1452),CHAR(10),CHAR(1),L1452-1))+1))</x:f>
      </x:c>
      <x:c r="N1452" t="str">
        <x:f>IF(K1452="","",IFERROR(FIND(CHAR(1),SUBSTITUTE(INDEX($B$3:$B$168,K1452),CHAR(10),CHAR(1),L1452)),LEN(INDEX($B$3:$B$168,K1452))+1))</x:f>
      </x:c>
    </x:row>
    <x:row r="1453">
      <x:c r="A1453"/>
      <x:c r="B1453"/>
      <x:c r="C1453"/>
      <x:c r="D1453" t="str">
        <x:f>IFERROR(IF(1451&lt;=$O$1,INDEX($A$3:$A$168,MATCH(1451,$I$3:$I$168,0)),IF(1451&lt;=$O$1+$O$2,INDEX($F$3:$F$1994,MATCH(1451-$O$1,$G$3:$G$1994,0)),"")),"")</x:f>
      </x:c>
      <x:c r="E1453" t="str">
        <x:f>IF(K1453="","",IF(N1453&lt;=M1453,"",TRIM(CLEAN(MID(INDEX($B$3:$B$168,K1453),M1453,N1453-M1453)))))</x:f>
      </x:c>
      <x:c r="F1453" t="str">
        <x:f>IF(E1453="","",IF(E1453=TRIM(INDEX($A$3:$A$168,K1453)),"",IF(RIGHT(TRIM(INDEX($A$3:$A$168,K1453)),1)="]",LEFT(TRIM(INDEX($A$3:$A$168,K1453)),LEN(TRIM(INDEX($A$3:$A$168,K1453)))-1)&amp;", "&amp;SUBSTITUTE(SUBSTITUTE(SUBSTITUTE(E1453," [",", "),"[",", "),"]","")&amp;"]",TRIM(INDEX($A$3:$A$168,K1453))&amp;" ["&amp;SUBSTITUTE(SUBSTITUTE(SUBSTITUTE(E1453," [",", "),"[",", "),"]","")&amp;"]")))</x:f>
      </x:c>
      <x:c r="G1453" t="str">
        <x:f>IF(F1453&lt;&gt;"",ROWS($F$3:F1453)-COUNTBLANK($F$3:F1453),"")</x:f>
      </x:c>
      <x:c r="H1453"/>
      <x:c r="I1453"/>
      <x:c r="J1453"/>
      <x:c r="K1453" t="str">
        <x:f>IF(ROW()-ROW($K$2)&lt;=SUM($J$3:$J$168),COUNTIF($H$3:$H$168,"&lt;"&amp;(ROW()-ROW($K$2))),"")</x:f>
      </x:c>
      <x:c r="L1453" t="str">
        <x:f>IF(K1453="","",ROW()-ROW($L$2)-INDEX($H$3:$H$168,K1453))</x:f>
      </x:c>
      <x:c r="M1453" t="str">
        <x:f>IF(K1453="","",IF(L1453=1,1,FIND(CHAR(1),SUBSTITUTE(INDEX($B$3:$B$168,K1453),CHAR(10),CHAR(1),L1453-1))+1))</x:f>
      </x:c>
      <x:c r="N1453" t="str">
        <x:f>IF(K1453="","",IFERROR(FIND(CHAR(1),SUBSTITUTE(INDEX($B$3:$B$168,K1453),CHAR(10),CHAR(1),L1453)),LEN(INDEX($B$3:$B$168,K1453))+1))</x:f>
      </x:c>
    </x:row>
    <x:row r="1454">
      <x:c r="A1454"/>
      <x:c r="B1454"/>
      <x:c r="C1454"/>
      <x:c r="D1454" t="str">
        <x:f>IFERROR(IF(1452&lt;=$O$1,INDEX($A$3:$A$168,MATCH(1452,$I$3:$I$168,0)),IF(1452&lt;=$O$1+$O$2,INDEX($F$3:$F$1994,MATCH(1452-$O$1,$G$3:$G$1994,0)),"")),"")</x:f>
      </x:c>
      <x:c r="E1454" t="str">
        <x:f>IF(K1454="","",IF(N1454&lt;=M1454,"",TRIM(CLEAN(MID(INDEX($B$3:$B$168,K1454),M1454,N1454-M1454)))))</x:f>
      </x:c>
      <x:c r="F1454" t="str">
        <x:f>IF(E1454="","",IF(E1454=TRIM(INDEX($A$3:$A$168,K1454)),"",IF(RIGHT(TRIM(INDEX($A$3:$A$168,K1454)),1)="]",LEFT(TRIM(INDEX($A$3:$A$168,K1454)),LEN(TRIM(INDEX($A$3:$A$168,K1454)))-1)&amp;", "&amp;SUBSTITUTE(SUBSTITUTE(SUBSTITUTE(E1454," [",", "),"[",", "),"]","")&amp;"]",TRIM(INDEX($A$3:$A$168,K1454))&amp;" ["&amp;SUBSTITUTE(SUBSTITUTE(SUBSTITUTE(E1454," [",", "),"[",", "),"]","")&amp;"]")))</x:f>
      </x:c>
      <x:c r="G1454" t="str">
        <x:f>IF(F1454&lt;&gt;"",ROWS($F$3:F1454)-COUNTBLANK($F$3:F1454),"")</x:f>
      </x:c>
      <x:c r="H1454"/>
      <x:c r="I1454"/>
      <x:c r="J1454"/>
      <x:c r="K1454" t="str">
        <x:f>IF(ROW()-ROW($K$2)&lt;=SUM($J$3:$J$168),COUNTIF($H$3:$H$168,"&lt;"&amp;(ROW()-ROW($K$2))),"")</x:f>
      </x:c>
      <x:c r="L1454" t="str">
        <x:f>IF(K1454="","",ROW()-ROW($L$2)-INDEX($H$3:$H$168,K1454))</x:f>
      </x:c>
      <x:c r="M1454" t="str">
        <x:f>IF(K1454="","",IF(L1454=1,1,FIND(CHAR(1),SUBSTITUTE(INDEX($B$3:$B$168,K1454),CHAR(10),CHAR(1),L1454-1))+1))</x:f>
      </x:c>
      <x:c r="N1454" t="str">
        <x:f>IF(K1454="","",IFERROR(FIND(CHAR(1),SUBSTITUTE(INDEX($B$3:$B$168,K1454),CHAR(10),CHAR(1),L1454)),LEN(INDEX($B$3:$B$168,K1454))+1))</x:f>
      </x:c>
    </x:row>
    <x:row r="1455">
      <x:c r="A1455"/>
      <x:c r="B1455"/>
      <x:c r="C1455"/>
      <x:c r="D1455" t="str">
        <x:f>IFERROR(IF(1453&lt;=$O$1,INDEX($A$3:$A$168,MATCH(1453,$I$3:$I$168,0)),IF(1453&lt;=$O$1+$O$2,INDEX($F$3:$F$1994,MATCH(1453-$O$1,$G$3:$G$1994,0)),"")),"")</x:f>
      </x:c>
      <x:c r="E1455" t="str">
        <x:f>IF(K1455="","",IF(N1455&lt;=M1455,"",TRIM(CLEAN(MID(INDEX($B$3:$B$168,K1455),M1455,N1455-M1455)))))</x:f>
      </x:c>
      <x:c r="F1455" t="str">
        <x:f>IF(E1455="","",IF(E1455=TRIM(INDEX($A$3:$A$168,K1455)),"",IF(RIGHT(TRIM(INDEX($A$3:$A$168,K1455)),1)="]",LEFT(TRIM(INDEX($A$3:$A$168,K1455)),LEN(TRIM(INDEX($A$3:$A$168,K1455)))-1)&amp;", "&amp;SUBSTITUTE(SUBSTITUTE(SUBSTITUTE(E1455," [",", "),"[",", "),"]","")&amp;"]",TRIM(INDEX($A$3:$A$168,K1455))&amp;" ["&amp;SUBSTITUTE(SUBSTITUTE(SUBSTITUTE(E1455," [",", "),"[",", "),"]","")&amp;"]")))</x:f>
      </x:c>
      <x:c r="G1455" t="str">
        <x:f>IF(F1455&lt;&gt;"",ROWS($F$3:F1455)-COUNTBLANK($F$3:F1455),"")</x:f>
      </x:c>
      <x:c r="H1455"/>
      <x:c r="I1455"/>
      <x:c r="J1455"/>
      <x:c r="K1455" t="str">
        <x:f>IF(ROW()-ROW($K$2)&lt;=SUM($J$3:$J$168),COUNTIF($H$3:$H$168,"&lt;"&amp;(ROW()-ROW($K$2))),"")</x:f>
      </x:c>
      <x:c r="L1455" t="str">
        <x:f>IF(K1455="","",ROW()-ROW($L$2)-INDEX($H$3:$H$168,K1455))</x:f>
      </x:c>
      <x:c r="M1455" t="str">
        <x:f>IF(K1455="","",IF(L1455=1,1,FIND(CHAR(1),SUBSTITUTE(INDEX($B$3:$B$168,K1455),CHAR(10),CHAR(1),L1455-1))+1))</x:f>
      </x:c>
      <x:c r="N1455" t="str">
        <x:f>IF(K1455="","",IFERROR(FIND(CHAR(1),SUBSTITUTE(INDEX($B$3:$B$168,K1455),CHAR(10),CHAR(1),L1455)),LEN(INDEX($B$3:$B$168,K1455))+1))</x:f>
      </x:c>
    </x:row>
    <x:row r="1456">
      <x:c r="A1456"/>
      <x:c r="B1456"/>
      <x:c r="C1456"/>
      <x:c r="D1456" t="str">
        <x:f>IFERROR(IF(1454&lt;=$O$1,INDEX($A$3:$A$168,MATCH(1454,$I$3:$I$168,0)),IF(1454&lt;=$O$1+$O$2,INDEX($F$3:$F$1994,MATCH(1454-$O$1,$G$3:$G$1994,0)),"")),"")</x:f>
      </x:c>
      <x:c r="E1456" t="str">
        <x:f>IF(K1456="","",IF(N1456&lt;=M1456,"",TRIM(CLEAN(MID(INDEX($B$3:$B$168,K1456),M1456,N1456-M1456)))))</x:f>
      </x:c>
      <x:c r="F1456" t="str">
        <x:f>IF(E1456="","",IF(E1456=TRIM(INDEX($A$3:$A$168,K1456)),"",IF(RIGHT(TRIM(INDEX($A$3:$A$168,K1456)),1)="]",LEFT(TRIM(INDEX($A$3:$A$168,K1456)),LEN(TRIM(INDEX($A$3:$A$168,K1456)))-1)&amp;", "&amp;SUBSTITUTE(SUBSTITUTE(SUBSTITUTE(E1456," [",", "),"[",", "),"]","")&amp;"]",TRIM(INDEX($A$3:$A$168,K1456))&amp;" ["&amp;SUBSTITUTE(SUBSTITUTE(SUBSTITUTE(E1456," [",", "),"[",", "),"]","")&amp;"]")))</x:f>
      </x:c>
      <x:c r="G1456" t="str">
        <x:f>IF(F1456&lt;&gt;"",ROWS($F$3:F1456)-COUNTBLANK($F$3:F1456),"")</x:f>
      </x:c>
      <x:c r="H1456"/>
      <x:c r="I1456"/>
      <x:c r="J1456"/>
      <x:c r="K1456" t="str">
        <x:f>IF(ROW()-ROW($K$2)&lt;=SUM($J$3:$J$168),COUNTIF($H$3:$H$168,"&lt;"&amp;(ROW()-ROW($K$2))),"")</x:f>
      </x:c>
      <x:c r="L1456" t="str">
        <x:f>IF(K1456="","",ROW()-ROW($L$2)-INDEX($H$3:$H$168,K1456))</x:f>
      </x:c>
      <x:c r="M1456" t="str">
        <x:f>IF(K1456="","",IF(L1456=1,1,FIND(CHAR(1),SUBSTITUTE(INDEX($B$3:$B$168,K1456),CHAR(10),CHAR(1),L1456-1))+1))</x:f>
      </x:c>
      <x:c r="N1456" t="str">
        <x:f>IF(K1456="","",IFERROR(FIND(CHAR(1),SUBSTITUTE(INDEX($B$3:$B$168,K1456),CHAR(10),CHAR(1),L1456)),LEN(INDEX($B$3:$B$168,K1456))+1))</x:f>
      </x:c>
    </x:row>
    <x:row r="1457">
      <x:c r="A1457"/>
      <x:c r="B1457"/>
      <x:c r="C1457"/>
      <x:c r="D1457" t="str">
        <x:f>IFERROR(IF(1455&lt;=$O$1,INDEX($A$3:$A$168,MATCH(1455,$I$3:$I$168,0)),IF(1455&lt;=$O$1+$O$2,INDEX($F$3:$F$1994,MATCH(1455-$O$1,$G$3:$G$1994,0)),"")),"")</x:f>
      </x:c>
      <x:c r="E1457" t="str">
        <x:f>IF(K1457="","",IF(N1457&lt;=M1457,"",TRIM(CLEAN(MID(INDEX($B$3:$B$168,K1457),M1457,N1457-M1457)))))</x:f>
      </x:c>
      <x:c r="F1457" t="str">
        <x:f>IF(E1457="","",IF(E1457=TRIM(INDEX($A$3:$A$168,K1457)),"",IF(RIGHT(TRIM(INDEX($A$3:$A$168,K1457)),1)="]",LEFT(TRIM(INDEX($A$3:$A$168,K1457)),LEN(TRIM(INDEX($A$3:$A$168,K1457)))-1)&amp;", "&amp;SUBSTITUTE(SUBSTITUTE(SUBSTITUTE(E1457," [",", "),"[",", "),"]","")&amp;"]",TRIM(INDEX($A$3:$A$168,K1457))&amp;" ["&amp;SUBSTITUTE(SUBSTITUTE(SUBSTITUTE(E1457," [",", "),"[",", "),"]","")&amp;"]")))</x:f>
      </x:c>
      <x:c r="G1457" t="str">
        <x:f>IF(F1457&lt;&gt;"",ROWS($F$3:F1457)-COUNTBLANK($F$3:F1457),"")</x:f>
      </x:c>
      <x:c r="H1457"/>
      <x:c r="I1457"/>
      <x:c r="J1457"/>
      <x:c r="K1457" t="str">
        <x:f>IF(ROW()-ROW($K$2)&lt;=SUM($J$3:$J$168),COUNTIF($H$3:$H$168,"&lt;"&amp;(ROW()-ROW($K$2))),"")</x:f>
      </x:c>
      <x:c r="L1457" t="str">
        <x:f>IF(K1457="","",ROW()-ROW($L$2)-INDEX($H$3:$H$168,K1457))</x:f>
      </x:c>
      <x:c r="M1457" t="str">
        <x:f>IF(K1457="","",IF(L1457=1,1,FIND(CHAR(1),SUBSTITUTE(INDEX($B$3:$B$168,K1457),CHAR(10),CHAR(1),L1457-1))+1))</x:f>
      </x:c>
      <x:c r="N1457" t="str">
        <x:f>IF(K1457="","",IFERROR(FIND(CHAR(1),SUBSTITUTE(INDEX($B$3:$B$168,K1457),CHAR(10),CHAR(1),L1457)),LEN(INDEX($B$3:$B$168,K1457))+1))</x:f>
      </x:c>
    </x:row>
    <x:row r="1458">
      <x:c r="A1458"/>
      <x:c r="B1458"/>
      <x:c r="C1458"/>
      <x:c r="D1458" t="str">
        <x:f>IFERROR(IF(1456&lt;=$O$1,INDEX($A$3:$A$168,MATCH(1456,$I$3:$I$168,0)),IF(1456&lt;=$O$1+$O$2,INDEX($F$3:$F$1994,MATCH(1456-$O$1,$G$3:$G$1994,0)),"")),"")</x:f>
      </x:c>
      <x:c r="E1458" t="str">
        <x:f>IF(K1458="","",IF(N1458&lt;=M1458,"",TRIM(CLEAN(MID(INDEX($B$3:$B$168,K1458),M1458,N1458-M1458)))))</x:f>
      </x:c>
      <x:c r="F1458" t="str">
        <x:f>IF(E1458="","",IF(E1458=TRIM(INDEX($A$3:$A$168,K1458)),"",IF(RIGHT(TRIM(INDEX($A$3:$A$168,K1458)),1)="]",LEFT(TRIM(INDEX($A$3:$A$168,K1458)),LEN(TRIM(INDEX($A$3:$A$168,K1458)))-1)&amp;", "&amp;SUBSTITUTE(SUBSTITUTE(SUBSTITUTE(E1458," [",", "),"[",", "),"]","")&amp;"]",TRIM(INDEX($A$3:$A$168,K1458))&amp;" ["&amp;SUBSTITUTE(SUBSTITUTE(SUBSTITUTE(E1458," [",", "),"[",", "),"]","")&amp;"]")))</x:f>
      </x:c>
      <x:c r="G1458" t="str">
        <x:f>IF(F1458&lt;&gt;"",ROWS($F$3:F1458)-COUNTBLANK($F$3:F1458),"")</x:f>
      </x:c>
      <x:c r="H1458"/>
      <x:c r="I1458"/>
      <x:c r="J1458"/>
      <x:c r="K1458" t="str">
        <x:f>IF(ROW()-ROW($K$2)&lt;=SUM($J$3:$J$168),COUNTIF($H$3:$H$168,"&lt;"&amp;(ROW()-ROW($K$2))),"")</x:f>
      </x:c>
      <x:c r="L1458" t="str">
        <x:f>IF(K1458="","",ROW()-ROW($L$2)-INDEX($H$3:$H$168,K1458))</x:f>
      </x:c>
      <x:c r="M1458" t="str">
        <x:f>IF(K1458="","",IF(L1458=1,1,FIND(CHAR(1),SUBSTITUTE(INDEX($B$3:$B$168,K1458),CHAR(10),CHAR(1),L1458-1))+1))</x:f>
      </x:c>
      <x:c r="N1458" t="str">
        <x:f>IF(K1458="","",IFERROR(FIND(CHAR(1),SUBSTITUTE(INDEX($B$3:$B$168,K1458),CHAR(10),CHAR(1),L1458)),LEN(INDEX($B$3:$B$168,K1458))+1))</x:f>
      </x:c>
    </x:row>
    <x:row r="1459">
      <x:c r="A1459"/>
      <x:c r="B1459"/>
      <x:c r="C1459"/>
      <x:c r="D1459" t="str">
        <x:f>IFERROR(IF(1457&lt;=$O$1,INDEX($A$3:$A$168,MATCH(1457,$I$3:$I$168,0)),IF(1457&lt;=$O$1+$O$2,INDEX($F$3:$F$1994,MATCH(1457-$O$1,$G$3:$G$1994,0)),"")),"")</x:f>
      </x:c>
      <x:c r="E1459" t="str">
        <x:f>IF(K1459="","",IF(N1459&lt;=M1459,"",TRIM(CLEAN(MID(INDEX($B$3:$B$168,K1459),M1459,N1459-M1459)))))</x:f>
      </x:c>
      <x:c r="F1459" t="str">
        <x:f>IF(E1459="","",IF(E1459=TRIM(INDEX($A$3:$A$168,K1459)),"",IF(RIGHT(TRIM(INDEX($A$3:$A$168,K1459)),1)="]",LEFT(TRIM(INDEX($A$3:$A$168,K1459)),LEN(TRIM(INDEX($A$3:$A$168,K1459)))-1)&amp;", "&amp;SUBSTITUTE(SUBSTITUTE(SUBSTITUTE(E1459," [",", "),"[",", "),"]","")&amp;"]",TRIM(INDEX($A$3:$A$168,K1459))&amp;" ["&amp;SUBSTITUTE(SUBSTITUTE(SUBSTITUTE(E1459," [",", "),"[",", "),"]","")&amp;"]")))</x:f>
      </x:c>
      <x:c r="G1459" t="str">
        <x:f>IF(F1459&lt;&gt;"",ROWS($F$3:F1459)-COUNTBLANK($F$3:F1459),"")</x:f>
      </x:c>
      <x:c r="H1459"/>
      <x:c r="I1459"/>
      <x:c r="J1459"/>
      <x:c r="K1459" t="str">
        <x:f>IF(ROW()-ROW($K$2)&lt;=SUM($J$3:$J$168),COUNTIF($H$3:$H$168,"&lt;"&amp;(ROW()-ROW($K$2))),"")</x:f>
      </x:c>
      <x:c r="L1459" t="str">
        <x:f>IF(K1459="","",ROW()-ROW($L$2)-INDEX($H$3:$H$168,K1459))</x:f>
      </x:c>
      <x:c r="M1459" t="str">
        <x:f>IF(K1459="","",IF(L1459=1,1,FIND(CHAR(1),SUBSTITUTE(INDEX($B$3:$B$168,K1459),CHAR(10),CHAR(1),L1459-1))+1))</x:f>
      </x:c>
      <x:c r="N1459" t="str">
        <x:f>IF(K1459="","",IFERROR(FIND(CHAR(1),SUBSTITUTE(INDEX($B$3:$B$168,K1459),CHAR(10),CHAR(1),L1459)),LEN(INDEX($B$3:$B$168,K1459))+1))</x:f>
      </x:c>
    </x:row>
    <x:row r="1460">
      <x:c r="A1460"/>
      <x:c r="B1460"/>
      <x:c r="C1460"/>
      <x:c r="D1460" t="str">
        <x:f>IFERROR(IF(1458&lt;=$O$1,INDEX($A$3:$A$168,MATCH(1458,$I$3:$I$168,0)),IF(1458&lt;=$O$1+$O$2,INDEX($F$3:$F$1994,MATCH(1458-$O$1,$G$3:$G$1994,0)),"")),"")</x:f>
      </x:c>
      <x:c r="E1460" t="str">
        <x:f>IF(K1460="","",IF(N1460&lt;=M1460,"",TRIM(CLEAN(MID(INDEX($B$3:$B$168,K1460),M1460,N1460-M1460)))))</x:f>
      </x:c>
      <x:c r="F1460" t="str">
        <x:f>IF(E1460="","",IF(E1460=TRIM(INDEX($A$3:$A$168,K1460)),"",IF(RIGHT(TRIM(INDEX($A$3:$A$168,K1460)),1)="]",LEFT(TRIM(INDEX($A$3:$A$168,K1460)),LEN(TRIM(INDEX($A$3:$A$168,K1460)))-1)&amp;", "&amp;SUBSTITUTE(SUBSTITUTE(SUBSTITUTE(E1460," [",", "),"[",", "),"]","")&amp;"]",TRIM(INDEX($A$3:$A$168,K1460))&amp;" ["&amp;SUBSTITUTE(SUBSTITUTE(SUBSTITUTE(E1460," [",", "),"[",", "),"]","")&amp;"]")))</x:f>
      </x:c>
      <x:c r="G1460" t="str">
        <x:f>IF(F1460&lt;&gt;"",ROWS($F$3:F1460)-COUNTBLANK($F$3:F1460),"")</x:f>
      </x:c>
      <x:c r="H1460"/>
      <x:c r="I1460"/>
      <x:c r="J1460"/>
      <x:c r="K1460" t="str">
        <x:f>IF(ROW()-ROW($K$2)&lt;=SUM($J$3:$J$168),COUNTIF($H$3:$H$168,"&lt;"&amp;(ROW()-ROW($K$2))),"")</x:f>
      </x:c>
      <x:c r="L1460" t="str">
        <x:f>IF(K1460="","",ROW()-ROW($L$2)-INDEX($H$3:$H$168,K1460))</x:f>
      </x:c>
      <x:c r="M1460" t="str">
        <x:f>IF(K1460="","",IF(L1460=1,1,FIND(CHAR(1),SUBSTITUTE(INDEX($B$3:$B$168,K1460),CHAR(10),CHAR(1),L1460-1))+1))</x:f>
      </x:c>
      <x:c r="N1460" t="str">
        <x:f>IF(K1460="","",IFERROR(FIND(CHAR(1),SUBSTITUTE(INDEX($B$3:$B$168,K1460),CHAR(10),CHAR(1),L1460)),LEN(INDEX($B$3:$B$168,K1460))+1))</x:f>
      </x:c>
    </x:row>
    <x:row r="1461">
      <x:c r="A1461"/>
      <x:c r="B1461"/>
      <x:c r="C1461"/>
      <x:c r="D1461" t="str">
        <x:f>IFERROR(IF(1459&lt;=$O$1,INDEX($A$3:$A$168,MATCH(1459,$I$3:$I$168,0)),IF(1459&lt;=$O$1+$O$2,INDEX($F$3:$F$1994,MATCH(1459-$O$1,$G$3:$G$1994,0)),"")),"")</x:f>
      </x:c>
      <x:c r="E1461" t="str">
        <x:f>IF(K1461="","",IF(N1461&lt;=M1461,"",TRIM(CLEAN(MID(INDEX($B$3:$B$168,K1461),M1461,N1461-M1461)))))</x:f>
      </x:c>
      <x:c r="F1461" t="str">
        <x:f>IF(E1461="","",IF(E1461=TRIM(INDEX($A$3:$A$168,K1461)),"",IF(RIGHT(TRIM(INDEX($A$3:$A$168,K1461)),1)="]",LEFT(TRIM(INDEX($A$3:$A$168,K1461)),LEN(TRIM(INDEX($A$3:$A$168,K1461)))-1)&amp;", "&amp;SUBSTITUTE(SUBSTITUTE(SUBSTITUTE(E1461," [",", "),"[",", "),"]","")&amp;"]",TRIM(INDEX($A$3:$A$168,K1461))&amp;" ["&amp;SUBSTITUTE(SUBSTITUTE(SUBSTITUTE(E1461," [",", "),"[",", "),"]","")&amp;"]")))</x:f>
      </x:c>
      <x:c r="G1461" t="str">
        <x:f>IF(F1461&lt;&gt;"",ROWS($F$3:F1461)-COUNTBLANK($F$3:F1461),"")</x:f>
      </x:c>
      <x:c r="H1461"/>
      <x:c r="I1461"/>
      <x:c r="J1461"/>
      <x:c r="K1461" t="str">
        <x:f>IF(ROW()-ROW($K$2)&lt;=SUM($J$3:$J$168),COUNTIF($H$3:$H$168,"&lt;"&amp;(ROW()-ROW($K$2))),"")</x:f>
      </x:c>
      <x:c r="L1461" t="str">
        <x:f>IF(K1461="","",ROW()-ROW($L$2)-INDEX($H$3:$H$168,K1461))</x:f>
      </x:c>
      <x:c r="M1461" t="str">
        <x:f>IF(K1461="","",IF(L1461=1,1,FIND(CHAR(1),SUBSTITUTE(INDEX($B$3:$B$168,K1461),CHAR(10),CHAR(1),L1461-1))+1))</x:f>
      </x:c>
      <x:c r="N1461" t="str">
        <x:f>IF(K1461="","",IFERROR(FIND(CHAR(1),SUBSTITUTE(INDEX($B$3:$B$168,K1461),CHAR(10),CHAR(1),L1461)),LEN(INDEX($B$3:$B$168,K1461))+1))</x:f>
      </x:c>
    </x:row>
    <x:row r="1462">
      <x:c r="A1462"/>
      <x:c r="B1462"/>
      <x:c r="C1462"/>
      <x:c r="D1462" t="str">
        <x:f>IFERROR(IF(1460&lt;=$O$1,INDEX($A$3:$A$168,MATCH(1460,$I$3:$I$168,0)),IF(1460&lt;=$O$1+$O$2,INDEX($F$3:$F$1994,MATCH(1460-$O$1,$G$3:$G$1994,0)),"")),"")</x:f>
      </x:c>
      <x:c r="E1462" t="str">
        <x:f>IF(K1462="","",IF(N1462&lt;=M1462,"",TRIM(CLEAN(MID(INDEX($B$3:$B$168,K1462),M1462,N1462-M1462)))))</x:f>
      </x:c>
      <x:c r="F1462" t="str">
        <x:f>IF(E1462="","",IF(E1462=TRIM(INDEX($A$3:$A$168,K1462)),"",IF(RIGHT(TRIM(INDEX($A$3:$A$168,K1462)),1)="]",LEFT(TRIM(INDEX($A$3:$A$168,K1462)),LEN(TRIM(INDEX($A$3:$A$168,K1462)))-1)&amp;", "&amp;SUBSTITUTE(SUBSTITUTE(SUBSTITUTE(E1462," [",", "),"[",", "),"]","")&amp;"]",TRIM(INDEX($A$3:$A$168,K1462))&amp;" ["&amp;SUBSTITUTE(SUBSTITUTE(SUBSTITUTE(E1462," [",", "),"[",", "),"]","")&amp;"]")))</x:f>
      </x:c>
      <x:c r="G1462" t="str">
        <x:f>IF(F1462&lt;&gt;"",ROWS($F$3:F1462)-COUNTBLANK($F$3:F1462),"")</x:f>
      </x:c>
      <x:c r="H1462"/>
      <x:c r="I1462"/>
      <x:c r="J1462"/>
      <x:c r="K1462" t="str">
        <x:f>IF(ROW()-ROW($K$2)&lt;=SUM($J$3:$J$168),COUNTIF($H$3:$H$168,"&lt;"&amp;(ROW()-ROW($K$2))),"")</x:f>
      </x:c>
      <x:c r="L1462" t="str">
        <x:f>IF(K1462="","",ROW()-ROW($L$2)-INDEX($H$3:$H$168,K1462))</x:f>
      </x:c>
      <x:c r="M1462" t="str">
        <x:f>IF(K1462="","",IF(L1462=1,1,FIND(CHAR(1),SUBSTITUTE(INDEX($B$3:$B$168,K1462),CHAR(10),CHAR(1),L1462-1))+1))</x:f>
      </x:c>
      <x:c r="N1462" t="str">
        <x:f>IF(K1462="","",IFERROR(FIND(CHAR(1),SUBSTITUTE(INDEX($B$3:$B$168,K1462),CHAR(10),CHAR(1),L1462)),LEN(INDEX($B$3:$B$168,K1462))+1))</x:f>
      </x:c>
    </x:row>
    <x:row r="1463">
      <x:c r="A1463"/>
      <x:c r="B1463"/>
      <x:c r="C1463"/>
      <x:c r="D1463" t="str">
        <x:f>IFERROR(IF(1461&lt;=$O$1,INDEX($A$3:$A$168,MATCH(1461,$I$3:$I$168,0)),IF(1461&lt;=$O$1+$O$2,INDEX($F$3:$F$1994,MATCH(1461-$O$1,$G$3:$G$1994,0)),"")),"")</x:f>
      </x:c>
      <x:c r="E1463" t="str">
        <x:f>IF(K1463="","",IF(N1463&lt;=M1463,"",TRIM(CLEAN(MID(INDEX($B$3:$B$168,K1463),M1463,N1463-M1463)))))</x:f>
      </x:c>
      <x:c r="F1463" t="str">
        <x:f>IF(E1463="","",IF(E1463=TRIM(INDEX($A$3:$A$168,K1463)),"",IF(RIGHT(TRIM(INDEX($A$3:$A$168,K1463)),1)="]",LEFT(TRIM(INDEX($A$3:$A$168,K1463)),LEN(TRIM(INDEX($A$3:$A$168,K1463)))-1)&amp;", "&amp;SUBSTITUTE(SUBSTITUTE(SUBSTITUTE(E1463," [",", "),"[",", "),"]","")&amp;"]",TRIM(INDEX($A$3:$A$168,K1463))&amp;" ["&amp;SUBSTITUTE(SUBSTITUTE(SUBSTITUTE(E1463," [",", "),"[",", "),"]","")&amp;"]")))</x:f>
      </x:c>
      <x:c r="G1463" t="str">
        <x:f>IF(F1463&lt;&gt;"",ROWS($F$3:F1463)-COUNTBLANK($F$3:F1463),"")</x:f>
      </x:c>
      <x:c r="H1463"/>
      <x:c r="I1463"/>
      <x:c r="J1463"/>
      <x:c r="K1463" t="str">
        <x:f>IF(ROW()-ROW($K$2)&lt;=SUM($J$3:$J$168),COUNTIF($H$3:$H$168,"&lt;"&amp;(ROW()-ROW($K$2))),"")</x:f>
      </x:c>
      <x:c r="L1463" t="str">
        <x:f>IF(K1463="","",ROW()-ROW($L$2)-INDEX($H$3:$H$168,K1463))</x:f>
      </x:c>
      <x:c r="M1463" t="str">
        <x:f>IF(K1463="","",IF(L1463=1,1,FIND(CHAR(1),SUBSTITUTE(INDEX($B$3:$B$168,K1463),CHAR(10),CHAR(1),L1463-1))+1))</x:f>
      </x:c>
      <x:c r="N1463" t="str">
        <x:f>IF(K1463="","",IFERROR(FIND(CHAR(1),SUBSTITUTE(INDEX($B$3:$B$168,K1463),CHAR(10),CHAR(1),L1463)),LEN(INDEX($B$3:$B$168,K1463))+1))</x:f>
      </x:c>
    </x:row>
    <x:row r="1464">
      <x:c r="A1464"/>
      <x:c r="B1464"/>
      <x:c r="C1464"/>
      <x:c r="D1464" t="str">
        <x:f>IFERROR(IF(1462&lt;=$O$1,INDEX($A$3:$A$168,MATCH(1462,$I$3:$I$168,0)),IF(1462&lt;=$O$1+$O$2,INDEX($F$3:$F$1994,MATCH(1462-$O$1,$G$3:$G$1994,0)),"")),"")</x:f>
      </x:c>
      <x:c r="E1464" t="str">
        <x:f>IF(K1464="","",IF(N1464&lt;=M1464,"",TRIM(CLEAN(MID(INDEX($B$3:$B$168,K1464),M1464,N1464-M1464)))))</x:f>
      </x:c>
      <x:c r="F1464" t="str">
        <x:f>IF(E1464="","",IF(E1464=TRIM(INDEX($A$3:$A$168,K1464)),"",IF(RIGHT(TRIM(INDEX($A$3:$A$168,K1464)),1)="]",LEFT(TRIM(INDEX($A$3:$A$168,K1464)),LEN(TRIM(INDEX($A$3:$A$168,K1464)))-1)&amp;", "&amp;SUBSTITUTE(SUBSTITUTE(SUBSTITUTE(E1464," [",", "),"[",", "),"]","")&amp;"]",TRIM(INDEX($A$3:$A$168,K1464))&amp;" ["&amp;SUBSTITUTE(SUBSTITUTE(SUBSTITUTE(E1464," [",", "),"[",", "),"]","")&amp;"]")))</x:f>
      </x:c>
      <x:c r="G1464" t="str">
        <x:f>IF(F1464&lt;&gt;"",ROWS($F$3:F1464)-COUNTBLANK($F$3:F1464),"")</x:f>
      </x:c>
      <x:c r="H1464"/>
      <x:c r="I1464"/>
      <x:c r="J1464"/>
      <x:c r="K1464" t="str">
        <x:f>IF(ROW()-ROW($K$2)&lt;=SUM($J$3:$J$168),COUNTIF($H$3:$H$168,"&lt;"&amp;(ROW()-ROW($K$2))),"")</x:f>
      </x:c>
      <x:c r="L1464" t="str">
        <x:f>IF(K1464="","",ROW()-ROW($L$2)-INDEX($H$3:$H$168,K1464))</x:f>
      </x:c>
      <x:c r="M1464" t="str">
        <x:f>IF(K1464="","",IF(L1464=1,1,FIND(CHAR(1),SUBSTITUTE(INDEX($B$3:$B$168,K1464),CHAR(10),CHAR(1),L1464-1))+1))</x:f>
      </x:c>
      <x:c r="N1464" t="str">
        <x:f>IF(K1464="","",IFERROR(FIND(CHAR(1),SUBSTITUTE(INDEX($B$3:$B$168,K1464),CHAR(10),CHAR(1),L1464)),LEN(INDEX($B$3:$B$168,K1464))+1))</x:f>
      </x:c>
    </x:row>
    <x:row r="1465">
      <x:c r="A1465"/>
      <x:c r="B1465"/>
      <x:c r="C1465"/>
      <x:c r="D1465" t="str">
        <x:f>IFERROR(IF(1463&lt;=$O$1,INDEX($A$3:$A$168,MATCH(1463,$I$3:$I$168,0)),IF(1463&lt;=$O$1+$O$2,INDEX($F$3:$F$1994,MATCH(1463-$O$1,$G$3:$G$1994,0)),"")),"")</x:f>
      </x:c>
      <x:c r="E1465" t="str">
        <x:f>IF(K1465="","",IF(N1465&lt;=M1465,"",TRIM(CLEAN(MID(INDEX($B$3:$B$168,K1465),M1465,N1465-M1465)))))</x:f>
      </x:c>
      <x:c r="F1465" t="str">
        <x:f>IF(E1465="","",IF(E1465=TRIM(INDEX($A$3:$A$168,K1465)),"",IF(RIGHT(TRIM(INDEX($A$3:$A$168,K1465)),1)="]",LEFT(TRIM(INDEX($A$3:$A$168,K1465)),LEN(TRIM(INDEX($A$3:$A$168,K1465)))-1)&amp;", "&amp;SUBSTITUTE(SUBSTITUTE(SUBSTITUTE(E1465," [",", "),"[",", "),"]","")&amp;"]",TRIM(INDEX($A$3:$A$168,K1465))&amp;" ["&amp;SUBSTITUTE(SUBSTITUTE(SUBSTITUTE(E1465," [",", "),"[",", "),"]","")&amp;"]")))</x:f>
      </x:c>
      <x:c r="G1465" t="str">
        <x:f>IF(F1465&lt;&gt;"",ROWS($F$3:F1465)-COUNTBLANK($F$3:F1465),"")</x:f>
      </x:c>
      <x:c r="H1465"/>
      <x:c r="I1465"/>
      <x:c r="J1465"/>
      <x:c r="K1465" t="str">
        <x:f>IF(ROW()-ROW($K$2)&lt;=SUM($J$3:$J$168),COUNTIF($H$3:$H$168,"&lt;"&amp;(ROW()-ROW($K$2))),"")</x:f>
      </x:c>
      <x:c r="L1465" t="str">
        <x:f>IF(K1465="","",ROW()-ROW($L$2)-INDEX($H$3:$H$168,K1465))</x:f>
      </x:c>
      <x:c r="M1465" t="str">
        <x:f>IF(K1465="","",IF(L1465=1,1,FIND(CHAR(1),SUBSTITUTE(INDEX($B$3:$B$168,K1465),CHAR(10),CHAR(1),L1465-1))+1))</x:f>
      </x:c>
      <x:c r="N1465" t="str">
        <x:f>IF(K1465="","",IFERROR(FIND(CHAR(1),SUBSTITUTE(INDEX($B$3:$B$168,K1465),CHAR(10),CHAR(1),L1465)),LEN(INDEX($B$3:$B$168,K1465))+1))</x:f>
      </x:c>
    </x:row>
    <x:row r="1466">
      <x:c r="A1466"/>
      <x:c r="B1466"/>
      <x:c r="C1466"/>
      <x:c r="D1466" t="str">
        <x:f>IFERROR(IF(1464&lt;=$O$1,INDEX($A$3:$A$168,MATCH(1464,$I$3:$I$168,0)),IF(1464&lt;=$O$1+$O$2,INDEX($F$3:$F$1994,MATCH(1464-$O$1,$G$3:$G$1994,0)),"")),"")</x:f>
      </x:c>
      <x:c r="E1466" t="str">
        <x:f>IF(K1466="","",IF(N1466&lt;=M1466,"",TRIM(CLEAN(MID(INDEX($B$3:$B$168,K1466),M1466,N1466-M1466)))))</x:f>
      </x:c>
      <x:c r="F1466" t="str">
        <x:f>IF(E1466="","",IF(E1466=TRIM(INDEX($A$3:$A$168,K1466)),"",IF(RIGHT(TRIM(INDEX($A$3:$A$168,K1466)),1)="]",LEFT(TRIM(INDEX($A$3:$A$168,K1466)),LEN(TRIM(INDEX($A$3:$A$168,K1466)))-1)&amp;", "&amp;SUBSTITUTE(SUBSTITUTE(SUBSTITUTE(E1466," [",", "),"[",", "),"]","")&amp;"]",TRIM(INDEX($A$3:$A$168,K1466))&amp;" ["&amp;SUBSTITUTE(SUBSTITUTE(SUBSTITUTE(E1466," [",", "),"[",", "),"]","")&amp;"]")))</x:f>
      </x:c>
      <x:c r="G1466" t="str">
        <x:f>IF(F1466&lt;&gt;"",ROWS($F$3:F1466)-COUNTBLANK($F$3:F1466),"")</x:f>
      </x:c>
      <x:c r="H1466"/>
      <x:c r="I1466"/>
      <x:c r="J1466"/>
      <x:c r="K1466" t="str">
        <x:f>IF(ROW()-ROW($K$2)&lt;=SUM($J$3:$J$168),COUNTIF($H$3:$H$168,"&lt;"&amp;(ROW()-ROW($K$2))),"")</x:f>
      </x:c>
      <x:c r="L1466" t="str">
        <x:f>IF(K1466="","",ROW()-ROW($L$2)-INDEX($H$3:$H$168,K1466))</x:f>
      </x:c>
      <x:c r="M1466" t="str">
        <x:f>IF(K1466="","",IF(L1466=1,1,FIND(CHAR(1),SUBSTITUTE(INDEX($B$3:$B$168,K1466),CHAR(10),CHAR(1),L1466-1))+1))</x:f>
      </x:c>
      <x:c r="N1466" t="str">
        <x:f>IF(K1466="","",IFERROR(FIND(CHAR(1),SUBSTITUTE(INDEX($B$3:$B$168,K1466),CHAR(10),CHAR(1),L1466)),LEN(INDEX($B$3:$B$168,K1466))+1))</x:f>
      </x:c>
    </x:row>
    <x:row r="1467">
      <x:c r="A1467"/>
      <x:c r="B1467"/>
      <x:c r="C1467"/>
      <x:c r="D1467" t="str">
        <x:f>IFERROR(IF(1465&lt;=$O$1,INDEX($A$3:$A$168,MATCH(1465,$I$3:$I$168,0)),IF(1465&lt;=$O$1+$O$2,INDEX($F$3:$F$1994,MATCH(1465-$O$1,$G$3:$G$1994,0)),"")),"")</x:f>
      </x:c>
      <x:c r="E1467" t="str">
        <x:f>IF(K1467="","",IF(N1467&lt;=M1467,"",TRIM(CLEAN(MID(INDEX($B$3:$B$168,K1467),M1467,N1467-M1467)))))</x:f>
      </x:c>
      <x:c r="F1467" t="str">
        <x:f>IF(E1467="","",IF(E1467=TRIM(INDEX($A$3:$A$168,K1467)),"",IF(RIGHT(TRIM(INDEX($A$3:$A$168,K1467)),1)="]",LEFT(TRIM(INDEX($A$3:$A$168,K1467)),LEN(TRIM(INDEX($A$3:$A$168,K1467)))-1)&amp;", "&amp;SUBSTITUTE(SUBSTITUTE(SUBSTITUTE(E1467," [",", "),"[",", "),"]","")&amp;"]",TRIM(INDEX($A$3:$A$168,K1467))&amp;" ["&amp;SUBSTITUTE(SUBSTITUTE(SUBSTITUTE(E1467," [",", "),"[",", "),"]","")&amp;"]")))</x:f>
      </x:c>
      <x:c r="G1467" t="str">
        <x:f>IF(F1467&lt;&gt;"",ROWS($F$3:F1467)-COUNTBLANK($F$3:F1467),"")</x:f>
      </x:c>
      <x:c r="H1467"/>
      <x:c r="I1467"/>
      <x:c r="J1467"/>
      <x:c r="K1467" t="str">
        <x:f>IF(ROW()-ROW($K$2)&lt;=SUM($J$3:$J$168),COUNTIF($H$3:$H$168,"&lt;"&amp;(ROW()-ROW($K$2))),"")</x:f>
      </x:c>
      <x:c r="L1467" t="str">
        <x:f>IF(K1467="","",ROW()-ROW($L$2)-INDEX($H$3:$H$168,K1467))</x:f>
      </x:c>
      <x:c r="M1467" t="str">
        <x:f>IF(K1467="","",IF(L1467=1,1,FIND(CHAR(1),SUBSTITUTE(INDEX($B$3:$B$168,K1467),CHAR(10),CHAR(1),L1467-1))+1))</x:f>
      </x:c>
      <x:c r="N1467" t="str">
        <x:f>IF(K1467="","",IFERROR(FIND(CHAR(1),SUBSTITUTE(INDEX($B$3:$B$168,K1467),CHAR(10),CHAR(1),L1467)),LEN(INDEX($B$3:$B$168,K1467))+1))</x:f>
      </x:c>
    </x:row>
    <x:row r="1468">
      <x:c r="A1468"/>
      <x:c r="B1468"/>
      <x:c r="C1468"/>
      <x:c r="D1468" t="str">
        <x:f>IFERROR(IF(1466&lt;=$O$1,INDEX($A$3:$A$168,MATCH(1466,$I$3:$I$168,0)),IF(1466&lt;=$O$1+$O$2,INDEX($F$3:$F$1994,MATCH(1466-$O$1,$G$3:$G$1994,0)),"")),"")</x:f>
      </x:c>
      <x:c r="E1468" t="str">
        <x:f>IF(K1468="","",IF(N1468&lt;=M1468,"",TRIM(CLEAN(MID(INDEX($B$3:$B$168,K1468),M1468,N1468-M1468)))))</x:f>
      </x:c>
      <x:c r="F1468" t="str">
        <x:f>IF(E1468="","",IF(E1468=TRIM(INDEX($A$3:$A$168,K1468)),"",IF(RIGHT(TRIM(INDEX($A$3:$A$168,K1468)),1)="]",LEFT(TRIM(INDEX($A$3:$A$168,K1468)),LEN(TRIM(INDEX($A$3:$A$168,K1468)))-1)&amp;", "&amp;SUBSTITUTE(SUBSTITUTE(SUBSTITUTE(E1468," [",", "),"[",", "),"]","")&amp;"]",TRIM(INDEX($A$3:$A$168,K1468))&amp;" ["&amp;SUBSTITUTE(SUBSTITUTE(SUBSTITUTE(E1468," [",", "),"[",", "),"]","")&amp;"]")))</x:f>
      </x:c>
      <x:c r="G1468" t="str">
        <x:f>IF(F1468&lt;&gt;"",ROWS($F$3:F1468)-COUNTBLANK($F$3:F1468),"")</x:f>
      </x:c>
      <x:c r="H1468"/>
      <x:c r="I1468"/>
      <x:c r="J1468"/>
      <x:c r="K1468" t="str">
        <x:f>IF(ROW()-ROW($K$2)&lt;=SUM($J$3:$J$168),COUNTIF($H$3:$H$168,"&lt;"&amp;(ROW()-ROW($K$2))),"")</x:f>
      </x:c>
      <x:c r="L1468" t="str">
        <x:f>IF(K1468="","",ROW()-ROW($L$2)-INDEX($H$3:$H$168,K1468))</x:f>
      </x:c>
      <x:c r="M1468" t="str">
        <x:f>IF(K1468="","",IF(L1468=1,1,FIND(CHAR(1),SUBSTITUTE(INDEX($B$3:$B$168,K1468),CHAR(10),CHAR(1),L1468-1))+1))</x:f>
      </x:c>
      <x:c r="N1468" t="str">
        <x:f>IF(K1468="","",IFERROR(FIND(CHAR(1),SUBSTITUTE(INDEX($B$3:$B$168,K1468),CHAR(10),CHAR(1),L1468)),LEN(INDEX($B$3:$B$168,K1468))+1))</x:f>
      </x:c>
    </x:row>
    <x:row r="1469">
      <x:c r="A1469"/>
      <x:c r="B1469"/>
      <x:c r="C1469"/>
      <x:c r="D1469" t="str">
        <x:f>IFERROR(IF(1467&lt;=$O$1,INDEX($A$3:$A$168,MATCH(1467,$I$3:$I$168,0)),IF(1467&lt;=$O$1+$O$2,INDEX($F$3:$F$1994,MATCH(1467-$O$1,$G$3:$G$1994,0)),"")),"")</x:f>
      </x:c>
      <x:c r="E1469" t="str">
        <x:f>IF(K1469="","",IF(N1469&lt;=M1469,"",TRIM(CLEAN(MID(INDEX($B$3:$B$168,K1469),M1469,N1469-M1469)))))</x:f>
      </x:c>
      <x:c r="F1469" t="str">
        <x:f>IF(E1469="","",IF(E1469=TRIM(INDEX($A$3:$A$168,K1469)),"",IF(RIGHT(TRIM(INDEX($A$3:$A$168,K1469)),1)="]",LEFT(TRIM(INDEX($A$3:$A$168,K1469)),LEN(TRIM(INDEX($A$3:$A$168,K1469)))-1)&amp;", "&amp;SUBSTITUTE(SUBSTITUTE(SUBSTITUTE(E1469," [",", "),"[",", "),"]","")&amp;"]",TRIM(INDEX($A$3:$A$168,K1469))&amp;" ["&amp;SUBSTITUTE(SUBSTITUTE(SUBSTITUTE(E1469," [",", "),"[",", "),"]","")&amp;"]")))</x:f>
      </x:c>
      <x:c r="G1469" t="str">
        <x:f>IF(F1469&lt;&gt;"",ROWS($F$3:F1469)-COUNTBLANK($F$3:F1469),"")</x:f>
      </x:c>
      <x:c r="H1469"/>
      <x:c r="I1469"/>
      <x:c r="J1469"/>
      <x:c r="K1469" t="str">
        <x:f>IF(ROW()-ROW($K$2)&lt;=SUM($J$3:$J$168),COUNTIF($H$3:$H$168,"&lt;"&amp;(ROW()-ROW($K$2))),"")</x:f>
      </x:c>
      <x:c r="L1469" t="str">
        <x:f>IF(K1469="","",ROW()-ROW($L$2)-INDEX($H$3:$H$168,K1469))</x:f>
      </x:c>
      <x:c r="M1469" t="str">
        <x:f>IF(K1469="","",IF(L1469=1,1,FIND(CHAR(1),SUBSTITUTE(INDEX($B$3:$B$168,K1469),CHAR(10),CHAR(1),L1469-1))+1))</x:f>
      </x:c>
      <x:c r="N1469" t="str">
        <x:f>IF(K1469="","",IFERROR(FIND(CHAR(1),SUBSTITUTE(INDEX($B$3:$B$168,K1469),CHAR(10),CHAR(1),L1469)),LEN(INDEX($B$3:$B$168,K1469))+1))</x:f>
      </x:c>
    </x:row>
    <x:row r="1470">
      <x:c r="A1470"/>
      <x:c r="B1470"/>
      <x:c r="C1470"/>
      <x:c r="D1470" t="str">
        <x:f>IFERROR(IF(1468&lt;=$O$1,INDEX($A$3:$A$168,MATCH(1468,$I$3:$I$168,0)),IF(1468&lt;=$O$1+$O$2,INDEX($F$3:$F$1994,MATCH(1468-$O$1,$G$3:$G$1994,0)),"")),"")</x:f>
      </x:c>
      <x:c r="E1470" t="str">
        <x:f>IF(K1470="","",IF(N1470&lt;=M1470,"",TRIM(CLEAN(MID(INDEX($B$3:$B$168,K1470),M1470,N1470-M1470)))))</x:f>
      </x:c>
      <x:c r="F1470" t="str">
        <x:f>IF(E1470="","",IF(E1470=TRIM(INDEX($A$3:$A$168,K1470)),"",IF(RIGHT(TRIM(INDEX($A$3:$A$168,K1470)),1)="]",LEFT(TRIM(INDEX($A$3:$A$168,K1470)),LEN(TRIM(INDEX($A$3:$A$168,K1470)))-1)&amp;", "&amp;SUBSTITUTE(SUBSTITUTE(SUBSTITUTE(E1470," [",", "),"[",", "),"]","")&amp;"]",TRIM(INDEX($A$3:$A$168,K1470))&amp;" ["&amp;SUBSTITUTE(SUBSTITUTE(SUBSTITUTE(E1470," [",", "),"[",", "),"]","")&amp;"]")))</x:f>
      </x:c>
      <x:c r="G1470" t="str">
        <x:f>IF(F1470&lt;&gt;"",ROWS($F$3:F1470)-COUNTBLANK($F$3:F1470),"")</x:f>
      </x:c>
      <x:c r="H1470"/>
      <x:c r="I1470"/>
      <x:c r="J1470"/>
      <x:c r="K1470" t="str">
        <x:f>IF(ROW()-ROW($K$2)&lt;=SUM($J$3:$J$168),COUNTIF($H$3:$H$168,"&lt;"&amp;(ROW()-ROW($K$2))),"")</x:f>
      </x:c>
      <x:c r="L1470" t="str">
        <x:f>IF(K1470="","",ROW()-ROW($L$2)-INDEX($H$3:$H$168,K1470))</x:f>
      </x:c>
      <x:c r="M1470" t="str">
        <x:f>IF(K1470="","",IF(L1470=1,1,FIND(CHAR(1),SUBSTITUTE(INDEX($B$3:$B$168,K1470),CHAR(10),CHAR(1),L1470-1))+1))</x:f>
      </x:c>
      <x:c r="N1470" t="str">
        <x:f>IF(K1470="","",IFERROR(FIND(CHAR(1),SUBSTITUTE(INDEX($B$3:$B$168,K1470),CHAR(10),CHAR(1),L1470)),LEN(INDEX($B$3:$B$168,K1470))+1))</x:f>
      </x:c>
    </x:row>
    <x:row r="1471">
      <x:c r="A1471"/>
      <x:c r="B1471"/>
      <x:c r="C1471"/>
      <x:c r="D1471" t="str">
        <x:f>IFERROR(IF(1469&lt;=$O$1,INDEX($A$3:$A$168,MATCH(1469,$I$3:$I$168,0)),IF(1469&lt;=$O$1+$O$2,INDEX($F$3:$F$1994,MATCH(1469-$O$1,$G$3:$G$1994,0)),"")),"")</x:f>
      </x:c>
      <x:c r="E1471" t="str">
        <x:f>IF(K1471="","",IF(N1471&lt;=M1471,"",TRIM(CLEAN(MID(INDEX($B$3:$B$168,K1471),M1471,N1471-M1471)))))</x:f>
      </x:c>
      <x:c r="F1471" t="str">
        <x:f>IF(E1471="","",IF(E1471=TRIM(INDEX($A$3:$A$168,K1471)),"",IF(RIGHT(TRIM(INDEX($A$3:$A$168,K1471)),1)="]",LEFT(TRIM(INDEX($A$3:$A$168,K1471)),LEN(TRIM(INDEX($A$3:$A$168,K1471)))-1)&amp;", "&amp;SUBSTITUTE(SUBSTITUTE(SUBSTITUTE(E1471," [",", "),"[",", "),"]","")&amp;"]",TRIM(INDEX($A$3:$A$168,K1471))&amp;" ["&amp;SUBSTITUTE(SUBSTITUTE(SUBSTITUTE(E1471," [",", "),"[",", "),"]","")&amp;"]")))</x:f>
      </x:c>
      <x:c r="G1471" t="str">
        <x:f>IF(F1471&lt;&gt;"",ROWS($F$3:F1471)-COUNTBLANK($F$3:F1471),"")</x:f>
      </x:c>
      <x:c r="H1471"/>
      <x:c r="I1471"/>
      <x:c r="J1471"/>
      <x:c r="K1471" t="str">
        <x:f>IF(ROW()-ROW($K$2)&lt;=SUM($J$3:$J$168),COUNTIF($H$3:$H$168,"&lt;"&amp;(ROW()-ROW($K$2))),"")</x:f>
      </x:c>
      <x:c r="L1471" t="str">
        <x:f>IF(K1471="","",ROW()-ROW($L$2)-INDEX($H$3:$H$168,K1471))</x:f>
      </x:c>
      <x:c r="M1471" t="str">
        <x:f>IF(K1471="","",IF(L1471=1,1,FIND(CHAR(1),SUBSTITUTE(INDEX($B$3:$B$168,K1471),CHAR(10),CHAR(1),L1471-1))+1))</x:f>
      </x:c>
      <x:c r="N1471" t="str">
        <x:f>IF(K1471="","",IFERROR(FIND(CHAR(1),SUBSTITUTE(INDEX($B$3:$B$168,K1471),CHAR(10),CHAR(1),L1471)),LEN(INDEX($B$3:$B$168,K1471))+1))</x:f>
      </x:c>
    </x:row>
    <x:row r="1472">
      <x:c r="A1472"/>
      <x:c r="B1472"/>
      <x:c r="C1472"/>
      <x:c r="D1472" t="str">
        <x:f>IFERROR(IF(1470&lt;=$O$1,INDEX($A$3:$A$168,MATCH(1470,$I$3:$I$168,0)),IF(1470&lt;=$O$1+$O$2,INDEX($F$3:$F$1994,MATCH(1470-$O$1,$G$3:$G$1994,0)),"")),"")</x:f>
      </x:c>
      <x:c r="E1472" t="str">
        <x:f>IF(K1472="","",IF(N1472&lt;=M1472,"",TRIM(CLEAN(MID(INDEX($B$3:$B$168,K1472),M1472,N1472-M1472)))))</x:f>
      </x:c>
      <x:c r="F1472" t="str">
        <x:f>IF(E1472="","",IF(E1472=TRIM(INDEX($A$3:$A$168,K1472)),"",IF(RIGHT(TRIM(INDEX($A$3:$A$168,K1472)),1)="]",LEFT(TRIM(INDEX($A$3:$A$168,K1472)),LEN(TRIM(INDEX($A$3:$A$168,K1472)))-1)&amp;", "&amp;SUBSTITUTE(SUBSTITUTE(SUBSTITUTE(E1472," [",", "),"[",", "),"]","")&amp;"]",TRIM(INDEX($A$3:$A$168,K1472))&amp;" ["&amp;SUBSTITUTE(SUBSTITUTE(SUBSTITUTE(E1472," [",", "),"[",", "),"]","")&amp;"]")))</x:f>
      </x:c>
      <x:c r="G1472" t="str">
        <x:f>IF(F1472&lt;&gt;"",ROWS($F$3:F1472)-COUNTBLANK($F$3:F1472),"")</x:f>
      </x:c>
      <x:c r="H1472"/>
      <x:c r="I1472"/>
      <x:c r="J1472"/>
      <x:c r="K1472" t="str">
        <x:f>IF(ROW()-ROW($K$2)&lt;=SUM($J$3:$J$168),COUNTIF($H$3:$H$168,"&lt;"&amp;(ROW()-ROW($K$2))),"")</x:f>
      </x:c>
      <x:c r="L1472" t="str">
        <x:f>IF(K1472="","",ROW()-ROW($L$2)-INDEX($H$3:$H$168,K1472))</x:f>
      </x:c>
      <x:c r="M1472" t="str">
        <x:f>IF(K1472="","",IF(L1472=1,1,FIND(CHAR(1),SUBSTITUTE(INDEX($B$3:$B$168,K1472),CHAR(10),CHAR(1),L1472-1))+1))</x:f>
      </x:c>
      <x:c r="N1472" t="str">
        <x:f>IF(K1472="","",IFERROR(FIND(CHAR(1),SUBSTITUTE(INDEX($B$3:$B$168,K1472),CHAR(10),CHAR(1),L1472)),LEN(INDEX($B$3:$B$168,K1472))+1))</x:f>
      </x:c>
    </x:row>
    <x:row r="1473">
      <x:c r="A1473"/>
      <x:c r="B1473"/>
      <x:c r="C1473"/>
      <x:c r="D1473" t="str">
        <x:f>IFERROR(IF(1471&lt;=$O$1,INDEX($A$3:$A$168,MATCH(1471,$I$3:$I$168,0)),IF(1471&lt;=$O$1+$O$2,INDEX($F$3:$F$1994,MATCH(1471-$O$1,$G$3:$G$1994,0)),"")),"")</x:f>
      </x:c>
      <x:c r="E1473" t="str">
        <x:f>IF(K1473="","",IF(N1473&lt;=M1473,"",TRIM(CLEAN(MID(INDEX($B$3:$B$168,K1473),M1473,N1473-M1473)))))</x:f>
      </x:c>
      <x:c r="F1473" t="str">
        <x:f>IF(E1473="","",IF(E1473=TRIM(INDEX($A$3:$A$168,K1473)),"",IF(RIGHT(TRIM(INDEX($A$3:$A$168,K1473)),1)="]",LEFT(TRIM(INDEX($A$3:$A$168,K1473)),LEN(TRIM(INDEX($A$3:$A$168,K1473)))-1)&amp;", "&amp;SUBSTITUTE(SUBSTITUTE(SUBSTITUTE(E1473," [",", "),"[",", "),"]","")&amp;"]",TRIM(INDEX($A$3:$A$168,K1473))&amp;" ["&amp;SUBSTITUTE(SUBSTITUTE(SUBSTITUTE(E1473," [",", "),"[",", "),"]","")&amp;"]")))</x:f>
      </x:c>
      <x:c r="G1473" t="str">
        <x:f>IF(F1473&lt;&gt;"",ROWS($F$3:F1473)-COUNTBLANK($F$3:F1473),"")</x:f>
      </x:c>
      <x:c r="H1473"/>
      <x:c r="I1473"/>
      <x:c r="J1473"/>
      <x:c r="K1473" t="str">
        <x:f>IF(ROW()-ROW($K$2)&lt;=SUM($J$3:$J$168),COUNTIF($H$3:$H$168,"&lt;"&amp;(ROW()-ROW($K$2))),"")</x:f>
      </x:c>
      <x:c r="L1473" t="str">
        <x:f>IF(K1473="","",ROW()-ROW($L$2)-INDEX($H$3:$H$168,K1473))</x:f>
      </x:c>
      <x:c r="M1473" t="str">
        <x:f>IF(K1473="","",IF(L1473=1,1,FIND(CHAR(1),SUBSTITUTE(INDEX($B$3:$B$168,K1473),CHAR(10),CHAR(1),L1473-1))+1))</x:f>
      </x:c>
      <x:c r="N1473" t="str">
        <x:f>IF(K1473="","",IFERROR(FIND(CHAR(1),SUBSTITUTE(INDEX($B$3:$B$168,K1473),CHAR(10),CHAR(1),L1473)),LEN(INDEX($B$3:$B$168,K1473))+1))</x:f>
      </x:c>
    </x:row>
    <x:row r="1474">
      <x:c r="A1474"/>
      <x:c r="B1474"/>
      <x:c r="C1474"/>
      <x:c r="D1474" t="str">
        <x:f>IFERROR(IF(1472&lt;=$O$1,INDEX($A$3:$A$168,MATCH(1472,$I$3:$I$168,0)),IF(1472&lt;=$O$1+$O$2,INDEX($F$3:$F$1994,MATCH(1472-$O$1,$G$3:$G$1994,0)),"")),"")</x:f>
      </x:c>
      <x:c r="E1474" t="str">
        <x:f>IF(K1474="","",IF(N1474&lt;=M1474,"",TRIM(CLEAN(MID(INDEX($B$3:$B$168,K1474),M1474,N1474-M1474)))))</x:f>
      </x:c>
      <x:c r="F1474" t="str">
        <x:f>IF(E1474="","",IF(E1474=TRIM(INDEX($A$3:$A$168,K1474)),"",IF(RIGHT(TRIM(INDEX($A$3:$A$168,K1474)),1)="]",LEFT(TRIM(INDEX($A$3:$A$168,K1474)),LEN(TRIM(INDEX($A$3:$A$168,K1474)))-1)&amp;", "&amp;SUBSTITUTE(SUBSTITUTE(SUBSTITUTE(E1474," [",", "),"[",", "),"]","")&amp;"]",TRIM(INDEX($A$3:$A$168,K1474))&amp;" ["&amp;SUBSTITUTE(SUBSTITUTE(SUBSTITUTE(E1474," [",", "),"[",", "),"]","")&amp;"]")))</x:f>
      </x:c>
      <x:c r="G1474" t="str">
        <x:f>IF(F1474&lt;&gt;"",ROWS($F$3:F1474)-COUNTBLANK($F$3:F1474),"")</x:f>
      </x:c>
      <x:c r="H1474"/>
      <x:c r="I1474"/>
      <x:c r="J1474"/>
      <x:c r="K1474" t="str">
        <x:f>IF(ROW()-ROW($K$2)&lt;=SUM($J$3:$J$168),COUNTIF($H$3:$H$168,"&lt;"&amp;(ROW()-ROW($K$2))),"")</x:f>
      </x:c>
      <x:c r="L1474" t="str">
        <x:f>IF(K1474="","",ROW()-ROW($L$2)-INDEX($H$3:$H$168,K1474))</x:f>
      </x:c>
      <x:c r="M1474" t="str">
        <x:f>IF(K1474="","",IF(L1474=1,1,FIND(CHAR(1),SUBSTITUTE(INDEX($B$3:$B$168,K1474),CHAR(10),CHAR(1),L1474-1))+1))</x:f>
      </x:c>
      <x:c r="N1474" t="str">
        <x:f>IF(K1474="","",IFERROR(FIND(CHAR(1),SUBSTITUTE(INDEX($B$3:$B$168,K1474),CHAR(10),CHAR(1),L1474)),LEN(INDEX($B$3:$B$168,K1474))+1))</x:f>
      </x:c>
    </x:row>
    <x:row r="1475">
      <x:c r="A1475"/>
      <x:c r="B1475"/>
      <x:c r="C1475"/>
      <x:c r="D1475" t="str">
        <x:f>IFERROR(IF(1473&lt;=$O$1,INDEX($A$3:$A$168,MATCH(1473,$I$3:$I$168,0)),IF(1473&lt;=$O$1+$O$2,INDEX($F$3:$F$1994,MATCH(1473-$O$1,$G$3:$G$1994,0)),"")),"")</x:f>
      </x:c>
      <x:c r="E1475" t="str">
        <x:f>IF(K1475="","",IF(N1475&lt;=M1475,"",TRIM(CLEAN(MID(INDEX($B$3:$B$168,K1475),M1475,N1475-M1475)))))</x:f>
      </x:c>
      <x:c r="F1475" t="str">
        <x:f>IF(E1475="","",IF(E1475=TRIM(INDEX($A$3:$A$168,K1475)),"",IF(RIGHT(TRIM(INDEX($A$3:$A$168,K1475)),1)="]",LEFT(TRIM(INDEX($A$3:$A$168,K1475)),LEN(TRIM(INDEX($A$3:$A$168,K1475)))-1)&amp;", "&amp;SUBSTITUTE(SUBSTITUTE(SUBSTITUTE(E1475," [",", "),"[",", "),"]","")&amp;"]",TRIM(INDEX($A$3:$A$168,K1475))&amp;" ["&amp;SUBSTITUTE(SUBSTITUTE(SUBSTITUTE(E1475," [",", "),"[",", "),"]","")&amp;"]")))</x:f>
      </x:c>
      <x:c r="G1475" t="str">
        <x:f>IF(F1475&lt;&gt;"",ROWS($F$3:F1475)-COUNTBLANK($F$3:F1475),"")</x:f>
      </x:c>
      <x:c r="H1475"/>
      <x:c r="I1475"/>
      <x:c r="J1475"/>
      <x:c r="K1475" t="str">
        <x:f>IF(ROW()-ROW($K$2)&lt;=SUM($J$3:$J$168),COUNTIF($H$3:$H$168,"&lt;"&amp;(ROW()-ROW($K$2))),"")</x:f>
      </x:c>
      <x:c r="L1475" t="str">
        <x:f>IF(K1475="","",ROW()-ROW($L$2)-INDEX($H$3:$H$168,K1475))</x:f>
      </x:c>
      <x:c r="M1475" t="str">
        <x:f>IF(K1475="","",IF(L1475=1,1,FIND(CHAR(1),SUBSTITUTE(INDEX($B$3:$B$168,K1475),CHAR(10),CHAR(1),L1475-1))+1))</x:f>
      </x:c>
      <x:c r="N1475" t="str">
        <x:f>IF(K1475="","",IFERROR(FIND(CHAR(1),SUBSTITUTE(INDEX($B$3:$B$168,K1475),CHAR(10),CHAR(1),L1475)),LEN(INDEX($B$3:$B$168,K1475))+1))</x:f>
      </x:c>
    </x:row>
    <x:row r="1476">
      <x:c r="A1476"/>
      <x:c r="B1476"/>
      <x:c r="C1476"/>
      <x:c r="D1476" t="str">
        <x:f>IFERROR(IF(1474&lt;=$O$1,INDEX($A$3:$A$168,MATCH(1474,$I$3:$I$168,0)),IF(1474&lt;=$O$1+$O$2,INDEX($F$3:$F$1994,MATCH(1474-$O$1,$G$3:$G$1994,0)),"")),"")</x:f>
      </x:c>
      <x:c r="E1476" t="str">
        <x:f>IF(K1476="","",IF(N1476&lt;=M1476,"",TRIM(CLEAN(MID(INDEX($B$3:$B$168,K1476),M1476,N1476-M1476)))))</x:f>
      </x:c>
      <x:c r="F1476" t="str">
        <x:f>IF(E1476="","",IF(E1476=TRIM(INDEX($A$3:$A$168,K1476)),"",IF(RIGHT(TRIM(INDEX($A$3:$A$168,K1476)),1)="]",LEFT(TRIM(INDEX($A$3:$A$168,K1476)),LEN(TRIM(INDEX($A$3:$A$168,K1476)))-1)&amp;", "&amp;SUBSTITUTE(SUBSTITUTE(SUBSTITUTE(E1476," [",", "),"[",", "),"]","")&amp;"]",TRIM(INDEX($A$3:$A$168,K1476))&amp;" ["&amp;SUBSTITUTE(SUBSTITUTE(SUBSTITUTE(E1476," [",", "),"[",", "),"]","")&amp;"]")))</x:f>
      </x:c>
      <x:c r="G1476" t="str">
        <x:f>IF(F1476&lt;&gt;"",ROWS($F$3:F1476)-COUNTBLANK($F$3:F1476),"")</x:f>
      </x:c>
      <x:c r="H1476"/>
      <x:c r="I1476"/>
      <x:c r="J1476"/>
      <x:c r="K1476" t="str">
        <x:f>IF(ROW()-ROW($K$2)&lt;=SUM($J$3:$J$168),COUNTIF($H$3:$H$168,"&lt;"&amp;(ROW()-ROW($K$2))),"")</x:f>
      </x:c>
      <x:c r="L1476" t="str">
        <x:f>IF(K1476="","",ROW()-ROW($L$2)-INDEX($H$3:$H$168,K1476))</x:f>
      </x:c>
      <x:c r="M1476" t="str">
        <x:f>IF(K1476="","",IF(L1476=1,1,FIND(CHAR(1),SUBSTITUTE(INDEX($B$3:$B$168,K1476),CHAR(10),CHAR(1),L1476-1))+1))</x:f>
      </x:c>
      <x:c r="N1476" t="str">
        <x:f>IF(K1476="","",IFERROR(FIND(CHAR(1),SUBSTITUTE(INDEX($B$3:$B$168,K1476),CHAR(10),CHAR(1),L1476)),LEN(INDEX($B$3:$B$168,K1476))+1))</x:f>
      </x:c>
    </x:row>
    <x:row r="1477">
      <x:c r="A1477"/>
      <x:c r="B1477"/>
      <x:c r="C1477"/>
      <x:c r="D1477" t="str">
        <x:f>IFERROR(IF(1475&lt;=$O$1,INDEX($A$3:$A$168,MATCH(1475,$I$3:$I$168,0)),IF(1475&lt;=$O$1+$O$2,INDEX($F$3:$F$1994,MATCH(1475-$O$1,$G$3:$G$1994,0)),"")),"")</x:f>
      </x:c>
      <x:c r="E1477" t="str">
        <x:f>IF(K1477="","",IF(N1477&lt;=M1477,"",TRIM(CLEAN(MID(INDEX($B$3:$B$168,K1477),M1477,N1477-M1477)))))</x:f>
      </x:c>
      <x:c r="F1477" t="str">
        <x:f>IF(E1477="","",IF(E1477=TRIM(INDEX($A$3:$A$168,K1477)),"",IF(RIGHT(TRIM(INDEX($A$3:$A$168,K1477)),1)="]",LEFT(TRIM(INDEX($A$3:$A$168,K1477)),LEN(TRIM(INDEX($A$3:$A$168,K1477)))-1)&amp;", "&amp;SUBSTITUTE(SUBSTITUTE(SUBSTITUTE(E1477," [",", "),"[",", "),"]","")&amp;"]",TRIM(INDEX($A$3:$A$168,K1477))&amp;" ["&amp;SUBSTITUTE(SUBSTITUTE(SUBSTITUTE(E1477," [",", "),"[",", "),"]","")&amp;"]")))</x:f>
      </x:c>
      <x:c r="G1477" t="str">
        <x:f>IF(F1477&lt;&gt;"",ROWS($F$3:F1477)-COUNTBLANK($F$3:F1477),"")</x:f>
      </x:c>
      <x:c r="H1477"/>
      <x:c r="I1477"/>
      <x:c r="J1477"/>
      <x:c r="K1477" t="str">
        <x:f>IF(ROW()-ROW($K$2)&lt;=SUM($J$3:$J$168),COUNTIF($H$3:$H$168,"&lt;"&amp;(ROW()-ROW($K$2))),"")</x:f>
      </x:c>
      <x:c r="L1477" t="str">
        <x:f>IF(K1477="","",ROW()-ROW($L$2)-INDEX($H$3:$H$168,K1477))</x:f>
      </x:c>
      <x:c r="M1477" t="str">
        <x:f>IF(K1477="","",IF(L1477=1,1,FIND(CHAR(1),SUBSTITUTE(INDEX($B$3:$B$168,K1477),CHAR(10),CHAR(1),L1477-1))+1))</x:f>
      </x:c>
      <x:c r="N1477" t="str">
        <x:f>IF(K1477="","",IFERROR(FIND(CHAR(1),SUBSTITUTE(INDEX($B$3:$B$168,K1477),CHAR(10),CHAR(1),L1477)),LEN(INDEX($B$3:$B$168,K1477))+1))</x:f>
      </x:c>
    </x:row>
    <x:row r="1478">
      <x:c r="A1478"/>
      <x:c r="B1478"/>
      <x:c r="C1478"/>
      <x:c r="D1478" t="str">
        <x:f>IFERROR(IF(1476&lt;=$O$1,INDEX($A$3:$A$168,MATCH(1476,$I$3:$I$168,0)),IF(1476&lt;=$O$1+$O$2,INDEX($F$3:$F$1994,MATCH(1476-$O$1,$G$3:$G$1994,0)),"")),"")</x:f>
      </x:c>
      <x:c r="E1478" t="str">
        <x:f>IF(K1478="","",IF(N1478&lt;=M1478,"",TRIM(CLEAN(MID(INDEX($B$3:$B$168,K1478),M1478,N1478-M1478)))))</x:f>
      </x:c>
      <x:c r="F1478" t="str">
        <x:f>IF(E1478="","",IF(E1478=TRIM(INDEX($A$3:$A$168,K1478)),"",IF(RIGHT(TRIM(INDEX($A$3:$A$168,K1478)),1)="]",LEFT(TRIM(INDEX($A$3:$A$168,K1478)),LEN(TRIM(INDEX($A$3:$A$168,K1478)))-1)&amp;", "&amp;SUBSTITUTE(SUBSTITUTE(SUBSTITUTE(E1478," [",", "),"[",", "),"]","")&amp;"]",TRIM(INDEX($A$3:$A$168,K1478))&amp;" ["&amp;SUBSTITUTE(SUBSTITUTE(SUBSTITUTE(E1478," [",", "),"[",", "),"]","")&amp;"]")))</x:f>
      </x:c>
      <x:c r="G1478" t="str">
        <x:f>IF(F1478&lt;&gt;"",ROWS($F$3:F1478)-COUNTBLANK($F$3:F1478),"")</x:f>
      </x:c>
      <x:c r="H1478"/>
      <x:c r="I1478"/>
      <x:c r="J1478"/>
      <x:c r="K1478" t="str">
        <x:f>IF(ROW()-ROW($K$2)&lt;=SUM($J$3:$J$168),COUNTIF($H$3:$H$168,"&lt;"&amp;(ROW()-ROW($K$2))),"")</x:f>
      </x:c>
      <x:c r="L1478" t="str">
        <x:f>IF(K1478="","",ROW()-ROW($L$2)-INDEX($H$3:$H$168,K1478))</x:f>
      </x:c>
      <x:c r="M1478" t="str">
        <x:f>IF(K1478="","",IF(L1478=1,1,FIND(CHAR(1),SUBSTITUTE(INDEX($B$3:$B$168,K1478),CHAR(10),CHAR(1),L1478-1))+1))</x:f>
      </x:c>
      <x:c r="N1478" t="str">
        <x:f>IF(K1478="","",IFERROR(FIND(CHAR(1),SUBSTITUTE(INDEX($B$3:$B$168,K1478),CHAR(10),CHAR(1),L1478)),LEN(INDEX($B$3:$B$168,K1478))+1))</x:f>
      </x:c>
    </x:row>
    <x:row r="1479">
      <x:c r="A1479"/>
      <x:c r="B1479"/>
      <x:c r="C1479"/>
      <x:c r="D1479" t="str">
        <x:f>IFERROR(IF(1477&lt;=$O$1,INDEX($A$3:$A$168,MATCH(1477,$I$3:$I$168,0)),IF(1477&lt;=$O$1+$O$2,INDEX($F$3:$F$1994,MATCH(1477-$O$1,$G$3:$G$1994,0)),"")),"")</x:f>
      </x:c>
      <x:c r="E1479" t="str">
        <x:f>IF(K1479="","",IF(N1479&lt;=M1479,"",TRIM(CLEAN(MID(INDEX($B$3:$B$168,K1479),M1479,N1479-M1479)))))</x:f>
      </x:c>
      <x:c r="F1479" t="str">
        <x:f>IF(E1479="","",IF(E1479=TRIM(INDEX($A$3:$A$168,K1479)),"",IF(RIGHT(TRIM(INDEX($A$3:$A$168,K1479)),1)="]",LEFT(TRIM(INDEX($A$3:$A$168,K1479)),LEN(TRIM(INDEX($A$3:$A$168,K1479)))-1)&amp;", "&amp;SUBSTITUTE(SUBSTITUTE(SUBSTITUTE(E1479," [",", "),"[",", "),"]","")&amp;"]",TRIM(INDEX($A$3:$A$168,K1479))&amp;" ["&amp;SUBSTITUTE(SUBSTITUTE(SUBSTITUTE(E1479," [",", "),"[",", "),"]","")&amp;"]")))</x:f>
      </x:c>
      <x:c r="G1479" t="str">
        <x:f>IF(F1479&lt;&gt;"",ROWS($F$3:F1479)-COUNTBLANK($F$3:F1479),"")</x:f>
      </x:c>
      <x:c r="H1479"/>
      <x:c r="I1479"/>
      <x:c r="J1479"/>
      <x:c r="K1479" t="str">
        <x:f>IF(ROW()-ROW($K$2)&lt;=SUM($J$3:$J$168),COUNTIF($H$3:$H$168,"&lt;"&amp;(ROW()-ROW($K$2))),"")</x:f>
      </x:c>
      <x:c r="L1479" t="str">
        <x:f>IF(K1479="","",ROW()-ROW($L$2)-INDEX($H$3:$H$168,K1479))</x:f>
      </x:c>
      <x:c r="M1479" t="str">
        <x:f>IF(K1479="","",IF(L1479=1,1,FIND(CHAR(1),SUBSTITUTE(INDEX($B$3:$B$168,K1479),CHAR(10),CHAR(1),L1479-1))+1))</x:f>
      </x:c>
      <x:c r="N1479" t="str">
        <x:f>IF(K1479="","",IFERROR(FIND(CHAR(1),SUBSTITUTE(INDEX($B$3:$B$168,K1479),CHAR(10),CHAR(1),L1479)),LEN(INDEX($B$3:$B$168,K1479))+1))</x:f>
      </x:c>
    </x:row>
    <x:row r="1480">
      <x:c r="A1480"/>
      <x:c r="B1480"/>
      <x:c r="C1480"/>
      <x:c r="D1480" t="str">
        <x:f>IFERROR(IF(1478&lt;=$O$1,INDEX($A$3:$A$168,MATCH(1478,$I$3:$I$168,0)),IF(1478&lt;=$O$1+$O$2,INDEX($F$3:$F$1994,MATCH(1478-$O$1,$G$3:$G$1994,0)),"")),"")</x:f>
      </x:c>
      <x:c r="E1480" t="str">
        <x:f>IF(K1480="","",IF(N1480&lt;=M1480,"",TRIM(CLEAN(MID(INDEX($B$3:$B$168,K1480),M1480,N1480-M1480)))))</x:f>
      </x:c>
      <x:c r="F1480" t="str">
        <x:f>IF(E1480="","",IF(E1480=TRIM(INDEX($A$3:$A$168,K1480)),"",IF(RIGHT(TRIM(INDEX($A$3:$A$168,K1480)),1)="]",LEFT(TRIM(INDEX($A$3:$A$168,K1480)),LEN(TRIM(INDEX($A$3:$A$168,K1480)))-1)&amp;", "&amp;SUBSTITUTE(SUBSTITUTE(SUBSTITUTE(E1480," [",", "),"[",", "),"]","")&amp;"]",TRIM(INDEX($A$3:$A$168,K1480))&amp;" ["&amp;SUBSTITUTE(SUBSTITUTE(SUBSTITUTE(E1480," [",", "),"[",", "),"]","")&amp;"]")))</x:f>
      </x:c>
      <x:c r="G1480" t="str">
        <x:f>IF(F1480&lt;&gt;"",ROWS($F$3:F1480)-COUNTBLANK($F$3:F1480),"")</x:f>
      </x:c>
      <x:c r="H1480"/>
      <x:c r="I1480"/>
      <x:c r="J1480"/>
      <x:c r="K1480" t="str">
        <x:f>IF(ROW()-ROW($K$2)&lt;=SUM($J$3:$J$168),COUNTIF($H$3:$H$168,"&lt;"&amp;(ROW()-ROW($K$2))),"")</x:f>
      </x:c>
      <x:c r="L1480" t="str">
        <x:f>IF(K1480="","",ROW()-ROW($L$2)-INDEX($H$3:$H$168,K1480))</x:f>
      </x:c>
      <x:c r="M1480" t="str">
        <x:f>IF(K1480="","",IF(L1480=1,1,FIND(CHAR(1),SUBSTITUTE(INDEX($B$3:$B$168,K1480),CHAR(10),CHAR(1),L1480-1))+1))</x:f>
      </x:c>
      <x:c r="N1480" t="str">
        <x:f>IF(K1480="","",IFERROR(FIND(CHAR(1),SUBSTITUTE(INDEX($B$3:$B$168,K1480),CHAR(10),CHAR(1),L1480)),LEN(INDEX($B$3:$B$168,K1480))+1))</x:f>
      </x:c>
    </x:row>
    <x:row r="1481">
      <x:c r="A1481"/>
      <x:c r="B1481"/>
      <x:c r="C1481"/>
      <x:c r="D1481" t="str">
        <x:f>IFERROR(IF(1479&lt;=$O$1,INDEX($A$3:$A$168,MATCH(1479,$I$3:$I$168,0)),IF(1479&lt;=$O$1+$O$2,INDEX($F$3:$F$1994,MATCH(1479-$O$1,$G$3:$G$1994,0)),"")),"")</x:f>
      </x:c>
      <x:c r="E1481" t="str">
        <x:f>IF(K1481="","",IF(N1481&lt;=M1481,"",TRIM(CLEAN(MID(INDEX($B$3:$B$168,K1481),M1481,N1481-M1481)))))</x:f>
      </x:c>
      <x:c r="F1481" t="str">
        <x:f>IF(E1481="","",IF(E1481=TRIM(INDEX($A$3:$A$168,K1481)),"",IF(RIGHT(TRIM(INDEX($A$3:$A$168,K1481)),1)="]",LEFT(TRIM(INDEX($A$3:$A$168,K1481)),LEN(TRIM(INDEX($A$3:$A$168,K1481)))-1)&amp;", "&amp;SUBSTITUTE(SUBSTITUTE(SUBSTITUTE(E1481," [",", "),"[",", "),"]","")&amp;"]",TRIM(INDEX($A$3:$A$168,K1481))&amp;" ["&amp;SUBSTITUTE(SUBSTITUTE(SUBSTITUTE(E1481," [",", "),"[",", "),"]","")&amp;"]")))</x:f>
      </x:c>
      <x:c r="G1481" t="str">
        <x:f>IF(F1481&lt;&gt;"",ROWS($F$3:F1481)-COUNTBLANK($F$3:F1481),"")</x:f>
      </x:c>
      <x:c r="H1481"/>
      <x:c r="I1481"/>
      <x:c r="J1481"/>
      <x:c r="K1481" t="str">
        <x:f>IF(ROW()-ROW($K$2)&lt;=SUM($J$3:$J$168),COUNTIF($H$3:$H$168,"&lt;"&amp;(ROW()-ROW($K$2))),"")</x:f>
      </x:c>
      <x:c r="L1481" t="str">
        <x:f>IF(K1481="","",ROW()-ROW($L$2)-INDEX($H$3:$H$168,K1481))</x:f>
      </x:c>
      <x:c r="M1481" t="str">
        <x:f>IF(K1481="","",IF(L1481=1,1,FIND(CHAR(1),SUBSTITUTE(INDEX($B$3:$B$168,K1481),CHAR(10),CHAR(1),L1481-1))+1))</x:f>
      </x:c>
      <x:c r="N1481" t="str">
        <x:f>IF(K1481="","",IFERROR(FIND(CHAR(1),SUBSTITUTE(INDEX($B$3:$B$168,K1481),CHAR(10),CHAR(1),L1481)),LEN(INDEX($B$3:$B$168,K1481))+1))</x:f>
      </x:c>
    </x:row>
    <x:row r="1482">
      <x:c r="A1482"/>
      <x:c r="B1482"/>
      <x:c r="C1482"/>
      <x:c r="D1482" t="str">
        <x:f>IFERROR(IF(1480&lt;=$O$1,INDEX($A$3:$A$168,MATCH(1480,$I$3:$I$168,0)),IF(1480&lt;=$O$1+$O$2,INDEX($F$3:$F$1994,MATCH(1480-$O$1,$G$3:$G$1994,0)),"")),"")</x:f>
      </x:c>
      <x:c r="E1482" t="str">
        <x:f>IF(K1482="","",IF(N1482&lt;=M1482,"",TRIM(CLEAN(MID(INDEX($B$3:$B$168,K1482),M1482,N1482-M1482)))))</x:f>
      </x:c>
      <x:c r="F1482" t="str">
        <x:f>IF(E1482="","",IF(E1482=TRIM(INDEX($A$3:$A$168,K1482)),"",IF(RIGHT(TRIM(INDEX($A$3:$A$168,K1482)),1)="]",LEFT(TRIM(INDEX($A$3:$A$168,K1482)),LEN(TRIM(INDEX($A$3:$A$168,K1482)))-1)&amp;", "&amp;SUBSTITUTE(SUBSTITUTE(SUBSTITUTE(E1482," [",", "),"[",", "),"]","")&amp;"]",TRIM(INDEX($A$3:$A$168,K1482))&amp;" ["&amp;SUBSTITUTE(SUBSTITUTE(SUBSTITUTE(E1482," [",", "),"[",", "),"]","")&amp;"]")))</x:f>
      </x:c>
      <x:c r="G1482" t="str">
        <x:f>IF(F1482&lt;&gt;"",ROWS($F$3:F1482)-COUNTBLANK($F$3:F1482),"")</x:f>
      </x:c>
      <x:c r="H1482"/>
      <x:c r="I1482"/>
      <x:c r="J1482"/>
      <x:c r="K1482" t="str">
        <x:f>IF(ROW()-ROW($K$2)&lt;=SUM($J$3:$J$168),COUNTIF($H$3:$H$168,"&lt;"&amp;(ROW()-ROW($K$2))),"")</x:f>
      </x:c>
      <x:c r="L1482" t="str">
        <x:f>IF(K1482="","",ROW()-ROW($L$2)-INDEX($H$3:$H$168,K1482))</x:f>
      </x:c>
      <x:c r="M1482" t="str">
        <x:f>IF(K1482="","",IF(L1482=1,1,FIND(CHAR(1),SUBSTITUTE(INDEX($B$3:$B$168,K1482),CHAR(10),CHAR(1),L1482-1))+1))</x:f>
      </x:c>
      <x:c r="N1482" t="str">
        <x:f>IF(K1482="","",IFERROR(FIND(CHAR(1),SUBSTITUTE(INDEX($B$3:$B$168,K1482),CHAR(10),CHAR(1),L1482)),LEN(INDEX($B$3:$B$168,K1482))+1))</x:f>
      </x:c>
    </x:row>
    <x:row r="1483">
      <x:c r="A1483"/>
      <x:c r="B1483"/>
      <x:c r="C1483"/>
      <x:c r="D1483" t="str">
        <x:f>IFERROR(IF(1481&lt;=$O$1,INDEX($A$3:$A$168,MATCH(1481,$I$3:$I$168,0)),IF(1481&lt;=$O$1+$O$2,INDEX($F$3:$F$1994,MATCH(1481-$O$1,$G$3:$G$1994,0)),"")),"")</x:f>
      </x:c>
      <x:c r="E1483" t="str">
        <x:f>IF(K1483="","",IF(N1483&lt;=M1483,"",TRIM(CLEAN(MID(INDEX($B$3:$B$168,K1483),M1483,N1483-M1483)))))</x:f>
      </x:c>
      <x:c r="F1483" t="str">
        <x:f>IF(E1483="","",IF(E1483=TRIM(INDEX($A$3:$A$168,K1483)),"",IF(RIGHT(TRIM(INDEX($A$3:$A$168,K1483)),1)="]",LEFT(TRIM(INDEX($A$3:$A$168,K1483)),LEN(TRIM(INDEX($A$3:$A$168,K1483)))-1)&amp;", "&amp;SUBSTITUTE(SUBSTITUTE(SUBSTITUTE(E1483," [",", "),"[",", "),"]","")&amp;"]",TRIM(INDEX($A$3:$A$168,K1483))&amp;" ["&amp;SUBSTITUTE(SUBSTITUTE(SUBSTITUTE(E1483," [",", "),"[",", "),"]","")&amp;"]")))</x:f>
      </x:c>
      <x:c r="G1483" t="str">
        <x:f>IF(F1483&lt;&gt;"",ROWS($F$3:F1483)-COUNTBLANK($F$3:F1483),"")</x:f>
      </x:c>
      <x:c r="H1483"/>
      <x:c r="I1483"/>
      <x:c r="J1483"/>
      <x:c r="K1483" t="str">
        <x:f>IF(ROW()-ROW($K$2)&lt;=SUM($J$3:$J$168),COUNTIF($H$3:$H$168,"&lt;"&amp;(ROW()-ROW($K$2))),"")</x:f>
      </x:c>
      <x:c r="L1483" t="str">
        <x:f>IF(K1483="","",ROW()-ROW($L$2)-INDEX($H$3:$H$168,K1483))</x:f>
      </x:c>
      <x:c r="M1483" t="str">
        <x:f>IF(K1483="","",IF(L1483=1,1,FIND(CHAR(1),SUBSTITUTE(INDEX($B$3:$B$168,K1483),CHAR(10),CHAR(1),L1483-1))+1))</x:f>
      </x:c>
      <x:c r="N1483" t="str">
        <x:f>IF(K1483="","",IFERROR(FIND(CHAR(1),SUBSTITUTE(INDEX($B$3:$B$168,K1483),CHAR(10),CHAR(1),L1483)),LEN(INDEX($B$3:$B$168,K1483))+1))</x:f>
      </x:c>
    </x:row>
    <x:row r="1484">
      <x:c r="A1484"/>
      <x:c r="B1484"/>
      <x:c r="C1484"/>
      <x:c r="D1484" t="str">
        <x:f>IFERROR(IF(1482&lt;=$O$1,INDEX($A$3:$A$168,MATCH(1482,$I$3:$I$168,0)),IF(1482&lt;=$O$1+$O$2,INDEX($F$3:$F$1994,MATCH(1482-$O$1,$G$3:$G$1994,0)),"")),"")</x:f>
      </x:c>
      <x:c r="E1484" t="str">
        <x:f>IF(K1484="","",IF(N1484&lt;=M1484,"",TRIM(CLEAN(MID(INDEX($B$3:$B$168,K1484),M1484,N1484-M1484)))))</x:f>
      </x:c>
      <x:c r="F1484" t="str">
        <x:f>IF(E1484="","",IF(E1484=TRIM(INDEX($A$3:$A$168,K1484)),"",IF(RIGHT(TRIM(INDEX($A$3:$A$168,K1484)),1)="]",LEFT(TRIM(INDEX($A$3:$A$168,K1484)),LEN(TRIM(INDEX($A$3:$A$168,K1484)))-1)&amp;", "&amp;SUBSTITUTE(SUBSTITUTE(SUBSTITUTE(E1484," [",", "),"[",", "),"]","")&amp;"]",TRIM(INDEX($A$3:$A$168,K1484))&amp;" ["&amp;SUBSTITUTE(SUBSTITUTE(SUBSTITUTE(E1484," [",", "),"[",", "),"]","")&amp;"]")))</x:f>
      </x:c>
      <x:c r="G1484" t="str">
        <x:f>IF(F1484&lt;&gt;"",ROWS($F$3:F1484)-COUNTBLANK($F$3:F1484),"")</x:f>
      </x:c>
      <x:c r="H1484"/>
      <x:c r="I1484"/>
      <x:c r="J1484"/>
      <x:c r="K1484" t="str">
        <x:f>IF(ROW()-ROW($K$2)&lt;=SUM($J$3:$J$168),COUNTIF($H$3:$H$168,"&lt;"&amp;(ROW()-ROW($K$2))),"")</x:f>
      </x:c>
      <x:c r="L1484" t="str">
        <x:f>IF(K1484="","",ROW()-ROW($L$2)-INDEX($H$3:$H$168,K1484))</x:f>
      </x:c>
      <x:c r="M1484" t="str">
        <x:f>IF(K1484="","",IF(L1484=1,1,FIND(CHAR(1),SUBSTITUTE(INDEX($B$3:$B$168,K1484),CHAR(10),CHAR(1),L1484-1))+1))</x:f>
      </x:c>
      <x:c r="N1484" t="str">
        <x:f>IF(K1484="","",IFERROR(FIND(CHAR(1),SUBSTITUTE(INDEX($B$3:$B$168,K1484),CHAR(10),CHAR(1),L1484)),LEN(INDEX($B$3:$B$168,K1484))+1))</x:f>
      </x:c>
    </x:row>
    <x:row r="1485">
      <x:c r="A1485"/>
      <x:c r="B1485"/>
      <x:c r="C1485"/>
      <x:c r="D1485" t="str">
        <x:f>IFERROR(IF(1483&lt;=$O$1,INDEX($A$3:$A$168,MATCH(1483,$I$3:$I$168,0)),IF(1483&lt;=$O$1+$O$2,INDEX($F$3:$F$1994,MATCH(1483-$O$1,$G$3:$G$1994,0)),"")),"")</x:f>
      </x:c>
      <x:c r="E1485" t="str">
        <x:f>IF(K1485="","",IF(N1485&lt;=M1485,"",TRIM(CLEAN(MID(INDEX($B$3:$B$168,K1485),M1485,N1485-M1485)))))</x:f>
      </x:c>
      <x:c r="F1485" t="str">
        <x:f>IF(E1485="","",IF(E1485=TRIM(INDEX($A$3:$A$168,K1485)),"",IF(RIGHT(TRIM(INDEX($A$3:$A$168,K1485)),1)="]",LEFT(TRIM(INDEX($A$3:$A$168,K1485)),LEN(TRIM(INDEX($A$3:$A$168,K1485)))-1)&amp;", "&amp;SUBSTITUTE(SUBSTITUTE(SUBSTITUTE(E1485," [",", "),"[",", "),"]","")&amp;"]",TRIM(INDEX($A$3:$A$168,K1485))&amp;" ["&amp;SUBSTITUTE(SUBSTITUTE(SUBSTITUTE(E1485," [",", "),"[",", "),"]","")&amp;"]")))</x:f>
      </x:c>
      <x:c r="G1485" t="str">
        <x:f>IF(F1485&lt;&gt;"",ROWS($F$3:F1485)-COUNTBLANK($F$3:F1485),"")</x:f>
      </x:c>
      <x:c r="H1485"/>
      <x:c r="I1485"/>
      <x:c r="J1485"/>
      <x:c r="K1485" t="str">
        <x:f>IF(ROW()-ROW($K$2)&lt;=SUM($J$3:$J$168),COUNTIF($H$3:$H$168,"&lt;"&amp;(ROW()-ROW($K$2))),"")</x:f>
      </x:c>
      <x:c r="L1485" t="str">
        <x:f>IF(K1485="","",ROW()-ROW($L$2)-INDEX($H$3:$H$168,K1485))</x:f>
      </x:c>
      <x:c r="M1485" t="str">
        <x:f>IF(K1485="","",IF(L1485=1,1,FIND(CHAR(1),SUBSTITUTE(INDEX($B$3:$B$168,K1485),CHAR(10),CHAR(1),L1485-1))+1))</x:f>
      </x:c>
      <x:c r="N1485" t="str">
        <x:f>IF(K1485="","",IFERROR(FIND(CHAR(1),SUBSTITUTE(INDEX($B$3:$B$168,K1485),CHAR(10),CHAR(1),L1485)),LEN(INDEX($B$3:$B$168,K1485))+1))</x:f>
      </x:c>
    </x:row>
    <x:row r="1486">
      <x:c r="A1486"/>
      <x:c r="B1486"/>
      <x:c r="C1486"/>
      <x:c r="D1486" t="str">
        <x:f>IFERROR(IF(1484&lt;=$O$1,INDEX($A$3:$A$168,MATCH(1484,$I$3:$I$168,0)),IF(1484&lt;=$O$1+$O$2,INDEX($F$3:$F$1994,MATCH(1484-$O$1,$G$3:$G$1994,0)),"")),"")</x:f>
      </x:c>
      <x:c r="E1486" t="str">
        <x:f>IF(K1486="","",IF(N1486&lt;=M1486,"",TRIM(CLEAN(MID(INDEX($B$3:$B$168,K1486),M1486,N1486-M1486)))))</x:f>
      </x:c>
      <x:c r="F1486" t="str">
        <x:f>IF(E1486="","",IF(E1486=TRIM(INDEX($A$3:$A$168,K1486)),"",IF(RIGHT(TRIM(INDEX($A$3:$A$168,K1486)),1)="]",LEFT(TRIM(INDEX($A$3:$A$168,K1486)),LEN(TRIM(INDEX($A$3:$A$168,K1486)))-1)&amp;", "&amp;SUBSTITUTE(SUBSTITUTE(SUBSTITUTE(E1486," [",", "),"[",", "),"]","")&amp;"]",TRIM(INDEX($A$3:$A$168,K1486))&amp;" ["&amp;SUBSTITUTE(SUBSTITUTE(SUBSTITUTE(E1486," [",", "),"[",", "),"]","")&amp;"]")))</x:f>
      </x:c>
      <x:c r="G1486" t="str">
        <x:f>IF(F1486&lt;&gt;"",ROWS($F$3:F1486)-COUNTBLANK($F$3:F1486),"")</x:f>
      </x:c>
      <x:c r="H1486"/>
      <x:c r="I1486"/>
      <x:c r="J1486"/>
      <x:c r="K1486" t="str">
        <x:f>IF(ROW()-ROW($K$2)&lt;=SUM($J$3:$J$168),COUNTIF($H$3:$H$168,"&lt;"&amp;(ROW()-ROW($K$2))),"")</x:f>
      </x:c>
      <x:c r="L1486" t="str">
        <x:f>IF(K1486="","",ROW()-ROW($L$2)-INDEX($H$3:$H$168,K1486))</x:f>
      </x:c>
      <x:c r="M1486" t="str">
        <x:f>IF(K1486="","",IF(L1486=1,1,FIND(CHAR(1),SUBSTITUTE(INDEX($B$3:$B$168,K1486),CHAR(10),CHAR(1),L1486-1))+1))</x:f>
      </x:c>
      <x:c r="N1486" t="str">
        <x:f>IF(K1486="","",IFERROR(FIND(CHAR(1),SUBSTITUTE(INDEX($B$3:$B$168,K1486),CHAR(10),CHAR(1),L1486)),LEN(INDEX($B$3:$B$168,K1486))+1))</x:f>
      </x:c>
    </x:row>
    <x:row r="1487">
      <x:c r="A1487"/>
      <x:c r="B1487"/>
      <x:c r="C1487"/>
      <x:c r="D1487" t="str">
        <x:f>IFERROR(IF(1485&lt;=$O$1,INDEX($A$3:$A$168,MATCH(1485,$I$3:$I$168,0)),IF(1485&lt;=$O$1+$O$2,INDEX($F$3:$F$1994,MATCH(1485-$O$1,$G$3:$G$1994,0)),"")),"")</x:f>
      </x:c>
      <x:c r="E1487" t="str">
        <x:f>IF(K1487="","",IF(N1487&lt;=M1487,"",TRIM(CLEAN(MID(INDEX($B$3:$B$168,K1487),M1487,N1487-M1487)))))</x:f>
      </x:c>
      <x:c r="F1487" t="str">
        <x:f>IF(E1487="","",IF(E1487=TRIM(INDEX($A$3:$A$168,K1487)),"",IF(RIGHT(TRIM(INDEX($A$3:$A$168,K1487)),1)="]",LEFT(TRIM(INDEX($A$3:$A$168,K1487)),LEN(TRIM(INDEX($A$3:$A$168,K1487)))-1)&amp;", "&amp;SUBSTITUTE(SUBSTITUTE(SUBSTITUTE(E1487," [",", "),"[",", "),"]","")&amp;"]",TRIM(INDEX($A$3:$A$168,K1487))&amp;" ["&amp;SUBSTITUTE(SUBSTITUTE(SUBSTITUTE(E1487," [",", "),"[",", "),"]","")&amp;"]")))</x:f>
      </x:c>
      <x:c r="G1487" t="str">
        <x:f>IF(F1487&lt;&gt;"",ROWS($F$3:F1487)-COUNTBLANK($F$3:F1487),"")</x:f>
      </x:c>
      <x:c r="H1487"/>
      <x:c r="I1487"/>
      <x:c r="J1487"/>
      <x:c r="K1487" t="str">
        <x:f>IF(ROW()-ROW($K$2)&lt;=SUM($J$3:$J$168),COUNTIF($H$3:$H$168,"&lt;"&amp;(ROW()-ROW($K$2))),"")</x:f>
      </x:c>
      <x:c r="L1487" t="str">
        <x:f>IF(K1487="","",ROW()-ROW($L$2)-INDEX($H$3:$H$168,K1487))</x:f>
      </x:c>
      <x:c r="M1487" t="str">
        <x:f>IF(K1487="","",IF(L1487=1,1,FIND(CHAR(1),SUBSTITUTE(INDEX($B$3:$B$168,K1487),CHAR(10),CHAR(1),L1487-1))+1))</x:f>
      </x:c>
      <x:c r="N1487" t="str">
        <x:f>IF(K1487="","",IFERROR(FIND(CHAR(1),SUBSTITUTE(INDEX($B$3:$B$168,K1487),CHAR(10),CHAR(1),L1487)),LEN(INDEX($B$3:$B$168,K1487))+1))</x:f>
      </x:c>
    </x:row>
    <x:row r="1488">
      <x:c r="A1488"/>
      <x:c r="B1488"/>
      <x:c r="C1488"/>
      <x:c r="D1488" t="str">
        <x:f>IFERROR(IF(1486&lt;=$O$1,INDEX($A$3:$A$168,MATCH(1486,$I$3:$I$168,0)),IF(1486&lt;=$O$1+$O$2,INDEX($F$3:$F$1994,MATCH(1486-$O$1,$G$3:$G$1994,0)),"")),"")</x:f>
      </x:c>
      <x:c r="E1488" t="str">
        <x:f>IF(K1488="","",IF(N1488&lt;=M1488,"",TRIM(CLEAN(MID(INDEX($B$3:$B$168,K1488),M1488,N1488-M1488)))))</x:f>
      </x:c>
      <x:c r="F1488" t="str">
        <x:f>IF(E1488="","",IF(E1488=TRIM(INDEX($A$3:$A$168,K1488)),"",IF(RIGHT(TRIM(INDEX($A$3:$A$168,K1488)),1)="]",LEFT(TRIM(INDEX($A$3:$A$168,K1488)),LEN(TRIM(INDEX($A$3:$A$168,K1488)))-1)&amp;", "&amp;SUBSTITUTE(SUBSTITUTE(SUBSTITUTE(E1488," [",", "),"[",", "),"]","")&amp;"]",TRIM(INDEX($A$3:$A$168,K1488))&amp;" ["&amp;SUBSTITUTE(SUBSTITUTE(SUBSTITUTE(E1488," [",", "),"[",", "),"]","")&amp;"]")))</x:f>
      </x:c>
      <x:c r="G1488" t="str">
        <x:f>IF(F1488&lt;&gt;"",ROWS($F$3:F1488)-COUNTBLANK($F$3:F1488),"")</x:f>
      </x:c>
      <x:c r="H1488"/>
      <x:c r="I1488"/>
      <x:c r="J1488"/>
      <x:c r="K1488" t="str">
        <x:f>IF(ROW()-ROW($K$2)&lt;=SUM($J$3:$J$168),COUNTIF($H$3:$H$168,"&lt;"&amp;(ROW()-ROW($K$2))),"")</x:f>
      </x:c>
      <x:c r="L1488" t="str">
        <x:f>IF(K1488="","",ROW()-ROW($L$2)-INDEX($H$3:$H$168,K1488))</x:f>
      </x:c>
      <x:c r="M1488" t="str">
        <x:f>IF(K1488="","",IF(L1488=1,1,FIND(CHAR(1),SUBSTITUTE(INDEX($B$3:$B$168,K1488),CHAR(10),CHAR(1),L1488-1))+1))</x:f>
      </x:c>
      <x:c r="N1488" t="str">
        <x:f>IF(K1488="","",IFERROR(FIND(CHAR(1),SUBSTITUTE(INDEX($B$3:$B$168,K1488),CHAR(10),CHAR(1),L1488)),LEN(INDEX($B$3:$B$168,K1488))+1))</x:f>
      </x:c>
    </x:row>
    <x:row r="1489">
      <x:c r="A1489"/>
      <x:c r="B1489"/>
      <x:c r="C1489"/>
      <x:c r="D1489" t="str">
        <x:f>IFERROR(IF(1487&lt;=$O$1,INDEX($A$3:$A$168,MATCH(1487,$I$3:$I$168,0)),IF(1487&lt;=$O$1+$O$2,INDEX($F$3:$F$1994,MATCH(1487-$O$1,$G$3:$G$1994,0)),"")),"")</x:f>
      </x:c>
      <x:c r="E1489" t="str">
        <x:f>IF(K1489="","",IF(N1489&lt;=M1489,"",TRIM(CLEAN(MID(INDEX($B$3:$B$168,K1489),M1489,N1489-M1489)))))</x:f>
      </x:c>
      <x:c r="F1489" t="str">
        <x:f>IF(E1489="","",IF(E1489=TRIM(INDEX($A$3:$A$168,K1489)),"",IF(RIGHT(TRIM(INDEX($A$3:$A$168,K1489)),1)="]",LEFT(TRIM(INDEX($A$3:$A$168,K1489)),LEN(TRIM(INDEX($A$3:$A$168,K1489)))-1)&amp;", "&amp;SUBSTITUTE(SUBSTITUTE(SUBSTITUTE(E1489," [",", "),"[",", "),"]","")&amp;"]",TRIM(INDEX($A$3:$A$168,K1489))&amp;" ["&amp;SUBSTITUTE(SUBSTITUTE(SUBSTITUTE(E1489," [",", "),"[",", "),"]","")&amp;"]")))</x:f>
      </x:c>
      <x:c r="G1489" t="str">
        <x:f>IF(F1489&lt;&gt;"",ROWS($F$3:F1489)-COUNTBLANK($F$3:F1489),"")</x:f>
      </x:c>
      <x:c r="H1489"/>
      <x:c r="I1489"/>
      <x:c r="J1489"/>
      <x:c r="K1489" t="str">
        <x:f>IF(ROW()-ROW($K$2)&lt;=SUM($J$3:$J$168),COUNTIF($H$3:$H$168,"&lt;"&amp;(ROW()-ROW($K$2))),"")</x:f>
      </x:c>
      <x:c r="L1489" t="str">
        <x:f>IF(K1489="","",ROW()-ROW($L$2)-INDEX($H$3:$H$168,K1489))</x:f>
      </x:c>
      <x:c r="M1489" t="str">
        <x:f>IF(K1489="","",IF(L1489=1,1,FIND(CHAR(1),SUBSTITUTE(INDEX($B$3:$B$168,K1489),CHAR(10),CHAR(1),L1489-1))+1))</x:f>
      </x:c>
      <x:c r="N1489" t="str">
        <x:f>IF(K1489="","",IFERROR(FIND(CHAR(1),SUBSTITUTE(INDEX($B$3:$B$168,K1489),CHAR(10),CHAR(1),L1489)),LEN(INDEX($B$3:$B$168,K1489))+1))</x:f>
      </x:c>
    </x:row>
    <x:row r="1490">
      <x:c r="A1490"/>
      <x:c r="B1490"/>
      <x:c r="C1490"/>
      <x:c r="D1490" t="str">
        <x:f>IFERROR(IF(1488&lt;=$O$1,INDEX($A$3:$A$168,MATCH(1488,$I$3:$I$168,0)),IF(1488&lt;=$O$1+$O$2,INDEX($F$3:$F$1994,MATCH(1488-$O$1,$G$3:$G$1994,0)),"")),"")</x:f>
      </x:c>
      <x:c r="E1490" t="str">
        <x:f>IF(K1490="","",IF(N1490&lt;=M1490,"",TRIM(CLEAN(MID(INDEX($B$3:$B$168,K1490),M1490,N1490-M1490)))))</x:f>
      </x:c>
      <x:c r="F1490" t="str">
        <x:f>IF(E1490="","",IF(E1490=TRIM(INDEX($A$3:$A$168,K1490)),"",IF(RIGHT(TRIM(INDEX($A$3:$A$168,K1490)),1)="]",LEFT(TRIM(INDEX($A$3:$A$168,K1490)),LEN(TRIM(INDEX($A$3:$A$168,K1490)))-1)&amp;", "&amp;SUBSTITUTE(SUBSTITUTE(SUBSTITUTE(E1490," [",", "),"[",", "),"]","")&amp;"]",TRIM(INDEX($A$3:$A$168,K1490))&amp;" ["&amp;SUBSTITUTE(SUBSTITUTE(SUBSTITUTE(E1490," [",", "),"[",", "),"]","")&amp;"]")))</x:f>
      </x:c>
      <x:c r="G1490" t="str">
        <x:f>IF(F1490&lt;&gt;"",ROWS($F$3:F1490)-COUNTBLANK($F$3:F1490),"")</x:f>
      </x:c>
      <x:c r="H1490"/>
      <x:c r="I1490"/>
      <x:c r="J1490"/>
      <x:c r="K1490" t="str">
        <x:f>IF(ROW()-ROW($K$2)&lt;=SUM($J$3:$J$168),COUNTIF($H$3:$H$168,"&lt;"&amp;(ROW()-ROW($K$2))),"")</x:f>
      </x:c>
      <x:c r="L1490" t="str">
        <x:f>IF(K1490="","",ROW()-ROW($L$2)-INDEX($H$3:$H$168,K1490))</x:f>
      </x:c>
      <x:c r="M1490" t="str">
        <x:f>IF(K1490="","",IF(L1490=1,1,FIND(CHAR(1),SUBSTITUTE(INDEX($B$3:$B$168,K1490),CHAR(10),CHAR(1),L1490-1))+1))</x:f>
      </x:c>
      <x:c r="N1490" t="str">
        <x:f>IF(K1490="","",IFERROR(FIND(CHAR(1),SUBSTITUTE(INDEX($B$3:$B$168,K1490),CHAR(10),CHAR(1),L1490)),LEN(INDEX($B$3:$B$168,K1490))+1))</x:f>
      </x:c>
    </x:row>
    <x:row r="1491">
      <x:c r="A1491"/>
      <x:c r="B1491"/>
      <x:c r="C1491"/>
      <x:c r="D1491" t="str">
        <x:f>IFERROR(IF(1489&lt;=$O$1,INDEX($A$3:$A$168,MATCH(1489,$I$3:$I$168,0)),IF(1489&lt;=$O$1+$O$2,INDEX($F$3:$F$1994,MATCH(1489-$O$1,$G$3:$G$1994,0)),"")),"")</x:f>
      </x:c>
      <x:c r="E1491" t="str">
        <x:f>IF(K1491="","",IF(N1491&lt;=M1491,"",TRIM(CLEAN(MID(INDEX($B$3:$B$168,K1491),M1491,N1491-M1491)))))</x:f>
      </x:c>
      <x:c r="F1491" t="str">
        <x:f>IF(E1491="","",IF(E1491=TRIM(INDEX($A$3:$A$168,K1491)),"",IF(RIGHT(TRIM(INDEX($A$3:$A$168,K1491)),1)="]",LEFT(TRIM(INDEX($A$3:$A$168,K1491)),LEN(TRIM(INDEX($A$3:$A$168,K1491)))-1)&amp;", "&amp;SUBSTITUTE(SUBSTITUTE(SUBSTITUTE(E1491," [",", "),"[",", "),"]","")&amp;"]",TRIM(INDEX($A$3:$A$168,K1491))&amp;" ["&amp;SUBSTITUTE(SUBSTITUTE(SUBSTITUTE(E1491," [",", "),"[",", "),"]","")&amp;"]")))</x:f>
      </x:c>
      <x:c r="G1491" t="str">
        <x:f>IF(F1491&lt;&gt;"",ROWS($F$3:F1491)-COUNTBLANK($F$3:F1491),"")</x:f>
      </x:c>
      <x:c r="H1491"/>
      <x:c r="I1491"/>
      <x:c r="J1491"/>
      <x:c r="K1491" t="str">
        <x:f>IF(ROW()-ROW($K$2)&lt;=SUM($J$3:$J$168),COUNTIF($H$3:$H$168,"&lt;"&amp;(ROW()-ROW($K$2))),"")</x:f>
      </x:c>
      <x:c r="L1491" t="str">
        <x:f>IF(K1491="","",ROW()-ROW($L$2)-INDEX($H$3:$H$168,K1491))</x:f>
      </x:c>
      <x:c r="M1491" t="str">
        <x:f>IF(K1491="","",IF(L1491=1,1,FIND(CHAR(1),SUBSTITUTE(INDEX($B$3:$B$168,K1491),CHAR(10),CHAR(1),L1491-1))+1))</x:f>
      </x:c>
      <x:c r="N1491" t="str">
        <x:f>IF(K1491="","",IFERROR(FIND(CHAR(1),SUBSTITUTE(INDEX($B$3:$B$168,K1491),CHAR(10),CHAR(1),L1491)),LEN(INDEX($B$3:$B$168,K1491))+1))</x:f>
      </x:c>
    </x:row>
    <x:row r="1492">
      <x:c r="A1492"/>
      <x:c r="B1492"/>
      <x:c r="C1492"/>
      <x:c r="D1492" t="str">
        <x:f>IFERROR(IF(1490&lt;=$O$1,INDEX($A$3:$A$168,MATCH(1490,$I$3:$I$168,0)),IF(1490&lt;=$O$1+$O$2,INDEX($F$3:$F$1994,MATCH(1490-$O$1,$G$3:$G$1994,0)),"")),"")</x:f>
      </x:c>
      <x:c r="E1492" t="str">
        <x:f>IF(K1492="","",IF(N1492&lt;=M1492,"",TRIM(CLEAN(MID(INDEX($B$3:$B$168,K1492),M1492,N1492-M1492)))))</x:f>
      </x:c>
      <x:c r="F1492" t="str">
        <x:f>IF(E1492="","",IF(E1492=TRIM(INDEX($A$3:$A$168,K1492)),"",IF(RIGHT(TRIM(INDEX($A$3:$A$168,K1492)),1)="]",LEFT(TRIM(INDEX($A$3:$A$168,K1492)),LEN(TRIM(INDEX($A$3:$A$168,K1492)))-1)&amp;", "&amp;SUBSTITUTE(SUBSTITUTE(SUBSTITUTE(E1492," [",", "),"[",", "),"]","")&amp;"]",TRIM(INDEX($A$3:$A$168,K1492))&amp;" ["&amp;SUBSTITUTE(SUBSTITUTE(SUBSTITUTE(E1492," [",", "),"[",", "),"]","")&amp;"]")))</x:f>
      </x:c>
      <x:c r="G1492" t="str">
        <x:f>IF(F1492&lt;&gt;"",ROWS($F$3:F1492)-COUNTBLANK($F$3:F1492),"")</x:f>
      </x:c>
      <x:c r="H1492"/>
      <x:c r="I1492"/>
      <x:c r="J1492"/>
      <x:c r="K1492" t="str">
        <x:f>IF(ROW()-ROW($K$2)&lt;=SUM($J$3:$J$168),COUNTIF($H$3:$H$168,"&lt;"&amp;(ROW()-ROW($K$2))),"")</x:f>
      </x:c>
      <x:c r="L1492" t="str">
        <x:f>IF(K1492="","",ROW()-ROW($L$2)-INDEX($H$3:$H$168,K1492))</x:f>
      </x:c>
      <x:c r="M1492" t="str">
        <x:f>IF(K1492="","",IF(L1492=1,1,FIND(CHAR(1),SUBSTITUTE(INDEX($B$3:$B$168,K1492),CHAR(10),CHAR(1),L1492-1))+1))</x:f>
      </x:c>
      <x:c r="N1492" t="str">
        <x:f>IF(K1492="","",IFERROR(FIND(CHAR(1),SUBSTITUTE(INDEX($B$3:$B$168,K1492),CHAR(10),CHAR(1),L1492)),LEN(INDEX($B$3:$B$168,K1492))+1))</x:f>
      </x:c>
    </x:row>
    <x:row r="1493">
      <x:c r="A1493"/>
      <x:c r="B1493"/>
      <x:c r="C1493"/>
      <x:c r="D1493" t="str">
        <x:f>IFERROR(IF(1491&lt;=$O$1,INDEX($A$3:$A$168,MATCH(1491,$I$3:$I$168,0)),IF(1491&lt;=$O$1+$O$2,INDEX($F$3:$F$1994,MATCH(1491-$O$1,$G$3:$G$1994,0)),"")),"")</x:f>
      </x:c>
      <x:c r="E1493" t="str">
        <x:f>IF(K1493="","",IF(N1493&lt;=M1493,"",TRIM(CLEAN(MID(INDEX($B$3:$B$168,K1493),M1493,N1493-M1493)))))</x:f>
      </x:c>
      <x:c r="F1493" t="str">
        <x:f>IF(E1493="","",IF(E1493=TRIM(INDEX($A$3:$A$168,K1493)),"",IF(RIGHT(TRIM(INDEX($A$3:$A$168,K1493)),1)="]",LEFT(TRIM(INDEX($A$3:$A$168,K1493)),LEN(TRIM(INDEX($A$3:$A$168,K1493)))-1)&amp;", "&amp;SUBSTITUTE(SUBSTITUTE(SUBSTITUTE(E1493," [",", "),"[",", "),"]","")&amp;"]",TRIM(INDEX($A$3:$A$168,K1493))&amp;" ["&amp;SUBSTITUTE(SUBSTITUTE(SUBSTITUTE(E1493," [",", "),"[",", "),"]","")&amp;"]")))</x:f>
      </x:c>
      <x:c r="G1493" t="str">
        <x:f>IF(F1493&lt;&gt;"",ROWS($F$3:F1493)-COUNTBLANK($F$3:F1493),"")</x:f>
      </x:c>
      <x:c r="H1493"/>
      <x:c r="I1493"/>
      <x:c r="J1493"/>
      <x:c r="K1493" t="str">
        <x:f>IF(ROW()-ROW($K$2)&lt;=SUM($J$3:$J$168),COUNTIF($H$3:$H$168,"&lt;"&amp;(ROW()-ROW($K$2))),"")</x:f>
      </x:c>
      <x:c r="L1493" t="str">
        <x:f>IF(K1493="","",ROW()-ROW($L$2)-INDEX($H$3:$H$168,K1493))</x:f>
      </x:c>
      <x:c r="M1493" t="str">
        <x:f>IF(K1493="","",IF(L1493=1,1,FIND(CHAR(1),SUBSTITUTE(INDEX($B$3:$B$168,K1493),CHAR(10),CHAR(1),L1493-1))+1))</x:f>
      </x:c>
      <x:c r="N1493" t="str">
        <x:f>IF(K1493="","",IFERROR(FIND(CHAR(1),SUBSTITUTE(INDEX($B$3:$B$168,K1493),CHAR(10),CHAR(1),L1493)),LEN(INDEX($B$3:$B$168,K1493))+1))</x:f>
      </x:c>
    </x:row>
    <x:row r="1494">
      <x:c r="A1494"/>
      <x:c r="B1494"/>
      <x:c r="C1494"/>
      <x:c r="D1494" t="str">
        <x:f>IFERROR(IF(1492&lt;=$O$1,INDEX($A$3:$A$168,MATCH(1492,$I$3:$I$168,0)),IF(1492&lt;=$O$1+$O$2,INDEX($F$3:$F$1994,MATCH(1492-$O$1,$G$3:$G$1994,0)),"")),"")</x:f>
      </x:c>
      <x:c r="E1494" t="str">
        <x:f>IF(K1494="","",IF(N1494&lt;=M1494,"",TRIM(CLEAN(MID(INDEX($B$3:$B$168,K1494),M1494,N1494-M1494)))))</x:f>
      </x:c>
      <x:c r="F1494" t="str">
        <x:f>IF(E1494="","",IF(E1494=TRIM(INDEX($A$3:$A$168,K1494)),"",IF(RIGHT(TRIM(INDEX($A$3:$A$168,K1494)),1)="]",LEFT(TRIM(INDEX($A$3:$A$168,K1494)),LEN(TRIM(INDEX($A$3:$A$168,K1494)))-1)&amp;", "&amp;SUBSTITUTE(SUBSTITUTE(SUBSTITUTE(E1494," [",", "),"[",", "),"]","")&amp;"]",TRIM(INDEX($A$3:$A$168,K1494))&amp;" ["&amp;SUBSTITUTE(SUBSTITUTE(SUBSTITUTE(E1494," [",", "),"[",", "),"]","")&amp;"]")))</x:f>
      </x:c>
      <x:c r="G1494" t="str">
        <x:f>IF(F1494&lt;&gt;"",ROWS($F$3:F1494)-COUNTBLANK($F$3:F1494),"")</x:f>
      </x:c>
      <x:c r="H1494"/>
      <x:c r="I1494"/>
      <x:c r="J1494"/>
      <x:c r="K1494" t="str">
        <x:f>IF(ROW()-ROW($K$2)&lt;=SUM($J$3:$J$168),COUNTIF($H$3:$H$168,"&lt;"&amp;(ROW()-ROW($K$2))),"")</x:f>
      </x:c>
      <x:c r="L1494" t="str">
        <x:f>IF(K1494="","",ROW()-ROW($L$2)-INDEX($H$3:$H$168,K1494))</x:f>
      </x:c>
      <x:c r="M1494" t="str">
        <x:f>IF(K1494="","",IF(L1494=1,1,FIND(CHAR(1),SUBSTITUTE(INDEX($B$3:$B$168,K1494),CHAR(10),CHAR(1),L1494-1))+1))</x:f>
      </x:c>
      <x:c r="N1494" t="str">
        <x:f>IF(K1494="","",IFERROR(FIND(CHAR(1),SUBSTITUTE(INDEX($B$3:$B$168,K1494),CHAR(10),CHAR(1),L1494)),LEN(INDEX($B$3:$B$168,K1494))+1))</x:f>
      </x:c>
    </x:row>
    <x:row r="1495">
      <x:c r="A1495"/>
      <x:c r="B1495"/>
      <x:c r="C1495"/>
      <x:c r="D1495" t="str">
        <x:f>IFERROR(IF(1493&lt;=$O$1,INDEX($A$3:$A$168,MATCH(1493,$I$3:$I$168,0)),IF(1493&lt;=$O$1+$O$2,INDEX($F$3:$F$1994,MATCH(1493-$O$1,$G$3:$G$1994,0)),"")),"")</x:f>
      </x:c>
      <x:c r="E1495" t="str">
        <x:f>IF(K1495="","",IF(N1495&lt;=M1495,"",TRIM(CLEAN(MID(INDEX($B$3:$B$168,K1495),M1495,N1495-M1495)))))</x:f>
      </x:c>
      <x:c r="F1495" t="str">
        <x:f>IF(E1495="","",IF(E1495=TRIM(INDEX($A$3:$A$168,K1495)),"",IF(RIGHT(TRIM(INDEX($A$3:$A$168,K1495)),1)="]",LEFT(TRIM(INDEX($A$3:$A$168,K1495)),LEN(TRIM(INDEX($A$3:$A$168,K1495)))-1)&amp;", "&amp;SUBSTITUTE(SUBSTITUTE(SUBSTITUTE(E1495," [",", "),"[",", "),"]","")&amp;"]",TRIM(INDEX($A$3:$A$168,K1495))&amp;" ["&amp;SUBSTITUTE(SUBSTITUTE(SUBSTITUTE(E1495," [",", "),"[",", "),"]","")&amp;"]")))</x:f>
      </x:c>
      <x:c r="G1495" t="str">
        <x:f>IF(F1495&lt;&gt;"",ROWS($F$3:F1495)-COUNTBLANK($F$3:F1495),"")</x:f>
      </x:c>
      <x:c r="H1495"/>
      <x:c r="I1495"/>
      <x:c r="J1495"/>
      <x:c r="K1495" t="str">
        <x:f>IF(ROW()-ROW($K$2)&lt;=SUM($J$3:$J$168),COUNTIF($H$3:$H$168,"&lt;"&amp;(ROW()-ROW($K$2))),"")</x:f>
      </x:c>
      <x:c r="L1495" t="str">
        <x:f>IF(K1495="","",ROW()-ROW($L$2)-INDEX($H$3:$H$168,K1495))</x:f>
      </x:c>
      <x:c r="M1495" t="str">
        <x:f>IF(K1495="","",IF(L1495=1,1,FIND(CHAR(1),SUBSTITUTE(INDEX($B$3:$B$168,K1495),CHAR(10),CHAR(1),L1495-1))+1))</x:f>
      </x:c>
      <x:c r="N1495" t="str">
        <x:f>IF(K1495="","",IFERROR(FIND(CHAR(1),SUBSTITUTE(INDEX($B$3:$B$168,K1495),CHAR(10),CHAR(1),L1495)),LEN(INDEX($B$3:$B$168,K1495))+1))</x:f>
      </x:c>
    </x:row>
    <x:row r="1496">
      <x:c r="A1496"/>
      <x:c r="B1496"/>
      <x:c r="C1496"/>
      <x:c r="D1496" t="str">
        <x:f>IFERROR(IF(1494&lt;=$O$1,INDEX($A$3:$A$168,MATCH(1494,$I$3:$I$168,0)),IF(1494&lt;=$O$1+$O$2,INDEX($F$3:$F$1994,MATCH(1494-$O$1,$G$3:$G$1994,0)),"")),"")</x:f>
      </x:c>
      <x:c r="E1496" t="str">
        <x:f>IF(K1496="","",IF(N1496&lt;=M1496,"",TRIM(CLEAN(MID(INDEX($B$3:$B$168,K1496),M1496,N1496-M1496)))))</x:f>
      </x:c>
      <x:c r="F1496" t="str">
        <x:f>IF(E1496="","",IF(E1496=TRIM(INDEX($A$3:$A$168,K1496)),"",IF(RIGHT(TRIM(INDEX($A$3:$A$168,K1496)),1)="]",LEFT(TRIM(INDEX($A$3:$A$168,K1496)),LEN(TRIM(INDEX($A$3:$A$168,K1496)))-1)&amp;", "&amp;SUBSTITUTE(SUBSTITUTE(SUBSTITUTE(E1496," [",", "),"[",", "),"]","")&amp;"]",TRIM(INDEX($A$3:$A$168,K1496))&amp;" ["&amp;SUBSTITUTE(SUBSTITUTE(SUBSTITUTE(E1496," [",", "),"[",", "),"]","")&amp;"]")))</x:f>
      </x:c>
      <x:c r="G1496" t="str">
        <x:f>IF(F1496&lt;&gt;"",ROWS($F$3:F1496)-COUNTBLANK($F$3:F1496),"")</x:f>
      </x:c>
      <x:c r="H1496"/>
      <x:c r="I1496"/>
      <x:c r="J1496"/>
      <x:c r="K1496" t="str">
        <x:f>IF(ROW()-ROW($K$2)&lt;=SUM($J$3:$J$168),COUNTIF($H$3:$H$168,"&lt;"&amp;(ROW()-ROW($K$2))),"")</x:f>
      </x:c>
      <x:c r="L1496" t="str">
        <x:f>IF(K1496="","",ROW()-ROW($L$2)-INDEX($H$3:$H$168,K1496))</x:f>
      </x:c>
      <x:c r="M1496" t="str">
        <x:f>IF(K1496="","",IF(L1496=1,1,FIND(CHAR(1),SUBSTITUTE(INDEX($B$3:$B$168,K1496),CHAR(10),CHAR(1),L1496-1))+1))</x:f>
      </x:c>
      <x:c r="N1496" t="str">
        <x:f>IF(K1496="","",IFERROR(FIND(CHAR(1),SUBSTITUTE(INDEX($B$3:$B$168,K1496),CHAR(10),CHAR(1),L1496)),LEN(INDEX($B$3:$B$168,K1496))+1))</x:f>
      </x:c>
    </x:row>
    <x:row r="1497">
      <x:c r="A1497"/>
      <x:c r="B1497"/>
      <x:c r="C1497"/>
      <x:c r="D1497" t="str">
        <x:f>IFERROR(IF(1495&lt;=$O$1,INDEX($A$3:$A$168,MATCH(1495,$I$3:$I$168,0)),IF(1495&lt;=$O$1+$O$2,INDEX($F$3:$F$1994,MATCH(1495-$O$1,$G$3:$G$1994,0)),"")),"")</x:f>
      </x:c>
      <x:c r="E1497" t="str">
        <x:f>IF(K1497="","",IF(N1497&lt;=M1497,"",TRIM(CLEAN(MID(INDEX($B$3:$B$168,K1497),M1497,N1497-M1497)))))</x:f>
      </x:c>
      <x:c r="F1497" t="str">
        <x:f>IF(E1497="","",IF(E1497=TRIM(INDEX($A$3:$A$168,K1497)),"",IF(RIGHT(TRIM(INDEX($A$3:$A$168,K1497)),1)="]",LEFT(TRIM(INDEX($A$3:$A$168,K1497)),LEN(TRIM(INDEX($A$3:$A$168,K1497)))-1)&amp;", "&amp;SUBSTITUTE(SUBSTITUTE(SUBSTITUTE(E1497," [",", "),"[",", "),"]","")&amp;"]",TRIM(INDEX($A$3:$A$168,K1497))&amp;" ["&amp;SUBSTITUTE(SUBSTITUTE(SUBSTITUTE(E1497," [",", "),"[",", "),"]","")&amp;"]")))</x:f>
      </x:c>
      <x:c r="G1497" t="str">
        <x:f>IF(F1497&lt;&gt;"",ROWS($F$3:F1497)-COUNTBLANK($F$3:F1497),"")</x:f>
      </x:c>
      <x:c r="H1497"/>
      <x:c r="I1497"/>
      <x:c r="J1497"/>
      <x:c r="K1497" t="str">
        <x:f>IF(ROW()-ROW($K$2)&lt;=SUM($J$3:$J$168),COUNTIF($H$3:$H$168,"&lt;"&amp;(ROW()-ROW($K$2))),"")</x:f>
      </x:c>
      <x:c r="L1497" t="str">
        <x:f>IF(K1497="","",ROW()-ROW($L$2)-INDEX($H$3:$H$168,K1497))</x:f>
      </x:c>
      <x:c r="M1497" t="str">
        <x:f>IF(K1497="","",IF(L1497=1,1,FIND(CHAR(1),SUBSTITUTE(INDEX($B$3:$B$168,K1497),CHAR(10),CHAR(1),L1497-1))+1))</x:f>
      </x:c>
      <x:c r="N1497" t="str">
        <x:f>IF(K1497="","",IFERROR(FIND(CHAR(1),SUBSTITUTE(INDEX($B$3:$B$168,K1497),CHAR(10),CHAR(1),L1497)),LEN(INDEX($B$3:$B$168,K1497))+1))</x:f>
      </x:c>
    </x:row>
    <x:row r="1498">
      <x:c r="A1498"/>
      <x:c r="B1498"/>
      <x:c r="C1498"/>
      <x:c r="D1498" t="str">
        <x:f>IFERROR(IF(1496&lt;=$O$1,INDEX($A$3:$A$168,MATCH(1496,$I$3:$I$168,0)),IF(1496&lt;=$O$1+$O$2,INDEX($F$3:$F$1994,MATCH(1496-$O$1,$G$3:$G$1994,0)),"")),"")</x:f>
      </x:c>
      <x:c r="E1498" t="str">
        <x:f>IF(K1498="","",IF(N1498&lt;=M1498,"",TRIM(CLEAN(MID(INDEX($B$3:$B$168,K1498),M1498,N1498-M1498)))))</x:f>
      </x:c>
      <x:c r="F1498" t="str">
        <x:f>IF(E1498="","",IF(E1498=TRIM(INDEX($A$3:$A$168,K1498)),"",IF(RIGHT(TRIM(INDEX($A$3:$A$168,K1498)),1)="]",LEFT(TRIM(INDEX($A$3:$A$168,K1498)),LEN(TRIM(INDEX($A$3:$A$168,K1498)))-1)&amp;", "&amp;SUBSTITUTE(SUBSTITUTE(SUBSTITUTE(E1498," [",", "),"[",", "),"]","")&amp;"]",TRIM(INDEX($A$3:$A$168,K1498))&amp;" ["&amp;SUBSTITUTE(SUBSTITUTE(SUBSTITUTE(E1498," [",", "),"[",", "),"]","")&amp;"]")))</x:f>
      </x:c>
      <x:c r="G1498" t="str">
        <x:f>IF(F1498&lt;&gt;"",ROWS($F$3:F1498)-COUNTBLANK($F$3:F1498),"")</x:f>
      </x:c>
      <x:c r="H1498"/>
      <x:c r="I1498"/>
      <x:c r="J1498"/>
      <x:c r="K1498" t="str">
        <x:f>IF(ROW()-ROW($K$2)&lt;=SUM($J$3:$J$168),COUNTIF($H$3:$H$168,"&lt;"&amp;(ROW()-ROW($K$2))),"")</x:f>
      </x:c>
      <x:c r="L1498" t="str">
        <x:f>IF(K1498="","",ROW()-ROW($L$2)-INDEX($H$3:$H$168,K1498))</x:f>
      </x:c>
      <x:c r="M1498" t="str">
        <x:f>IF(K1498="","",IF(L1498=1,1,FIND(CHAR(1),SUBSTITUTE(INDEX($B$3:$B$168,K1498),CHAR(10),CHAR(1),L1498-1))+1))</x:f>
      </x:c>
      <x:c r="N1498" t="str">
        <x:f>IF(K1498="","",IFERROR(FIND(CHAR(1),SUBSTITUTE(INDEX($B$3:$B$168,K1498),CHAR(10),CHAR(1),L1498)),LEN(INDEX($B$3:$B$168,K1498))+1))</x:f>
      </x:c>
    </x:row>
    <x:row r="1499">
      <x:c r="A1499"/>
      <x:c r="B1499"/>
      <x:c r="C1499"/>
      <x:c r="D1499" t="str">
        <x:f>IFERROR(IF(1497&lt;=$O$1,INDEX($A$3:$A$168,MATCH(1497,$I$3:$I$168,0)),IF(1497&lt;=$O$1+$O$2,INDEX($F$3:$F$1994,MATCH(1497-$O$1,$G$3:$G$1994,0)),"")),"")</x:f>
      </x:c>
      <x:c r="E1499" t="str">
        <x:f>IF(K1499="","",IF(N1499&lt;=M1499,"",TRIM(CLEAN(MID(INDEX($B$3:$B$168,K1499),M1499,N1499-M1499)))))</x:f>
      </x:c>
      <x:c r="F1499" t="str">
        <x:f>IF(E1499="","",IF(E1499=TRIM(INDEX($A$3:$A$168,K1499)),"",IF(RIGHT(TRIM(INDEX($A$3:$A$168,K1499)),1)="]",LEFT(TRIM(INDEX($A$3:$A$168,K1499)),LEN(TRIM(INDEX($A$3:$A$168,K1499)))-1)&amp;", "&amp;SUBSTITUTE(SUBSTITUTE(SUBSTITUTE(E1499," [",", "),"[",", "),"]","")&amp;"]",TRIM(INDEX($A$3:$A$168,K1499))&amp;" ["&amp;SUBSTITUTE(SUBSTITUTE(SUBSTITUTE(E1499," [",", "),"[",", "),"]","")&amp;"]")))</x:f>
      </x:c>
      <x:c r="G1499" t="str">
        <x:f>IF(F1499&lt;&gt;"",ROWS($F$3:F1499)-COUNTBLANK($F$3:F1499),"")</x:f>
      </x:c>
      <x:c r="H1499"/>
      <x:c r="I1499"/>
      <x:c r="J1499"/>
      <x:c r="K1499" t="str">
        <x:f>IF(ROW()-ROW($K$2)&lt;=SUM($J$3:$J$168),COUNTIF($H$3:$H$168,"&lt;"&amp;(ROW()-ROW($K$2))),"")</x:f>
      </x:c>
      <x:c r="L1499" t="str">
        <x:f>IF(K1499="","",ROW()-ROW($L$2)-INDEX($H$3:$H$168,K1499))</x:f>
      </x:c>
      <x:c r="M1499" t="str">
        <x:f>IF(K1499="","",IF(L1499=1,1,FIND(CHAR(1),SUBSTITUTE(INDEX($B$3:$B$168,K1499),CHAR(10),CHAR(1),L1499-1))+1))</x:f>
      </x:c>
      <x:c r="N1499" t="str">
        <x:f>IF(K1499="","",IFERROR(FIND(CHAR(1),SUBSTITUTE(INDEX($B$3:$B$168,K1499),CHAR(10),CHAR(1),L1499)),LEN(INDEX($B$3:$B$168,K1499))+1))</x:f>
      </x:c>
    </x:row>
    <x:row r="1500">
      <x:c r="A1500"/>
      <x:c r="B1500"/>
      <x:c r="C1500"/>
      <x:c r="D1500" t="str">
        <x:f>IFERROR(IF(1498&lt;=$O$1,INDEX($A$3:$A$168,MATCH(1498,$I$3:$I$168,0)),IF(1498&lt;=$O$1+$O$2,INDEX($F$3:$F$1994,MATCH(1498-$O$1,$G$3:$G$1994,0)),"")),"")</x:f>
      </x:c>
      <x:c r="E1500" t="str">
        <x:f>IF(K1500="","",IF(N1500&lt;=M1500,"",TRIM(CLEAN(MID(INDEX($B$3:$B$168,K1500),M1500,N1500-M1500)))))</x:f>
      </x:c>
      <x:c r="F1500" t="str">
        <x:f>IF(E1500="","",IF(E1500=TRIM(INDEX($A$3:$A$168,K1500)),"",IF(RIGHT(TRIM(INDEX($A$3:$A$168,K1500)),1)="]",LEFT(TRIM(INDEX($A$3:$A$168,K1500)),LEN(TRIM(INDEX($A$3:$A$168,K1500)))-1)&amp;", "&amp;SUBSTITUTE(SUBSTITUTE(SUBSTITUTE(E1500," [",", "),"[",", "),"]","")&amp;"]",TRIM(INDEX($A$3:$A$168,K1500))&amp;" ["&amp;SUBSTITUTE(SUBSTITUTE(SUBSTITUTE(E1500," [",", "),"[",", "),"]","")&amp;"]")))</x:f>
      </x:c>
      <x:c r="G1500" t="str">
        <x:f>IF(F1500&lt;&gt;"",ROWS($F$3:F1500)-COUNTBLANK($F$3:F1500),"")</x:f>
      </x:c>
      <x:c r="H1500"/>
      <x:c r="I1500"/>
      <x:c r="J1500"/>
      <x:c r="K1500" t="str">
        <x:f>IF(ROW()-ROW($K$2)&lt;=SUM($J$3:$J$168),COUNTIF($H$3:$H$168,"&lt;"&amp;(ROW()-ROW($K$2))),"")</x:f>
      </x:c>
      <x:c r="L1500" t="str">
        <x:f>IF(K1500="","",ROW()-ROW($L$2)-INDEX($H$3:$H$168,K1500))</x:f>
      </x:c>
      <x:c r="M1500" t="str">
        <x:f>IF(K1500="","",IF(L1500=1,1,FIND(CHAR(1),SUBSTITUTE(INDEX($B$3:$B$168,K1500),CHAR(10),CHAR(1),L1500-1))+1))</x:f>
      </x:c>
      <x:c r="N1500" t="str">
        <x:f>IF(K1500="","",IFERROR(FIND(CHAR(1),SUBSTITUTE(INDEX($B$3:$B$168,K1500),CHAR(10),CHAR(1),L1500)),LEN(INDEX($B$3:$B$168,K1500))+1))</x:f>
      </x:c>
    </x:row>
    <x:row r="1501">
      <x:c r="A1501"/>
      <x:c r="B1501"/>
      <x:c r="C1501"/>
      <x:c r="D1501" t="str">
        <x:f>IFERROR(IF(1499&lt;=$O$1,INDEX($A$3:$A$168,MATCH(1499,$I$3:$I$168,0)),IF(1499&lt;=$O$1+$O$2,INDEX($F$3:$F$1994,MATCH(1499-$O$1,$G$3:$G$1994,0)),"")),"")</x:f>
      </x:c>
      <x:c r="E1501" t="str">
        <x:f>IF(K1501="","",IF(N1501&lt;=M1501,"",TRIM(CLEAN(MID(INDEX($B$3:$B$168,K1501),M1501,N1501-M1501)))))</x:f>
      </x:c>
      <x:c r="F1501" t="str">
        <x:f>IF(E1501="","",IF(E1501=TRIM(INDEX($A$3:$A$168,K1501)),"",IF(RIGHT(TRIM(INDEX($A$3:$A$168,K1501)),1)="]",LEFT(TRIM(INDEX($A$3:$A$168,K1501)),LEN(TRIM(INDEX($A$3:$A$168,K1501)))-1)&amp;", "&amp;SUBSTITUTE(SUBSTITUTE(SUBSTITUTE(E1501," [",", "),"[",", "),"]","")&amp;"]",TRIM(INDEX($A$3:$A$168,K1501))&amp;" ["&amp;SUBSTITUTE(SUBSTITUTE(SUBSTITUTE(E1501," [",", "),"[",", "),"]","")&amp;"]")))</x:f>
      </x:c>
      <x:c r="G1501" t="str">
        <x:f>IF(F1501&lt;&gt;"",ROWS($F$3:F1501)-COUNTBLANK($F$3:F1501),"")</x:f>
      </x:c>
      <x:c r="H1501"/>
      <x:c r="I1501"/>
      <x:c r="J1501"/>
      <x:c r="K1501" t="str">
        <x:f>IF(ROW()-ROW($K$2)&lt;=SUM($J$3:$J$168),COUNTIF($H$3:$H$168,"&lt;"&amp;(ROW()-ROW($K$2))),"")</x:f>
      </x:c>
      <x:c r="L1501" t="str">
        <x:f>IF(K1501="","",ROW()-ROW($L$2)-INDEX($H$3:$H$168,K1501))</x:f>
      </x:c>
      <x:c r="M1501" t="str">
        <x:f>IF(K1501="","",IF(L1501=1,1,FIND(CHAR(1),SUBSTITUTE(INDEX($B$3:$B$168,K1501),CHAR(10),CHAR(1),L1501-1))+1))</x:f>
      </x:c>
      <x:c r="N1501" t="str">
        <x:f>IF(K1501="","",IFERROR(FIND(CHAR(1),SUBSTITUTE(INDEX($B$3:$B$168,K1501),CHAR(10),CHAR(1),L1501)),LEN(INDEX($B$3:$B$168,K1501))+1))</x:f>
      </x:c>
    </x:row>
    <x:row r="1502">
      <x:c r="A1502"/>
      <x:c r="B1502"/>
      <x:c r="C1502"/>
      <x:c r="D1502" t="str">
        <x:f>IFERROR(IF(1500&lt;=$O$1,INDEX($A$3:$A$168,MATCH(1500,$I$3:$I$168,0)),IF(1500&lt;=$O$1+$O$2,INDEX($F$3:$F$1994,MATCH(1500-$O$1,$G$3:$G$1994,0)),"")),"")</x:f>
      </x:c>
      <x:c r="E1502" t="str">
        <x:f>IF(K1502="","",IF(N1502&lt;=M1502,"",TRIM(CLEAN(MID(INDEX($B$3:$B$168,K1502),M1502,N1502-M1502)))))</x:f>
      </x:c>
      <x:c r="F1502" t="str">
        <x:f>IF(E1502="","",IF(E1502=TRIM(INDEX($A$3:$A$168,K1502)),"",IF(RIGHT(TRIM(INDEX($A$3:$A$168,K1502)),1)="]",LEFT(TRIM(INDEX($A$3:$A$168,K1502)),LEN(TRIM(INDEX($A$3:$A$168,K1502)))-1)&amp;", "&amp;SUBSTITUTE(SUBSTITUTE(SUBSTITUTE(E1502," [",", "),"[",", "),"]","")&amp;"]",TRIM(INDEX($A$3:$A$168,K1502))&amp;" ["&amp;SUBSTITUTE(SUBSTITUTE(SUBSTITUTE(E1502," [",", "),"[",", "),"]","")&amp;"]")))</x:f>
      </x:c>
      <x:c r="G1502" t="str">
        <x:f>IF(F1502&lt;&gt;"",ROWS($F$3:F1502)-COUNTBLANK($F$3:F1502),"")</x:f>
      </x:c>
      <x:c r="H1502"/>
      <x:c r="I1502"/>
      <x:c r="J1502"/>
      <x:c r="K1502" t="str">
        <x:f>IF(ROW()-ROW($K$2)&lt;=SUM($J$3:$J$168),COUNTIF($H$3:$H$168,"&lt;"&amp;(ROW()-ROW($K$2))),"")</x:f>
      </x:c>
      <x:c r="L1502" t="str">
        <x:f>IF(K1502="","",ROW()-ROW($L$2)-INDEX($H$3:$H$168,K1502))</x:f>
      </x:c>
      <x:c r="M1502" t="str">
        <x:f>IF(K1502="","",IF(L1502=1,1,FIND(CHAR(1),SUBSTITUTE(INDEX($B$3:$B$168,K1502),CHAR(10),CHAR(1),L1502-1))+1))</x:f>
      </x:c>
      <x:c r="N1502" t="str">
        <x:f>IF(K1502="","",IFERROR(FIND(CHAR(1),SUBSTITUTE(INDEX($B$3:$B$168,K1502),CHAR(10),CHAR(1),L1502)),LEN(INDEX($B$3:$B$168,K1502))+1))</x:f>
      </x:c>
    </x:row>
    <x:row r="1503">
      <x:c r="A1503"/>
      <x:c r="B1503"/>
      <x:c r="C1503"/>
      <x:c r="D1503" t="str">
        <x:f>IFERROR(IF(1501&lt;=$O$1,INDEX($A$3:$A$168,MATCH(1501,$I$3:$I$168,0)),IF(1501&lt;=$O$1+$O$2,INDEX($F$3:$F$1994,MATCH(1501-$O$1,$G$3:$G$1994,0)),"")),"")</x:f>
      </x:c>
      <x:c r="E1503" t="str">
        <x:f>IF(K1503="","",IF(N1503&lt;=M1503,"",TRIM(CLEAN(MID(INDEX($B$3:$B$168,K1503),M1503,N1503-M1503)))))</x:f>
      </x:c>
      <x:c r="F1503" t="str">
        <x:f>IF(E1503="","",IF(E1503=TRIM(INDEX($A$3:$A$168,K1503)),"",IF(RIGHT(TRIM(INDEX($A$3:$A$168,K1503)),1)="]",LEFT(TRIM(INDEX($A$3:$A$168,K1503)),LEN(TRIM(INDEX($A$3:$A$168,K1503)))-1)&amp;", "&amp;SUBSTITUTE(SUBSTITUTE(SUBSTITUTE(E1503," [",", "),"[",", "),"]","")&amp;"]",TRIM(INDEX($A$3:$A$168,K1503))&amp;" ["&amp;SUBSTITUTE(SUBSTITUTE(SUBSTITUTE(E1503," [",", "),"[",", "),"]","")&amp;"]")))</x:f>
      </x:c>
      <x:c r="G1503" t="str">
        <x:f>IF(F1503&lt;&gt;"",ROWS($F$3:F1503)-COUNTBLANK($F$3:F1503),"")</x:f>
      </x:c>
      <x:c r="H1503"/>
      <x:c r="I1503"/>
      <x:c r="J1503"/>
      <x:c r="K1503" t="str">
        <x:f>IF(ROW()-ROW($K$2)&lt;=SUM($J$3:$J$168),COUNTIF($H$3:$H$168,"&lt;"&amp;(ROW()-ROW($K$2))),"")</x:f>
      </x:c>
      <x:c r="L1503" t="str">
        <x:f>IF(K1503="","",ROW()-ROW($L$2)-INDEX($H$3:$H$168,K1503))</x:f>
      </x:c>
      <x:c r="M1503" t="str">
        <x:f>IF(K1503="","",IF(L1503=1,1,FIND(CHAR(1),SUBSTITUTE(INDEX($B$3:$B$168,K1503),CHAR(10),CHAR(1),L1503-1))+1))</x:f>
      </x:c>
      <x:c r="N1503" t="str">
        <x:f>IF(K1503="","",IFERROR(FIND(CHAR(1),SUBSTITUTE(INDEX($B$3:$B$168,K1503),CHAR(10),CHAR(1),L1503)),LEN(INDEX($B$3:$B$168,K1503))+1))</x:f>
      </x:c>
    </x:row>
    <x:row r="1504">
      <x:c r="A1504"/>
      <x:c r="B1504"/>
      <x:c r="C1504"/>
      <x:c r="D1504" t="str">
        <x:f>IFERROR(IF(1502&lt;=$O$1,INDEX($A$3:$A$168,MATCH(1502,$I$3:$I$168,0)),IF(1502&lt;=$O$1+$O$2,INDEX($F$3:$F$1994,MATCH(1502-$O$1,$G$3:$G$1994,0)),"")),"")</x:f>
      </x:c>
      <x:c r="E1504" t="str">
        <x:f>IF(K1504="","",IF(N1504&lt;=M1504,"",TRIM(CLEAN(MID(INDEX($B$3:$B$168,K1504),M1504,N1504-M1504)))))</x:f>
      </x:c>
      <x:c r="F1504" t="str">
        <x:f>IF(E1504="","",IF(E1504=TRIM(INDEX($A$3:$A$168,K1504)),"",IF(RIGHT(TRIM(INDEX($A$3:$A$168,K1504)),1)="]",LEFT(TRIM(INDEX($A$3:$A$168,K1504)),LEN(TRIM(INDEX($A$3:$A$168,K1504)))-1)&amp;", "&amp;SUBSTITUTE(SUBSTITUTE(SUBSTITUTE(E1504," [",", "),"[",", "),"]","")&amp;"]",TRIM(INDEX($A$3:$A$168,K1504))&amp;" ["&amp;SUBSTITUTE(SUBSTITUTE(SUBSTITUTE(E1504," [",", "),"[",", "),"]","")&amp;"]")))</x:f>
      </x:c>
      <x:c r="G1504" t="str">
        <x:f>IF(F1504&lt;&gt;"",ROWS($F$3:F1504)-COUNTBLANK($F$3:F1504),"")</x:f>
      </x:c>
      <x:c r="H1504"/>
      <x:c r="I1504"/>
      <x:c r="J1504"/>
      <x:c r="K1504" t="str">
        <x:f>IF(ROW()-ROW($K$2)&lt;=SUM($J$3:$J$168),COUNTIF($H$3:$H$168,"&lt;"&amp;(ROW()-ROW($K$2))),"")</x:f>
      </x:c>
      <x:c r="L1504" t="str">
        <x:f>IF(K1504="","",ROW()-ROW($L$2)-INDEX($H$3:$H$168,K1504))</x:f>
      </x:c>
      <x:c r="M1504" t="str">
        <x:f>IF(K1504="","",IF(L1504=1,1,FIND(CHAR(1),SUBSTITUTE(INDEX($B$3:$B$168,K1504),CHAR(10),CHAR(1),L1504-1))+1))</x:f>
      </x:c>
      <x:c r="N1504" t="str">
        <x:f>IF(K1504="","",IFERROR(FIND(CHAR(1),SUBSTITUTE(INDEX($B$3:$B$168,K1504),CHAR(10),CHAR(1),L1504)),LEN(INDEX($B$3:$B$168,K1504))+1))</x:f>
      </x:c>
    </x:row>
    <x:row r="1505">
      <x:c r="A1505"/>
      <x:c r="B1505"/>
      <x:c r="C1505"/>
      <x:c r="D1505" t="str">
        <x:f>IFERROR(IF(1503&lt;=$O$1,INDEX($A$3:$A$168,MATCH(1503,$I$3:$I$168,0)),IF(1503&lt;=$O$1+$O$2,INDEX($F$3:$F$1994,MATCH(1503-$O$1,$G$3:$G$1994,0)),"")),"")</x:f>
      </x:c>
      <x:c r="E1505" t="str">
        <x:f>IF(K1505="","",IF(N1505&lt;=M1505,"",TRIM(CLEAN(MID(INDEX($B$3:$B$168,K1505),M1505,N1505-M1505)))))</x:f>
      </x:c>
      <x:c r="F1505" t="str">
        <x:f>IF(E1505="","",IF(E1505=TRIM(INDEX($A$3:$A$168,K1505)),"",IF(RIGHT(TRIM(INDEX($A$3:$A$168,K1505)),1)="]",LEFT(TRIM(INDEX($A$3:$A$168,K1505)),LEN(TRIM(INDEX($A$3:$A$168,K1505)))-1)&amp;", "&amp;SUBSTITUTE(SUBSTITUTE(SUBSTITUTE(E1505," [",", "),"[",", "),"]","")&amp;"]",TRIM(INDEX($A$3:$A$168,K1505))&amp;" ["&amp;SUBSTITUTE(SUBSTITUTE(SUBSTITUTE(E1505," [",", "),"[",", "),"]","")&amp;"]")))</x:f>
      </x:c>
      <x:c r="G1505" t="str">
        <x:f>IF(F1505&lt;&gt;"",ROWS($F$3:F1505)-COUNTBLANK($F$3:F1505),"")</x:f>
      </x:c>
      <x:c r="H1505"/>
      <x:c r="I1505"/>
      <x:c r="J1505"/>
      <x:c r="K1505" t="str">
        <x:f>IF(ROW()-ROW($K$2)&lt;=SUM($J$3:$J$168),COUNTIF($H$3:$H$168,"&lt;"&amp;(ROW()-ROW($K$2))),"")</x:f>
      </x:c>
      <x:c r="L1505" t="str">
        <x:f>IF(K1505="","",ROW()-ROW($L$2)-INDEX($H$3:$H$168,K1505))</x:f>
      </x:c>
      <x:c r="M1505" t="str">
        <x:f>IF(K1505="","",IF(L1505=1,1,FIND(CHAR(1),SUBSTITUTE(INDEX($B$3:$B$168,K1505),CHAR(10),CHAR(1),L1505-1))+1))</x:f>
      </x:c>
      <x:c r="N1505" t="str">
        <x:f>IF(K1505="","",IFERROR(FIND(CHAR(1),SUBSTITUTE(INDEX($B$3:$B$168,K1505),CHAR(10),CHAR(1),L1505)),LEN(INDEX($B$3:$B$168,K1505))+1))</x:f>
      </x:c>
    </x:row>
    <x:row r="1506">
      <x:c r="A1506"/>
      <x:c r="B1506"/>
      <x:c r="C1506"/>
      <x:c r="D1506" t="str">
        <x:f>IFERROR(IF(1504&lt;=$O$1,INDEX($A$3:$A$168,MATCH(1504,$I$3:$I$168,0)),IF(1504&lt;=$O$1+$O$2,INDEX($F$3:$F$1994,MATCH(1504-$O$1,$G$3:$G$1994,0)),"")),"")</x:f>
      </x:c>
      <x:c r="E1506" t="str">
        <x:f>IF(K1506="","",IF(N1506&lt;=M1506,"",TRIM(CLEAN(MID(INDEX($B$3:$B$168,K1506),M1506,N1506-M1506)))))</x:f>
      </x:c>
      <x:c r="F1506" t="str">
        <x:f>IF(E1506="","",IF(E1506=TRIM(INDEX($A$3:$A$168,K1506)),"",IF(RIGHT(TRIM(INDEX($A$3:$A$168,K1506)),1)="]",LEFT(TRIM(INDEX($A$3:$A$168,K1506)),LEN(TRIM(INDEX($A$3:$A$168,K1506)))-1)&amp;", "&amp;SUBSTITUTE(SUBSTITUTE(SUBSTITUTE(E1506," [",", "),"[",", "),"]","")&amp;"]",TRIM(INDEX($A$3:$A$168,K1506))&amp;" ["&amp;SUBSTITUTE(SUBSTITUTE(SUBSTITUTE(E1506," [",", "),"[",", "),"]","")&amp;"]")))</x:f>
      </x:c>
      <x:c r="G1506" t="str">
        <x:f>IF(F1506&lt;&gt;"",ROWS($F$3:F1506)-COUNTBLANK($F$3:F1506),"")</x:f>
      </x:c>
      <x:c r="H1506"/>
      <x:c r="I1506"/>
      <x:c r="J1506"/>
      <x:c r="K1506" t="str">
        <x:f>IF(ROW()-ROW($K$2)&lt;=SUM($J$3:$J$168),COUNTIF($H$3:$H$168,"&lt;"&amp;(ROW()-ROW($K$2))),"")</x:f>
      </x:c>
      <x:c r="L1506" t="str">
        <x:f>IF(K1506="","",ROW()-ROW($L$2)-INDEX($H$3:$H$168,K1506))</x:f>
      </x:c>
      <x:c r="M1506" t="str">
        <x:f>IF(K1506="","",IF(L1506=1,1,FIND(CHAR(1),SUBSTITUTE(INDEX($B$3:$B$168,K1506),CHAR(10),CHAR(1),L1506-1))+1))</x:f>
      </x:c>
      <x:c r="N1506" t="str">
        <x:f>IF(K1506="","",IFERROR(FIND(CHAR(1),SUBSTITUTE(INDEX($B$3:$B$168,K1506),CHAR(10),CHAR(1),L1506)),LEN(INDEX($B$3:$B$168,K1506))+1))</x:f>
      </x:c>
    </x:row>
    <x:row r="1507">
      <x:c r="A1507"/>
      <x:c r="B1507"/>
      <x:c r="C1507"/>
      <x:c r="D1507" t="str">
        <x:f>IFERROR(IF(1505&lt;=$O$1,INDEX($A$3:$A$168,MATCH(1505,$I$3:$I$168,0)),IF(1505&lt;=$O$1+$O$2,INDEX($F$3:$F$1994,MATCH(1505-$O$1,$G$3:$G$1994,0)),"")),"")</x:f>
      </x:c>
      <x:c r="E1507" t="str">
        <x:f>IF(K1507="","",IF(N1507&lt;=M1507,"",TRIM(CLEAN(MID(INDEX($B$3:$B$168,K1507),M1507,N1507-M1507)))))</x:f>
      </x:c>
      <x:c r="F1507" t="str">
        <x:f>IF(E1507="","",IF(E1507=TRIM(INDEX($A$3:$A$168,K1507)),"",IF(RIGHT(TRIM(INDEX($A$3:$A$168,K1507)),1)="]",LEFT(TRIM(INDEX($A$3:$A$168,K1507)),LEN(TRIM(INDEX($A$3:$A$168,K1507)))-1)&amp;", "&amp;SUBSTITUTE(SUBSTITUTE(SUBSTITUTE(E1507," [",", "),"[",", "),"]","")&amp;"]",TRIM(INDEX($A$3:$A$168,K1507))&amp;" ["&amp;SUBSTITUTE(SUBSTITUTE(SUBSTITUTE(E1507," [",", "),"[",", "),"]","")&amp;"]")))</x:f>
      </x:c>
      <x:c r="G1507" t="str">
        <x:f>IF(F1507&lt;&gt;"",ROWS($F$3:F1507)-COUNTBLANK($F$3:F1507),"")</x:f>
      </x:c>
      <x:c r="H1507"/>
      <x:c r="I1507"/>
      <x:c r="J1507"/>
      <x:c r="K1507" t="str">
        <x:f>IF(ROW()-ROW($K$2)&lt;=SUM($J$3:$J$168),COUNTIF($H$3:$H$168,"&lt;"&amp;(ROW()-ROW($K$2))),"")</x:f>
      </x:c>
      <x:c r="L1507" t="str">
        <x:f>IF(K1507="","",ROW()-ROW($L$2)-INDEX($H$3:$H$168,K1507))</x:f>
      </x:c>
      <x:c r="M1507" t="str">
        <x:f>IF(K1507="","",IF(L1507=1,1,FIND(CHAR(1),SUBSTITUTE(INDEX($B$3:$B$168,K1507),CHAR(10),CHAR(1),L1507-1))+1))</x:f>
      </x:c>
      <x:c r="N1507" t="str">
        <x:f>IF(K1507="","",IFERROR(FIND(CHAR(1),SUBSTITUTE(INDEX($B$3:$B$168,K1507),CHAR(10),CHAR(1),L1507)),LEN(INDEX($B$3:$B$168,K1507))+1))</x:f>
      </x:c>
    </x:row>
    <x:row r="1508">
      <x:c r="A1508"/>
      <x:c r="B1508"/>
      <x:c r="C1508"/>
      <x:c r="D1508" t="str">
        <x:f>IFERROR(IF(1506&lt;=$O$1,INDEX($A$3:$A$168,MATCH(1506,$I$3:$I$168,0)),IF(1506&lt;=$O$1+$O$2,INDEX($F$3:$F$1994,MATCH(1506-$O$1,$G$3:$G$1994,0)),"")),"")</x:f>
      </x:c>
      <x:c r="E1508" t="str">
        <x:f>IF(K1508="","",IF(N1508&lt;=M1508,"",TRIM(CLEAN(MID(INDEX($B$3:$B$168,K1508),M1508,N1508-M1508)))))</x:f>
      </x:c>
      <x:c r="F1508" t="str">
        <x:f>IF(E1508="","",IF(E1508=TRIM(INDEX($A$3:$A$168,K1508)),"",IF(RIGHT(TRIM(INDEX($A$3:$A$168,K1508)),1)="]",LEFT(TRIM(INDEX($A$3:$A$168,K1508)),LEN(TRIM(INDEX($A$3:$A$168,K1508)))-1)&amp;", "&amp;SUBSTITUTE(SUBSTITUTE(SUBSTITUTE(E1508," [",", "),"[",", "),"]","")&amp;"]",TRIM(INDEX($A$3:$A$168,K1508))&amp;" ["&amp;SUBSTITUTE(SUBSTITUTE(SUBSTITUTE(E1508," [",", "),"[",", "),"]","")&amp;"]")))</x:f>
      </x:c>
      <x:c r="G1508" t="str">
        <x:f>IF(F1508&lt;&gt;"",ROWS($F$3:F1508)-COUNTBLANK($F$3:F1508),"")</x:f>
      </x:c>
      <x:c r="H1508"/>
      <x:c r="I1508"/>
      <x:c r="J1508"/>
      <x:c r="K1508" t="str">
        <x:f>IF(ROW()-ROW($K$2)&lt;=SUM($J$3:$J$168),COUNTIF($H$3:$H$168,"&lt;"&amp;(ROW()-ROW($K$2))),"")</x:f>
      </x:c>
      <x:c r="L1508" t="str">
        <x:f>IF(K1508="","",ROW()-ROW($L$2)-INDEX($H$3:$H$168,K1508))</x:f>
      </x:c>
      <x:c r="M1508" t="str">
        <x:f>IF(K1508="","",IF(L1508=1,1,FIND(CHAR(1),SUBSTITUTE(INDEX($B$3:$B$168,K1508),CHAR(10),CHAR(1),L1508-1))+1))</x:f>
      </x:c>
      <x:c r="N1508" t="str">
        <x:f>IF(K1508="","",IFERROR(FIND(CHAR(1),SUBSTITUTE(INDEX($B$3:$B$168,K1508),CHAR(10),CHAR(1),L1508)),LEN(INDEX($B$3:$B$168,K1508))+1))</x:f>
      </x:c>
    </x:row>
    <x:row r="1509">
      <x:c r="A1509"/>
      <x:c r="B1509"/>
      <x:c r="C1509"/>
      <x:c r="D1509" t="str">
        <x:f>IFERROR(IF(1507&lt;=$O$1,INDEX($A$3:$A$168,MATCH(1507,$I$3:$I$168,0)),IF(1507&lt;=$O$1+$O$2,INDEX($F$3:$F$1994,MATCH(1507-$O$1,$G$3:$G$1994,0)),"")),"")</x:f>
      </x:c>
      <x:c r="E1509" t="str">
        <x:f>IF(K1509="","",IF(N1509&lt;=M1509,"",TRIM(CLEAN(MID(INDEX($B$3:$B$168,K1509),M1509,N1509-M1509)))))</x:f>
      </x:c>
      <x:c r="F1509" t="str">
        <x:f>IF(E1509="","",IF(E1509=TRIM(INDEX($A$3:$A$168,K1509)),"",IF(RIGHT(TRIM(INDEX($A$3:$A$168,K1509)),1)="]",LEFT(TRIM(INDEX($A$3:$A$168,K1509)),LEN(TRIM(INDEX($A$3:$A$168,K1509)))-1)&amp;", "&amp;SUBSTITUTE(SUBSTITUTE(SUBSTITUTE(E1509," [",", "),"[",", "),"]","")&amp;"]",TRIM(INDEX($A$3:$A$168,K1509))&amp;" ["&amp;SUBSTITUTE(SUBSTITUTE(SUBSTITUTE(E1509," [",", "),"[",", "),"]","")&amp;"]")))</x:f>
      </x:c>
      <x:c r="G1509" t="str">
        <x:f>IF(F1509&lt;&gt;"",ROWS($F$3:F1509)-COUNTBLANK($F$3:F1509),"")</x:f>
      </x:c>
      <x:c r="H1509"/>
      <x:c r="I1509"/>
      <x:c r="J1509"/>
      <x:c r="K1509" t="str">
        <x:f>IF(ROW()-ROW($K$2)&lt;=SUM($J$3:$J$168),COUNTIF($H$3:$H$168,"&lt;"&amp;(ROW()-ROW($K$2))),"")</x:f>
      </x:c>
      <x:c r="L1509" t="str">
        <x:f>IF(K1509="","",ROW()-ROW($L$2)-INDEX($H$3:$H$168,K1509))</x:f>
      </x:c>
      <x:c r="M1509" t="str">
        <x:f>IF(K1509="","",IF(L1509=1,1,FIND(CHAR(1),SUBSTITUTE(INDEX($B$3:$B$168,K1509),CHAR(10),CHAR(1),L1509-1))+1))</x:f>
      </x:c>
      <x:c r="N1509" t="str">
        <x:f>IF(K1509="","",IFERROR(FIND(CHAR(1),SUBSTITUTE(INDEX($B$3:$B$168,K1509),CHAR(10),CHAR(1),L1509)),LEN(INDEX($B$3:$B$168,K1509))+1))</x:f>
      </x:c>
    </x:row>
    <x:row r="1510">
      <x:c r="A1510"/>
      <x:c r="B1510"/>
      <x:c r="C1510"/>
      <x:c r="D1510" t="str">
        <x:f>IFERROR(IF(1508&lt;=$O$1,INDEX($A$3:$A$168,MATCH(1508,$I$3:$I$168,0)),IF(1508&lt;=$O$1+$O$2,INDEX($F$3:$F$1994,MATCH(1508-$O$1,$G$3:$G$1994,0)),"")),"")</x:f>
      </x:c>
      <x:c r="E1510" t="str">
        <x:f>IF(K1510="","",IF(N1510&lt;=M1510,"",TRIM(CLEAN(MID(INDEX($B$3:$B$168,K1510),M1510,N1510-M1510)))))</x:f>
      </x:c>
      <x:c r="F1510" t="str">
        <x:f>IF(E1510="","",IF(E1510=TRIM(INDEX($A$3:$A$168,K1510)),"",IF(RIGHT(TRIM(INDEX($A$3:$A$168,K1510)),1)="]",LEFT(TRIM(INDEX($A$3:$A$168,K1510)),LEN(TRIM(INDEX($A$3:$A$168,K1510)))-1)&amp;", "&amp;SUBSTITUTE(SUBSTITUTE(SUBSTITUTE(E1510," [",", "),"[",", "),"]","")&amp;"]",TRIM(INDEX($A$3:$A$168,K1510))&amp;" ["&amp;SUBSTITUTE(SUBSTITUTE(SUBSTITUTE(E1510," [",", "),"[",", "),"]","")&amp;"]")))</x:f>
      </x:c>
      <x:c r="G1510" t="str">
        <x:f>IF(F1510&lt;&gt;"",ROWS($F$3:F1510)-COUNTBLANK($F$3:F1510),"")</x:f>
      </x:c>
      <x:c r="H1510"/>
      <x:c r="I1510"/>
      <x:c r="J1510"/>
      <x:c r="K1510" t="str">
        <x:f>IF(ROW()-ROW($K$2)&lt;=SUM($J$3:$J$168),COUNTIF($H$3:$H$168,"&lt;"&amp;(ROW()-ROW($K$2))),"")</x:f>
      </x:c>
      <x:c r="L1510" t="str">
        <x:f>IF(K1510="","",ROW()-ROW($L$2)-INDEX($H$3:$H$168,K1510))</x:f>
      </x:c>
      <x:c r="M1510" t="str">
        <x:f>IF(K1510="","",IF(L1510=1,1,FIND(CHAR(1),SUBSTITUTE(INDEX($B$3:$B$168,K1510),CHAR(10),CHAR(1),L1510-1))+1))</x:f>
      </x:c>
      <x:c r="N1510" t="str">
        <x:f>IF(K1510="","",IFERROR(FIND(CHAR(1),SUBSTITUTE(INDEX($B$3:$B$168,K1510),CHAR(10),CHAR(1),L1510)),LEN(INDEX($B$3:$B$168,K1510))+1))</x:f>
      </x:c>
    </x:row>
    <x:row r="1511">
      <x:c r="A1511"/>
      <x:c r="B1511"/>
      <x:c r="C1511"/>
      <x:c r="D1511" t="str">
        <x:f>IFERROR(IF(1509&lt;=$O$1,INDEX($A$3:$A$168,MATCH(1509,$I$3:$I$168,0)),IF(1509&lt;=$O$1+$O$2,INDEX($F$3:$F$1994,MATCH(1509-$O$1,$G$3:$G$1994,0)),"")),"")</x:f>
      </x:c>
      <x:c r="E1511" t="str">
        <x:f>IF(K1511="","",IF(N1511&lt;=M1511,"",TRIM(CLEAN(MID(INDEX($B$3:$B$168,K1511),M1511,N1511-M1511)))))</x:f>
      </x:c>
      <x:c r="F1511" t="str">
        <x:f>IF(E1511="","",IF(E1511=TRIM(INDEX($A$3:$A$168,K1511)),"",IF(RIGHT(TRIM(INDEX($A$3:$A$168,K1511)),1)="]",LEFT(TRIM(INDEX($A$3:$A$168,K1511)),LEN(TRIM(INDEX($A$3:$A$168,K1511)))-1)&amp;", "&amp;SUBSTITUTE(SUBSTITUTE(SUBSTITUTE(E1511," [",", "),"[",", "),"]","")&amp;"]",TRIM(INDEX($A$3:$A$168,K1511))&amp;" ["&amp;SUBSTITUTE(SUBSTITUTE(SUBSTITUTE(E1511," [",", "),"[",", "),"]","")&amp;"]")))</x:f>
      </x:c>
      <x:c r="G1511" t="str">
        <x:f>IF(F1511&lt;&gt;"",ROWS($F$3:F1511)-COUNTBLANK($F$3:F1511),"")</x:f>
      </x:c>
      <x:c r="H1511"/>
      <x:c r="I1511"/>
      <x:c r="J1511"/>
      <x:c r="K1511" t="str">
        <x:f>IF(ROW()-ROW($K$2)&lt;=SUM($J$3:$J$168),COUNTIF($H$3:$H$168,"&lt;"&amp;(ROW()-ROW($K$2))),"")</x:f>
      </x:c>
      <x:c r="L1511" t="str">
        <x:f>IF(K1511="","",ROW()-ROW($L$2)-INDEX($H$3:$H$168,K1511))</x:f>
      </x:c>
      <x:c r="M1511" t="str">
        <x:f>IF(K1511="","",IF(L1511=1,1,FIND(CHAR(1),SUBSTITUTE(INDEX($B$3:$B$168,K1511),CHAR(10),CHAR(1),L1511-1))+1))</x:f>
      </x:c>
      <x:c r="N1511" t="str">
        <x:f>IF(K1511="","",IFERROR(FIND(CHAR(1),SUBSTITUTE(INDEX($B$3:$B$168,K1511),CHAR(10),CHAR(1),L1511)),LEN(INDEX($B$3:$B$168,K1511))+1))</x:f>
      </x:c>
    </x:row>
    <x:row r="1512">
      <x:c r="A1512"/>
      <x:c r="B1512"/>
      <x:c r="C1512"/>
      <x:c r="D1512" t="str">
        <x:f>IFERROR(IF(1510&lt;=$O$1,INDEX($A$3:$A$168,MATCH(1510,$I$3:$I$168,0)),IF(1510&lt;=$O$1+$O$2,INDEX($F$3:$F$1994,MATCH(1510-$O$1,$G$3:$G$1994,0)),"")),"")</x:f>
      </x:c>
      <x:c r="E1512" t="str">
        <x:f>IF(K1512="","",IF(N1512&lt;=M1512,"",TRIM(CLEAN(MID(INDEX($B$3:$B$168,K1512),M1512,N1512-M1512)))))</x:f>
      </x:c>
      <x:c r="F1512" t="str">
        <x:f>IF(E1512="","",IF(E1512=TRIM(INDEX($A$3:$A$168,K1512)),"",IF(RIGHT(TRIM(INDEX($A$3:$A$168,K1512)),1)="]",LEFT(TRIM(INDEX($A$3:$A$168,K1512)),LEN(TRIM(INDEX($A$3:$A$168,K1512)))-1)&amp;", "&amp;SUBSTITUTE(SUBSTITUTE(SUBSTITUTE(E1512," [",", "),"[",", "),"]","")&amp;"]",TRIM(INDEX($A$3:$A$168,K1512))&amp;" ["&amp;SUBSTITUTE(SUBSTITUTE(SUBSTITUTE(E1512," [",", "),"[",", "),"]","")&amp;"]")))</x:f>
      </x:c>
      <x:c r="G1512" t="str">
        <x:f>IF(F1512&lt;&gt;"",ROWS($F$3:F1512)-COUNTBLANK($F$3:F1512),"")</x:f>
      </x:c>
      <x:c r="H1512"/>
      <x:c r="I1512"/>
      <x:c r="J1512"/>
      <x:c r="K1512" t="str">
        <x:f>IF(ROW()-ROW($K$2)&lt;=SUM($J$3:$J$168),COUNTIF($H$3:$H$168,"&lt;"&amp;(ROW()-ROW($K$2))),"")</x:f>
      </x:c>
      <x:c r="L1512" t="str">
        <x:f>IF(K1512="","",ROW()-ROW($L$2)-INDEX($H$3:$H$168,K1512))</x:f>
      </x:c>
      <x:c r="M1512" t="str">
        <x:f>IF(K1512="","",IF(L1512=1,1,FIND(CHAR(1),SUBSTITUTE(INDEX($B$3:$B$168,K1512),CHAR(10),CHAR(1),L1512-1))+1))</x:f>
      </x:c>
      <x:c r="N1512" t="str">
        <x:f>IF(K1512="","",IFERROR(FIND(CHAR(1),SUBSTITUTE(INDEX($B$3:$B$168,K1512),CHAR(10),CHAR(1),L1512)),LEN(INDEX($B$3:$B$168,K1512))+1))</x:f>
      </x:c>
    </x:row>
    <x:row r="1513">
      <x:c r="A1513"/>
      <x:c r="B1513"/>
      <x:c r="C1513"/>
      <x:c r="D1513" t="str">
        <x:f>IFERROR(IF(1511&lt;=$O$1,INDEX($A$3:$A$168,MATCH(1511,$I$3:$I$168,0)),IF(1511&lt;=$O$1+$O$2,INDEX($F$3:$F$1994,MATCH(1511-$O$1,$G$3:$G$1994,0)),"")),"")</x:f>
      </x:c>
      <x:c r="E1513" t="str">
        <x:f>IF(K1513="","",IF(N1513&lt;=M1513,"",TRIM(CLEAN(MID(INDEX($B$3:$B$168,K1513),M1513,N1513-M1513)))))</x:f>
      </x:c>
      <x:c r="F1513" t="str">
        <x:f>IF(E1513="","",IF(E1513=TRIM(INDEX($A$3:$A$168,K1513)),"",IF(RIGHT(TRIM(INDEX($A$3:$A$168,K1513)),1)="]",LEFT(TRIM(INDEX($A$3:$A$168,K1513)),LEN(TRIM(INDEX($A$3:$A$168,K1513)))-1)&amp;", "&amp;SUBSTITUTE(SUBSTITUTE(SUBSTITUTE(E1513," [",", "),"[",", "),"]","")&amp;"]",TRIM(INDEX($A$3:$A$168,K1513))&amp;" ["&amp;SUBSTITUTE(SUBSTITUTE(SUBSTITUTE(E1513," [",", "),"[",", "),"]","")&amp;"]")))</x:f>
      </x:c>
      <x:c r="G1513" t="str">
        <x:f>IF(F1513&lt;&gt;"",ROWS($F$3:F1513)-COUNTBLANK($F$3:F1513),"")</x:f>
      </x:c>
      <x:c r="H1513"/>
      <x:c r="I1513"/>
      <x:c r="J1513"/>
      <x:c r="K1513" t="str">
        <x:f>IF(ROW()-ROW($K$2)&lt;=SUM($J$3:$J$168),COUNTIF($H$3:$H$168,"&lt;"&amp;(ROW()-ROW($K$2))),"")</x:f>
      </x:c>
      <x:c r="L1513" t="str">
        <x:f>IF(K1513="","",ROW()-ROW($L$2)-INDEX($H$3:$H$168,K1513))</x:f>
      </x:c>
      <x:c r="M1513" t="str">
        <x:f>IF(K1513="","",IF(L1513=1,1,FIND(CHAR(1),SUBSTITUTE(INDEX($B$3:$B$168,K1513),CHAR(10),CHAR(1),L1513-1))+1))</x:f>
      </x:c>
      <x:c r="N1513" t="str">
        <x:f>IF(K1513="","",IFERROR(FIND(CHAR(1),SUBSTITUTE(INDEX($B$3:$B$168,K1513),CHAR(10),CHAR(1),L1513)),LEN(INDEX($B$3:$B$168,K1513))+1))</x:f>
      </x:c>
    </x:row>
    <x:row r="1514">
      <x:c r="A1514"/>
      <x:c r="B1514"/>
      <x:c r="C1514"/>
      <x:c r="D1514" t="str">
        <x:f>IFERROR(IF(1512&lt;=$O$1,INDEX($A$3:$A$168,MATCH(1512,$I$3:$I$168,0)),IF(1512&lt;=$O$1+$O$2,INDEX($F$3:$F$1994,MATCH(1512-$O$1,$G$3:$G$1994,0)),"")),"")</x:f>
      </x:c>
      <x:c r="E1514" t="str">
        <x:f>IF(K1514="","",IF(N1514&lt;=M1514,"",TRIM(CLEAN(MID(INDEX($B$3:$B$168,K1514),M1514,N1514-M1514)))))</x:f>
      </x:c>
      <x:c r="F1514" t="str">
        <x:f>IF(E1514="","",IF(E1514=TRIM(INDEX($A$3:$A$168,K1514)),"",IF(RIGHT(TRIM(INDEX($A$3:$A$168,K1514)),1)="]",LEFT(TRIM(INDEX($A$3:$A$168,K1514)),LEN(TRIM(INDEX($A$3:$A$168,K1514)))-1)&amp;", "&amp;SUBSTITUTE(SUBSTITUTE(SUBSTITUTE(E1514," [",", "),"[",", "),"]","")&amp;"]",TRIM(INDEX($A$3:$A$168,K1514))&amp;" ["&amp;SUBSTITUTE(SUBSTITUTE(SUBSTITUTE(E1514," [",", "),"[",", "),"]","")&amp;"]")))</x:f>
      </x:c>
      <x:c r="G1514" t="str">
        <x:f>IF(F1514&lt;&gt;"",ROWS($F$3:F1514)-COUNTBLANK($F$3:F1514),"")</x:f>
      </x:c>
      <x:c r="H1514"/>
      <x:c r="I1514"/>
      <x:c r="J1514"/>
      <x:c r="K1514" t="str">
        <x:f>IF(ROW()-ROW($K$2)&lt;=SUM($J$3:$J$168),COUNTIF($H$3:$H$168,"&lt;"&amp;(ROW()-ROW($K$2))),"")</x:f>
      </x:c>
      <x:c r="L1514" t="str">
        <x:f>IF(K1514="","",ROW()-ROW($L$2)-INDEX($H$3:$H$168,K1514))</x:f>
      </x:c>
      <x:c r="M1514" t="str">
        <x:f>IF(K1514="","",IF(L1514=1,1,FIND(CHAR(1),SUBSTITUTE(INDEX($B$3:$B$168,K1514),CHAR(10),CHAR(1),L1514-1))+1))</x:f>
      </x:c>
      <x:c r="N1514" t="str">
        <x:f>IF(K1514="","",IFERROR(FIND(CHAR(1),SUBSTITUTE(INDEX($B$3:$B$168,K1514),CHAR(10),CHAR(1),L1514)),LEN(INDEX($B$3:$B$168,K1514))+1))</x:f>
      </x:c>
    </x:row>
    <x:row r="1515">
      <x:c r="A1515"/>
      <x:c r="B1515"/>
      <x:c r="C1515"/>
      <x:c r="D1515" t="str">
        <x:f>IFERROR(IF(1513&lt;=$O$1,INDEX($A$3:$A$168,MATCH(1513,$I$3:$I$168,0)),IF(1513&lt;=$O$1+$O$2,INDEX($F$3:$F$1994,MATCH(1513-$O$1,$G$3:$G$1994,0)),"")),"")</x:f>
      </x:c>
      <x:c r="E1515" t="str">
        <x:f>IF(K1515="","",IF(N1515&lt;=M1515,"",TRIM(CLEAN(MID(INDEX($B$3:$B$168,K1515),M1515,N1515-M1515)))))</x:f>
      </x:c>
      <x:c r="F1515" t="str">
        <x:f>IF(E1515="","",IF(E1515=TRIM(INDEX($A$3:$A$168,K1515)),"",IF(RIGHT(TRIM(INDEX($A$3:$A$168,K1515)),1)="]",LEFT(TRIM(INDEX($A$3:$A$168,K1515)),LEN(TRIM(INDEX($A$3:$A$168,K1515)))-1)&amp;", "&amp;SUBSTITUTE(SUBSTITUTE(SUBSTITUTE(E1515," [",", "),"[",", "),"]","")&amp;"]",TRIM(INDEX($A$3:$A$168,K1515))&amp;" ["&amp;SUBSTITUTE(SUBSTITUTE(SUBSTITUTE(E1515," [",", "),"[",", "),"]","")&amp;"]")))</x:f>
      </x:c>
      <x:c r="G1515" t="str">
        <x:f>IF(F1515&lt;&gt;"",ROWS($F$3:F1515)-COUNTBLANK($F$3:F1515),"")</x:f>
      </x:c>
      <x:c r="H1515"/>
      <x:c r="I1515"/>
      <x:c r="J1515"/>
      <x:c r="K1515" t="str">
        <x:f>IF(ROW()-ROW($K$2)&lt;=SUM($J$3:$J$168),COUNTIF($H$3:$H$168,"&lt;"&amp;(ROW()-ROW($K$2))),"")</x:f>
      </x:c>
      <x:c r="L1515" t="str">
        <x:f>IF(K1515="","",ROW()-ROW($L$2)-INDEX($H$3:$H$168,K1515))</x:f>
      </x:c>
      <x:c r="M1515" t="str">
        <x:f>IF(K1515="","",IF(L1515=1,1,FIND(CHAR(1),SUBSTITUTE(INDEX($B$3:$B$168,K1515),CHAR(10),CHAR(1),L1515-1))+1))</x:f>
      </x:c>
      <x:c r="N1515" t="str">
        <x:f>IF(K1515="","",IFERROR(FIND(CHAR(1),SUBSTITUTE(INDEX($B$3:$B$168,K1515),CHAR(10),CHAR(1),L1515)),LEN(INDEX($B$3:$B$168,K1515))+1))</x:f>
      </x:c>
    </x:row>
    <x:row r="1516">
      <x:c r="A1516"/>
      <x:c r="B1516"/>
      <x:c r="C1516"/>
      <x:c r="D1516" t="str">
        <x:f>IFERROR(IF(1514&lt;=$O$1,INDEX($A$3:$A$168,MATCH(1514,$I$3:$I$168,0)),IF(1514&lt;=$O$1+$O$2,INDEX($F$3:$F$1994,MATCH(1514-$O$1,$G$3:$G$1994,0)),"")),"")</x:f>
      </x:c>
      <x:c r="E1516" t="str">
        <x:f>IF(K1516="","",IF(N1516&lt;=M1516,"",TRIM(CLEAN(MID(INDEX($B$3:$B$168,K1516),M1516,N1516-M1516)))))</x:f>
      </x:c>
      <x:c r="F1516" t="str">
        <x:f>IF(E1516="","",IF(E1516=TRIM(INDEX($A$3:$A$168,K1516)),"",IF(RIGHT(TRIM(INDEX($A$3:$A$168,K1516)),1)="]",LEFT(TRIM(INDEX($A$3:$A$168,K1516)),LEN(TRIM(INDEX($A$3:$A$168,K1516)))-1)&amp;", "&amp;SUBSTITUTE(SUBSTITUTE(SUBSTITUTE(E1516," [",", "),"[",", "),"]","")&amp;"]",TRIM(INDEX($A$3:$A$168,K1516))&amp;" ["&amp;SUBSTITUTE(SUBSTITUTE(SUBSTITUTE(E1516," [",", "),"[",", "),"]","")&amp;"]")))</x:f>
      </x:c>
      <x:c r="G1516" t="str">
        <x:f>IF(F1516&lt;&gt;"",ROWS($F$3:F1516)-COUNTBLANK($F$3:F1516),"")</x:f>
      </x:c>
      <x:c r="H1516"/>
      <x:c r="I1516"/>
      <x:c r="J1516"/>
      <x:c r="K1516" t="str">
        <x:f>IF(ROW()-ROW($K$2)&lt;=SUM($J$3:$J$168),COUNTIF($H$3:$H$168,"&lt;"&amp;(ROW()-ROW($K$2))),"")</x:f>
      </x:c>
      <x:c r="L1516" t="str">
        <x:f>IF(K1516="","",ROW()-ROW($L$2)-INDEX($H$3:$H$168,K1516))</x:f>
      </x:c>
      <x:c r="M1516" t="str">
        <x:f>IF(K1516="","",IF(L1516=1,1,FIND(CHAR(1),SUBSTITUTE(INDEX($B$3:$B$168,K1516),CHAR(10),CHAR(1),L1516-1))+1))</x:f>
      </x:c>
      <x:c r="N1516" t="str">
        <x:f>IF(K1516="","",IFERROR(FIND(CHAR(1),SUBSTITUTE(INDEX($B$3:$B$168,K1516),CHAR(10),CHAR(1),L1516)),LEN(INDEX($B$3:$B$168,K1516))+1))</x:f>
      </x:c>
    </x:row>
    <x:row r="1517">
      <x:c r="A1517"/>
      <x:c r="B1517"/>
      <x:c r="C1517"/>
      <x:c r="D1517" t="str">
        <x:f>IFERROR(IF(1515&lt;=$O$1,INDEX($A$3:$A$168,MATCH(1515,$I$3:$I$168,0)),IF(1515&lt;=$O$1+$O$2,INDEX($F$3:$F$1994,MATCH(1515-$O$1,$G$3:$G$1994,0)),"")),"")</x:f>
      </x:c>
      <x:c r="E1517" t="str">
        <x:f>IF(K1517="","",IF(N1517&lt;=M1517,"",TRIM(CLEAN(MID(INDEX($B$3:$B$168,K1517),M1517,N1517-M1517)))))</x:f>
      </x:c>
      <x:c r="F1517" t="str">
        <x:f>IF(E1517="","",IF(E1517=TRIM(INDEX($A$3:$A$168,K1517)),"",IF(RIGHT(TRIM(INDEX($A$3:$A$168,K1517)),1)="]",LEFT(TRIM(INDEX($A$3:$A$168,K1517)),LEN(TRIM(INDEX($A$3:$A$168,K1517)))-1)&amp;", "&amp;SUBSTITUTE(SUBSTITUTE(SUBSTITUTE(E1517," [",", "),"[",", "),"]","")&amp;"]",TRIM(INDEX($A$3:$A$168,K1517))&amp;" ["&amp;SUBSTITUTE(SUBSTITUTE(SUBSTITUTE(E1517," [",", "),"[",", "),"]","")&amp;"]")))</x:f>
      </x:c>
      <x:c r="G1517" t="str">
        <x:f>IF(F1517&lt;&gt;"",ROWS($F$3:F1517)-COUNTBLANK($F$3:F1517),"")</x:f>
      </x:c>
      <x:c r="H1517"/>
      <x:c r="I1517"/>
      <x:c r="J1517"/>
      <x:c r="K1517" t="str">
        <x:f>IF(ROW()-ROW($K$2)&lt;=SUM($J$3:$J$168),COUNTIF($H$3:$H$168,"&lt;"&amp;(ROW()-ROW($K$2))),"")</x:f>
      </x:c>
      <x:c r="L1517" t="str">
        <x:f>IF(K1517="","",ROW()-ROW($L$2)-INDEX($H$3:$H$168,K1517))</x:f>
      </x:c>
      <x:c r="M1517" t="str">
        <x:f>IF(K1517="","",IF(L1517=1,1,FIND(CHAR(1),SUBSTITUTE(INDEX($B$3:$B$168,K1517),CHAR(10),CHAR(1),L1517-1))+1))</x:f>
      </x:c>
      <x:c r="N1517" t="str">
        <x:f>IF(K1517="","",IFERROR(FIND(CHAR(1),SUBSTITUTE(INDEX($B$3:$B$168,K1517),CHAR(10),CHAR(1),L1517)),LEN(INDEX($B$3:$B$168,K1517))+1))</x:f>
      </x:c>
    </x:row>
    <x:row r="1518">
      <x:c r="A1518"/>
      <x:c r="B1518"/>
      <x:c r="C1518"/>
      <x:c r="D1518" t="str">
        <x:f>IFERROR(IF(1516&lt;=$O$1,INDEX($A$3:$A$168,MATCH(1516,$I$3:$I$168,0)),IF(1516&lt;=$O$1+$O$2,INDEX($F$3:$F$1994,MATCH(1516-$O$1,$G$3:$G$1994,0)),"")),"")</x:f>
      </x:c>
      <x:c r="E1518" t="str">
        <x:f>IF(K1518="","",IF(N1518&lt;=M1518,"",TRIM(CLEAN(MID(INDEX($B$3:$B$168,K1518),M1518,N1518-M1518)))))</x:f>
      </x:c>
      <x:c r="F1518" t="str">
        <x:f>IF(E1518="","",IF(E1518=TRIM(INDEX($A$3:$A$168,K1518)),"",IF(RIGHT(TRIM(INDEX($A$3:$A$168,K1518)),1)="]",LEFT(TRIM(INDEX($A$3:$A$168,K1518)),LEN(TRIM(INDEX($A$3:$A$168,K1518)))-1)&amp;", "&amp;SUBSTITUTE(SUBSTITUTE(SUBSTITUTE(E1518," [",", "),"[",", "),"]","")&amp;"]",TRIM(INDEX($A$3:$A$168,K1518))&amp;" ["&amp;SUBSTITUTE(SUBSTITUTE(SUBSTITUTE(E1518," [",", "),"[",", "),"]","")&amp;"]")))</x:f>
      </x:c>
      <x:c r="G1518" t="str">
        <x:f>IF(F1518&lt;&gt;"",ROWS($F$3:F1518)-COUNTBLANK($F$3:F1518),"")</x:f>
      </x:c>
      <x:c r="H1518"/>
      <x:c r="I1518"/>
      <x:c r="J1518"/>
      <x:c r="K1518" t="str">
        <x:f>IF(ROW()-ROW($K$2)&lt;=SUM($J$3:$J$168),COUNTIF($H$3:$H$168,"&lt;"&amp;(ROW()-ROW($K$2))),"")</x:f>
      </x:c>
      <x:c r="L1518" t="str">
        <x:f>IF(K1518="","",ROW()-ROW($L$2)-INDEX($H$3:$H$168,K1518))</x:f>
      </x:c>
      <x:c r="M1518" t="str">
        <x:f>IF(K1518="","",IF(L1518=1,1,FIND(CHAR(1),SUBSTITUTE(INDEX($B$3:$B$168,K1518),CHAR(10),CHAR(1),L1518-1))+1))</x:f>
      </x:c>
      <x:c r="N1518" t="str">
        <x:f>IF(K1518="","",IFERROR(FIND(CHAR(1),SUBSTITUTE(INDEX($B$3:$B$168,K1518),CHAR(10),CHAR(1),L1518)),LEN(INDEX($B$3:$B$168,K1518))+1))</x:f>
      </x:c>
    </x:row>
    <x:row r="1519">
      <x:c r="A1519"/>
      <x:c r="B1519"/>
      <x:c r="C1519"/>
      <x:c r="D1519" t="str">
        <x:f>IFERROR(IF(1517&lt;=$O$1,INDEX($A$3:$A$168,MATCH(1517,$I$3:$I$168,0)),IF(1517&lt;=$O$1+$O$2,INDEX($F$3:$F$1994,MATCH(1517-$O$1,$G$3:$G$1994,0)),"")),"")</x:f>
      </x:c>
      <x:c r="E1519" t="str">
        <x:f>IF(K1519="","",IF(N1519&lt;=M1519,"",TRIM(CLEAN(MID(INDEX($B$3:$B$168,K1519),M1519,N1519-M1519)))))</x:f>
      </x:c>
      <x:c r="F1519" t="str">
        <x:f>IF(E1519="","",IF(E1519=TRIM(INDEX($A$3:$A$168,K1519)),"",IF(RIGHT(TRIM(INDEX($A$3:$A$168,K1519)),1)="]",LEFT(TRIM(INDEX($A$3:$A$168,K1519)),LEN(TRIM(INDEX($A$3:$A$168,K1519)))-1)&amp;", "&amp;SUBSTITUTE(SUBSTITUTE(SUBSTITUTE(E1519," [",", "),"[",", "),"]","")&amp;"]",TRIM(INDEX($A$3:$A$168,K1519))&amp;" ["&amp;SUBSTITUTE(SUBSTITUTE(SUBSTITUTE(E1519," [",", "),"[",", "),"]","")&amp;"]")))</x:f>
      </x:c>
      <x:c r="G1519" t="str">
        <x:f>IF(F1519&lt;&gt;"",ROWS($F$3:F1519)-COUNTBLANK($F$3:F1519),"")</x:f>
      </x:c>
      <x:c r="H1519"/>
      <x:c r="I1519"/>
      <x:c r="J1519"/>
      <x:c r="K1519" t="str">
        <x:f>IF(ROW()-ROW($K$2)&lt;=SUM($J$3:$J$168),COUNTIF($H$3:$H$168,"&lt;"&amp;(ROW()-ROW($K$2))),"")</x:f>
      </x:c>
      <x:c r="L1519" t="str">
        <x:f>IF(K1519="","",ROW()-ROW($L$2)-INDEX($H$3:$H$168,K1519))</x:f>
      </x:c>
      <x:c r="M1519" t="str">
        <x:f>IF(K1519="","",IF(L1519=1,1,FIND(CHAR(1),SUBSTITUTE(INDEX($B$3:$B$168,K1519),CHAR(10),CHAR(1),L1519-1))+1))</x:f>
      </x:c>
      <x:c r="N1519" t="str">
        <x:f>IF(K1519="","",IFERROR(FIND(CHAR(1),SUBSTITUTE(INDEX($B$3:$B$168,K1519),CHAR(10),CHAR(1),L1519)),LEN(INDEX($B$3:$B$168,K1519))+1))</x:f>
      </x:c>
    </x:row>
    <x:row r="1520">
      <x:c r="A1520"/>
      <x:c r="B1520"/>
      <x:c r="C1520"/>
      <x:c r="D1520" t="str">
        <x:f>IFERROR(IF(1518&lt;=$O$1,INDEX($A$3:$A$168,MATCH(1518,$I$3:$I$168,0)),IF(1518&lt;=$O$1+$O$2,INDEX($F$3:$F$1994,MATCH(1518-$O$1,$G$3:$G$1994,0)),"")),"")</x:f>
      </x:c>
      <x:c r="E1520" t="str">
        <x:f>IF(K1520="","",IF(N1520&lt;=M1520,"",TRIM(CLEAN(MID(INDEX($B$3:$B$168,K1520),M1520,N1520-M1520)))))</x:f>
      </x:c>
      <x:c r="F1520" t="str">
        <x:f>IF(E1520="","",IF(E1520=TRIM(INDEX($A$3:$A$168,K1520)),"",IF(RIGHT(TRIM(INDEX($A$3:$A$168,K1520)),1)="]",LEFT(TRIM(INDEX($A$3:$A$168,K1520)),LEN(TRIM(INDEX($A$3:$A$168,K1520)))-1)&amp;", "&amp;SUBSTITUTE(SUBSTITUTE(SUBSTITUTE(E1520," [",", "),"[",", "),"]","")&amp;"]",TRIM(INDEX($A$3:$A$168,K1520))&amp;" ["&amp;SUBSTITUTE(SUBSTITUTE(SUBSTITUTE(E1520," [",", "),"[",", "),"]","")&amp;"]")))</x:f>
      </x:c>
      <x:c r="G1520" t="str">
        <x:f>IF(F1520&lt;&gt;"",ROWS($F$3:F1520)-COUNTBLANK($F$3:F1520),"")</x:f>
      </x:c>
      <x:c r="H1520"/>
      <x:c r="I1520"/>
      <x:c r="J1520"/>
      <x:c r="K1520" t="str">
        <x:f>IF(ROW()-ROW($K$2)&lt;=SUM($J$3:$J$168),COUNTIF($H$3:$H$168,"&lt;"&amp;(ROW()-ROW($K$2))),"")</x:f>
      </x:c>
      <x:c r="L1520" t="str">
        <x:f>IF(K1520="","",ROW()-ROW($L$2)-INDEX($H$3:$H$168,K1520))</x:f>
      </x:c>
      <x:c r="M1520" t="str">
        <x:f>IF(K1520="","",IF(L1520=1,1,FIND(CHAR(1),SUBSTITUTE(INDEX($B$3:$B$168,K1520),CHAR(10),CHAR(1),L1520-1))+1))</x:f>
      </x:c>
      <x:c r="N1520" t="str">
        <x:f>IF(K1520="","",IFERROR(FIND(CHAR(1),SUBSTITUTE(INDEX($B$3:$B$168,K1520),CHAR(10),CHAR(1),L1520)),LEN(INDEX($B$3:$B$168,K1520))+1))</x:f>
      </x:c>
    </x:row>
    <x:row r="1521">
      <x:c r="A1521"/>
      <x:c r="B1521"/>
      <x:c r="C1521"/>
      <x:c r="D1521" t="str">
        <x:f>IFERROR(IF(1519&lt;=$O$1,INDEX($A$3:$A$168,MATCH(1519,$I$3:$I$168,0)),IF(1519&lt;=$O$1+$O$2,INDEX($F$3:$F$1994,MATCH(1519-$O$1,$G$3:$G$1994,0)),"")),"")</x:f>
      </x:c>
      <x:c r="E1521" t="str">
        <x:f>IF(K1521="","",IF(N1521&lt;=M1521,"",TRIM(CLEAN(MID(INDEX($B$3:$B$168,K1521),M1521,N1521-M1521)))))</x:f>
      </x:c>
      <x:c r="F1521" t="str">
        <x:f>IF(E1521="","",IF(E1521=TRIM(INDEX($A$3:$A$168,K1521)),"",IF(RIGHT(TRIM(INDEX($A$3:$A$168,K1521)),1)="]",LEFT(TRIM(INDEX($A$3:$A$168,K1521)),LEN(TRIM(INDEX($A$3:$A$168,K1521)))-1)&amp;", "&amp;SUBSTITUTE(SUBSTITUTE(SUBSTITUTE(E1521," [",", "),"[",", "),"]","")&amp;"]",TRIM(INDEX($A$3:$A$168,K1521))&amp;" ["&amp;SUBSTITUTE(SUBSTITUTE(SUBSTITUTE(E1521," [",", "),"[",", "),"]","")&amp;"]")))</x:f>
      </x:c>
      <x:c r="G1521" t="str">
        <x:f>IF(F1521&lt;&gt;"",ROWS($F$3:F1521)-COUNTBLANK($F$3:F1521),"")</x:f>
      </x:c>
      <x:c r="H1521"/>
      <x:c r="I1521"/>
      <x:c r="J1521"/>
      <x:c r="K1521" t="str">
        <x:f>IF(ROW()-ROW($K$2)&lt;=SUM($J$3:$J$168),COUNTIF($H$3:$H$168,"&lt;"&amp;(ROW()-ROW($K$2))),"")</x:f>
      </x:c>
      <x:c r="L1521" t="str">
        <x:f>IF(K1521="","",ROW()-ROW($L$2)-INDEX($H$3:$H$168,K1521))</x:f>
      </x:c>
      <x:c r="M1521" t="str">
        <x:f>IF(K1521="","",IF(L1521=1,1,FIND(CHAR(1),SUBSTITUTE(INDEX($B$3:$B$168,K1521),CHAR(10),CHAR(1),L1521-1))+1))</x:f>
      </x:c>
      <x:c r="N1521" t="str">
        <x:f>IF(K1521="","",IFERROR(FIND(CHAR(1),SUBSTITUTE(INDEX($B$3:$B$168,K1521),CHAR(10),CHAR(1),L1521)),LEN(INDEX($B$3:$B$168,K1521))+1))</x:f>
      </x:c>
    </x:row>
    <x:row r="1522">
      <x:c r="A1522"/>
      <x:c r="B1522"/>
      <x:c r="C1522"/>
      <x:c r="D1522" t="str">
        <x:f>IFERROR(IF(1520&lt;=$O$1,INDEX($A$3:$A$168,MATCH(1520,$I$3:$I$168,0)),IF(1520&lt;=$O$1+$O$2,INDEX($F$3:$F$1994,MATCH(1520-$O$1,$G$3:$G$1994,0)),"")),"")</x:f>
      </x:c>
      <x:c r="E1522" t="str">
        <x:f>IF(K1522="","",IF(N1522&lt;=M1522,"",TRIM(CLEAN(MID(INDEX($B$3:$B$168,K1522),M1522,N1522-M1522)))))</x:f>
      </x:c>
      <x:c r="F1522" t="str">
        <x:f>IF(E1522="","",IF(E1522=TRIM(INDEX($A$3:$A$168,K1522)),"",IF(RIGHT(TRIM(INDEX($A$3:$A$168,K1522)),1)="]",LEFT(TRIM(INDEX($A$3:$A$168,K1522)),LEN(TRIM(INDEX($A$3:$A$168,K1522)))-1)&amp;", "&amp;SUBSTITUTE(SUBSTITUTE(SUBSTITUTE(E1522," [",", "),"[",", "),"]","")&amp;"]",TRIM(INDEX($A$3:$A$168,K1522))&amp;" ["&amp;SUBSTITUTE(SUBSTITUTE(SUBSTITUTE(E1522," [",", "),"[",", "),"]","")&amp;"]")))</x:f>
      </x:c>
      <x:c r="G1522" t="str">
        <x:f>IF(F1522&lt;&gt;"",ROWS($F$3:F1522)-COUNTBLANK($F$3:F1522),"")</x:f>
      </x:c>
      <x:c r="H1522"/>
      <x:c r="I1522"/>
      <x:c r="J1522"/>
      <x:c r="K1522" t="str">
        <x:f>IF(ROW()-ROW($K$2)&lt;=SUM($J$3:$J$168),COUNTIF($H$3:$H$168,"&lt;"&amp;(ROW()-ROW($K$2))),"")</x:f>
      </x:c>
      <x:c r="L1522" t="str">
        <x:f>IF(K1522="","",ROW()-ROW($L$2)-INDEX($H$3:$H$168,K1522))</x:f>
      </x:c>
      <x:c r="M1522" t="str">
        <x:f>IF(K1522="","",IF(L1522=1,1,FIND(CHAR(1),SUBSTITUTE(INDEX($B$3:$B$168,K1522),CHAR(10),CHAR(1),L1522-1))+1))</x:f>
      </x:c>
      <x:c r="N1522" t="str">
        <x:f>IF(K1522="","",IFERROR(FIND(CHAR(1),SUBSTITUTE(INDEX($B$3:$B$168,K1522),CHAR(10),CHAR(1),L1522)),LEN(INDEX($B$3:$B$168,K1522))+1))</x:f>
      </x:c>
    </x:row>
    <x:row r="1523">
      <x:c r="A1523"/>
      <x:c r="B1523"/>
      <x:c r="C1523"/>
      <x:c r="D1523" t="str">
        <x:f>IFERROR(IF(1521&lt;=$O$1,INDEX($A$3:$A$168,MATCH(1521,$I$3:$I$168,0)),IF(1521&lt;=$O$1+$O$2,INDEX($F$3:$F$1994,MATCH(1521-$O$1,$G$3:$G$1994,0)),"")),"")</x:f>
      </x:c>
      <x:c r="E1523" t="str">
        <x:f>IF(K1523="","",IF(N1523&lt;=M1523,"",TRIM(CLEAN(MID(INDEX($B$3:$B$168,K1523),M1523,N1523-M1523)))))</x:f>
      </x:c>
      <x:c r="F1523" t="str">
        <x:f>IF(E1523="","",IF(E1523=TRIM(INDEX($A$3:$A$168,K1523)),"",IF(RIGHT(TRIM(INDEX($A$3:$A$168,K1523)),1)="]",LEFT(TRIM(INDEX($A$3:$A$168,K1523)),LEN(TRIM(INDEX($A$3:$A$168,K1523)))-1)&amp;", "&amp;SUBSTITUTE(SUBSTITUTE(SUBSTITUTE(E1523," [",", "),"[",", "),"]","")&amp;"]",TRIM(INDEX($A$3:$A$168,K1523))&amp;" ["&amp;SUBSTITUTE(SUBSTITUTE(SUBSTITUTE(E1523," [",", "),"[",", "),"]","")&amp;"]")))</x:f>
      </x:c>
      <x:c r="G1523" t="str">
        <x:f>IF(F1523&lt;&gt;"",ROWS($F$3:F1523)-COUNTBLANK($F$3:F1523),"")</x:f>
      </x:c>
      <x:c r="H1523"/>
      <x:c r="I1523"/>
      <x:c r="J1523"/>
      <x:c r="K1523" t="str">
        <x:f>IF(ROW()-ROW($K$2)&lt;=SUM($J$3:$J$168),COUNTIF($H$3:$H$168,"&lt;"&amp;(ROW()-ROW($K$2))),"")</x:f>
      </x:c>
      <x:c r="L1523" t="str">
        <x:f>IF(K1523="","",ROW()-ROW($L$2)-INDEX($H$3:$H$168,K1523))</x:f>
      </x:c>
      <x:c r="M1523" t="str">
        <x:f>IF(K1523="","",IF(L1523=1,1,FIND(CHAR(1),SUBSTITUTE(INDEX($B$3:$B$168,K1523),CHAR(10),CHAR(1),L1523-1))+1))</x:f>
      </x:c>
      <x:c r="N1523" t="str">
        <x:f>IF(K1523="","",IFERROR(FIND(CHAR(1),SUBSTITUTE(INDEX($B$3:$B$168,K1523),CHAR(10),CHAR(1),L1523)),LEN(INDEX($B$3:$B$168,K1523))+1))</x:f>
      </x:c>
    </x:row>
    <x:row r="1524">
      <x:c r="A1524"/>
      <x:c r="B1524"/>
      <x:c r="C1524"/>
      <x:c r="D1524" t="str">
        <x:f>IFERROR(IF(1522&lt;=$O$1,INDEX($A$3:$A$168,MATCH(1522,$I$3:$I$168,0)),IF(1522&lt;=$O$1+$O$2,INDEX($F$3:$F$1994,MATCH(1522-$O$1,$G$3:$G$1994,0)),"")),"")</x:f>
      </x:c>
      <x:c r="E1524" t="str">
        <x:f>IF(K1524="","",IF(N1524&lt;=M1524,"",TRIM(CLEAN(MID(INDEX($B$3:$B$168,K1524),M1524,N1524-M1524)))))</x:f>
      </x:c>
      <x:c r="F1524" t="str">
        <x:f>IF(E1524="","",IF(E1524=TRIM(INDEX($A$3:$A$168,K1524)),"",IF(RIGHT(TRIM(INDEX($A$3:$A$168,K1524)),1)="]",LEFT(TRIM(INDEX($A$3:$A$168,K1524)),LEN(TRIM(INDEX($A$3:$A$168,K1524)))-1)&amp;", "&amp;SUBSTITUTE(SUBSTITUTE(SUBSTITUTE(E1524," [",", "),"[",", "),"]","")&amp;"]",TRIM(INDEX($A$3:$A$168,K1524))&amp;" ["&amp;SUBSTITUTE(SUBSTITUTE(SUBSTITUTE(E1524," [",", "),"[",", "),"]","")&amp;"]")))</x:f>
      </x:c>
      <x:c r="G1524" t="str">
        <x:f>IF(F1524&lt;&gt;"",ROWS($F$3:F1524)-COUNTBLANK($F$3:F1524),"")</x:f>
      </x:c>
      <x:c r="H1524"/>
      <x:c r="I1524"/>
      <x:c r="J1524"/>
      <x:c r="K1524" t="str">
        <x:f>IF(ROW()-ROW($K$2)&lt;=SUM($J$3:$J$168),COUNTIF($H$3:$H$168,"&lt;"&amp;(ROW()-ROW($K$2))),"")</x:f>
      </x:c>
      <x:c r="L1524" t="str">
        <x:f>IF(K1524="","",ROW()-ROW($L$2)-INDEX($H$3:$H$168,K1524))</x:f>
      </x:c>
      <x:c r="M1524" t="str">
        <x:f>IF(K1524="","",IF(L1524=1,1,FIND(CHAR(1),SUBSTITUTE(INDEX($B$3:$B$168,K1524),CHAR(10),CHAR(1),L1524-1))+1))</x:f>
      </x:c>
      <x:c r="N1524" t="str">
        <x:f>IF(K1524="","",IFERROR(FIND(CHAR(1),SUBSTITUTE(INDEX($B$3:$B$168,K1524),CHAR(10),CHAR(1),L1524)),LEN(INDEX($B$3:$B$168,K1524))+1))</x:f>
      </x:c>
    </x:row>
    <x:row r="1525">
      <x:c r="A1525"/>
      <x:c r="B1525"/>
      <x:c r="C1525"/>
      <x:c r="D1525" t="str">
        <x:f>IFERROR(IF(1523&lt;=$O$1,INDEX($A$3:$A$168,MATCH(1523,$I$3:$I$168,0)),IF(1523&lt;=$O$1+$O$2,INDEX($F$3:$F$1994,MATCH(1523-$O$1,$G$3:$G$1994,0)),"")),"")</x:f>
      </x:c>
      <x:c r="E1525" t="str">
        <x:f>IF(K1525="","",IF(N1525&lt;=M1525,"",TRIM(CLEAN(MID(INDEX($B$3:$B$168,K1525),M1525,N1525-M1525)))))</x:f>
      </x:c>
      <x:c r="F1525" t="str">
        <x:f>IF(E1525="","",IF(E1525=TRIM(INDEX($A$3:$A$168,K1525)),"",IF(RIGHT(TRIM(INDEX($A$3:$A$168,K1525)),1)="]",LEFT(TRIM(INDEX($A$3:$A$168,K1525)),LEN(TRIM(INDEX($A$3:$A$168,K1525)))-1)&amp;", "&amp;SUBSTITUTE(SUBSTITUTE(SUBSTITUTE(E1525," [",", "),"[",", "),"]","")&amp;"]",TRIM(INDEX($A$3:$A$168,K1525))&amp;" ["&amp;SUBSTITUTE(SUBSTITUTE(SUBSTITUTE(E1525," [",", "),"[",", "),"]","")&amp;"]")))</x:f>
      </x:c>
      <x:c r="G1525" t="str">
        <x:f>IF(F1525&lt;&gt;"",ROWS($F$3:F1525)-COUNTBLANK($F$3:F1525),"")</x:f>
      </x:c>
      <x:c r="H1525"/>
      <x:c r="I1525"/>
      <x:c r="J1525"/>
      <x:c r="K1525" t="str">
        <x:f>IF(ROW()-ROW($K$2)&lt;=SUM($J$3:$J$168),COUNTIF($H$3:$H$168,"&lt;"&amp;(ROW()-ROW($K$2))),"")</x:f>
      </x:c>
      <x:c r="L1525" t="str">
        <x:f>IF(K1525="","",ROW()-ROW($L$2)-INDEX($H$3:$H$168,K1525))</x:f>
      </x:c>
      <x:c r="M1525" t="str">
        <x:f>IF(K1525="","",IF(L1525=1,1,FIND(CHAR(1),SUBSTITUTE(INDEX($B$3:$B$168,K1525),CHAR(10),CHAR(1),L1525-1))+1))</x:f>
      </x:c>
      <x:c r="N1525" t="str">
        <x:f>IF(K1525="","",IFERROR(FIND(CHAR(1),SUBSTITUTE(INDEX($B$3:$B$168,K1525),CHAR(10),CHAR(1),L1525)),LEN(INDEX($B$3:$B$168,K1525))+1))</x:f>
      </x:c>
    </x:row>
    <x:row r="1526">
      <x:c r="A1526"/>
      <x:c r="B1526"/>
      <x:c r="C1526"/>
      <x:c r="D1526" t="str">
        <x:f>IFERROR(IF(1524&lt;=$O$1,INDEX($A$3:$A$168,MATCH(1524,$I$3:$I$168,0)),IF(1524&lt;=$O$1+$O$2,INDEX($F$3:$F$1994,MATCH(1524-$O$1,$G$3:$G$1994,0)),"")),"")</x:f>
      </x:c>
      <x:c r="E1526" t="str">
        <x:f>IF(K1526="","",IF(N1526&lt;=M1526,"",TRIM(CLEAN(MID(INDEX($B$3:$B$168,K1526),M1526,N1526-M1526)))))</x:f>
      </x:c>
      <x:c r="F1526" t="str">
        <x:f>IF(E1526="","",IF(E1526=TRIM(INDEX($A$3:$A$168,K1526)),"",IF(RIGHT(TRIM(INDEX($A$3:$A$168,K1526)),1)="]",LEFT(TRIM(INDEX($A$3:$A$168,K1526)),LEN(TRIM(INDEX($A$3:$A$168,K1526)))-1)&amp;", "&amp;SUBSTITUTE(SUBSTITUTE(SUBSTITUTE(E1526," [",", "),"[",", "),"]","")&amp;"]",TRIM(INDEX($A$3:$A$168,K1526))&amp;" ["&amp;SUBSTITUTE(SUBSTITUTE(SUBSTITUTE(E1526," [",", "),"[",", "),"]","")&amp;"]")))</x:f>
      </x:c>
      <x:c r="G1526" t="str">
        <x:f>IF(F1526&lt;&gt;"",ROWS($F$3:F1526)-COUNTBLANK($F$3:F1526),"")</x:f>
      </x:c>
      <x:c r="H1526"/>
      <x:c r="I1526"/>
      <x:c r="J1526"/>
      <x:c r="K1526" t="str">
        <x:f>IF(ROW()-ROW($K$2)&lt;=SUM($J$3:$J$168),COUNTIF($H$3:$H$168,"&lt;"&amp;(ROW()-ROW($K$2))),"")</x:f>
      </x:c>
      <x:c r="L1526" t="str">
        <x:f>IF(K1526="","",ROW()-ROW($L$2)-INDEX($H$3:$H$168,K1526))</x:f>
      </x:c>
      <x:c r="M1526" t="str">
        <x:f>IF(K1526="","",IF(L1526=1,1,FIND(CHAR(1),SUBSTITUTE(INDEX($B$3:$B$168,K1526),CHAR(10),CHAR(1),L1526-1))+1))</x:f>
      </x:c>
      <x:c r="N1526" t="str">
        <x:f>IF(K1526="","",IFERROR(FIND(CHAR(1),SUBSTITUTE(INDEX($B$3:$B$168,K1526),CHAR(10),CHAR(1),L1526)),LEN(INDEX($B$3:$B$168,K1526))+1))</x:f>
      </x:c>
    </x:row>
    <x:row r="1527">
      <x:c r="A1527"/>
      <x:c r="B1527"/>
      <x:c r="C1527"/>
      <x:c r="D1527" t="str">
        <x:f>IFERROR(IF(1525&lt;=$O$1,INDEX($A$3:$A$168,MATCH(1525,$I$3:$I$168,0)),IF(1525&lt;=$O$1+$O$2,INDEX($F$3:$F$1994,MATCH(1525-$O$1,$G$3:$G$1994,0)),"")),"")</x:f>
      </x:c>
      <x:c r="E1527" t="str">
        <x:f>IF(K1527="","",IF(N1527&lt;=M1527,"",TRIM(CLEAN(MID(INDEX($B$3:$B$168,K1527),M1527,N1527-M1527)))))</x:f>
      </x:c>
      <x:c r="F1527" t="str">
        <x:f>IF(E1527="","",IF(E1527=TRIM(INDEX($A$3:$A$168,K1527)),"",IF(RIGHT(TRIM(INDEX($A$3:$A$168,K1527)),1)="]",LEFT(TRIM(INDEX($A$3:$A$168,K1527)),LEN(TRIM(INDEX($A$3:$A$168,K1527)))-1)&amp;", "&amp;SUBSTITUTE(SUBSTITUTE(SUBSTITUTE(E1527," [",", "),"[",", "),"]","")&amp;"]",TRIM(INDEX($A$3:$A$168,K1527))&amp;" ["&amp;SUBSTITUTE(SUBSTITUTE(SUBSTITUTE(E1527," [",", "),"[",", "),"]","")&amp;"]")))</x:f>
      </x:c>
      <x:c r="G1527" t="str">
        <x:f>IF(F1527&lt;&gt;"",ROWS($F$3:F1527)-COUNTBLANK($F$3:F1527),"")</x:f>
      </x:c>
      <x:c r="H1527"/>
      <x:c r="I1527"/>
      <x:c r="J1527"/>
      <x:c r="K1527" t="str">
        <x:f>IF(ROW()-ROW($K$2)&lt;=SUM($J$3:$J$168),COUNTIF($H$3:$H$168,"&lt;"&amp;(ROW()-ROW($K$2))),"")</x:f>
      </x:c>
      <x:c r="L1527" t="str">
        <x:f>IF(K1527="","",ROW()-ROW($L$2)-INDEX($H$3:$H$168,K1527))</x:f>
      </x:c>
      <x:c r="M1527" t="str">
        <x:f>IF(K1527="","",IF(L1527=1,1,FIND(CHAR(1),SUBSTITUTE(INDEX($B$3:$B$168,K1527),CHAR(10),CHAR(1),L1527-1))+1))</x:f>
      </x:c>
      <x:c r="N1527" t="str">
        <x:f>IF(K1527="","",IFERROR(FIND(CHAR(1),SUBSTITUTE(INDEX($B$3:$B$168,K1527),CHAR(10),CHAR(1),L1527)),LEN(INDEX($B$3:$B$168,K1527))+1))</x:f>
      </x:c>
    </x:row>
    <x:row r="1528">
      <x:c r="A1528"/>
      <x:c r="B1528"/>
      <x:c r="C1528"/>
      <x:c r="D1528" t="str">
        <x:f>IFERROR(IF(1526&lt;=$O$1,INDEX($A$3:$A$168,MATCH(1526,$I$3:$I$168,0)),IF(1526&lt;=$O$1+$O$2,INDEX($F$3:$F$1994,MATCH(1526-$O$1,$G$3:$G$1994,0)),"")),"")</x:f>
      </x:c>
      <x:c r="E1528" t="str">
        <x:f>IF(K1528="","",IF(N1528&lt;=M1528,"",TRIM(CLEAN(MID(INDEX($B$3:$B$168,K1528),M1528,N1528-M1528)))))</x:f>
      </x:c>
      <x:c r="F1528" t="str">
        <x:f>IF(E1528="","",IF(E1528=TRIM(INDEX($A$3:$A$168,K1528)),"",IF(RIGHT(TRIM(INDEX($A$3:$A$168,K1528)),1)="]",LEFT(TRIM(INDEX($A$3:$A$168,K1528)),LEN(TRIM(INDEX($A$3:$A$168,K1528)))-1)&amp;", "&amp;SUBSTITUTE(SUBSTITUTE(SUBSTITUTE(E1528," [",", "),"[",", "),"]","")&amp;"]",TRIM(INDEX($A$3:$A$168,K1528))&amp;" ["&amp;SUBSTITUTE(SUBSTITUTE(SUBSTITUTE(E1528," [",", "),"[",", "),"]","")&amp;"]")))</x:f>
      </x:c>
      <x:c r="G1528" t="str">
        <x:f>IF(F1528&lt;&gt;"",ROWS($F$3:F1528)-COUNTBLANK($F$3:F1528),"")</x:f>
      </x:c>
      <x:c r="H1528"/>
      <x:c r="I1528"/>
      <x:c r="J1528"/>
      <x:c r="K1528" t="str">
        <x:f>IF(ROW()-ROW($K$2)&lt;=SUM($J$3:$J$168),COUNTIF($H$3:$H$168,"&lt;"&amp;(ROW()-ROW($K$2))),"")</x:f>
      </x:c>
      <x:c r="L1528" t="str">
        <x:f>IF(K1528="","",ROW()-ROW($L$2)-INDEX($H$3:$H$168,K1528))</x:f>
      </x:c>
      <x:c r="M1528" t="str">
        <x:f>IF(K1528="","",IF(L1528=1,1,FIND(CHAR(1),SUBSTITUTE(INDEX($B$3:$B$168,K1528),CHAR(10),CHAR(1),L1528-1))+1))</x:f>
      </x:c>
      <x:c r="N1528" t="str">
        <x:f>IF(K1528="","",IFERROR(FIND(CHAR(1),SUBSTITUTE(INDEX($B$3:$B$168,K1528),CHAR(10),CHAR(1),L1528)),LEN(INDEX($B$3:$B$168,K1528))+1))</x:f>
      </x:c>
    </x:row>
    <x:row r="1529">
      <x:c r="A1529"/>
      <x:c r="B1529"/>
      <x:c r="C1529"/>
      <x:c r="D1529" t="str">
        <x:f>IFERROR(IF(1527&lt;=$O$1,INDEX($A$3:$A$168,MATCH(1527,$I$3:$I$168,0)),IF(1527&lt;=$O$1+$O$2,INDEX($F$3:$F$1994,MATCH(1527-$O$1,$G$3:$G$1994,0)),"")),"")</x:f>
      </x:c>
      <x:c r="E1529" t="str">
        <x:f>IF(K1529="","",IF(N1529&lt;=M1529,"",TRIM(CLEAN(MID(INDEX($B$3:$B$168,K1529),M1529,N1529-M1529)))))</x:f>
      </x:c>
      <x:c r="F1529" t="str">
        <x:f>IF(E1529="","",IF(E1529=TRIM(INDEX($A$3:$A$168,K1529)),"",IF(RIGHT(TRIM(INDEX($A$3:$A$168,K1529)),1)="]",LEFT(TRIM(INDEX($A$3:$A$168,K1529)),LEN(TRIM(INDEX($A$3:$A$168,K1529)))-1)&amp;", "&amp;SUBSTITUTE(SUBSTITUTE(SUBSTITUTE(E1529," [",", "),"[",", "),"]","")&amp;"]",TRIM(INDEX($A$3:$A$168,K1529))&amp;" ["&amp;SUBSTITUTE(SUBSTITUTE(SUBSTITUTE(E1529," [",", "),"[",", "),"]","")&amp;"]")))</x:f>
      </x:c>
      <x:c r="G1529" t="str">
        <x:f>IF(F1529&lt;&gt;"",ROWS($F$3:F1529)-COUNTBLANK($F$3:F1529),"")</x:f>
      </x:c>
      <x:c r="H1529"/>
      <x:c r="I1529"/>
      <x:c r="J1529"/>
      <x:c r="K1529" t="str">
        <x:f>IF(ROW()-ROW($K$2)&lt;=SUM($J$3:$J$168),COUNTIF($H$3:$H$168,"&lt;"&amp;(ROW()-ROW($K$2))),"")</x:f>
      </x:c>
      <x:c r="L1529" t="str">
        <x:f>IF(K1529="","",ROW()-ROW($L$2)-INDEX($H$3:$H$168,K1529))</x:f>
      </x:c>
      <x:c r="M1529" t="str">
        <x:f>IF(K1529="","",IF(L1529=1,1,FIND(CHAR(1),SUBSTITUTE(INDEX($B$3:$B$168,K1529),CHAR(10),CHAR(1),L1529-1))+1))</x:f>
      </x:c>
      <x:c r="N1529" t="str">
        <x:f>IF(K1529="","",IFERROR(FIND(CHAR(1),SUBSTITUTE(INDEX($B$3:$B$168,K1529),CHAR(10),CHAR(1),L1529)),LEN(INDEX($B$3:$B$168,K1529))+1))</x:f>
      </x:c>
    </x:row>
    <x:row r="1530">
      <x:c r="A1530"/>
      <x:c r="B1530"/>
      <x:c r="C1530"/>
      <x:c r="D1530" t="str">
        <x:f>IFERROR(IF(1528&lt;=$O$1,INDEX($A$3:$A$168,MATCH(1528,$I$3:$I$168,0)),IF(1528&lt;=$O$1+$O$2,INDEX($F$3:$F$1994,MATCH(1528-$O$1,$G$3:$G$1994,0)),"")),"")</x:f>
      </x:c>
      <x:c r="E1530" t="str">
        <x:f>IF(K1530="","",IF(N1530&lt;=M1530,"",TRIM(CLEAN(MID(INDEX($B$3:$B$168,K1530),M1530,N1530-M1530)))))</x:f>
      </x:c>
      <x:c r="F1530" t="str">
        <x:f>IF(E1530="","",IF(E1530=TRIM(INDEX($A$3:$A$168,K1530)),"",IF(RIGHT(TRIM(INDEX($A$3:$A$168,K1530)),1)="]",LEFT(TRIM(INDEX($A$3:$A$168,K1530)),LEN(TRIM(INDEX($A$3:$A$168,K1530)))-1)&amp;", "&amp;SUBSTITUTE(SUBSTITUTE(SUBSTITUTE(E1530," [",", "),"[",", "),"]","")&amp;"]",TRIM(INDEX($A$3:$A$168,K1530))&amp;" ["&amp;SUBSTITUTE(SUBSTITUTE(SUBSTITUTE(E1530," [",", "),"[",", "),"]","")&amp;"]")))</x:f>
      </x:c>
      <x:c r="G1530" t="str">
        <x:f>IF(F1530&lt;&gt;"",ROWS($F$3:F1530)-COUNTBLANK($F$3:F1530),"")</x:f>
      </x:c>
      <x:c r="H1530"/>
      <x:c r="I1530"/>
      <x:c r="J1530"/>
      <x:c r="K1530" t="str">
        <x:f>IF(ROW()-ROW($K$2)&lt;=SUM($J$3:$J$168),COUNTIF($H$3:$H$168,"&lt;"&amp;(ROW()-ROW($K$2))),"")</x:f>
      </x:c>
      <x:c r="L1530" t="str">
        <x:f>IF(K1530="","",ROW()-ROW($L$2)-INDEX($H$3:$H$168,K1530))</x:f>
      </x:c>
      <x:c r="M1530" t="str">
        <x:f>IF(K1530="","",IF(L1530=1,1,FIND(CHAR(1),SUBSTITUTE(INDEX($B$3:$B$168,K1530),CHAR(10),CHAR(1),L1530-1))+1))</x:f>
      </x:c>
      <x:c r="N1530" t="str">
        <x:f>IF(K1530="","",IFERROR(FIND(CHAR(1),SUBSTITUTE(INDEX($B$3:$B$168,K1530),CHAR(10),CHAR(1),L1530)),LEN(INDEX($B$3:$B$168,K1530))+1))</x:f>
      </x:c>
    </x:row>
    <x:row r="1531">
      <x:c r="A1531"/>
      <x:c r="B1531"/>
      <x:c r="C1531"/>
      <x:c r="D1531" t="str">
        <x:f>IFERROR(IF(1529&lt;=$O$1,INDEX($A$3:$A$168,MATCH(1529,$I$3:$I$168,0)),IF(1529&lt;=$O$1+$O$2,INDEX($F$3:$F$1994,MATCH(1529-$O$1,$G$3:$G$1994,0)),"")),"")</x:f>
      </x:c>
      <x:c r="E1531" t="str">
        <x:f>IF(K1531="","",IF(N1531&lt;=M1531,"",TRIM(CLEAN(MID(INDEX($B$3:$B$168,K1531),M1531,N1531-M1531)))))</x:f>
      </x:c>
      <x:c r="F1531" t="str">
        <x:f>IF(E1531="","",IF(E1531=TRIM(INDEX($A$3:$A$168,K1531)),"",IF(RIGHT(TRIM(INDEX($A$3:$A$168,K1531)),1)="]",LEFT(TRIM(INDEX($A$3:$A$168,K1531)),LEN(TRIM(INDEX($A$3:$A$168,K1531)))-1)&amp;", "&amp;SUBSTITUTE(SUBSTITUTE(SUBSTITUTE(E1531," [",", "),"[",", "),"]","")&amp;"]",TRIM(INDEX($A$3:$A$168,K1531))&amp;" ["&amp;SUBSTITUTE(SUBSTITUTE(SUBSTITUTE(E1531," [",", "),"[",", "),"]","")&amp;"]")))</x:f>
      </x:c>
      <x:c r="G1531" t="str">
        <x:f>IF(F1531&lt;&gt;"",ROWS($F$3:F1531)-COUNTBLANK($F$3:F1531),"")</x:f>
      </x:c>
      <x:c r="H1531"/>
      <x:c r="I1531"/>
      <x:c r="J1531"/>
      <x:c r="K1531" t="str">
        <x:f>IF(ROW()-ROW($K$2)&lt;=SUM($J$3:$J$168),COUNTIF($H$3:$H$168,"&lt;"&amp;(ROW()-ROW($K$2))),"")</x:f>
      </x:c>
      <x:c r="L1531" t="str">
        <x:f>IF(K1531="","",ROW()-ROW($L$2)-INDEX($H$3:$H$168,K1531))</x:f>
      </x:c>
      <x:c r="M1531" t="str">
        <x:f>IF(K1531="","",IF(L1531=1,1,FIND(CHAR(1),SUBSTITUTE(INDEX($B$3:$B$168,K1531),CHAR(10),CHAR(1),L1531-1))+1))</x:f>
      </x:c>
      <x:c r="N1531" t="str">
        <x:f>IF(K1531="","",IFERROR(FIND(CHAR(1),SUBSTITUTE(INDEX($B$3:$B$168,K1531),CHAR(10),CHAR(1),L1531)),LEN(INDEX($B$3:$B$168,K1531))+1))</x:f>
      </x:c>
    </x:row>
    <x:row r="1532">
      <x:c r="A1532"/>
      <x:c r="B1532"/>
      <x:c r="C1532"/>
      <x:c r="D1532" t="str">
        <x:f>IFERROR(IF(1530&lt;=$O$1,INDEX($A$3:$A$168,MATCH(1530,$I$3:$I$168,0)),IF(1530&lt;=$O$1+$O$2,INDEX($F$3:$F$1994,MATCH(1530-$O$1,$G$3:$G$1994,0)),"")),"")</x:f>
      </x:c>
      <x:c r="E1532" t="str">
        <x:f>IF(K1532="","",IF(N1532&lt;=M1532,"",TRIM(CLEAN(MID(INDEX($B$3:$B$168,K1532),M1532,N1532-M1532)))))</x:f>
      </x:c>
      <x:c r="F1532" t="str">
        <x:f>IF(E1532="","",IF(E1532=TRIM(INDEX($A$3:$A$168,K1532)),"",IF(RIGHT(TRIM(INDEX($A$3:$A$168,K1532)),1)="]",LEFT(TRIM(INDEX($A$3:$A$168,K1532)),LEN(TRIM(INDEX($A$3:$A$168,K1532)))-1)&amp;", "&amp;SUBSTITUTE(SUBSTITUTE(SUBSTITUTE(E1532," [",", "),"[",", "),"]","")&amp;"]",TRIM(INDEX($A$3:$A$168,K1532))&amp;" ["&amp;SUBSTITUTE(SUBSTITUTE(SUBSTITUTE(E1532," [",", "),"[",", "),"]","")&amp;"]")))</x:f>
      </x:c>
      <x:c r="G1532" t="str">
        <x:f>IF(F1532&lt;&gt;"",ROWS($F$3:F1532)-COUNTBLANK($F$3:F1532),"")</x:f>
      </x:c>
      <x:c r="H1532"/>
      <x:c r="I1532"/>
      <x:c r="J1532"/>
      <x:c r="K1532" t="str">
        <x:f>IF(ROW()-ROW($K$2)&lt;=SUM($J$3:$J$168),COUNTIF($H$3:$H$168,"&lt;"&amp;(ROW()-ROW($K$2))),"")</x:f>
      </x:c>
      <x:c r="L1532" t="str">
        <x:f>IF(K1532="","",ROW()-ROW($L$2)-INDEX($H$3:$H$168,K1532))</x:f>
      </x:c>
      <x:c r="M1532" t="str">
        <x:f>IF(K1532="","",IF(L1532=1,1,FIND(CHAR(1),SUBSTITUTE(INDEX($B$3:$B$168,K1532),CHAR(10),CHAR(1),L1532-1))+1))</x:f>
      </x:c>
      <x:c r="N1532" t="str">
        <x:f>IF(K1532="","",IFERROR(FIND(CHAR(1),SUBSTITUTE(INDEX($B$3:$B$168,K1532),CHAR(10),CHAR(1),L1532)),LEN(INDEX($B$3:$B$168,K1532))+1))</x:f>
      </x:c>
    </x:row>
    <x:row r="1533">
      <x:c r="A1533"/>
      <x:c r="B1533"/>
      <x:c r="C1533"/>
      <x:c r="D1533" t="str">
        <x:f>IFERROR(IF(1531&lt;=$O$1,INDEX($A$3:$A$168,MATCH(1531,$I$3:$I$168,0)),IF(1531&lt;=$O$1+$O$2,INDEX($F$3:$F$1994,MATCH(1531-$O$1,$G$3:$G$1994,0)),"")),"")</x:f>
      </x:c>
      <x:c r="E1533" t="str">
        <x:f>IF(K1533="","",IF(N1533&lt;=M1533,"",TRIM(CLEAN(MID(INDEX($B$3:$B$168,K1533),M1533,N1533-M1533)))))</x:f>
      </x:c>
      <x:c r="F1533" t="str">
        <x:f>IF(E1533="","",IF(E1533=TRIM(INDEX($A$3:$A$168,K1533)),"",IF(RIGHT(TRIM(INDEX($A$3:$A$168,K1533)),1)="]",LEFT(TRIM(INDEX($A$3:$A$168,K1533)),LEN(TRIM(INDEX($A$3:$A$168,K1533)))-1)&amp;", "&amp;SUBSTITUTE(SUBSTITUTE(SUBSTITUTE(E1533," [",", "),"[",", "),"]","")&amp;"]",TRIM(INDEX($A$3:$A$168,K1533))&amp;" ["&amp;SUBSTITUTE(SUBSTITUTE(SUBSTITUTE(E1533," [",", "),"[",", "),"]","")&amp;"]")))</x:f>
      </x:c>
      <x:c r="G1533" t="str">
        <x:f>IF(F1533&lt;&gt;"",ROWS($F$3:F1533)-COUNTBLANK($F$3:F1533),"")</x:f>
      </x:c>
      <x:c r="H1533"/>
      <x:c r="I1533"/>
      <x:c r="J1533"/>
      <x:c r="K1533" t="str">
        <x:f>IF(ROW()-ROW($K$2)&lt;=SUM($J$3:$J$168),COUNTIF($H$3:$H$168,"&lt;"&amp;(ROW()-ROW($K$2))),"")</x:f>
      </x:c>
      <x:c r="L1533" t="str">
        <x:f>IF(K1533="","",ROW()-ROW($L$2)-INDEX($H$3:$H$168,K1533))</x:f>
      </x:c>
      <x:c r="M1533" t="str">
        <x:f>IF(K1533="","",IF(L1533=1,1,FIND(CHAR(1),SUBSTITUTE(INDEX($B$3:$B$168,K1533),CHAR(10),CHAR(1),L1533-1))+1))</x:f>
      </x:c>
      <x:c r="N1533" t="str">
        <x:f>IF(K1533="","",IFERROR(FIND(CHAR(1),SUBSTITUTE(INDEX($B$3:$B$168,K1533),CHAR(10),CHAR(1),L1533)),LEN(INDEX($B$3:$B$168,K1533))+1))</x:f>
      </x:c>
    </x:row>
    <x:row r="1534">
      <x:c r="A1534"/>
      <x:c r="B1534"/>
      <x:c r="C1534"/>
      <x:c r="D1534" t="str">
        <x:f>IFERROR(IF(1532&lt;=$O$1,INDEX($A$3:$A$168,MATCH(1532,$I$3:$I$168,0)),IF(1532&lt;=$O$1+$O$2,INDEX($F$3:$F$1994,MATCH(1532-$O$1,$G$3:$G$1994,0)),"")),"")</x:f>
      </x:c>
      <x:c r="E1534" t="str">
        <x:f>IF(K1534="","",IF(N1534&lt;=M1534,"",TRIM(CLEAN(MID(INDEX($B$3:$B$168,K1534),M1534,N1534-M1534)))))</x:f>
      </x:c>
      <x:c r="F1534" t="str">
        <x:f>IF(E1534="","",IF(E1534=TRIM(INDEX($A$3:$A$168,K1534)),"",IF(RIGHT(TRIM(INDEX($A$3:$A$168,K1534)),1)="]",LEFT(TRIM(INDEX($A$3:$A$168,K1534)),LEN(TRIM(INDEX($A$3:$A$168,K1534)))-1)&amp;", "&amp;SUBSTITUTE(SUBSTITUTE(SUBSTITUTE(E1534," [",", "),"[",", "),"]","")&amp;"]",TRIM(INDEX($A$3:$A$168,K1534))&amp;" ["&amp;SUBSTITUTE(SUBSTITUTE(SUBSTITUTE(E1534," [",", "),"[",", "),"]","")&amp;"]")))</x:f>
      </x:c>
      <x:c r="G1534" t="str">
        <x:f>IF(F1534&lt;&gt;"",ROWS($F$3:F1534)-COUNTBLANK($F$3:F1534),"")</x:f>
      </x:c>
      <x:c r="H1534"/>
      <x:c r="I1534"/>
      <x:c r="J1534"/>
      <x:c r="K1534" t="str">
        <x:f>IF(ROW()-ROW($K$2)&lt;=SUM($J$3:$J$168),COUNTIF($H$3:$H$168,"&lt;"&amp;(ROW()-ROW($K$2))),"")</x:f>
      </x:c>
      <x:c r="L1534" t="str">
        <x:f>IF(K1534="","",ROW()-ROW($L$2)-INDEX($H$3:$H$168,K1534))</x:f>
      </x:c>
      <x:c r="M1534" t="str">
        <x:f>IF(K1534="","",IF(L1534=1,1,FIND(CHAR(1),SUBSTITUTE(INDEX($B$3:$B$168,K1534),CHAR(10),CHAR(1),L1534-1))+1))</x:f>
      </x:c>
      <x:c r="N1534" t="str">
        <x:f>IF(K1534="","",IFERROR(FIND(CHAR(1),SUBSTITUTE(INDEX($B$3:$B$168,K1534),CHAR(10),CHAR(1),L1534)),LEN(INDEX($B$3:$B$168,K1534))+1))</x:f>
      </x:c>
    </x:row>
    <x:row r="1535">
      <x:c r="A1535"/>
      <x:c r="B1535"/>
      <x:c r="C1535"/>
      <x:c r="D1535" t="str">
        <x:f>IFERROR(IF(1533&lt;=$O$1,INDEX($A$3:$A$168,MATCH(1533,$I$3:$I$168,0)),IF(1533&lt;=$O$1+$O$2,INDEX($F$3:$F$1994,MATCH(1533-$O$1,$G$3:$G$1994,0)),"")),"")</x:f>
      </x:c>
      <x:c r="E1535" t="str">
        <x:f>IF(K1535="","",IF(N1535&lt;=M1535,"",TRIM(CLEAN(MID(INDEX($B$3:$B$168,K1535),M1535,N1535-M1535)))))</x:f>
      </x:c>
      <x:c r="F1535" t="str">
        <x:f>IF(E1535="","",IF(E1535=TRIM(INDEX($A$3:$A$168,K1535)),"",IF(RIGHT(TRIM(INDEX($A$3:$A$168,K1535)),1)="]",LEFT(TRIM(INDEX($A$3:$A$168,K1535)),LEN(TRIM(INDEX($A$3:$A$168,K1535)))-1)&amp;", "&amp;SUBSTITUTE(SUBSTITUTE(SUBSTITUTE(E1535," [",", "),"[",", "),"]","")&amp;"]",TRIM(INDEX($A$3:$A$168,K1535))&amp;" ["&amp;SUBSTITUTE(SUBSTITUTE(SUBSTITUTE(E1535," [",", "),"[",", "),"]","")&amp;"]")))</x:f>
      </x:c>
      <x:c r="G1535" t="str">
        <x:f>IF(F1535&lt;&gt;"",ROWS($F$3:F1535)-COUNTBLANK($F$3:F1535),"")</x:f>
      </x:c>
      <x:c r="H1535"/>
      <x:c r="I1535"/>
      <x:c r="J1535"/>
      <x:c r="K1535" t="str">
        <x:f>IF(ROW()-ROW($K$2)&lt;=SUM($J$3:$J$168),COUNTIF($H$3:$H$168,"&lt;"&amp;(ROW()-ROW($K$2))),"")</x:f>
      </x:c>
      <x:c r="L1535" t="str">
        <x:f>IF(K1535="","",ROW()-ROW($L$2)-INDEX($H$3:$H$168,K1535))</x:f>
      </x:c>
      <x:c r="M1535" t="str">
        <x:f>IF(K1535="","",IF(L1535=1,1,FIND(CHAR(1),SUBSTITUTE(INDEX($B$3:$B$168,K1535),CHAR(10),CHAR(1),L1535-1))+1))</x:f>
      </x:c>
      <x:c r="N1535" t="str">
        <x:f>IF(K1535="","",IFERROR(FIND(CHAR(1),SUBSTITUTE(INDEX($B$3:$B$168,K1535),CHAR(10),CHAR(1),L1535)),LEN(INDEX($B$3:$B$168,K1535))+1))</x:f>
      </x:c>
    </x:row>
    <x:row r="1536">
      <x:c r="A1536"/>
      <x:c r="B1536"/>
      <x:c r="C1536"/>
      <x:c r="D1536" t="str">
        <x:f>IFERROR(IF(1534&lt;=$O$1,INDEX($A$3:$A$168,MATCH(1534,$I$3:$I$168,0)),IF(1534&lt;=$O$1+$O$2,INDEX($F$3:$F$1994,MATCH(1534-$O$1,$G$3:$G$1994,0)),"")),"")</x:f>
      </x:c>
      <x:c r="E1536" t="str">
        <x:f>IF(K1536="","",IF(N1536&lt;=M1536,"",TRIM(CLEAN(MID(INDEX($B$3:$B$168,K1536),M1536,N1536-M1536)))))</x:f>
      </x:c>
      <x:c r="F1536" t="str">
        <x:f>IF(E1536="","",IF(E1536=TRIM(INDEX($A$3:$A$168,K1536)),"",IF(RIGHT(TRIM(INDEX($A$3:$A$168,K1536)),1)="]",LEFT(TRIM(INDEX($A$3:$A$168,K1536)),LEN(TRIM(INDEX($A$3:$A$168,K1536)))-1)&amp;", "&amp;SUBSTITUTE(SUBSTITUTE(SUBSTITUTE(E1536," [",", "),"[",", "),"]","")&amp;"]",TRIM(INDEX($A$3:$A$168,K1536))&amp;" ["&amp;SUBSTITUTE(SUBSTITUTE(SUBSTITUTE(E1536," [",", "),"[",", "),"]","")&amp;"]")))</x:f>
      </x:c>
      <x:c r="G1536" t="str">
        <x:f>IF(F1536&lt;&gt;"",ROWS($F$3:F1536)-COUNTBLANK($F$3:F1536),"")</x:f>
      </x:c>
      <x:c r="H1536"/>
      <x:c r="I1536"/>
      <x:c r="J1536"/>
      <x:c r="K1536" t="str">
        <x:f>IF(ROW()-ROW($K$2)&lt;=SUM($J$3:$J$168),COUNTIF($H$3:$H$168,"&lt;"&amp;(ROW()-ROW($K$2))),"")</x:f>
      </x:c>
      <x:c r="L1536" t="str">
        <x:f>IF(K1536="","",ROW()-ROW($L$2)-INDEX($H$3:$H$168,K1536))</x:f>
      </x:c>
      <x:c r="M1536" t="str">
        <x:f>IF(K1536="","",IF(L1536=1,1,FIND(CHAR(1),SUBSTITUTE(INDEX($B$3:$B$168,K1536),CHAR(10),CHAR(1),L1536-1))+1))</x:f>
      </x:c>
      <x:c r="N1536" t="str">
        <x:f>IF(K1536="","",IFERROR(FIND(CHAR(1),SUBSTITUTE(INDEX($B$3:$B$168,K1536),CHAR(10),CHAR(1),L1536)),LEN(INDEX($B$3:$B$168,K1536))+1))</x:f>
      </x:c>
    </x:row>
    <x:row r="1537">
      <x:c r="A1537"/>
      <x:c r="B1537"/>
      <x:c r="C1537"/>
      <x:c r="D1537" t="str">
        <x:f>IFERROR(IF(1535&lt;=$O$1,INDEX($A$3:$A$168,MATCH(1535,$I$3:$I$168,0)),IF(1535&lt;=$O$1+$O$2,INDEX($F$3:$F$1994,MATCH(1535-$O$1,$G$3:$G$1994,0)),"")),"")</x:f>
      </x:c>
      <x:c r="E1537" t="str">
        <x:f>IF(K1537="","",IF(N1537&lt;=M1537,"",TRIM(CLEAN(MID(INDEX($B$3:$B$168,K1537),M1537,N1537-M1537)))))</x:f>
      </x:c>
      <x:c r="F1537" t="str">
        <x:f>IF(E1537="","",IF(E1537=TRIM(INDEX($A$3:$A$168,K1537)),"",IF(RIGHT(TRIM(INDEX($A$3:$A$168,K1537)),1)="]",LEFT(TRIM(INDEX($A$3:$A$168,K1537)),LEN(TRIM(INDEX($A$3:$A$168,K1537)))-1)&amp;", "&amp;SUBSTITUTE(SUBSTITUTE(SUBSTITUTE(E1537," [",", "),"[",", "),"]","")&amp;"]",TRIM(INDEX($A$3:$A$168,K1537))&amp;" ["&amp;SUBSTITUTE(SUBSTITUTE(SUBSTITUTE(E1537," [",", "),"[",", "),"]","")&amp;"]")))</x:f>
      </x:c>
      <x:c r="G1537" t="str">
        <x:f>IF(F1537&lt;&gt;"",ROWS($F$3:F1537)-COUNTBLANK($F$3:F1537),"")</x:f>
      </x:c>
      <x:c r="H1537"/>
      <x:c r="I1537"/>
      <x:c r="J1537"/>
      <x:c r="K1537" t="str">
        <x:f>IF(ROW()-ROW($K$2)&lt;=SUM($J$3:$J$168),COUNTIF($H$3:$H$168,"&lt;"&amp;(ROW()-ROW($K$2))),"")</x:f>
      </x:c>
      <x:c r="L1537" t="str">
        <x:f>IF(K1537="","",ROW()-ROW($L$2)-INDEX($H$3:$H$168,K1537))</x:f>
      </x:c>
      <x:c r="M1537" t="str">
        <x:f>IF(K1537="","",IF(L1537=1,1,FIND(CHAR(1),SUBSTITUTE(INDEX($B$3:$B$168,K1537),CHAR(10),CHAR(1),L1537-1))+1))</x:f>
      </x:c>
      <x:c r="N1537" t="str">
        <x:f>IF(K1537="","",IFERROR(FIND(CHAR(1),SUBSTITUTE(INDEX($B$3:$B$168,K1537),CHAR(10),CHAR(1),L1537)),LEN(INDEX($B$3:$B$168,K1537))+1))</x:f>
      </x:c>
    </x:row>
    <x:row r="1538">
      <x:c r="A1538"/>
      <x:c r="B1538"/>
      <x:c r="C1538"/>
      <x:c r="D1538" t="str">
        <x:f>IFERROR(IF(1536&lt;=$O$1,INDEX($A$3:$A$168,MATCH(1536,$I$3:$I$168,0)),IF(1536&lt;=$O$1+$O$2,INDEX($F$3:$F$1994,MATCH(1536-$O$1,$G$3:$G$1994,0)),"")),"")</x:f>
      </x:c>
      <x:c r="E1538" t="str">
        <x:f>IF(K1538="","",IF(N1538&lt;=M1538,"",TRIM(CLEAN(MID(INDEX($B$3:$B$168,K1538),M1538,N1538-M1538)))))</x:f>
      </x:c>
      <x:c r="F1538" t="str">
        <x:f>IF(E1538="","",IF(E1538=TRIM(INDEX($A$3:$A$168,K1538)),"",IF(RIGHT(TRIM(INDEX($A$3:$A$168,K1538)),1)="]",LEFT(TRIM(INDEX($A$3:$A$168,K1538)),LEN(TRIM(INDEX($A$3:$A$168,K1538)))-1)&amp;", "&amp;SUBSTITUTE(SUBSTITUTE(SUBSTITUTE(E1538," [",", "),"[",", "),"]","")&amp;"]",TRIM(INDEX($A$3:$A$168,K1538))&amp;" ["&amp;SUBSTITUTE(SUBSTITUTE(SUBSTITUTE(E1538," [",", "),"[",", "),"]","")&amp;"]")))</x:f>
      </x:c>
      <x:c r="G1538" t="str">
        <x:f>IF(F1538&lt;&gt;"",ROWS($F$3:F1538)-COUNTBLANK($F$3:F1538),"")</x:f>
      </x:c>
      <x:c r="H1538"/>
      <x:c r="I1538"/>
      <x:c r="J1538"/>
      <x:c r="K1538" t="str">
        <x:f>IF(ROW()-ROW($K$2)&lt;=SUM($J$3:$J$168),COUNTIF($H$3:$H$168,"&lt;"&amp;(ROW()-ROW($K$2))),"")</x:f>
      </x:c>
      <x:c r="L1538" t="str">
        <x:f>IF(K1538="","",ROW()-ROW($L$2)-INDEX($H$3:$H$168,K1538))</x:f>
      </x:c>
      <x:c r="M1538" t="str">
        <x:f>IF(K1538="","",IF(L1538=1,1,FIND(CHAR(1),SUBSTITUTE(INDEX($B$3:$B$168,K1538),CHAR(10),CHAR(1),L1538-1))+1))</x:f>
      </x:c>
      <x:c r="N1538" t="str">
        <x:f>IF(K1538="","",IFERROR(FIND(CHAR(1),SUBSTITUTE(INDEX($B$3:$B$168,K1538),CHAR(10),CHAR(1),L1538)),LEN(INDEX($B$3:$B$168,K1538))+1))</x:f>
      </x:c>
    </x:row>
    <x:row r="1539">
      <x:c r="A1539"/>
      <x:c r="B1539"/>
      <x:c r="C1539"/>
      <x:c r="D1539" t="str">
        <x:f>IFERROR(IF(1537&lt;=$O$1,INDEX($A$3:$A$168,MATCH(1537,$I$3:$I$168,0)),IF(1537&lt;=$O$1+$O$2,INDEX($F$3:$F$1994,MATCH(1537-$O$1,$G$3:$G$1994,0)),"")),"")</x:f>
      </x:c>
      <x:c r="E1539" t="str">
        <x:f>IF(K1539="","",IF(N1539&lt;=M1539,"",TRIM(CLEAN(MID(INDEX($B$3:$B$168,K1539),M1539,N1539-M1539)))))</x:f>
      </x:c>
      <x:c r="F1539" t="str">
        <x:f>IF(E1539="","",IF(E1539=TRIM(INDEX($A$3:$A$168,K1539)),"",IF(RIGHT(TRIM(INDEX($A$3:$A$168,K1539)),1)="]",LEFT(TRIM(INDEX($A$3:$A$168,K1539)),LEN(TRIM(INDEX($A$3:$A$168,K1539)))-1)&amp;", "&amp;SUBSTITUTE(SUBSTITUTE(SUBSTITUTE(E1539," [",", "),"[",", "),"]","")&amp;"]",TRIM(INDEX($A$3:$A$168,K1539))&amp;" ["&amp;SUBSTITUTE(SUBSTITUTE(SUBSTITUTE(E1539," [",", "),"[",", "),"]","")&amp;"]")))</x:f>
      </x:c>
      <x:c r="G1539" t="str">
        <x:f>IF(F1539&lt;&gt;"",ROWS($F$3:F1539)-COUNTBLANK($F$3:F1539),"")</x:f>
      </x:c>
      <x:c r="H1539"/>
      <x:c r="I1539"/>
      <x:c r="J1539"/>
      <x:c r="K1539" t="str">
        <x:f>IF(ROW()-ROW($K$2)&lt;=SUM($J$3:$J$168),COUNTIF($H$3:$H$168,"&lt;"&amp;(ROW()-ROW($K$2))),"")</x:f>
      </x:c>
      <x:c r="L1539" t="str">
        <x:f>IF(K1539="","",ROW()-ROW($L$2)-INDEX($H$3:$H$168,K1539))</x:f>
      </x:c>
      <x:c r="M1539" t="str">
        <x:f>IF(K1539="","",IF(L1539=1,1,FIND(CHAR(1),SUBSTITUTE(INDEX($B$3:$B$168,K1539),CHAR(10),CHAR(1),L1539-1))+1))</x:f>
      </x:c>
      <x:c r="N1539" t="str">
        <x:f>IF(K1539="","",IFERROR(FIND(CHAR(1),SUBSTITUTE(INDEX($B$3:$B$168,K1539),CHAR(10),CHAR(1),L1539)),LEN(INDEX($B$3:$B$168,K1539))+1))</x:f>
      </x:c>
    </x:row>
    <x:row r="1540">
      <x:c r="A1540"/>
      <x:c r="B1540"/>
      <x:c r="C1540"/>
      <x:c r="D1540" t="str">
        <x:f>IFERROR(IF(1538&lt;=$O$1,INDEX($A$3:$A$168,MATCH(1538,$I$3:$I$168,0)),IF(1538&lt;=$O$1+$O$2,INDEX($F$3:$F$1994,MATCH(1538-$O$1,$G$3:$G$1994,0)),"")),"")</x:f>
      </x:c>
      <x:c r="E1540" t="str">
        <x:f>IF(K1540="","",IF(N1540&lt;=M1540,"",TRIM(CLEAN(MID(INDEX($B$3:$B$168,K1540),M1540,N1540-M1540)))))</x:f>
      </x:c>
      <x:c r="F1540" t="str">
        <x:f>IF(E1540="","",IF(E1540=TRIM(INDEX($A$3:$A$168,K1540)),"",IF(RIGHT(TRIM(INDEX($A$3:$A$168,K1540)),1)="]",LEFT(TRIM(INDEX($A$3:$A$168,K1540)),LEN(TRIM(INDEX($A$3:$A$168,K1540)))-1)&amp;", "&amp;SUBSTITUTE(SUBSTITUTE(SUBSTITUTE(E1540," [",", "),"[",", "),"]","")&amp;"]",TRIM(INDEX($A$3:$A$168,K1540))&amp;" ["&amp;SUBSTITUTE(SUBSTITUTE(SUBSTITUTE(E1540," [",", "),"[",", "),"]","")&amp;"]")))</x:f>
      </x:c>
      <x:c r="G1540" t="str">
        <x:f>IF(F1540&lt;&gt;"",ROWS($F$3:F1540)-COUNTBLANK($F$3:F1540),"")</x:f>
      </x:c>
      <x:c r="H1540"/>
      <x:c r="I1540"/>
      <x:c r="J1540"/>
      <x:c r="K1540" t="str">
        <x:f>IF(ROW()-ROW($K$2)&lt;=SUM($J$3:$J$168),COUNTIF($H$3:$H$168,"&lt;"&amp;(ROW()-ROW($K$2))),"")</x:f>
      </x:c>
      <x:c r="L1540" t="str">
        <x:f>IF(K1540="","",ROW()-ROW($L$2)-INDEX($H$3:$H$168,K1540))</x:f>
      </x:c>
      <x:c r="M1540" t="str">
        <x:f>IF(K1540="","",IF(L1540=1,1,FIND(CHAR(1),SUBSTITUTE(INDEX($B$3:$B$168,K1540),CHAR(10),CHAR(1),L1540-1))+1))</x:f>
      </x:c>
      <x:c r="N1540" t="str">
        <x:f>IF(K1540="","",IFERROR(FIND(CHAR(1),SUBSTITUTE(INDEX($B$3:$B$168,K1540),CHAR(10),CHAR(1),L1540)),LEN(INDEX($B$3:$B$168,K1540))+1))</x:f>
      </x:c>
    </x:row>
    <x:row r="1541">
      <x:c r="A1541"/>
      <x:c r="B1541"/>
      <x:c r="C1541"/>
      <x:c r="D1541" t="str">
        <x:f>IFERROR(IF(1539&lt;=$O$1,INDEX($A$3:$A$168,MATCH(1539,$I$3:$I$168,0)),IF(1539&lt;=$O$1+$O$2,INDEX($F$3:$F$1994,MATCH(1539-$O$1,$G$3:$G$1994,0)),"")),"")</x:f>
      </x:c>
      <x:c r="E1541" t="str">
        <x:f>IF(K1541="","",IF(N1541&lt;=M1541,"",TRIM(CLEAN(MID(INDEX($B$3:$B$168,K1541),M1541,N1541-M1541)))))</x:f>
      </x:c>
      <x:c r="F1541" t="str">
        <x:f>IF(E1541="","",IF(E1541=TRIM(INDEX($A$3:$A$168,K1541)),"",IF(RIGHT(TRIM(INDEX($A$3:$A$168,K1541)),1)="]",LEFT(TRIM(INDEX($A$3:$A$168,K1541)),LEN(TRIM(INDEX($A$3:$A$168,K1541)))-1)&amp;", "&amp;SUBSTITUTE(SUBSTITUTE(SUBSTITUTE(E1541," [",", "),"[",", "),"]","")&amp;"]",TRIM(INDEX($A$3:$A$168,K1541))&amp;" ["&amp;SUBSTITUTE(SUBSTITUTE(SUBSTITUTE(E1541," [",", "),"[",", "),"]","")&amp;"]")))</x:f>
      </x:c>
      <x:c r="G1541" t="str">
        <x:f>IF(F1541&lt;&gt;"",ROWS($F$3:F1541)-COUNTBLANK($F$3:F1541),"")</x:f>
      </x:c>
      <x:c r="H1541"/>
      <x:c r="I1541"/>
      <x:c r="J1541"/>
      <x:c r="K1541" t="str">
        <x:f>IF(ROW()-ROW($K$2)&lt;=SUM($J$3:$J$168),COUNTIF($H$3:$H$168,"&lt;"&amp;(ROW()-ROW($K$2))),"")</x:f>
      </x:c>
      <x:c r="L1541" t="str">
        <x:f>IF(K1541="","",ROW()-ROW($L$2)-INDEX($H$3:$H$168,K1541))</x:f>
      </x:c>
      <x:c r="M1541" t="str">
        <x:f>IF(K1541="","",IF(L1541=1,1,FIND(CHAR(1),SUBSTITUTE(INDEX($B$3:$B$168,K1541),CHAR(10),CHAR(1),L1541-1))+1))</x:f>
      </x:c>
      <x:c r="N1541" t="str">
        <x:f>IF(K1541="","",IFERROR(FIND(CHAR(1),SUBSTITUTE(INDEX($B$3:$B$168,K1541),CHAR(10),CHAR(1),L1541)),LEN(INDEX($B$3:$B$168,K1541))+1))</x:f>
      </x:c>
    </x:row>
    <x:row r="1542">
      <x:c r="A1542"/>
      <x:c r="B1542"/>
      <x:c r="C1542"/>
      <x:c r="D1542" t="str">
        <x:f>IFERROR(IF(1540&lt;=$O$1,INDEX($A$3:$A$168,MATCH(1540,$I$3:$I$168,0)),IF(1540&lt;=$O$1+$O$2,INDEX($F$3:$F$1994,MATCH(1540-$O$1,$G$3:$G$1994,0)),"")),"")</x:f>
      </x:c>
      <x:c r="E1542" t="str">
        <x:f>IF(K1542="","",IF(N1542&lt;=M1542,"",TRIM(CLEAN(MID(INDEX($B$3:$B$168,K1542),M1542,N1542-M1542)))))</x:f>
      </x:c>
      <x:c r="F1542" t="str">
        <x:f>IF(E1542="","",IF(E1542=TRIM(INDEX($A$3:$A$168,K1542)),"",IF(RIGHT(TRIM(INDEX($A$3:$A$168,K1542)),1)="]",LEFT(TRIM(INDEX($A$3:$A$168,K1542)),LEN(TRIM(INDEX($A$3:$A$168,K1542)))-1)&amp;", "&amp;SUBSTITUTE(SUBSTITUTE(SUBSTITUTE(E1542," [",", "),"[",", "),"]","")&amp;"]",TRIM(INDEX($A$3:$A$168,K1542))&amp;" ["&amp;SUBSTITUTE(SUBSTITUTE(SUBSTITUTE(E1542," [",", "),"[",", "),"]","")&amp;"]")))</x:f>
      </x:c>
      <x:c r="G1542" t="str">
        <x:f>IF(F1542&lt;&gt;"",ROWS($F$3:F1542)-COUNTBLANK($F$3:F1542),"")</x:f>
      </x:c>
      <x:c r="H1542"/>
      <x:c r="I1542"/>
      <x:c r="J1542"/>
      <x:c r="K1542" t="str">
        <x:f>IF(ROW()-ROW($K$2)&lt;=SUM($J$3:$J$168),COUNTIF($H$3:$H$168,"&lt;"&amp;(ROW()-ROW($K$2))),"")</x:f>
      </x:c>
      <x:c r="L1542" t="str">
        <x:f>IF(K1542="","",ROW()-ROW($L$2)-INDEX($H$3:$H$168,K1542))</x:f>
      </x:c>
      <x:c r="M1542" t="str">
        <x:f>IF(K1542="","",IF(L1542=1,1,FIND(CHAR(1),SUBSTITUTE(INDEX($B$3:$B$168,K1542),CHAR(10),CHAR(1),L1542-1))+1))</x:f>
      </x:c>
      <x:c r="N1542" t="str">
        <x:f>IF(K1542="","",IFERROR(FIND(CHAR(1),SUBSTITUTE(INDEX($B$3:$B$168,K1542),CHAR(10),CHAR(1),L1542)),LEN(INDEX($B$3:$B$168,K1542))+1))</x:f>
      </x:c>
    </x:row>
    <x:row r="1543">
      <x:c r="A1543"/>
      <x:c r="B1543"/>
      <x:c r="C1543"/>
      <x:c r="D1543" t="str">
        <x:f>IFERROR(IF(1541&lt;=$O$1,INDEX($A$3:$A$168,MATCH(1541,$I$3:$I$168,0)),IF(1541&lt;=$O$1+$O$2,INDEX($F$3:$F$1994,MATCH(1541-$O$1,$G$3:$G$1994,0)),"")),"")</x:f>
      </x:c>
      <x:c r="E1543" t="str">
        <x:f>IF(K1543="","",IF(N1543&lt;=M1543,"",TRIM(CLEAN(MID(INDEX($B$3:$B$168,K1543),M1543,N1543-M1543)))))</x:f>
      </x:c>
      <x:c r="F1543" t="str">
        <x:f>IF(E1543="","",IF(E1543=TRIM(INDEX($A$3:$A$168,K1543)),"",IF(RIGHT(TRIM(INDEX($A$3:$A$168,K1543)),1)="]",LEFT(TRIM(INDEX($A$3:$A$168,K1543)),LEN(TRIM(INDEX($A$3:$A$168,K1543)))-1)&amp;", "&amp;SUBSTITUTE(SUBSTITUTE(SUBSTITUTE(E1543," [",", "),"[",", "),"]","")&amp;"]",TRIM(INDEX($A$3:$A$168,K1543))&amp;" ["&amp;SUBSTITUTE(SUBSTITUTE(SUBSTITUTE(E1543," [",", "),"[",", "),"]","")&amp;"]")))</x:f>
      </x:c>
      <x:c r="G1543" t="str">
        <x:f>IF(F1543&lt;&gt;"",ROWS($F$3:F1543)-COUNTBLANK($F$3:F1543),"")</x:f>
      </x:c>
      <x:c r="H1543"/>
      <x:c r="I1543"/>
      <x:c r="J1543"/>
      <x:c r="K1543" t="str">
        <x:f>IF(ROW()-ROW($K$2)&lt;=SUM($J$3:$J$168),COUNTIF($H$3:$H$168,"&lt;"&amp;(ROW()-ROW($K$2))),"")</x:f>
      </x:c>
      <x:c r="L1543" t="str">
        <x:f>IF(K1543="","",ROW()-ROW($L$2)-INDEX($H$3:$H$168,K1543))</x:f>
      </x:c>
      <x:c r="M1543" t="str">
        <x:f>IF(K1543="","",IF(L1543=1,1,FIND(CHAR(1),SUBSTITUTE(INDEX($B$3:$B$168,K1543),CHAR(10),CHAR(1),L1543-1))+1))</x:f>
      </x:c>
      <x:c r="N1543" t="str">
        <x:f>IF(K1543="","",IFERROR(FIND(CHAR(1),SUBSTITUTE(INDEX($B$3:$B$168,K1543),CHAR(10),CHAR(1),L1543)),LEN(INDEX($B$3:$B$168,K1543))+1))</x:f>
      </x:c>
    </x:row>
    <x:row r="1544">
      <x:c r="A1544"/>
      <x:c r="B1544"/>
      <x:c r="C1544"/>
      <x:c r="D1544" t="str">
        <x:f>IFERROR(IF(1542&lt;=$O$1,INDEX($A$3:$A$168,MATCH(1542,$I$3:$I$168,0)),IF(1542&lt;=$O$1+$O$2,INDEX($F$3:$F$1994,MATCH(1542-$O$1,$G$3:$G$1994,0)),"")),"")</x:f>
      </x:c>
      <x:c r="E1544" t="str">
        <x:f>IF(K1544="","",IF(N1544&lt;=M1544,"",TRIM(CLEAN(MID(INDEX($B$3:$B$168,K1544),M1544,N1544-M1544)))))</x:f>
      </x:c>
      <x:c r="F1544" t="str">
        <x:f>IF(E1544="","",IF(E1544=TRIM(INDEX($A$3:$A$168,K1544)),"",IF(RIGHT(TRIM(INDEX($A$3:$A$168,K1544)),1)="]",LEFT(TRIM(INDEX($A$3:$A$168,K1544)),LEN(TRIM(INDEX($A$3:$A$168,K1544)))-1)&amp;", "&amp;SUBSTITUTE(SUBSTITUTE(SUBSTITUTE(E1544," [",", "),"[",", "),"]","")&amp;"]",TRIM(INDEX($A$3:$A$168,K1544))&amp;" ["&amp;SUBSTITUTE(SUBSTITUTE(SUBSTITUTE(E1544," [",", "),"[",", "),"]","")&amp;"]")))</x:f>
      </x:c>
      <x:c r="G1544" t="str">
        <x:f>IF(F1544&lt;&gt;"",ROWS($F$3:F1544)-COUNTBLANK($F$3:F1544),"")</x:f>
      </x:c>
      <x:c r="H1544"/>
      <x:c r="I1544"/>
      <x:c r="J1544"/>
      <x:c r="K1544" t="str">
        <x:f>IF(ROW()-ROW($K$2)&lt;=SUM($J$3:$J$168),COUNTIF($H$3:$H$168,"&lt;"&amp;(ROW()-ROW($K$2))),"")</x:f>
      </x:c>
      <x:c r="L1544" t="str">
        <x:f>IF(K1544="","",ROW()-ROW($L$2)-INDEX($H$3:$H$168,K1544))</x:f>
      </x:c>
      <x:c r="M1544" t="str">
        <x:f>IF(K1544="","",IF(L1544=1,1,FIND(CHAR(1),SUBSTITUTE(INDEX($B$3:$B$168,K1544),CHAR(10),CHAR(1),L1544-1))+1))</x:f>
      </x:c>
      <x:c r="N1544" t="str">
        <x:f>IF(K1544="","",IFERROR(FIND(CHAR(1),SUBSTITUTE(INDEX($B$3:$B$168,K1544),CHAR(10),CHAR(1),L1544)),LEN(INDEX($B$3:$B$168,K1544))+1))</x:f>
      </x:c>
    </x:row>
    <x:row r="1545">
      <x:c r="A1545"/>
      <x:c r="B1545"/>
      <x:c r="C1545"/>
      <x:c r="D1545" t="str">
        <x:f>IFERROR(IF(1543&lt;=$O$1,INDEX($A$3:$A$168,MATCH(1543,$I$3:$I$168,0)),IF(1543&lt;=$O$1+$O$2,INDEX($F$3:$F$1994,MATCH(1543-$O$1,$G$3:$G$1994,0)),"")),"")</x:f>
      </x:c>
      <x:c r="E1545" t="str">
        <x:f>IF(K1545="","",IF(N1545&lt;=M1545,"",TRIM(CLEAN(MID(INDEX($B$3:$B$168,K1545),M1545,N1545-M1545)))))</x:f>
      </x:c>
      <x:c r="F1545" t="str">
        <x:f>IF(E1545="","",IF(E1545=TRIM(INDEX($A$3:$A$168,K1545)),"",IF(RIGHT(TRIM(INDEX($A$3:$A$168,K1545)),1)="]",LEFT(TRIM(INDEX($A$3:$A$168,K1545)),LEN(TRIM(INDEX($A$3:$A$168,K1545)))-1)&amp;", "&amp;SUBSTITUTE(SUBSTITUTE(SUBSTITUTE(E1545," [",", "),"[",", "),"]","")&amp;"]",TRIM(INDEX($A$3:$A$168,K1545))&amp;" ["&amp;SUBSTITUTE(SUBSTITUTE(SUBSTITUTE(E1545," [",", "),"[",", "),"]","")&amp;"]")))</x:f>
      </x:c>
      <x:c r="G1545" t="str">
        <x:f>IF(F1545&lt;&gt;"",ROWS($F$3:F1545)-COUNTBLANK($F$3:F1545),"")</x:f>
      </x:c>
      <x:c r="H1545"/>
      <x:c r="I1545"/>
      <x:c r="J1545"/>
      <x:c r="K1545" t="str">
        <x:f>IF(ROW()-ROW($K$2)&lt;=SUM($J$3:$J$168),COUNTIF($H$3:$H$168,"&lt;"&amp;(ROW()-ROW($K$2))),"")</x:f>
      </x:c>
      <x:c r="L1545" t="str">
        <x:f>IF(K1545="","",ROW()-ROW($L$2)-INDEX($H$3:$H$168,K1545))</x:f>
      </x:c>
      <x:c r="M1545" t="str">
        <x:f>IF(K1545="","",IF(L1545=1,1,FIND(CHAR(1),SUBSTITUTE(INDEX($B$3:$B$168,K1545),CHAR(10),CHAR(1),L1545-1))+1))</x:f>
      </x:c>
      <x:c r="N1545" t="str">
        <x:f>IF(K1545="","",IFERROR(FIND(CHAR(1),SUBSTITUTE(INDEX($B$3:$B$168,K1545),CHAR(10),CHAR(1),L1545)),LEN(INDEX($B$3:$B$168,K1545))+1))</x:f>
      </x:c>
    </x:row>
    <x:row r="1546">
      <x:c r="A1546"/>
      <x:c r="B1546"/>
      <x:c r="C1546"/>
      <x:c r="D1546" t="str">
        <x:f>IFERROR(IF(1544&lt;=$O$1,INDEX($A$3:$A$168,MATCH(1544,$I$3:$I$168,0)),IF(1544&lt;=$O$1+$O$2,INDEX($F$3:$F$1994,MATCH(1544-$O$1,$G$3:$G$1994,0)),"")),"")</x:f>
      </x:c>
      <x:c r="E1546" t="str">
        <x:f>IF(K1546="","",IF(N1546&lt;=M1546,"",TRIM(CLEAN(MID(INDEX($B$3:$B$168,K1546),M1546,N1546-M1546)))))</x:f>
      </x:c>
      <x:c r="F1546" t="str">
        <x:f>IF(E1546="","",IF(E1546=TRIM(INDEX($A$3:$A$168,K1546)),"",IF(RIGHT(TRIM(INDEX($A$3:$A$168,K1546)),1)="]",LEFT(TRIM(INDEX($A$3:$A$168,K1546)),LEN(TRIM(INDEX($A$3:$A$168,K1546)))-1)&amp;", "&amp;SUBSTITUTE(SUBSTITUTE(SUBSTITUTE(E1546," [",", "),"[",", "),"]","")&amp;"]",TRIM(INDEX($A$3:$A$168,K1546))&amp;" ["&amp;SUBSTITUTE(SUBSTITUTE(SUBSTITUTE(E1546," [",", "),"[",", "),"]","")&amp;"]")))</x:f>
      </x:c>
      <x:c r="G1546" t="str">
        <x:f>IF(F1546&lt;&gt;"",ROWS($F$3:F1546)-COUNTBLANK($F$3:F1546),"")</x:f>
      </x:c>
      <x:c r="H1546"/>
      <x:c r="I1546"/>
      <x:c r="J1546"/>
      <x:c r="K1546" t="str">
        <x:f>IF(ROW()-ROW($K$2)&lt;=SUM($J$3:$J$168),COUNTIF($H$3:$H$168,"&lt;"&amp;(ROW()-ROW($K$2))),"")</x:f>
      </x:c>
      <x:c r="L1546" t="str">
        <x:f>IF(K1546="","",ROW()-ROW($L$2)-INDEX($H$3:$H$168,K1546))</x:f>
      </x:c>
      <x:c r="M1546" t="str">
        <x:f>IF(K1546="","",IF(L1546=1,1,FIND(CHAR(1),SUBSTITUTE(INDEX($B$3:$B$168,K1546),CHAR(10),CHAR(1),L1546-1))+1))</x:f>
      </x:c>
      <x:c r="N1546" t="str">
        <x:f>IF(K1546="","",IFERROR(FIND(CHAR(1),SUBSTITUTE(INDEX($B$3:$B$168,K1546),CHAR(10),CHAR(1),L1546)),LEN(INDEX($B$3:$B$168,K1546))+1))</x:f>
      </x:c>
    </x:row>
    <x:row r="1547">
      <x:c r="A1547"/>
      <x:c r="B1547"/>
      <x:c r="C1547"/>
      <x:c r="D1547" t="str">
        <x:f>IFERROR(IF(1545&lt;=$O$1,INDEX($A$3:$A$168,MATCH(1545,$I$3:$I$168,0)),IF(1545&lt;=$O$1+$O$2,INDEX($F$3:$F$1994,MATCH(1545-$O$1,$G$3:$G$1994,0)),"")),"")</x:f>
      </x:c>
      <x:c r="E1547" t="str">
        <x:f>IF(K1547="","",IF(N1547&lt;=M1547,"",TRIM(CLEAN(MID(INDEX($B$3:$B$168,K1547),M1547,N1547-M1547)))))</x:f>
      </x:c>
      <x:c r="F1547" t="str">
        <x:f>IF(E1547="","",IF(E1547=TRIM(INDEX($A$3:$A$168,K1547)),"",IF(RIGHT(TRIM(INDEX($A$3:$A$168,K1547)),1)="]",LEFT(TRIM(INDEX($A$3:$A$168,K1547)),LEN(TRIM(INDEX($A$3:$A$168,K1547)))-1)&amp;", "&amp;SUBSTITUTE(SUBSTITUTE(SUBSTITUTE(E1547," [",", "),"[",", "),"]","")&amp;"]",TRIM(INDEX($A$3:$A$168,K1547))&amp;" ["&amp;SUBSTITUTE(SUBSTITUTE(SUBSTITUTE(E1547," [",", "),"[",", "),"]","")&amp;"]")))</x:f>
      </x:c>
      <x:c r="G1547" t="str">
        <x:f>IF(F1547&lt;&gt;"",ROWS($F$3:F1547)-COUNTBLANK($F$3:F1547),"")</x:f>
      </x:c>
      <x:c r="H1547"/>
      <x:c r="I1547"/>
      <x:c r="J1547"/>
      <x:c r="K1547" t="str">
        <x:f>IF(ROW()-ROW($K$2)&lt;=SUM($J$3:$J$168),COUNTIF($H$3:$H$168,"&lt;"&amp;(ROW()-ROW($K$2))),"")</x:f>
      </x:c>
      <x:c r="L1547" t="str">
        <x:f>IF(K1547="","",ROW()-ROW($L$2)-INDEX($H$3:$H$168,K1547))</x:f>
      </x:c>
      <x:c r="M1547" t="str">
        <x:f>IF(K1547="","",IF(L1547=1,1,FIND(CHAR(1),SUBSTITUTE(INDEX($B$3:$B$168,K1547),CHAR(10),CHAR(1),L1547-1))+1))</x:f>
      </x:c>
      <x:c r="N1547" t="str">
        <x:f>IF(K1547="","",IFERROR(FIND(CHAR(1),SUBSTITUTE(INDEX($B$3:$B$168,K1547),CHAR(10),CHAR(1),L1547)),LEN(INDEX($B$3:$B$168,K1547))+1))</x:f>
      </x:c>
    </x:row>
    <x:row r="1548">
      <x:c r="A1548"/>
      <x:c r="B1548"/>
      <x:c r="C1548"/>
      <x:c r="D1548" t="str">
        <x:f>IFERROR(IF(1546&lt;=$O$1,INDEX($A$3:$A$168,MATCH(1546,$I$3:$I$168,0)),IF(1546&lt;=$O$1+$O$2,INDEX($F$3:$F$1994,MATCH(1546-$O$1,$G$3:$G$1994,0)),"")),"")</x:f>
      </x:c>
      <x:c r="E1548" t="str">
        <x:f>IF(K1548="","",IF(N1548&lt;=M1548,"",TRIM(CLEAN(MID(INDEX($B$3:$B$168,K1548),M1548,N1548-M1548)))))</x:f>
      </x:c>
      <x:c r="F1548" t="str">
        <x:f>IF(E1548="","",IF(E1548=TRIM(INDEX($A$3:$A$168,K1548)),"",IF(RIGHT(TRIM(INDEX($A$3:$A$168,K1548)),1)="]",LEFT(TRIM(INDEX($A$3:$A$168,K1548)),LEN(TRIM(INDEX($A$3:$A$168,K1548)))-1)&amp;", "&amp;SUBSTITUTE(SUBSTITUTE(SUBSTITUTE(E1548," [",", "),"[",", "),"]","")&amp;"]",TRIM(INDEX($A$3:$A$168,K1548))&amp;" ["&amp;SUBSTITUTE(SUBSTITUTE(SUBSTITUTE(E1548," [",", "),"[",", "),"]","")&amp;"]")))</x:f>
      </x:c>
      <x:c r="G1548" t="str">
        <x:f>IF(F1548&lt;&gt;"",ROWS($F$3:F1548)-COUNTBLANK($F$3:F1548),"")</x:f>
      </x:c>
      <x:c r="H1548"/>
      <x:c r="I1548"/>
      <x:c r="J1548"/>
      <x:c r="K1548" t="str">
        <x:f>IF(ROW()-ROW($K$2)&lt;=SUM($J$3:$J$168),COUNTIF($H$3:$H$168,"&lt;"&amp;(ROW()-ROW($K$2))),"")</x:f>
      </x:c>
      <x:c r="L1548" t="str">
        <x:f>IF(K1548="","",ROW()-ROW($L$2)-INDEX($H$3:$H$168,K1548))</x:f>
      </x:c>
      <x:c r="M1548" t="str">
        <x:f>IF(K1548="","",IF(L1548=1,1,FIND(CHAR(1),SUBSTITUTE(INDEX($B$3:$B$168,K1548),CHAR(10),CHAR(1),L1548-1))+1))</x:f>
      </x:c>
      <x:c r="N1548" t="str">
        <x:f>IF(K1548="","",IFERROR(FIND(CHAR(1),SUBSTITUTE(INDEX($B$3:$B$168,K1548),CHAR(10),CHAR(1),L1548)),LEN(INDEX($B$3:$B$168,K1548))+1))</x:f>
      </x:c>
    </x:row>
    <x:row r="1549">
      <x:c r="A1549"/>
      <x:c r="B1549"/>
      <x:c r="C1549"/>
      <x:c r="D1549" t="str">
        <x:f>IFERROR(IF(1547&lt;=$O$1,INDEX($A$3:$A$168,MATCH(1547,$I$3:$I$168,0)),IF(1547&lt;=$O$1+$O$2,INDEX($F$3:$F$1994,MATCH(1547-$O$1,$G$3:$G$1994,0)),"")),"")</x:f>
      </x:c>
      <x:c r="E1549" t="str">
        <x:f>IF(K1549="","",IF(N1549&lt;=M1549,"",TRIM(CLEAN(MID(INDEX($B$3:$B$168,K1549),M1549,N1549-M1549)))))</x:f>
      </x:c>
      <x:c r="F1549" t="str">
        <x:f>IF(E1549="","",IF(E1549=TRIM(INDEX($A$3:$A$168,K1549)),"",IF(RIGHT(TRIM(INDEX($A$3:$A$168,K1549)),1)="]",LEFT(TRIM(INDEX($A$3:$A$168,K1549)),LEN(TRIM(INDEX($A$3:$A$168,K1549)))-1)&amp;", "&amp;SUBSTITUTE(SUBSTITUTE(SUBSTITUTE(E1549," [",", "),"[",", "),"]","")&amp;"]",TRIM(INDEX($A$3:$A$168,K1549))&amp;" ["&amp;SUBSTITUTE(SUBSTITUTE(SUBSTITUTE(E1549," [",", "),"[",", "),"]","")&amp;"]")))</x:f>
      </x:c>
      <x:c r="G1549" t="str">
        <x:f>IF(F1549&lt;&gt;"",ROWS($F$3:F1549)-COUNTBLANK($F$3:F1549),"")</x:f>
      </x:c>
      <x:c r="H1549"/>
      <x:c r="I1549"/>
      <x:c r="J1549"/>
      <x:c r="K1549" t="str">
        <x:f>IF(ROW()-ROW($K$2)&lt;=SUM($J$3:$J$168),COUNTIF($H$3:$H$168,"&lt;"&amp;(ROW()-ROW($K$2))),"")</x:f>
      </x:c>
      <x:c r="L1549" t="str">
        <x:f>IF(K1549="","",ROW()-ROW($L$2)-INDEX($H$3:$H$168,K1549))</x:f>
      </x:c>
      <x:c r="M1549" t="str">
        <x:f>IF(K1549="","",IF(L1549=1,1,FIND(CHAR(1),SUBSTITUTE(INDEX($B$3:$B$168,K1549),CHAR(10),CHAR(1),L1549-1))+1))</x:f>
      </x:c>
      <x:c r="N1549" t="str">
        <x:f>IF(K1549="","",IFERROR(FIND(CHAR(1),SUBSTITUTE(INDEX($B$3:$B$168,K1549),CHAR(10),CHAR(1),L1549)),LEN(INDEX($B$3:$B$168,K1549))+1))</x:f>
      </x:c>
    </x:row>
    <x:row r="1550">
      <x:c r="A1550"/>
      <x:c r="B1550"/>
      <x:c r="C1550"/>
      <x:c r="D1550" t="str">
        <x:f>IFERROR(IF(1548&lt;=$O$1,INDEX($A$3:$A$168,MATCH(1548,$I$3:$I$168,0)),IF(1548&lt;=$O$1+$O$2,INDEX($F$3:$F$1994,MATCH(1548-$O$1,$G$3:$G$1994,0)),"")),"")</x:f>
      </x:c>
      <x:c r="E1550" t="str">
        <x:f>IF(K1550="","",IF(N1550&lt;=M1550,"",TRIM(CLEAN(MID(INDEX($B$3:$B$168,K1550),M1550,N1550-M1550)))))</x:f>
      </x:c>
      <x:c r="F1550" t="str">
        <x:f>IF(E1550="","",IF(E1550=TRIM(INDEX($A$3:$A$168,K1550)),"",IF(RIGHT(TRIM(INDEX($A$3:$A$168,K1550)),1)="]",LEFT(TRIM(INDEX($A$3:$A$168,K1550)),LEN(TRIM(INDEX($A$3:$A$168,K1550)))-1)&amp;", "&amp;SUBSTITUTE(SUBSTITUTE(SUBSTITUTE(E1550," [",", "),"[",", "),"]","")&amp;"]",TRIM(INDEX($A$3:$A$168,K1550))&amp;" ["&amp;SUBSTITUTE(SUBSTITUTE(SUBSTITUTE(E1550," [",", "),"[",", "),"]","")&amp;"]")))</x:f>
      </x:c>
      <x:c r="G1550" t="str">
        <x:f>IF(F1550&lt;&gt;"",ROWS($F$3:F1550)-COUNTBLANK($F$3:F1550),"")</x:f>
      </x:c>
      <x:c r="H1550"/>
      <x:c r="I1550"/>
      <x:c r="J1550"/>
      <x:c r="K1550" t="str">
        <x:f>IF(ROW()-ROW($K$2)&lt;=SUM($J$3:$J$168),COUNTIF($H$3:$H$168,"&lt;"&amp;(ROW()-ROW($K$2))),"")</x:f>
      </x:c>
      <x:c r="L1550" t="str">
        <x:f>IF(K1550="","",ROW()-ROW($L$2)-INDEX($H$3:$H$168,K1550))</x:f>
      </x:c>
      <x:c r="M1550" t="str">
        <x:f>IF(K1550="","",IF(L1550=1,1,FIND(CHAR(1),SUBSTITUTE(INDEX($B$3:$B$168,K1550),CHAR(10),CHAR(1),L1550-1))+1))</x:f>
      </x:c>
      <x:c r="N1550" t="str">
        <x:f>IF(K1550="","",IFERROR(FIND(CHAR(1),SUBSTITUTE(INDEX($B$3:$B$168,K1550),CHAR(10),CHAR(1),L1550)),LEN(INDEX($B$3:$B$168,K1550))+1))</x:f>
      </x:c>
    </x:row>
    <x:row r="1551">
      <x:c r="A1551"/>
      <x:c r="B1551"/>
      <x:c r="C1551"/>
      <x:c r="D1551" t="str">
        <x:f>IFERROR(IF(1549&lt;=$O$1,INDEX($A$3:$A$168,MATCH(1549,$I$3:$I$168,0)),IF(1549&lt;=$O$1+$O$2,INDEX($F$3:$F$1994,MATCH(1549-$O$1,$G$3:$G$1994,0)),"")),"")</x:f>
      </x:c>
      <x:c r="E1551" t="str">
        <x:f>IF(K1551="","",IF(N1551&lt;=M1551,"",TRIM(CLEAN(MID(INDEX($B$3:$B$168,K1551),M1551,N1551-M1551)))))</x:f>
      </x:c>
      <x:c r="F1551" t="str">
        <x:f>IF(E1551="","",IF(E1551=TRIM(INDEX($A$3:$A$168,K1551)),"",IF(RIGHT(TRIM(INDEX($A$3:$A$168,K1551)),1)="]",LEFT(TRIM(INDEX($A$3:$A$168,K1551)),LEN(TRIM(INDEX($A$3:$A$168,K1551)))-1)&amp;", "&amp;SUBSTITUTE(SUBSTITUTE(SUBSTITUTE(E1551," [",", "),"[",", "),"]","")&amp;"]",TRIM(INDEX($A$3:$A$168,K1551))&amp;" ["&amp;SUBSTITUTE(SUBSTITUTE(SUBSTITUTE(E1551," [",", "),"[",", "),"]","")&amp;"]")))</x:f>
      </x:c>
      <x:c r="G1551" t="str">
        <x:f>IF(F1551&lt;&gt;"",ROWS($F$3:F1551)-COUNTBLANK($F$3:F1551),"")</x:f>
      </x:c>
      <x:c r="H1551"/>
      <x:c r="I1551"/>
      <x:c r="J1551"/>
      <x:c r="K1551" t="str">
        <x:f>IF(ROW()-ROW($K$2)&lt;=SUM($J$3:$J$168),COUNTIF($H$3:$H$168,"&lt;"&amp;(ROW()-ROW($K$2))),"")</x:f>
      </x:c>
      <x:c r="L1551" t="str">
        <x:f>IF(K1551="","",ROW()-ROW($L$2)-INDEX($H$3:$H$168,K1551))</x:f>
      </x:c>
      <x:c r="M1551" t="str">
        <x:f>IF(K1551="","",IF(L1551=1,1,FIND(CHAR(1),SUBSTITUTE(INDEX($B$3:$B$168,K1551),CHAR(10),CHAR(1),L1551-1))+1))</x:f>
      </x:c>
      <x:c r="N1551" t="str">
        <x:f>IF(K1551="","",IFERROR(FIND(CHAR(1),SUBSTITUTE(INDEX($B$3:$B$168,K1551),CHAR(10),CHAR(1),L1551)),LEN(INDEX($B$3:$B$168,K1551))+1))</x:f>
      </x:c>
    </x:row>
    <x:row r="1552">
      <x:c r="A1552"/>
      <x:c r="B1552"/>
      <x:c r="C1552"/>
      <x:c r="D1552" t="str">
        <x:f>IFERROR(IF(1550&lt;=$O$1,INDEX($A$3:$A$168,MATCH(1550,$I$3:$I$168,0)),IF(1550&lt;=$O$1+$O$2,INDEX($F$3:$F$1994,MATCH(1550-$O$1,$G$3:$G$1994,0)),"")),"")</x:f>
      </x:c>
      <x:c r="E1552" t="str">
        <x:f>IF(K1552="","",IF(N1552&lt;=M1552,"",TRIM(CLEAN(MID(INDEX($B$3:$B$168,K1552),M1552,N1552-M1552)))))</x:f>
      </x:c>
      <x:c r="F1552" t="str">
        <x:f>IF(E1552="","",IF(E1552=TRIM(INDEX($A$3:$A$168,K1552)),"",IF(RIGHT(TRIM(INDEX($A$3:$A$168,K1552)),1)="]",LEFT(TRIM(INDEX($A$3:$A$168,K1552)),LEN(TRIM(INDEX($A$3:$A$168,K1552)))-1)&amp;", "&amp;SUBSTITUTE(SUBSTITUTE(SUBSTITUTE(E1552," [",", "),"[",", "),"]","")&amp;"]",TRIM(INDEX($A$3:$A$168,K1552))&amp;" ["&amp;SUBSTITUTE(SUBSTITUTE(SUBSTITUTE(E1552," [",", "),"[",", "),"]","")&amp;"]")))</x:f>
      </x:c>
      <x:c r="G1552" t="str">
        <x:f>IF(F1552&lt;&gt;"",ROWS($F$3:F1552)-COUNTBLANK($F$3:F1552),"")</x:f>
      </x:c>
      <x:c r="H1552"/>
      <x:c r="I1552"/>
      <x:c r="J1552"/>
      <x:c r="K1552" t="str">
        <x:f>IF(ROW()-ROW($K$2)&lt;=SUM($J$3:$J$168),COUNTIF($H$3:$H$168,"&lt;"&amp;(ROW()-ROW($K$2))),"")</x:f>
      </x:c>
      <x:c r="L1552" t="str">
        <x:f>IF(K1552="","",ROW()-ROW($L$2)-INDEX($H$3:$H$168,K1552))</x:f>
      </x:c>
      <x:c r="M1552" t="str">
        <x:f>IF(K1552="","",IF(L1552=1,1,FIND(CHAR(1),SUBSTITUTE(INDEX($B$3:$B$168,K1552),CHAR(10),CHAR(1),L1552-1))+1))</x:f>
      </x:c>
      <x:c r="N1552" t="str">
        <x:f>IF(K1552="","",IFERROR(FIND(CHAR(1),SUBSTITUTE(INDEX($B$3:$B$168,K1552),CHAR(10),CHAR(1),L1552)),LEN(INDEX($B$3:$B$168,K1552))+1))</x:f>
      </x:c>
    </x:row>
    <x:row r="1553">
      <x:c r="A1553"/>
      <x:c r="B1553"/>
      <x:c r="C1553"/>
      <x:c r="D1553" t="str">
        <x:f>IFERROR(IF(1551&lt;=$O$1,INDEX($A$3:$A$168,MATCH(1551,$I$3:$I$168,0)),IF(1551&lt;=$O$1+$O$2,INDEX($F$3:$F$1994,MATCH(1551-$O$1,$G$3:$G$1994,0)),"")),"")</x:f>
      </x:c>
      <x:c r="E1553" t="str">
        <x:f>IF(K1553="","",IF(N1553&lt;=M1553,"",TRIM(CLEAN(MID(INDEX($B$3:$B$168,K1553),M1553,N1553-M1553)))))</x:f>
      </x:c>
      <x:c r="F1553" t="str">
        <x:f>IF(E1553="","",IF(E1553=TRIM(INDEX($A$3:$A$168,K1553)),"",IF(RIGHT(TRIM(INDEX($A$3:$A$168,K1553)),1)="]",LEFT(TRIM(INDEX($A$3:$A$168,K1553)),LEN(TRIM(INDEX($A$3:$A$168,K1553)))-1)&amp;", "&amp;SUBSTITUTE(SUBSTITUTE(SUBSTITUTE(E1553," [",", "),"[",", "),"]","")&amp;"]",TRIM(INDEX($A$3:$A$168,K1553))&amp;" ["&amp;SUBSTITUTE(SUBSTITUTE(SUBSTITUTE(E1553," [",", "),"[",", "),"]","")&amp;"]")))</x:f>
      </x:c>
      <x:c r="G1553" t="str">
        <x:f>IF(F1553&lt;&gt;"",ROWS($F$3:F1553)-COUNTBLANK($F$3:F1553),"")</x:f>
      </x:c>
      <x:c r="H1553"/>
      <x:c r="I1553"/>
      <x:c r="J1553"/>
      <x:c r="K1553" t="str">
        <x:f>IF(ROW()-ROW($K$2)&lt;=SUM($J$3:$J$168),COUNTIF($H$3:$H$168,"&lt;"&amp;(ROW()-ROW($K$2))),"")</x:f>
      </x:c>
      <x:c r="L1553" t="str">
        <x:f>IF(K1553="","",ROW()-ROW($L$2)-INDEX($H$3:$H$168,K1553))</x:f>
      </x:c>
      <x:c r="M1553" t="str">
        <x:f>IF(K1553="","",IF(L1553=1,1,FIND(CHAR(1),SUBSTITUTE(INDEX($B$3:$B$168,K1553),CHAR(10),CHAR(1),L1553-1))+1))</x:f>
      </x:c>
      <x:c r="N1553" t="str">
        <x:f>IF(K1553="","",IFERROR(FIND(CHAR(1),SUBSTITUTE(INDEX($B$3:$B$168,K1553),CHAR(10),CHAR(1),L1553)),LEN(INDEX($B$3:$B$168,K1553))+1))</x:f>
      </x:c>
    </x:row>
    <x:row r="1554">
      <x:c r="A1554"/>
      <x:c r="B1554"/>
      <x:c r="C1554"/>
      <x:c r="D1554" t="str">
        <x:f>IFERROR(IF(1552&lt;=$O$1,INDEX($A$3:$A$168,MATCH(1552,$I$3:$I$168,0)),IF(1552&lt;=$O$1+$O$2,INDEX($F$3:$F$1994,MATCH(1552-$O$1,$G$3:$G$1994,0)),"")),"")</x:f>
      </x:c>
      <x:c r="E1554" t="str">
        <x:f>IF(K1554="","",IF(N1554&lt;=M1554,"",TRIM(CLEAN(MID(INDEX($B$3:$B$168,K1554),M1554,N1554-M1554)))))</x:f>
      </x:c>
      <x:c r="F1554" t="str">
        <x:f>IF(E1554="","",IF(E1554=TRIM(INDEX($A$3:$A$168,K1554)),"",IF(RIGHT(TRIM(INDEX($A$3:$A$168,K1554)),1)="]",LEFT(TRIM(INDEX($A$3:$A$168,K1554)),LEN(TRIM(INDEX($A$3:$A$168,K1554)))-1)&amp;", "&amp;SUBSTITUTE(SUBSTITUTE(SUBSTITUTE(E1554," [",", "),"[",", "),"]","")&amp;"]",TRIM(INDEX($A$3:$A$168,K1554))&amp;" ["&amp;SUBSTITUTE(SUBSTITUTE(SUBSTITUTE(E1554," [",", "),"[",", "),"]","")&amp;"]")))</x:f>
      </x:c>
      <x:c r="G1554" t="str">
        <x:f>IF(F1554&lt;&gt;"",ROWS($F$3:F1554)-COUNTBLANK($F$3:F1554),"")</x:f>
      </x:c>
      <x:c r="H1554"/>
      <x:c r="I1554"/>
      <x:c r="J1554"/>
      <x:c r="K1554" t="str">
        <x:f>IF(ROW()-ROW($K$2)&lt;=SUM($J$3:$J$168),COUNTIF($H$3:$H$168,"&lt;"&amp;(ROW()-ROW($K$2))),"")</x:f>
      </x:c>
      <x:c r="L1554" t="str">
        <x:f>IF(K1554="","",ROW()-ROW($L$2)-INDEX($H$3:$H$168,K1554))</x:f>
      </x:c>
      <x:c r="M1554" t="str">
        <x:f>IF(K1554="","",IF(L1554=1,1,FIND(CHAR(1),SUBSTITUTE(INDEX($B$3:$B$168,K1554),CHAR(10),CHAR(1),L1554-1))+1))</x:f>
      </x:c>
      <x:c r="N1554" t="str">
        <x:f>IF(K1554="","",IFERROR(FIND(CHAR(1),SUBSTITUTE(INDEX($B$3:$B$168,K1554),CHAR(10),CHAR(1),L1554)),LEN(INDEX($B$3:$B$168,K1554))+1))</x:f>
      </x:c>
    </x:row>
    <x:row r="1555">
      <x:c r="A1555"/>
      <x:c r="B1555"/>
      <x:c r="C1555"/>
      <x:c r="D1555" t="str">
        <x:f>IFERROR(IF(1553&lt;=$O$1,INDEX($A$3:$A$168,MATCH(1553,$I$3:$I$168,0)),IF(1553&lt;=$O$1+$O$2,INDEX($F$3:$F$1994,MATCH(1553-$O$1,$G$3:$G$1994,0)),"")),"")</x:f>
      </x:c>
      <x:c r="E1555" t="str">
        <x:f>IF(K1555="","",IF(N1555&lt;=M1555,"",TRIM(CLEAN(MID(INDEX($B$3:$B$168,K1555),M1555,N1555-M1555)))))</x:f>
      </x:c>
      <x:c r="F1555" t="str">
        <x:f>IF(E1555="","",IF(E1555=TRIM(INDEX($A$3:$A$168,K1555)),"",IF(RIGHT(TRIM(INDEX($A$3:$A$168,K1555)),1)="]",LEFT(TRIM(INDEX($A$3:$A$168,K1555)),LEN(TRIM(INDEX($A$3:$A$168,K1555)))-1)&amp;", "&amp;SUBSTITUTE(SUBSTITUTE(SUBSTITUTE(E1555," [",", "),"[",", "),"]","")&amp;"]",TRIM(INDEX($A$3:$A$168,K1555))&amp;" ["&amp;SUBSTITUTE(SUBSTITUTE(SUBSTITUTE(E1555," [",", "),"[",", "),"]","")&amp;"]")))</x:f>
      </x:c>
      <x:c r="G1555" t="str">
        <x:f>IF(F1555&lt;&gt;"",ROWS($F$3:F1555)-COUNTBLANK($F$3:F1555),"")</x:f>
      </x:c>
      <x:c r="H1555"/>
      <x:c r="I1555"/>
      <x:c r="J1555"/>
      <x:c r="K1555" t="str">
        <x:f>IF(ROW()-ROW($K$2)&lt;=SUM($J$3:$J$168),COUNTIF($H$3:$H$168,"&lt;"&amp;(ROW()-ROW($K$2))),"")</x:f>
      </x:c>
      <x:c r="L1555" t="str">
        <x:f>IF(K1555="","",ROW()-ROW($L$2)-INDEX($H$3:$H$168,K1555))</x:f>
      </x:c>
      <x:c r="M1555" t="str">
        <x:f>IF(K1555="","",IF(L1555=1,1,FIND(CHAR(1),SUBSTITUTE(INDEX($B$3:$B$168,K1555),CHAR(10),CHAR(1),L1555-1))+1))</x:f>
      </x:c>
      <x:c r="N1555" t="str">
        <x:f>IF(K1555="","",IFERROR(FIND(CHAR(1),SUBSTITUTE(INDEX($B$3:$B$168,K1555),CHAR(10),CHAR(1),L1555)),LEN(INDEX($B$3:$B$168,K1555))+1))</x:f>
      </x:c>
    </x:row>
    <x:row r="1556">
      <x:c r="A1556"/>
      <x:c r="B1556"/>
      <x:c r="C1556"/>
      <x:c r="D1556" t="str">
        <x:f>IFERROR(IF(1554&lt;=$O$1,INDEX($A$3:$A$168,MATCH(1554,$I$3:$I$168,0)),IF(1554&lt;=$O$1+$O$2,INDEX($F$3:$F$1994,MATCH(1554-$O$1,$G$3:$G$1994,0)),"")),"")</x:f>
      </x:c>
      <x:c r="E1556" t="str">
        <x:f>IF(K1556="","",IF(N1556&lt;=M1556,"",TRIM(CLEAN(MID(INDEX($B$3:$B$168,K1556),M1556,N1556-M1556)))))</x:f>
      </x:c>
      <x:c r="F1556" t="str">
        <x:f>IF(E1556="","",IF(E1556=TRIM(INDEX($A$3:$A$168,K1556)),"",IF(RIGHT(TRIM(INDEX($A$3:$A$168,K1556)),1)="]",LEFT(TRIM(INDEX($A$3:$A$168,K1556)),LEN(TRIM(INDEX($A$3:$A$168,K1556)))-1)&amp;", "&amp;SUBSTITUTE(SUBSTITUTE(SUBSTITUTE(E1556," [",", "),"[",", "),"]","")&amp;"]",TRIM(INDEX($A$3:$A$168,K1556))&amp;" ["&amp;SUBSTITUTE(SUBSTITUTE(SUBSTITUTE(E1556," [",", "),"[",", "),"]","")&amp;"]")))</x:f>
      </x:c>
      <x:c r="G1556" t="str">
        <x:f>IF(F1556&lt;&gt;"",ROWS($F$3:F1556)-COUNTBLANK($F$3:F1556),"")</x:f>
      </x:c>
      <x:c r="H1556"/>
      <x:c r="I1556"/>
      <x:c r="J1556"/>
      <x:c r="K1556" t="str">
        <x:f>IF(ROW()-ROW($K$2)&lt;=SUM($J$3:$J$168),COUNTIF($H$3:$H$168,"&lt;"&amp;(ROW()-ROW($K$2))),"")</x:f>
      </x:c>
      <x:c r="L1556" t="str">
        <x:f>IF(K1556="","",ROW()-ROW($L$2)-INDEX($H$3:$H$168,K1556))</x:f>
      </x:c>
      <x:c r="M1556" t="str">
        <x:f>IF(K1556="","",IF(L1556=1,1,FIND(CHAR(1),SUBSTITUTE(INDEX($B$3:$B$168,K1556),CHAR(10),CHAR(1),L1556-1))+1))</x:f>
      </x:c>
      <x:c r="N1556" t="str">
        <x:f>IF(K1556="","",IFERROR(FIND(CHAR(1),SUBSTITUTE(INDEX($B$3:$B$168,K1556),CHAR(10),CHAR(1),L1556)),LEN(INDEX($B$3:$B$168,K1556))+1))</x:f>
      </x:c>
    </x:row>
    <x:row r="1557">
      <x:c r="A1557"/>
      <x:c r="B1557"/>
      <x:c r="C1557"/>
      <x:c r="D1557" t="str">
        <x:f>IFERROR(IF(1555&lt;=$O$1,INDEX($A$3:$A$168,MATCH(1555,$I$3:$I$168,0)),IF(1555&lt;=$O$1+$O$2,INDEX($F$3:$F$1994,MATCH(1555-$O$1,$G$3:$G$1994,0)),"")),"")</x:f>
      </x:c>
      <x:c r="E1557" t="str">
        <x:f>IF(K1557="","",IF(N1557&lt;=M1557,"",TRIM(CLEAN(MID(INDEX($B$3:$B$168,K1557),M1557,N1557-M1557)))))</x:f>
      </x:c>
      <x:c r="F1557" t="str">
        <x:f>IF(E1557="","",IF(E1557=TRIM(INDEX($A$3:$A$168,K1557)),"",IF(RIGHT(TRIM(INDEX($A$3:$A$168,K1557)),1)="]",LEFT(TRIM(INDEX($A$3:$A$168,K1557)),LEN(TRIM(INDEX($A$3:$A$168,K1557)))-1)&amp;", "&amp;SUBSTITUTE(SUBSTITUTE(SUBSTITUTE(E1557," [",", "),"[",", "),"]","")&amp;"]",TRIM(INDEX($A$3:$A$168,K1557))&amp;" ["&amp;SUBSTITUTE(SUBSTITUTE(SUBSTITUTE(E1557," [",", "),"[",", "),"]","")&amp;"]")))</x:f>
      </x:c>
      <x:c r="G1557" t="str">
        <x:f>IF(F1557&lt;&gt;"",ROWS($F$3:F1557)-COUNTBLANK($F$3:F1557),"")</x:f>
      </x:c>
      <x:c r="H1557"/>
      <x:c r="I1557"/>
      <x:c r="J1557"/>
      <x:c r="K1557" t="str">
        <x:f>IF(ROW()-ROW($K$2)&lt;=SUM($J$3:$J$168),COUNTIF($H$3:$H$168,"&lt;"&amp;(ROW()-ROW($K$2))),"")</x:f>
      </x:c>
      <x:c r="L1557" t="str">
        <x:f>IF(K1557="","",ROW()-ROW($L$2)-INDEX($H$3:$H$168,K1557))</x:f>
      </x:c>
      <x:c r="M1557" t="str">
        <x:f>IF(K1557="","",IF(L1557=1,1,FIND(CHAR(1),SUBSTITUTE(INDEX($B$3:$B$168,K1557),CHAR(10),CHAR(1),L1557-1))+1))</x:f>
      </x:c>
      <x:c r="N1557" t="str">
        <x:f>IF(K1557="","",IFERROR(FIND(CHAR(1),SUBSTITUTE(INDEX($B$3:$B$168,K1557),CHAR(10),CHAR(1),L1557)),LEN(INDEX($B$3:$B$168,K1557))+1))</x:f>
      </x:c>
    </x:row>
    <x:row r="1558">
      <x:c r="A1558"/>
      <x:c r="B1558"/>
      <x:c r="C1558"/>
      <x:c r="D1558" t="str">
        <x:f>IFERROR(IF(1556&lt;=$O$1,INDEX($A$3:$A$168,MATCH(1556,$I$3:$I$168,0)),IF(1556&lt;=$O$1+$O$2,INDEX($F$3:$F$1994,MATCH(1556-$O$1,$G$3:$G$1994,0)),"")),"")</x:f>
      </x:c>
      <x:c r="E1558" t="str">
        <x:f>IF(K1558="","",IF(N1558&lt;=M1558,"",TRIM(CLEAN(MID(INDEX($B$3:$B$168,K1558),M1558,N1558-M1558)))))</x:f>
      </x:c>
      <x:c r="F1558" t="str">
        <x:f>IF(E1558="","",IF(E1558=TRIM(INDEX($A$3:$A$168,K1558)),"",IF(RIGHT(TRIM(INDEX($A$3:$A$168,K1558)),1)="]",LEFT(TRIM(INDEX($A$3:$A$168,K1558)),LEN(TRIM(INDEX($A$3:$A$168,K1558)))-1)&amp;", "&amp;SUBSTITUTE(SUBSTITUTE(SUBSTITUTE(E1558," [",", "),"[",", "),"]","")&amp;"]",TRIM(INDEX($A$3:$A$168,K1558))&amp;" ["&amp;SUBSTITUTE(SUBSTITUTE(SUBSTITUTE(E1558," [",", "),"[",", "),"]","")&amp;"]")))</x:f>
      </x:c>
      <x:c r="G1558" t="str">
        <x:f>IF(F1558&lt;&gt;"",ROWS($F$3:F1558)-COUNTBLANK($F$3:F1558),"")</x:f>
      </x:c>
      <x:c r="H1558"/>
      <x:c r="I1558"/>
      <x:c r="J1558"/>
      <x:c r="K1558" t="str">
        <x:f>IF(ROW()-ROW($K$2)&lt;=SUM($J$3:$J$168),COUNTIF($H$3:$H$168,"&lt;"&amp;(ROW()-ROW($K$2))),"")</x:f>
      </x:c>
      <x:c r="L1558" t="str">
        <x:f>IF(K1558="","",ROW()-ROW($L$2)-INDEX($H$3:$H$168,K1558))</x:f>
      </x:c>
      <x:c r="M1558" t="str">
        <x:f>IF(K1558="","",IF(L1558=1,1,FIND(CHAR(1),SUBSTITUTE(INDEX($B$3:$B$168,K1558),CHAR(10),CHAR(1),L1558-1))+1))</x:f>
      </x:c>
      <x:c r="N1558" t="str">
        <x:f>IF(K1558="","",IFERROR(FIND(CHAR(1),SUBSTITUTE(INDEX($B$3:$B$168,K1558),CHAR(10),CHAR(1),L1558)),LEN(INDEX($B$3:$B$168,K1558))+1))</x:f>
      </x:c>
    </x:row>
    <x:row r="1559">
      <x:c r="A1559"/>
      <x:c r="B1559"/>
      <x:c r="C1559"/>
      <x:c r="D1559" t="str">
        <x:f>IFERROR(IF(1557&lt;=$O$1,INDEX($A$3:$A$168,MATCH(1557,$I$3:$I$168,0)),IF(1557&lt;=$O$1+$O$2,INDEX($F$3:$F$1994,MATCH(1557-$O$1,$G$3:$G$1994,0)),"")),"")</x:f>
      </x:c>
      <x:c r="E1559" t="str">
        <x:f>IF(K1559="","",IF(N1559&lt;=M1559,"",TRIM(CLEAN(MID(INDEX($B$3:$B$168,K1559),M1559,N1559-M1559)))))</x:f>
      </x:c>
      <x:c r="F1559" t="str">
        <x:f>IF(E1559="","",IF(E1559=TRIM(INDEX($A$3:$A$168,K1559)),"",IF(RIGHT(TRIM(INDEX($A$3:$A$168,K1559)),1)="]",LEFT(TRIM(INDEX($A$3:$A$168,K1559)),LEN(TRIM(INDEX($A$3:$A$168,K1559)))-1)&amp;", "&amp;SUBSTITUTE(SUBSTITUTE(SUBSTITUTE(E1559," [",", "),"[",", "),"]","")&amp;"]",TRIM(INDEX($A$3:$A$168,K1559))&amp;" ["&amp;SUBSTITUTE(SUBSTITUTE(SUBSTITUTE(E1559," [",", "),"[",", "),"]","")&amp;"]")))</x:f>
      </x:c>
      <x:c r="G1559" t="str">
        <x:f>IF(F1559&lt;&gt;"",ROWS($F$3:F1559)-COUNTBLANK($F$3:F1559),"")</x:f>
      </x:c>
      <x:c r="H1559"/>
      <x:c r="I1559"/>
      <x:c r="J1559"/>
      <x:c r="K1559" t="str">
        <x:f>IF(ROW()-ROW($K$2)&lt;=SUM($J$3:$J$168),COUNTIF($H$3:$H$168,"&lt;"&amp;(ROW()-ROW($K$2))),"")</x:f>
      </x:c>
      <x:c r="L1559" t="str">
        <x:f>IF(K1559="","",ROW()-ROW($L$2)-INDEX($H$3:$H$168,K1559))</x:f>
      </x:c>
      <x:c r="M1559" t="str">
        <x:f>IF(K1559="","",IF(L1559=1,1,FIND(CHAR(1),SUBSTITUTE(INDEX($B$3:$B$168,K1559),CHAR(10),CHAR(1),L1559-1))+1))</x:f>
      </x:c>
      <x:c r="N1559" t="str">
        <x:f>IF(K1559="","",IFERROR(FIND(CHAR(1),SUBSTITUTE(INDEX($B$3:$B$168,K1559),CHAR(10),CHAR(1),L1559)),LEN(INDEX($B$3:$B$168,K1559))+1))</x:f>
      </x:c>
    </x:row>
    <x:row r="1560">
      <x:c r="A1560"/>
      <x:c r="B1560"/>
      <x:c r="C1560"/>
      <x:c r="D1560" t="str">
        <x:f>IFERROR(IF(1558&lt;=$O$1,INDEX($A$3:$A$168,MATCH(1558,$I$3:$I$168,0)),IF(1558&lt;=$O$1+$O$2,INDEX($F$3:$F$1994,MATCH(1558-$O$1,$G$3:$G$1994,0)),"")),"")</x:f>
      </x:c>
      <x:c r="E1560" t="str">
        <x:f>IF(K1560="","",IF(N1560&lt;=M1560,"",TRIM(CLEAN(MID(INDEX($B$3:$B$168,K1560),M1560,N1560-M1560)))))</x:f>
      </x:c>
      <x:c r="F1560" t="str">
        <x:f>IF(E1560="","",IF(E1560=TRIM(INDEX($A$3:$A$168,K1560)),"",IF(RIGHT(TRIM(INDEX($A$3:$A$168,K1560)),1)="]",LEFT(TRIM(INDEX($A$3:$A$168,K1560)),LEN(TRIM(INDEX($A$3:$A$168,K1560)))-1)&amp;", "&amp;SUBSTITUTE(SUBSTITUTE(SUBSTITUTE(E1560," [",", "),"[",", "),"]","")&amp;"]",TRIM(INDEX($A$3:$A$168,K1560))&amp;" ["&amp;SUBSTITUTE(SUBSTITUTE(SUBSTITUTE(E1560," [",", "),"[",", "),"]","")&amp;"]")))</x:f>
      </x:c>
      <x:c r="G1560" t="str">
        <x:f>IF(F1560&lt;&gt;"",ROWS($F$3:F1560)-COUNTBLANK($F$3:F1560),"")</x:f>
      </x:c>
      <x:c r="H1560"/>
      <x:c r="I1560"/>
      <x:c r="J1560"/>
      <x:c r="K1560" t="str">
        <x:f>IF(ROW()-ROW($K$2)&lt;=SUM($J$3:$J$168),COUNTIF($H$3:$H$168,"&lt;"&amp;(ROW()-ROW($K$2))),"")</x:f>
      </x:c>
      <x:c r="L1560" t="str">
        <x:f>IF(K1560="","",ROW()-ROW($L$2)-INDEX($H$3:$H$168,K1560))</x:f>
      </x:c>
      <x:c r="M1560" t="str">
        <x:f>IF(K1560="","",IF(L1560=1,1,FIND(CHAR(1),SUBSTITUTE(INDEX($B$3:$B$168,K1560),CHAR(10),CHAR(1),L1560-1))+1))</x:f>
      </x:c>
      <x:c r="N1560" t="str">
        <x:f>IF(K1560="","",IFERROR(FIND(CHAR(1),SUBSTITUTE(INDEX($B$3:$B$168,K1560),CHAR(10),CHAR(1),L1560)),LEN(INDEX($B$3:$B$168,K1560))+1))</x:f>
      </x:c>
    </x:row>
    <x:row r="1561">
      <x:c r="A1561"/>
      <x:c r="B1561"/>
      <x:c r="C1561"/>
      <x:c r="D1561" t="str">
        <x:f>IFERROR(IF(1559&lt;=$O$1,INDEX($A$3:$A$168,MATCH(1559,$I$3:$I$168,0)),IF(1559&lt;=$O$1+$O$2,INDEX($F$3:$F$1994,MATCH(1559-$O$1,$G$3:$G$1994,0)),"")),"")</x:f>
      </x:c>
      <x:c r="E1561" t="str">
        <x:f>IF(K1561="","",IF(N1561&lt;=M1561,"",TRIM(CLEAN(MID(INDEX($B$3:$B$168,K1561),M1561,N1561-M1561)))))</x:f>
      </x:c>
      <x:c r="F1561" t="str">
        <x:f>IF(E1561="","",IF(E1561=TRIM(INDEX($A$3:$A$168,K1561)),"",IF(RIGHT(TRIM(INDEX($A$3:$A$168,K1561)),1)="]",LEFT(TRIM(INDEX($A$3:$A$168,K1561)),LEN(TRIM(INDEX($A$3:$A$168,K1561)))-1)&amp;", "&amp;SUBSTITUTE(SUBSTITUTE(SUBSTITUTE(E1561," [",", "),"[",", "),"]","")&amp;"]",TRIM(INDEX($A$3:$A$168,K1561))&amp;" ["&amp;SUBSTITUTE(SUBSTITUTE(SUBSTITUTE(E1561," [",", "),"[",", "),"]","")&amp;"]")))</x:f>
      </x:c>
      <x:c r="G1561" t="str">
        <x:f>IF(F1561&lt;&gt;"",ROWS($F$3:F1561)-COUNTBLANK($F$3:F1561),"")</x:f>
      </x:c>
      <x:c r="H1561"/>
      <x:c r="I1561"/>
      <x:c r="J1561"/>
      <x:c r="K1561" t="str">
        <x:f>IF(ROW()-ROW($K$2)&lt;=SUM($J$3:$J$168),COUNTIF($H$3:$H$168,"&lt;"&amp;(ROW()-ROW($K$2))),"")</x:f>
      </x:c>
      <x:c r="L1561" t="str">
        <x:f>IF(K1561="","",ROW()-ROW($L$2)-INDEX($H$3:$H$168,K1561))</x:f>
      </x:c>
      <x:c r="M1561" t="str">
        <x:f>IF(K1561="","",IF(L1561=1,1,FIND(CHAR(1),SUBSTITUTE(INDEX($B$3:$B$168,K1561),CHAR(10),CHAR(1),L1561-1))+1))</x:f>
      </x:c>
      <x:c r="N1561" t="str">
        <x:f>IF(K1561="","",IFERROR(FIND(CHAR(1),SUBSTITUTE(INDEX($B$3:$B$168,K1561),CHAR(10),CHAR(1),L1561)),LEN(INDEX($B$3:$B$168,K1561))+1))</x:f>
      </x:c>
    </x:row>
    <x:row r="1562">
      <x:c r="A1562"/>
      <x:c r="B1562"/>
      <x:c r="C1562"/>
      <x:c r="D1562" t="str">
        <x:f>IFERROR(IF(1560&lt;=$O$1,INDEX($A$3:$A$168,MATCH(1560,$I$3:$I$168,0)),IF(1560&lt;=$O$1+$O$2,INDEX($F$3:$F$1994,MATCH(1560-$O$1,$G$3:$G$1994,0)),"")),"")</x:f>
      </x:c>
      <x:c r="E1562" t="str">
        <x:f>IF(K1562="","",IF(N1562&lt;=M1562,"",TRIM(CLEAN(MID(INDEX($B$3:$B$168,K1562),M1562,N1562-M1562)))))</x:f>
      </x:c>
      <x:c r="F1562" t="str">
        <x:f>IF(E1562="","",IF(E1562=TRIM(INDEX($A$3:$A$168,K1562)),"",IF(RIGHT(TRIM(INDEX($A$3:$A$168,K1562)),1)="]",LEFT(TRIM(INDEX($A$3:$A$168,K1562)),LEN(TRIM(INDEX($A$3:$A$168,K1562)))-1)&amp;", "&amp;SUBSTITUTE(SUBSTITUTE(SUBSTITUTE(E1562," [",", "),"[",", "),"]","")&amp;"]",TRIM(INDEX($A$3:$A$168,K1562))&amp;" ["&amp;SUBSTITUTE(SUBSTITUTE(SUBSTITUTE(E1562," [",", "),"[",", "),"]","")&amp;"]")))</x:f>
      </x:c>
      <x:c r="G1562" t="str">
        <x:f>IF(F1562&lt;&gt;"",ROWS($F$3:F1562)-COUNTBLANK($F$3:F1562),"")</x:f>
      </x:c>
      <x:c r="H1562"/>
      <x:c r="I1562"/>
      <x:c r="J1562"/>
      <x:c r="K1562" t="str">
        <x:f>IF(ROW()-ROW($K$2)&lt;=SUM($J$3:$J$168),COUNTIF($H$3:$H$168,"&lt;"&amp;(ROW()-ROW($K$2))),"")</x:f>
      </x:c>
      <x:c r="L1562" t="str">
        <x:f>IF(K1562="","",ROW()-ROW($L$2)-INDEX($H$3:$H$168,K1562))</x:f>
      </x:c>
      <x:c r="M1562" t="str">
        <x:f>IF(K1562="","",IF(L1562=1,1,FIND(CHAR(1),SUBSTITUTE(INDEX($B$3:$B$168,K1562),CHAR(10),CHAR(1),L1562-1))+1))</x:f>
      </x:c>
      <x:c r="N1562" t="str">
        <x:f>IF(K1562="","",IFERROR(FIND(CHAR(1),SUBSTITUTE(INDEX($B$3:$B$168,K1562),CHAR(10),CHAR(1),L1562)),LEN(INDEX($B$3:$B$168,K1562))+1))</x:f>
      </x:c>
    </x:row>
    <x:row r="1563">
      <x:c r="A1563"/>
      <x:c r="B1563"/>
      <x:c r="C1563"/>
      <x:c r="D1563" t="str">
        <x:f>IFERROR(IF(1561&lt;=$O$1,INDEX($A$3:$A$168,MATCH(1561,$I$3:$I$168,0)),IF(1561&lt;=$O$1+$O$2,INDEX($F$3:$F$1994,MATCH(1561-$O$1,$G$3:$G$1994,0)),"")),"")</x:f>
      </x:c>
      <x:c r="E1563" t="str">
        <x:f>IF(K1563="","",IF(N1563&lt;=M1563,"",TRIM(CLEAN(MID(INDEX($B$3:$B$168,K1563),M1563,N1563-M1563)))))</x:f>
      </x:c>
      <x:c r="F1563" t="str">
        <x:f>IF(E1563="","",IF(E1563=TRIM(INDEX($A$3:$A$168,K1563)),"",IF(RIGHT(TRIM(INDEX($A$3:$A$168,K1563)),1)="]",LEFT(TRIM(INDEX($A$3:$A$168,K1563)),LEN(TRIM(INDEX($A$3:$A$168,K1563)))-1)&amp;", "&amp;SUBSTITUTE(SUBSTITUTE(SUBSTITUTE(E1563," [",", "),"[",", "),"]","")&amp;"]",TRIM(INDEX($A$3:$A$168,K1563))&amp;" ["&amp;SUBSTITUTE(SUBSTITUTE(SUBSTITUTE(E1563," [",", "),"[",", "),"]","")&amp;"]")))</x:f>
      </x:c>
      <x:c r="G1563" t="str">
        <x:f>IF(F1563&lt;&gt;"",ROWS($F$3:F1563)-COUNTBLANK($F$3:F1563),"")</x:f>
      </x:c>
      <x:c r="H1563"/>
      <x:c r="I1563"/>
      <x:c r="J1563"/>
      <x:c r="K1563" t="str">
        <x:f>IF(ROW()-ROW($K$2)&lt;=SUM($J$3:$J$168),COUNTIF($H$3:$H$168,"&lt;"&amp;(ROW()-ROW($K$2))),"")</x:f>
      </x:c>
      <x:c r="L1563" t="str">
        <x:f>IF(K1563="","",ROW()-ROW($L$2)-INDEX($H$3:$H$168,K1563))</x:f>
      </x:c>
      <x:c r="M1563" t="str">
        <x:f>IF(K1563="","",IF(L1563=1,1,FIND(CHAR(1),SUBSTITUTE(INDEX($B$3:$B$168,K1563),CHAR(10),CHAR(1),L1563-1))+1))</x:f>
      </x:c>
      <x:c r="N1563" t="str">
        <x:f>IF(K1563="","",IFERROR(FIND(CHAR(1),SUBSTITUTE(INDEX($B$3:$B$168,K1563),CHAR(10),CHAR(1),L1563)),LEN(INDEX($B$3:$B$168,K1563))+1))</x:f>
      </x:c>
    </x:row>
    <x:row r="1564">
      <x:c r="A1564"/>
      <x:c r="B1564"/>
      <x:c r="C1564"/>
      <x:c r="D1564" t="str">
        <x:f>IFERROR(IF(1562&lt;=$O$1,INDEX($A$3:$A$168,MATCH(1562,$I$3:$I$168,0)),IF(1562&lt;=$O$1+$O$2,INDEX($F$3:$F$1994,MATCH(1562-$O$1,$G$3:$G$1994,0)),"")),"")</x:f>
      </x:c>
      <x:c r="E1564" t="str">
        <x:f>IF(K1564="","",IF(N1564&lt;=M1564,"",TRIM(CLEAN(MID(INDEX($B$3:$B$168,K1564),M1564,N1564-M1564)))))</x:f>
      </x:c>
      <x:c r="F1564" t="str">
        <x:f>IF(E1564="","",IF(E1564=TRIM(INDEX($A$3:$A$168,K1564)),"",IF(RIGHT(TRIM(INDEX($A$3:$A$168,K1564)),1)="]",LEFT(TRIM(INDEX($A$3:$A$168,K1564)),LEN(TRIM(INDEX($A$3:$A$168,K1564)))-1)&amp;", "&amp;SUBSTITUTE(SUBSTITUTE(SUBSTITUTE(E1564," [",", "),"[",", "),"]","")&amp;"]",TRIM(INDEX($A$3:$A$168,K1564))&amp;" ["&amp;SUBSTITUTE(SUBSTITUTE(SUBSTITUTE(E1564," [",", "),"[",", "),"]","")&amp;"]")))</x:f>
      </x:c>
      <x:c r="G1564" t="str">
        <x:f>IF(F1564&lt;&gt;"",ROWS($F$3:F1564)-COUNTBLANK($F$3:F1564),"")</x:f>
      </x:c>
      <x:c r="H1564"/>
      <x:c r="I1564"/>
      <x:c r="J1564"/>
      <x:c r="K1564" t="str">
        <x:f>IF(ROW()-ROW($K$2)&lt;=SUM($J$3:$J$168),COUNTIF($H$3:$H$168,"&lt;"&amp;(ROW()-ROW($K$2))),"")</x:f>
      </x:c>
      <x:c r="L1564" t="str">
        <x:f>IF(K1564="","",ROW()-ROW($L$2)-INDEX($H$3:$H$168,K1564))</x:f>
      </x:c>
      <x:c r="M1564" t="str">
        <x:f>IF(K1564="","",IF(L1564=1,1,FIND(CHAR(1),SUBSTITUTE(INDEX($B$3:$B$168,K1564),CHAR(10),CHAR(1),L1564-1))+1))</x:f>
      </x:c>
      <x:c r="N1564" t="str">
        <x:f>IF(K1564="","",IFERROR(FIND(CHAR(1),SUBSTITUTE(INDEX($B$3:$B$168,K1564),CHAR(10),CHAR(1),L1564)),LEN(INDEX($B$3:$B$168,K1564))+1))</x:f>
      </x:c>
    </x:row>
    <x:row r="1565">
      <x:c r="A1565"/>
      <x:c r="B1565"/>
      <x:c r="C1565"/>
      <x:c r="D1565" t="str">
        <x:f>IFERROR(IF(1563&lt;=$O$1,INDEX($A$3:$A$168,MATCH(1563,$I$3:$I$168,0)),IF(1563&lt;=$O$1+$O$2,INDEX($F$3:$F$1994,MATCH(1563-$O$1,$G$3:$G$1994,0)),"")),"")</x:f>
      </x:c>
      <x:c r="E1565" t="str">
        <x:f>IF(K1565="","",IF(N1565&lt;=M1565,"",TRIM(CLEAN(MID(INDEX($B$3:$B$168,K1565),M1565,N1565-M1565)))))</x:f>
      </x:c>
      <x:c r="F1565" t="str">
        <x:f>IF(E1565="","",IF(E1565=TRIM(INDEX($A$3:$A$168,K1565)),"",IF(RIGHT(TRIM(INDEX($A$3:$A$168,K1565)),1)="]",LEFT(TRIM(INDEX($A$3:$A$168,K1565)),LEN(TRIM(INDEX($A$3:$A$168,K1565)))-1)&amp;", "&amp;SUBSTITUTE(SUBSTITUTE(SUBSTITUTE(E1565," [",", "),"[",", "),"]","")&amp;"]",TRIM(INDEX($A$3:$A$168,K1565))&amp;" ["&amp;SUBSTITUTE(SUBSTITUTE(SUBSTITUTE(E1565," [",", "),"[",", "),"]","")&amp;"]")))</x:f>
      </x:c>
      <x:c r="G1565" t="str">
        <x:f>IF(F1565&lt;&gt;"",ROWS($F$3:F1565)-COUNTBLANK($F$3:F1565),"")</x:f>
      </x:c>
      <x:c r="H1565"/>
      <x:c r="I1565"/>
      <x:c r="J1565"/>
      <x:c r="K1565" t="str">
        <x:f>IF(ROW()-ROW($K$2)&lt;=SUM($J$3:$J$168),COUNTIF($H$3:$H$168,"&lt;"&amp;(ROW()-ROW($K$2))),"")</x:f>
      </x:c>
      <x:c r="L1565" t="str">
        <x:f>IF(K1565="","",ROW()-ROW($L$2)-INDEX($H$3:$H$168,K1565))</x:f>
      </x:c>
      <x:c r="M1565" t="str">
        <x:f>IF(K1565="","",IF(L1565=1,1,FIND(CHAR(1),SUBSTITUTE(INDEX($B$3:$B$168,K1565),CHAR(10),CHAR(1),L1565-1))+1))</x:f>
      </x:c>
      <x:c r="N1565" t="str">
        <x:f>IF(K1565="","",IFERROR(FIND(CHAR(1),SUBSTITUTE(INDEX($B$3:$B$168,K1565),CHAR(10),CHAR(1),L1565)),LEN(INDEX($B$3:$B$168,K1565))+1))</x:f>
      </x:c>
    </x:row>
    <x:row r="1566">
      <x:c r="A1566"/>
      <x:c r="B1566"/>
      <x:c r="C1566"/>
      <x:c r="D1566" t="str">
        <x:f>IFERROR(IF(1564&lt;=$O$1,INDEX($A$3:$A$168,MATCH(1564,$I$3:$I$168,0)),IF(1564&lt;=$O$1+$O$2,INDEX($F$3:$F$1994,MATCH(1564-$O$1,$G$3:$G$1994,0)),"")),"")</x:f>
      </x:c>
      <x:c r="E1566" t="str">
        <x:f>IF(K1566="","",IF(N1566&lt;=M1566,"",TRIM(CLEAN(MID(INDEX($B$3:$B$168,K1566),M1566,N1566-M1566)))))</x:f>
      </x:c>
      <x:c r="F1566" t="str">
        <x:f>IF(E1566="","",IF(E1566=TRIM(INDEX($A$3:$A$168,K1566)),"",IF(RIGHT(TRIM(INDEX($A$3:$A$168,K1566)),1)="]",LEFT(TRIM(INDEX($A$3:$A$168,K1566)),LEN(TRIM(INDEX($A$3:$A$168,K1566)))-1)&amp;", "&amp;SUBSTITUTE(SUBSTITUTE(SUBSTITUTE(E1566," [",", "),"[",", "),"]","")&amp;"]",TRIM(INDEX($A$3:$A$168,K1566))&amp;" ["&amp;SUBSTITUTE(SUBSTITUTE(SUBSTITUTE(E1566," [",", "),"[",", "),"]","")&amp;"]")))</x:f>
      </x:c>
      <x:c r="G1566" t="str">
        <x:f>IF(F1566&lt;&gt;"",ROWS($F$3:F1566)-COUNTBLANK($F$3:F1566),"")</x:f>
      </x:c>
      <x:c r="H1566"/>
      <x:c r="I1566"/>
      <x:c r="J1566"/>
      <x:c r="K1566" t="str">
        <x:f>IF(ROW()-ROW($K$2)&lt;=SUM($J$3:$J$168),COUNTIF($H$3:$H$168,"&lt;"&amp;(ROW()-ROW($K$2))),"")</x:f>
      </x:c>
      <x:c r="L1566" t="str">
        <x:f>IF(K1566="","",ROW()-ROW($L$2)-INDEX($H$3:$H$168,K1566))</x:f>
      </x:c>
      <x:c r="M1566" t="str">
        <x:f>IF(K1566="","",IF(L1566=1,1,FIND(CHAR(1),SUBSTITUTE(INDEX($B$3:$B$168,K1566),CHAR(10),CHAR(1),L1566-1))+1))</x:f>
      </x:c>
      <x:c r="N1566" t="str">
        <x:f>IF(K1566="","",IFERROR(FIND(CHAR(1),SUBSTITUTE(INDEX($B$3:$B$168,K1566),CHAR(10),CHAR(1),L1566)),LEN(INDEX($B$3:$B$168,K1566))+1))</x:f>
      </x:c>
    </x:row>
    <x:row r="1567">
      <x:c r="A1567"/>
      <x:c r="B1567"/>
      <x:c r="C1567"/>
      <x:c r="D1567" t="str">
        <x:f>IFERROR(IF(1565&lt;=$O$1,INDEX($A$3:$A$168,MATCH(1565,$I$3:$I$168,0)),IF(1565&lt;=$O$1+$O$2,INDEX($F$3:$F$1994,MATCH(1565-$O$1,$G$3:$G$1994,0)),"")),"")</x:f>
      </x:c>
      <x:c r="E1567" t="str">
        <x:f>IF(K1567="","",IF(N1567&lt;=M1567,"",TRIM(CLEAN(MID(INDEX($B$3:$B$168,K1567),M1567,N1567-M1567)))))</x:f>
      </x:c>
      <x:c r="F1567" t="str">
        <x:f>IF(E1567="","",IF(E1567=TRIM(INDEX($A$3:$A$168,K1567)),"",IF(RIGHT(TRIM(INDEX($A$3:$A$168,K1567)),1)="]",LEFT(TRIM(INDEX($A$3:$A$168,K1567)),LEN(TRIM(INDEX($A$3:$A$168,K1567)))-1)&amp;", "&amp;SUBSTITUTE(SUBSTITUTE(SUBSTITUTE(E1567," [",", "),"[",", "),"]","")&amp;"]",TRIM(INDEX($A$3:$A$168,K1567))&amp;" ["&amp;SUBSTITUTE(SUBSTITUTE(SUBSTITUTE(E1567," [",", "),"[",", "),"]","")&amp;"]")))</x:f>
      </x:c>
      <x:c r="G1567" t="str">
        <x:f>IF(F1567&lt;&gt;"",ROWS($F$3:F1567)-COUNTBLANK($F$3:F1567),"")</x:f>
      </x:c>
      <x:c r="H1567"/>
      <x:c r="I1567"/>
      <x:c r="J1567"/>
      <x:c r="K1567" t="str">
        <x:f>IF(ROW()-ROW($K$2)&lt;=SUM($J$3:$J$168),COUNTIF($H$3:$H$168,"&lt;"&amp;(ROW()-ROW($K$2))),"")</x:f>
      </x:c>
      <x:c r="L1567" t="str">
        <x:f>IF(K1567="","",ROW()-ROW($L$2)-INDEX($H$3:$H$168,K1567))</x:f>
      </x:c>
      <x:c r="M1567" t="str">
        <x:f>IF(K1567="","",IF(L1567=1,1,FIND(CHAR(1),SUBSTITUTE(INDEX($B$3:$B$168,K1567),CHAR(10),CHAR(1),L1567-1))+1))</x:f>
      </x:c>
      <x:c r="N1567" t="str">
        <x:f>IF(K1567="","",IFERROR(FIND(CHAR(1),SUBSTITUTE(INDEX($B$3:$B$168,K1567),CHAR(10),CHAR(1),L1567)),LEN(INDEX($B$3:$B$168,K1567))+1))</x:f>
      </x:c>
    </x:row>
    <x:row r="1568">
      <x:c r="A1568"/>
      <x:c r="B1568"/>
      <x:c r="C1568"/>
      <x:c r="D1568" t="str">
        <x:f>IFERROR(IF(1566&lt;=$O$1,INDEX($A$3:$A$168,MATCH(1566,$I$3:$I$168,0)),IF(1566&lt;=$O$1+$O$2,INDEX($F$3:$F$1994,MATCH(1566-$O$1,$G$3:$G$1994,0)),"")),"")</x:f>
      </x:c>
      <x:c r="E1568" t="str">
        <x:f>IF(K1568="","",IF(N1568&lt;=M1568,"",TRIM(CLEAN(MID(INDEX($B$3:$B$168,K1568),M1568,N1568-M1568)))))</x:f>
      </x:c>
      <x:c r="F1568" t="str">
        <x:f>IF(E1568="","",IF(E1568=TRIM(INDEX($A$3:$A$168,K1568)),"",IF(RIGHT(TRIM(INDEX($A$3:$A$168,K1568)),1)="]",LEFT(TRIM(INDEX($A$3:$A$168,K1568)),LEN(TRIM(INDEX($A$3:$A$168,K1568)))-1)&amp;", "&amp;SUBSTITUTE(SUBSTITUTE(SUBSTITUTE(E1568," [",", "),"[",", "),"]","")&amp;"]",TRIM(INDEX($A$3:$A$168,K1568))&amp;" ["&amp;SUBSTITUTE(SUBSTITUTE(SUBSTITUTE(E1568," [",", "),"[",", "),"]","")&amp;"]")))</x:f>
      </x:c>
      <x:c r="G1568" t="str">
        <x:f>IF(F1568&lt;&gt;"",ROWS($F$3:F1568)-COUNTBLANK($F$3:F1568),"")</x:f>
      </x:c>
      <x:c r="H1568"/>
      <x:c r="I1568"/>
      <x:c r="J1568"/>
      <x:c r="K1568" t="str">
        <x:f>IF(ROW()-ROW($K$2)&lt;=SUM($J$3:$J$168),COUNTIF($H$3:$H$168,"&lt;"&amp;(ROW()-ROW($K$2))),"")</x:f>
      </x:c>
      <x:c r="L1568" t="str">
        <x:f>IF(K1568="","",ROW()-ROW($L$2)-INDEX($H$3:$H$168,K1568))</x:f>
      </x:c>
      <x:c r="M1568" t="str">
        <x:f>IF(K1568="","",IF(L1568=1,1,FIND(CHAR(1),SUBSTITUTE(INDEX($B$3:$B$168,K1568),CHAR(10),CHAR(1),L1568-1))+1))</x:f>
      </x:c>
      <x:c r="N1568" t="str">
        <x:f>IF(K1568="","",IFERROR(FIND(CHAR(1),SUBSTITUTE(INDEX($B$3:$B$168,K1568),CHAR(10),CHAR(1),L1568)),LEN(INDEX($B$3:$B$168,K1568))+1))</x:f>
      </x:c>
    </x:row>
    <x:row r="1569">
      <x:c r="A1569"/>
      <x:c r="B1569"/>
      <x:c r="C1569"/>
      <x:c r="D1569" t="str">
        <x:f>IFERROR(IF(1567&lt;=$O$1,INDEX($A$3:$A$168,MATCH(1567,$I$3:$I$168,0)),IF(1567&lt;=$O$1+$O$2,INDEX($F$3:$F$1994,MATCH(1567-$O$1,$G$3:$G$1994,0)),"")),"")</x:f>
      </x:c>
      <x:c r="E1569" t="str">
        <x:f>IF(K1569="","",IF(N1569&lt;=M1569,"",TRIM(CLEAN(MID(INDEX($B$3:$B$168,K1569),M1569,N1569-M1569)))))</x:f>
      </x:c>
      <x:c r="F1569" t="str">
        <x:f>IF(E1569="","",IF(E1569=TRIM(INDEX($A$3:$A$168,K1569)),"",IF(RIGHT(TRIM(INDEX($A$3:$A$168,K1569)),1)="]",LEFT(TRIM(INDEX($A$3:$A$168,K1569)),LEN(TRIM(INDEX($A$3:$A$168,K1569)))-1)&amp;", "&amp;SUBSTITUTE(SUBSTITUTE(SUBSTITUTE(E1569," [",", "),"[",", "),"]","")&amp;"]",TRIM(INDEX($A$3:$A$168,K1569))&amp;" ["&amp;SUBSTITUTE(SUBSTITUTE(SUBSTITUTE(E1569," [",", "),"[",", "),"]","")&amp;"]")))</x:f>
      </x:c>
      <x:c r="G1569" t="str">
        <x:f>IF(F1569&lt;&gt;"",ROWS($F$3:F1569)-COUNTBLANK($F$3:F1569),"")</x:f>
      </x:c>
      <x:c r="H1569"/>
      <x:c r="I1569"/>
      <x:c r="J1569"/>
      <x:c r="K1569" t="str">
        <x:f>IF(ROW()-ROW($K$2)&lt;=SUM($J$3:$J$168),COUNTIF($H$3:$H$168,"&lt;"&amp;(ROW()-ROW($K$2))),"")</x:f>
      </x:c>
      <x:c r="L1569" t="str">
        <x:f>IF(K1569="","",ROW()-ROW($L$2)-INDEX($H$3:$H$168,K1569))</x:f>
      </x:c>
      <x:c r="M1569" t="str">
        <x:f>IF(K1569="","",IF(L1569=1,1,FIND(CHAR(1),SUBSTITUTE(INDEX($B$3:$B$168,K1569),CHAR(10),CHAR(1),L1569-1))+1))</x:f>
      </x:c>
      <x:c r="N1569" t="str">
        <x:f>IF(K1569="","",IFERROR(FIND(CHAR(1),SUBSTITUTE(INDEX($B$3:$B$168,K1569),CHAR(10),CHAR(1),L1569)),LEN(INDEX($B$3:$B$168,K1569))+1))</x:f>
      </x:c>
    </x:row>
    <x:row r="1570">
      <x:c r="A1570"/>
      <x:c r="B1570"/>
      <x:c r="C1570"/>
      <x:c r="D1570" t="str">
        <x:f>IFERROR(IF(1568&lt;=$O$1,INDEX($A$3:$A$168,MATCH(1568,$I$3:$I$168,0)),IF(1568&lt;=$O$1+$O$2,INDEX($F$3:$F$1994,MATCH(1568-$O$1,$G$3:$G$1994,0)),"")),"")</x:f>
      </x:c>
      <x:c r="E1570" t="str">
        <x:f>IF(K1570="","",IF(N1570&lt;=M1570,"",TRIM(CLEAN(MID(INDEX($B$3:$B$168,K1570),M1570,N1570-M1570)))))</x:f>
      </x:c>
      <x:c r="F1570" t="str">
        <x:f>IF(E1570="","",IF(E1570=TRIM(INDEX($A$3:$A$168,K1570)),"",IF(RIGHT(TRIM(INDEX($A$3:$A$168,K1570)),1)="]",LEFT(TRIM(INDEX($A$3:$A$168,K1570)),LEN(TRIM(INDEX($A$3:$A$168,K1570)))-1)&amp;", "&amp;SUBSTITUTE(SUBSTITUTE(SUBSTITUTE(E1570," [",", "),"[",", "),"]","")&amp;"]",TRIM(INDEX($A$3:$A$168,K1570))&amp;" ["&amp;SUBSTITUTE(SUBSTITUTE(SUBSTITUTE(E1570," [",", "),"[",", "),"]","")&amp;"]")))</x:f>
      </x:c>
      <x:c r="G1570" t="str">
        <x:f>IF(F1570&lt;&gt;"",ROWS($F$3:F1570)-COUNTBLANK($F$3:F1570),"")</x:f>
      </x:c>
      <x:c r="H1570"/>
      <x:c r="I1570"/>
      <x:c r="J1570"/>
      <x:c r="K1570" t="str">
        <x:f>IF(ROW()-ROW($K$2)&lt;=SUM($J$3:$J$168),COUNTIF($H$3:$H$168,"&lt;"&amp;(ROW()-ROW($K$2))),"")</x:f>
      </x:c>
      <x:c r="L1570" t="str">
        <x:f>IF(K1570="","",ROW()-ROW($L$2)-INDEX($H$3:$H$168,K1570))</x:f>
      </x:c>
      <x:c r="M1570" t="str">
        <x:f>IF(K1570="","",IF(L1570=1,1,FIND(CHAR(1),SUBSTITUTE(INDEX($B$3:$B$168,K1570),CHAR(10),CHAR(1),L1570-1))+1))</x:f>
      </x:c>
      <x:c r="N1570" t="str">
        <x:f>IF(K1570="","",IFERROR(FIND(CHAR(1),SUBSTITUTE(INDEX($B$3:$B$168,K1570),CHAR(10),CHAR(1),L1570)),LEN(INDEX($B$3:$B$168,K1570))+1))</x:f>
      </x:c>
    </x:row>
    <x:row r="1571">
      <x:c r="A1571"/>
      <x:c r="B1571"/>
      <x:c r="C1571"/>
      <x:c r="D1571" t="str">
        <x:f>IFERROR(IF(1569&lt;=$O$1,INDEX($A$3:$A$168,MATCH(1569,$I$3:$I$168,0)),IF(1569&lt;=$O$1+$O$2,INDEX($F$3:$F$1994,MATCH(1569-$O$1,$G$3:$G$1994,0)),"")),"")</x:f>
      </x:c>
      <x:c r="E1571" t="str">
        <x:f>IF(K1571="","",IF(N1571&lt;=M1571,"",TRIM(CLEAN(MID(INDEX($B$3:$B$168,K1571),M1571,N1571-M1571)))))</x:f>
      </x:c>
      <x:c r="F1571" t="str">
        <x:f>IF(E1571="","",IF(E1571=TRIM(INDEX($A$3:$A$168,K1571)),"",IF(RIGHT(TRIM(INDEX($A$3:$A$168,K1571)),1)="]",LEFT(TRIM(INDEX($A$3:$A$168,K1571)),LEN(TRIM(INDEX($A$3:$A$168,K1571)))-1)&amp;", "&amp;SUBSTITUTE(SUBSTITUTE(SUBSTITUTE(E1571," [",", "),"[",", "),"]","")&amp;"]",TRIM(INDEX($A$3:$A$168,K1571))&amp;" ["&amp;SUBSTITUTE(SUBSTITUTE(SUBSTITUTE(E1571," [",", "),"[",", "),"]","")&amp;"]")))</x:f>
      </x:c>
      <x:c r="G1571" t="str">
        <x:f>IF(F1571&lt;&gt;"",ROWS($F$3:F1571)-COUNTBLANK($F$3:F1571),"")</x:f>
      </x:c>
      <x:c r="H1571"/>
      <x:c r="I1571"/>
      <x:c r="J1571"/>
      <x:c r="K1571" t="str">
        <x:f>IF(ROW()-ROW($K$2)&lt;=SUM($J$3:$J$168),COUNTIF($H$3:$H$168,"&lt;"&amp;(ROW()-ROW($K$2))),"")</x:f>
      </x:c>
      <x:c r="L1571" t="str">
        <x:f>IF(K1571="","",ROW()-ROW($L$2)-INDEX($H$3:$H$168,K1571))</x:f>
      </x:c>
      <x:c r="M1571" t="str">
        <x:f>IF(K1571="","",IF(L1571=1,1,FIND(CHAR(1),SUBSTITUTE(INDEX($B$3:$B$168,K1571),CHAR(10),CHAR(1),L1571-1))+1))</x:f>
      </x:c>
      <x:c r="N1571" t="str">
        <x:f>IF(K1571="","",IFERROR(FIND(CHAR(1),SUBSTITUTE(INDEX($B$3:$B$168,K1571),CHAR(10),CHAR(1),L1571)),LEN(INDEX($B$3:$B$168,K1571))+1))</x:f>
      </x:c>
    </x:row>
    <x:row r="1572">
      <x:c r="A1572"/>
      <x:c r="B1572"/>
      <x:c r="C1572"/>
      <x:c r="D1572" t="str">
        <x:f>IFERROR(IF(1570&lt;=$O$1,INDEX($A$3:$A$168,MATCH(1570,$I$3:$I$168,0)),IF(1570&lt;=$O$1+$O$2,INDEX($F$3:$F$1994,MATCH(1570-$O$1,$G$3:$G$1994,0)),"")),"")</x:f>
      </x:c>
      <x:c r="E1572" t="str">
        <x:f>IF(K1572="","",IF(N1572&lt;=M1572,"",TRIM(CLEAN(MID(INDEX($B$3:$B$168,K1572),M1572,N1572-M1572)))))</x:f>
      </x:c>
      <x:c r="F1572" t="str">
        <x:f>IF(E1572="","",IF(E1572=TRIM(INDEX($A$3:$A$168,K1572)),"",IF(RIGHT(TRIM(INDEX($A$3:$A$168,K1572)),1)="]",LEFT(TRIM(INDEX($A$3:$A$168,K1572)),LEN(TRIM(INDEX($A$3:$A$168,K1572)))-1)&amp;", "&amp;SUBSTITUTE(SUBSTITUTE(SUBSTITUTE(E1572," [",", "),"[",", "),"]","")&amp;"]",TRIM(INDEX($A$3:$A$168,K1572))&amp;" ["&amp;SUBSTITUTE(SUBSTITUTE(SUBSTITUTE(E1572," [",", "),"[",", "),"]","")&amp;"]")))</x:f>
      </x:c>
      <x:c r="G1572" t="str">
        <x:f>IF(F1572&lt;&gt;"",ROWS($F$3:F1572)-COUNTBLANK($F$3:F1572),"")</x:f>
      </x:c>
      <x:c r="H1572"/>
      <x:c r="I1572"/>
      <x:c r="J1572"/>
      <x:c r="K1572" t="str">
        <x:f>IF(ROW()-ROW($K$2)&lt;=SUM($J$3:$J$168),COUNTIF($H$3:$H$168,"&lt;"&amp;(ROW()-ROW($K$2))),"")</x:f>
      </x:c>
      <x:c r="L1572" t="str">
        <x:f>IF(K1572="","",ROW()-ROW($L$2)-INDEX($H$3:$H$168,K1572))</x:f>
      </x:c>
      <x:c r="M1572" t="str">
        <x:f>IF(K1572="","",IF(L1572=1,1,FIND(CHAR(1),SUBSTITUTE(INDEX($B$3:$B$168,K1572),CHAR(10),CHAR(1),L1572-1))+1))</x:f>
      </x:c>
      <x:c r="N1572" t="str">
        <x:f>IF(K1572="","",IFERROR(FIND(CHAR(1),SUBSTITUTE(INDEX($B$3:$B$168,K1572),CHAR(10),CHAR(1),L1572)),LEN(INDEX($B$3:$B$168,K1572))+1))</x:f>
      </x:c>
    </x:row>
    <x:row r="1573">
      <x:c r="A1573"/>
      <x:c r="B1573"/>
      <x:c r="C1573"/>
      <x:c r="D1573" t="str">
        <x:f>IFERROR(IF(1571&lt;=$O$1,INDEX($A$3:$A$168,MATCH(1571,$I$3:$I$168,0)),IF(1571&lt;=$O$1+$O$2,INDEX($F$3:$F$1994,MATCH(1571-$O$1,$G$3:$G$1994,0)),"")),"")</x:f>
      </x:c>
      <x:c r="E1573" t="str">
        <x:f>IF(K1573="","",IF(N1573&lt;=M1573,"",TRIM(CLEAN(MID(INDEX($B$3:$B$168,K1573),M1573,N1573-M1573)))))</x:f>
      </x:c>
      <x:c r="F1573" t="str">
        <x:f>IF(E1573="","",IF(E1573=TRIM(INDEX($A$3:$A$168,K1573)),"",IF(RIGHT(TRIM(INDEX($A$3:$A$168,K1573)),1)="]",LEFT(TRIM(INDEX($A$3:$A$168,K1573)),LEN(TRIM(INDEX($A$3:$A$168,K1573)))-1)&amp;", "&amp;SUBSTITUTE(SUBSTITUTE(SUBSTITUTE(E1573," [",", "),"[",", "),"]","")&amp;"]",TRIM(INDEX($A$3:$A$168,K1573))&amp;" ["&amp;SUBSTITUTE(SUBSTITUTE(SUBSTITUTE(E1573," [",", "),"[",", "),"]","")&amp;"]")))</x:f>
      </x:c>
      <x:c r="G1573" t="str">
        <x:f>IF(F1573&lt;&gt;"",ROWS($F$3:F1573)-COUNTBLANK($F$3:F1573),"")</x:f>
      </x:c>
      <x:c r="H1573"/>
      <x:c r="I1573"/>
      <x:c r="J1573"/>
      <x:c r="K1573" t="str">
        <x:f>IF(ROW()-ROW($K$2)&lt;=SUM($J$3:$J$168),COUNTIF($H$3:$H$168,"&lt;"&amp;(ROW()-ROW($K$2))),"")</x:f>
      </x:c>
      <x:c r="L1573" t="str">
        <x:f>IF(K1573="","",ROW()-ROW($L$2)-INDEX($H$3:$H$168,K1573))</x:f>
      </x:c>
      <x:c r="M1573" t="str">
        <x:f>IF(K1573="","",IF(L1573=1,1,FIND(CHAR(1),SUBSTITUTE(INDEX($B$3:$B$168,K1573),CHAR(10),CHAR(1),L1573-1))+1))</x:f>
      </x:c>
      <x:c r="N1573" t="str">
        <x:f>IF(K1573="","",IFERROR(FIND(CHAR(1),SUBSTITUTE(INDEX($B$3:$B$168,K1573),CHAR(10),CHAR(1),L1573)),LEN(INDEX($B$3:$B$168,K1573))+1))</x:f>
      </x:c>
    </x:row>
    <x:row r="1574">
      <x:c r="A1574"/>
      <x:c r="B1574"/>
      <x:c r="C1574"/>
      <x:c r="D1574" t="str">
        <x:f>IFERROR(IF(1572&lt;=$O$1,INDEX($A$3:$A$168,MATCH(1572,$I$3:$I$168,0)),IF(1572&lt;=$O$1+$O$2,INDEX($F$3:$F$1994,MATCH(1572-$O$1,$G$3:$G$1994,0)),"")),"")</x:f>
      </x:c>
      <x:c r="E1574" t="str">
        <x:f>IF(K1574="","",IF(N1574&lt;=M1574,"",TRIM(CLEAN(MID(INDEX($B$3:$B$168,K1574),M1574,N1574-M1574)))))</x:f>
      </x:c>
      <x:c r="F1574" t="str">
        <x:f>IF(E1574="","",IF(E1574=TRIM(INDEX($A$3:$A$168,K1574)),"",IF(RIGHT(TRIM(INDEX($A$3:$A$168,K1574)),1)="]",LEFT(TRIM(INDEX($A$3:$A$168,K1574)),LEN(TRIM(INDEX($A$3:$A$168,K1574)))-1)&amp;", "&amp;SUBSTITUTE(SUBSTITUTE(SUBSTITUTE(E1574," [",", "),"[",", "),"]","")&amp;"]",TRIM(INDEX($A$3:$A$168,K1574))&amp;" ["&amp;SUBSTITUTE(SUBSTITUTE(SUBSTITUTE(E1574," [",", "),"[",", "),"]","")&amp;"]")))</x:f>
      </x:c>
      <x:c r="G1574" t="str">
        <x:f>IF(F1574&lt;&gt;"",ROWS($F$3:F1574)-COUNTBLANK($F$3:F1574),"")</x:f>
      </x:c>
      <x:c r="H1574"/>
      <x:c r="I1574"/>
      <x:c r="J1574"/>
      <x:c r="K1574" t="str">
        <x:f>IF(ROW()-ROW($K$2)&lt;=SUM($J$3:$J$168),COUNTIF($H$3:$H$168,"&lt;"&amp;(ROW()-ROW($K$2))),"")</x:f>
      </x:c>
      <x:c r="L1574" t="str">
        <x:f>IF(K1574="","",ROW()-ROW($L$2)-INDEX($H$3:$H$168,K1574))</x:f>
      </x:c>
      <x:c r="M1574" t="str">
        <x:f>IF(K1574="","",IF(L1574=1,1,FIND(CHAR(1),SUBSTITUTE(INDEX($B$3:$B$168,K1574),CHAR(10),CHAR(1),L1574-1))+1))</x:f>
      </x:c>
      <x:c r="N1574" t="str">
        <x:f>IF(K1574="","",IFERROR(FIND(CHAR(1),SUBSTITUTE(INDEX($B$3:$B$168,K1574),CHAR(10),CHAR(1),L1574)),LEN(INDEX($B$3:$B$168,K1574))+1))</x:f>
      </x:c>
    </x:row>
    <x:row r="1575">
      <x:c r="A1575"/>
      <x:c r="B1575"/>
      <x:c r="C1575"/>
      <x:c r="D1575" t="str">
        <x:f>IFERROR(IF(1573&lt;=$O$1,INDEX($A$3:$A$168,MATCH(1573,$I$3:$I$168,0)),IF(1573&lt;=$O$1+$O$2,INDEX($F$3:$F$1994,MATCH(1573-$O$1,$G$3:$G$1994,0)),"")),"")</x:f>
      </x:c>
      <x:c r="E1575" t="str">
        <x:f>IF(K1575="","",IF(N1575&lt;=M1575,"",TRIM(CLEAN(MID(INDEX($B$3:$B$168,K1575),M1575,N1575-M1575)))))</x:f>
      </x:c>
      <x:c r="F1575" t="str">
        <x:f>IF(E1575="","",IF(E1575=TRIM(INDEX($A$3:$A$168,K1575)),"",IF(RIGHT(TRIM(INDEX($A$3:$A$168,K1575)),1)="]",LEFT(TRIM(INDEX($A$3:$A$168,K1575)),LEN(TRIM(INDEX($A$3:$A$168,K1575)))-1)&amp;", "&amp;SUBSTITUTE(SUBSTITUTE(SUBSTITUTE(E1575," [",", "),"[",", "),"]","")&amp;"]",TRIM(INDEX($A$3:$A$168,K1575))&amp;" ["&amp;SUBSTITUTE(SUBSTITUTE(SUBSTITUTE(E1575," [",", "),"[",", "),"]","")&amp;"]")))</x:f>
      </x:c>
      <x:c r="G1575" t="str">
        <x:f>IF(F1575&lt;&gt;"",ROWS($F$3:F1575)-COUNTBLANK($F$3:F1575),"")</x:f>
      </x:c>
      <x:c r="H1575"/>
      <x:c r="I1575"/>
      <x:c r="J1575"/>
      <x:c r="K1575" t="str">
        <x:f>IF(ROW()-ROW($K$2)&lt;=SUM($J$3:$J$168),COUNTIF($H$3:$H$168,"&lt;"&amp;(ROW()-ROW($K$2))),"")</x:f>
      </x:c>
      <x:c r="L1575" t="str">
        <x:f>IF(K1575="","",ROW()-ROW($L$2)-INDEX($H$3:$H$168,K1575))</x:f>
      </x:c>
      <x:c r="M1575" t="str">
        <x:f>IF(K1575="","",IF(L1575=1,1,FIND(CHAR(1),SUBSTITUTE(INDEX($B$3:$B$168,K1575),CHAR(10),CHAR(1),L1575-1))+1))</x:f>
      </x:c>
      <x:c r="N1575" t="str">
        <x:f>IF(K1575="","",IFERROR(FIND(CHAR(1),SUBSTITUTE(INDEX($B$3:$B$168,K1575),CHAR(10),CHAR(1),L1575)),LEN(INDEX($B$3:$B$168,K1575))+1))</x:f>
      </x:c>
    </x:row>
    <x:row r="1576">
      <x:c r="A1576"/>
      <x:c r="B1576"/>
      <x:c r="C1576"/>
      <x:c r="D1576" t="str">
        <x:f>IFERROR(IF(1574&lt;=$O$1,INDEX($A$3:$A$168,MATCH(1574,$I$3:$I$168,0)),IF(1574&lt;=$O$1+$O$2,INDEX($F$3:$F$1994,MATCH(1574-$O$1,$G$3:$G$1994,0)),"")),"")</x:f>
      </x:c>
      <x:c r="E1576" t="str">
        <x:f>IF(K1576="","",IF(N1576&lt;=M1576,"",TRIM(CLEAN(MID(INDEX($B$3:$B$168,K1576),M1576,N1576-M1576)))))</x:f>
      </x:c>
      <x:c r="F1576" t="str">
        <x:f>IF(E1576="","",IF(E1576=TRIM(INDEX($A$3:$A$168,K1576)),"",IF(RIGHT(TRIM(INDEX($A$3:$A$168,K1576)),1)="]",LEFT(TRIM(INDEX($A$3:$A$168,K1576)),LEN(TRIM(INDEX($A$3:$A$168,K1576)))-1)&amp;", "&amp;SUBSTITUTE(SUBSTITUTE(SUBSTITUTE(E1576," [",", "),"[",", "),"]","")&amp;"]",TRIM(INDEX($A$3:$A$168,K1576))&amp;" ["&amp;SUBSTITUTE(SUBSTITUTE(SUBSTITUTE(E1576," [",", "),"[",", "),"]","")&amp;"]")))</x:f>
      </x:c>
      <x:c r="G1576" t="str">
        <x:f>IF(F1576&lt;&gt;"",ROWS($F$3:F1576)-COUNTBLANK($F$3:F1576),"")</x:f>
      </x:c>
      <x:c r="H1576"/>
      <x:c r="I1576"/>
      <x:c r="J1576"/>
      <x:c r="K1576" t="str">
        <x:f>IF(ROW()-ROW($K$2)&lt;=SUM($J$3:$J$168),COUNTIF($H$3:$H$168,"&lt;"&amp;(ROW()-ROW($K$2))),"")</x:f>
      </x:c>
      <x:c r="L1576" t="str">
        <x:f>IF(K1576="","",ROW()-ROW($L$2)-INDEX($H$3:$H$168,K1576))</x:f>
      </x:c>
      <x:c r="M1576" t="str">
        <x:f>IF(K1576="","",IF(L1576=1,1,FIND(CHAR(1),SUBSTITUTE(INDEX($B$3:$B$168,K1576),CHAR(10),CHAR(1),L1576-1))+1))</x:f>
      </x:c>
      <x:c r="N1576" t="str">
        <x:f>IF(K1576="","",IFERROR(FIND(CHAR(1),SUBSTITUTE(INDEX($B$3:$B$168,K1576),CHAR(10),CHAR(1),L1576)),LEN(INDEX($B$3:$B$168,K1576))+1))</x:f>
      </x:c>
    </x:row>
    <x:row r="1577">
      <x:c r="A1577"/>
      <x:c r="B1577"/>
      <x:c r="C1577"/>
      <x:c r="D1577" t="str">
        <x:f>IFERROR(IF(1575&lt;=$O$1,INDEX($A$3:$A$168,MATCH(1575,$I$3:$I$168,0)),IF(1575&lt;=$O$1+$O$2,INDEX($F$3:$F$1994,MATCH(1575-$O$1,$G$3:$G$1994,0)),"")),"")</x:f>
      </x:c>
      <x:c r="E1577" t="str">
        <x:f>IF(K1577="","",IF(N1577&lt;=M1577,"",TRIM(CLEAN(MID(INDEX($B$3:$B$168,K1577),M1577,N1577-M1577)))))</x:f>
      </x:c>
      <x:c r="F1577" t="str">
        <x:f>IF(E1577="","",IF(E1577=TRIM(INDEX($A$3:$A$168,K1577)),"",IF(RIGHT(TRIM(INDEX($A$3:$A$168,K1577)),1)="]",LEFT(TRIM(INDEX($A$3:$A$168,K1577)),LEN(TRIM(INDEX($A$3:$A$168,K1577)))-1)&amp;", "&amp;SUBSTITUTE(SUBSTITUTE(SUBSTITUTE(E1577," [",", "),"[",", "),"]","")&amp;"]",TRIM(INDEX($A$3:$A$168,K1577))&amp;" ["&amp;SUBSTITUTE(SUBSTITUTE(SUBSTITUTE(E1577," [",", "),"[",", "),"]","")&amp;"]")))</x:f>
      </x:c>
      <x:c r="G1577" t="str">
        <x:f>IF(F1577&lt;&gt;"",ROWS($F$3:F1577)-COUNTBLANK($F$3:F1577),"")</x:f>
      </x:c>
      <x:c r="H1577"/>
      <x:c r="I1577"/>
      <x:c r="J1577"/>
      <x:c r="K1577" t="str">
        <x:f>IF(ROW()-ROW($K$2)&lt;=SUM($J$3:$J$168),COUNTIF($H$3:$H$168,"&lt;"&amp;(ROW()-ROW($K$2))),"")</x:f>
      </x:c>
      <x:c r="L1577" t="str">
        <x:f>IF(K1577="","",ROW()-ROW($L$2)-INDEX($H$3:$H$168,K1577))</x:f>
      </x:c>
      <x:c r="M1577" t="str">
        <x:f>IF(K1577="","",IF(L1577=1,1,FIND(CHAR(1),SUBSTITUTE(INDEX($B$3:$B$168,K1577),CHAR(10),CHAR(1),L1577-1))+1))</x:f>
      </x:c>
      <x:c r="N1577" t="str">
        <x:f>IF(K1577="","",IFERROR(FIND(CHAR(1),SUBSTITUTE(INDEX($B$3:$B$168,K1577),CHAR(10),CHAR(1),L1577)),LEN(INDEX($B$3:$B$168,K1577))+1))</x:f>
      </x:c>
    </x:row>
    <x:row r="1578">
      <x:c r="A1578"/>
      <x:c r="B1578"/>
      <x:c r="C1578"/>
      <x:c r="D1578" t="str">
        <x:f>IFERROR(IF(1576&lt;=$O$1,INDEX($A$3:$A$168,MATCH(1576,$I$3:$I$168,0)),IF(1576&lt;=$O$1+$O$2,INDEX($F$3:$F$1994,MATCH(1576-$O$1,$G$3:$G$1994,0)),"")),"")</x:f>
      </x:c>
      <x:c r="E1578" t="str">
        <x:f>IF(K1578="","",IF(N1578&lt;=M1578,"",TRIM(CLEAN(MID(INDEX($B$3:$B$168,K1578),M1578,N1578-M1578)))))</x:f>
      </x:c>
      <x:c r="F1578" t="str">
        <x:f>IF(E1578="","",IF(E1578=TRIM(INDEX($A$3:$A$168,K1578)),"",IF(RIGHT(TRIM(INDEX($A$3:$A$168,K1578)),1)="]",LEFT(TRIM(INDEX($A$3:$A$168,K1578)),LEN(TRIM(INDEX($A$3:$A$168,K1578)))-1)&amp;", "&amp;SUBSTITUTE(SUBSTITUTE(SUBSTITUTE(E1578," [",", "),"[",", "),"]","")&amp;"]",TRIM(INDEX($A$3:$A$168,K1578))&amp;" ["&amp;SUBSTITUTE(SUBSTITUTE(SUBSTITUTE(E1578," [",", "),"[",", "),"]","")&amp;"]")))</x:f>
      </x:c>
      <x:c r="G1578" t="str">
        <x:f>IF(F1578&lt;&gt;"",ROWS($F$3:F1578)-COUNTBLANK($F$3:F1578),"")</x:f>
      </x:c>
      <x:c r="H1578"/>
      <x:c r="I1578"/>
      <x:c r="J1578"/>
      <x:c r="K1578" t="str">
        <x:f>IF(ROW()-ROW($K$2)&lt;=SUM($J$3:$J$168),COUNTIF($H$3:$H$168,"&lt;"&amp;(ROW()-ROW($K$2))),"")</x:f>
      </x:c>
      <x:c r="L1578" t="str">
        <x:f>IF(K1578="","",ROW()-ROW($L$2)-INDEX($H$3:$H$168,K1578))</x:f>
      </x:c>
      <x:c r="M1578" t="str">
        <x:f>IF(K1578="","",IF(L1578=1,1,FIND(CHAR(1),SUBSTITUTE(INDEX($B$3:$B$168,K1578),CHAR(10),CHAR(1),L1578-1))+1))</x:f>
      </x:c>
      <x:c r="N1578" t="str">
        <x:f>IF(K1578="","",IFERROR(FIND(CHAR(1),SUBSTITUTE(INDEX($B$3:$B$168,K1578),CHAR(10),CHAR(1),L1578)),LEN(INDEX($B$3:$B$168,K1578))+1))</x:f>
      </x:c>
    </x:row>
    <x:row r="1579">
      <x:c r="A1579"/>
      <x:c r="B1579"/>
      <x:c r="C1579"/>
      <x:c r="D1579" t="str">
        <x:f>IFERROR(IF(1577&lt;=$O$1,INDEX($A$3:$A$168,MATCH(1577,$I$3:$I$168,0)),IF(1577&lt;=$O$1+$O$2,INDEX($F$3:$F$1994,MATCH(1577-$O$1,$G$3:$G$1994,0)),"")),"")</x:f>
      </x:c>
      <x:c r="E1579" t="str">
        <x:f>IF(K1579="","",IF(N1579&lt;=M1579,"",TRIM(CLEAN(MID(INDEX($B$3:$B$168,K1579),M1579,N1579-M1579)))))</x:f>
      </x:c>
      <x:c r="F1579" t="str">
        <x:f>IF(E1579="","",IF(E1579=TRIM(INDEX($A$3:$A$168,K1579)),"",IF(RIGHT(TRIM(INDEX($A$3:$A$168,K1579)),1)="]",LEFT(TRIM(INDEX($A$3:$A$168,K1579)),LEN(TRIM(INDEX($A$3:$A$168,K1579)))-1)&amp;", "&amp;SUBSTITUTE(SUBSTITUTE(SUBSTITUTE(E1579," [",", "),"[",", "),"]","")&amp;"]",TRIM(INDEX($A$3:$A$168,K1579))&amp;" ["&amp;SUBSTITUTE(SUBSTITUTE(SUBSTITUTE(E1579," [",", "),"[",", "),"]","")&amp;"]")))</x:f>
      </x:c>
      <x:c r="G1579" t="str">
        <x:f>IF(F1579&lt;&gt;"",ROWS($F$3:F1579)-COUNTBLANK($F$3:F1579),"")</x:f>
      </x:c>
      <x:c r="H1579"/>
      <x:c r="I1579"/>
      <x:c r="J1579"/>
      <x:c r="K1579" t="str">
        <x:f>IF(ROW()-ROW($K$2)&lt;=SUM($J$3:$J$168),COUNTIF($H$3:$H$168,"&lt;"&amp;(ROW()-ROW($K$2))),"")</x:f>
      </x:c>
      <x:c r="L1579" t="str">
        <x:f>IF(K1579="","",ROW()-ROW($L$2)-INDEX($H$3:$H$168,K1579))</x:f>
      </x:c>
      <x:c r="M1579" t="str">
        <x:f>IF(K1579="","",IF(L1579=1,1,FIND(CHAR(1),SUBSTITUTE(INDEX($B$3:$B$168,K1579),CHAR(10),CHAR(1),L1579-1))+1))</x:f>
      </x:c>
      <x:c r="N1579" t="str">
        <x:f>IF(K1579="","",IFERROR(FIND(CHAR(1),SUBSTITUTE(INDEX($B$3:$B$168,K1579),CHAR(10),CHAR(1),L1579)),LEN(INDEX($B$3:$B$168,K1579))+1))</x:f>
      </x:c>
    </x:row>
    <x:row r="1580">
      <x:c r="A1580"/>
      <x:c r="B1580"/>
      <x:c r="C1580"/>
      <x:c r="D1580" t="str">
        <x:f>IFERROR(IF(1578&lt;=$O$1,INDEX($A$3:$A$168,MATCH(1578,$I$3:$I$168,0)),IF(1578&lt;=$O$1+$O$2,INDEX($F$3:$F$1994,MATCH(1578-$O$1,$G$3:$G$1994,0)),"")),"")</x:f>
      </x:c>
      <x:c r="E1580" t="str">
        <x:f>IF(K1580="","",IF(N1580&lt;=M1580,"",TRIM(CLEAN(MID(INDEX($B$3:$B$168,K1580),M1580,N1580-M1580)))))</x:f>
      </x:c>
      <x:c r="F1580" t="str">
        <x:f>IF(E1580="","",IF(E1580=TRIM(INDEX($A$3:$A$168,K1580)),"",IF(RIGHT(TRIM(INDEX($A$3:$A$168,K1580)),1)="]",LEFT(TRIM(INDEX($A$3:$A$168,K1580)),LEN(TRIM(INDEX($A$3:$A$168,K1580)))-1)&amp;", "&amp;SUBSTITUTE(SUBSTITUTE(SUBSTITUTE(E1580," [",", "),"[",", "),"]","")&amp;"]",TRIM(INDEX($A$3:$A$168,K1580))&amp;" ["&amp;SUBSTITUTE(SUBSTITUTE(SUBSTITUTE(E1580," [",", "),"[",", "),"]","")&amp;"]")))</x:f>
      </x:c>
      <x:c r="G1580" t="str">
        <x:f>IF(F1580&lt;&gt;"",ROWS($F$3:F1580)-COUNTBLANK($F$3:F1580),"")</x:f>
      </x:c>
      <x:c r="H1580"/>
      <x:c r="I1580"/>
      <x:c r="J1580"/>
      <x:c r="K1580" t="str">
        <x:f>IF(ROW()-ROW($K$2)&lt;=SUM($J$3:$J$168),COUNTIF($H$3:$H$168,"&lt;"&amp;(ROW()-ROW($K$2))),"")</x:f>
      </x:c>
      <x:c r="L1580" t="str">
        <x:f>IF(K1580="","",ROW()-ROW($L$2)-INDEX($H$3:$H$168,K1580))</x:f>
      </x:c>
      <x:c r="M1580" t="str">
        <x:f>IF(K1580="","",IF(L1580=1,1,FIND(CHAR(1),SUBSTITUTE(INDEX($B$3:$B$168,K1580),CHAR(10),CHAR(1),L1580-1))+1))</x:f>
      </x:c>
      <x:c r="N1580" t="str">
        <x:f>IF(K1580="","",IFERROR(FIND(CHAR(1),SUBSTITUTE(INDEX($B$3:$B$168,K1580),CHAR(10),CHAR(1),L1580)),LEN(INDEX($B$3:$B$168,K1580))+1))</x:f>
      </x:c>
    </x:row>
    <x:row r="1581">
      <x:c r="A1581"/>
      <x:c r="B1581"/>
      <x:c r="C1581"/>
      <x:c r="D1581" t="str">
        <x:f>IFERROR(IF(1579&lt;=$O$1,INDEX($A$3:$A$168,MATCH(1579,$I$3:$I$168,0)),IF(1579&lt;=$O$1+$O$2,INDEX($F$3:$F$1994,MATCH(1579-$O$1,$G$3:$G$1994,0)),"")),"")</x:f>
      </x:c>
      <x:c r="E1581" t="str">
        <x:f>IF(K1581="","",IF(N1581&lt;=M1581,"",TRIM(CLEAN(MID(INDEX($B$3:$B$168,K1581),M1581,N1581-M1581)))))</x:f>
      </x:c>
      <x:c r="F1581" t="str">
        <x:f>IF(E1581="","",IF(E1581=TRIM(INDEX($A$3:$A$168,K1581)),"",IF(RIGHT(TRIM(INDEX($A$3:$A$168,K1581)),1)="]",LEFT(TRIM(INDEX($A$3:$A$168,K1581)),LEN(TRIM(INDEX($A$3:$A$168,K1581)))-1)&amp;", "&amp;SUBSTITUTE(SUBSTITUTE(SUBSTITUTE(E1581," [",", "),"[",", "),"]","")&amp;"]",TRIM(INDEX($A$3:$A$168,K1581))&amp;" ["&amp;SUBSTITUTE(SUBSTITUTE(SUBSTITUTE(E1581," [",", "),"[",", "),"]","")&amp;"]")))</x:f>
      </x:c>
      <x:c r="G1581" t="str">
        <x:f>IF(F1581&lt;&gt;"",ROWS($F$3:F1581)-COUNTBLANK($F$3:F1581),"")</x:f>
      </x:c>
      <x:c r="H1581"/>
      <x:c r="I1581"/>
      <x:c r="J1581"/>
      <x:c r="K1581" t="str">
        <x:f>IF(ROW()-ROW($K$2)&lt;=SUM($J$3:$J$168),COUNTIF($H$3:$H$168,"&lt;"&amp;(ROW()-ROW($K$2))),"")</x:f>
      </x:c>
      <x:c r="L1581" t="str">
        <x:f>IF(K1581="","",ROW()-ROW($L$2)-INDEX($H$3:$H$168,K1581))</x:f>
      </x:c>
      <x:c r="M1581" t="str">
        <x:f>IF(K1581="","",IF(L1581=1,1,FIND(CHAR(1),SUBSTITUTE(INDEX($B$3:$B$168,K1581),CHAR(10),CHAR(1),L1581-1))+1))</x:f>
      </x:c>
      <x:c r="N1581" t="str">
        <x:f>IF(K1581="","",IFERROR(FIND(CHAR(1),SUBSTITUTE(INDEX($B$3:$B$168,K1581),CHAR(10),CHAR(1),L1581)),LEN(INDEX($B$3:$B$168,K1581))+1))</x:f>
      </x:c>
    </x:row>
    <x:row r="1582">
      <x:c r="A1582"/>
      <x:c r="B1582"/>
      <x:c r="C1582"/>
      <x:c r="D1582" t="str">
        <x:f>IFERROR(IF(1580&lt;=$O$1,INDEX($A$3:$A$168,MATCH(1580,$I$3:$I$168,0)),IF(1580&lt;=$O$1+$O$2,INDEX($F$3:$F$1994,MATCH(1580-$O$1,$G$3:$G$1994,0)),"")),"")</x:f>
      </x:c>
      <x:c r="E1582" t="str">
        <x:f>IF(K1582="","",IF(N1582&lt;=M1582,"",TRIM(CLEAN(MID(INDEX($B$3:$B$168,K1582),M1582,N1582-M1582)))))</x:f>
      </x:c>
      <x:c r="F1582" t="str">
        <x:f>IF(E1582="","",IF(E1582=TRIM(INDEX($A$3:$A$168,K1582)),"",IF(RIGHT(TRIM(INDEX($A$3:$A$168,K1582)),1)="]",LEFT(TRIM(INDEX($A$3:$A$168,K1582)),LEN(TRIM(INDEX($A$3:$A$168,K1582)))-1)&amp;", "&amp;SUBSTITUTE(SUBSTITUTE(SUBSTITUTE(E1582," [",", "),"[",", "),"]","")&amp;"]",TRIM(INDEX($A$3:$A$168,K1582))&amp;" ["&amp;SUBSTITUTE(SUBSTITUTE(SUBSTITUTE(E1582," [",", "),"[",", "),"]","")&amp;"]")))</x:f>
      </x:c>
      <x:c r="G1582" t="str">
        <x:f>IF(F1582&lt;&gt;"",ROWS($F$3:F1582)-COUNTBLANK($F$3:F1582),"")</x:f>
      </x:c>
      <x:c r="H1582"/>
      <x:c r="I1582"/>
      <x:c r="J1582"/>
      <x:c r="K1582" t="str">
        <x:f>IF(ROW()-ROW($K$2)&lt;=SUM($J$3:$J$168),COUNTIF($H$3:$H$168,"&lt;"&amp;(ROW()-ROW($K$2))),"")</x:f>
      </x:c>
      <x:c r="L1582" t="str">
        <x:f>IF(K1582="","",ROW()-ROW($L$2)-INDEX($H$3:$H$168,K1582))</x:f>
      </x:c>
      <x:c r="M1582" t="str">
        <x:f>IF(K1582="","",IF(L1582=1,1,FIND(CHAR(1),SUBSTITUTE(INDEX($B$3:$B$168,K1582),CHAR(10),CHAR(1),L1582-1))+1))</x:f>
      </x:c>
      <x:c r="N1582" t="str">
        <x:f>IF(K1582="","",IFERROR(FIND(CHAR(1),SUBSTITUTE(INDEX($B$3:$B$168,K1582),CHAR(10),CHAR(1),L1582)),LEN(INDEX($B$3:$B$168,K1582))+1))</x:f>
      </x:c>
    </x:row>
    <x:row r="1583">
      <x:c r="A1583"/>
      <x:c r="B1583"/>
      <x:c r="C1583"/>
      <x:c r="D1583" t="str">
        <x:f>IFERROR(IF(1581&lt;=$O$1,INDEX($A$3:$A$168,MATCH(1581,$I$3:$I$168,0)),IF(1581&lt;=$O$1+$O$2,INDEX($F$3:$F$1994,MATCH(1581-$O$1,$G$3:$G$1994,0)),"")),"")</x:f>
      </x:c>
      <x:c r="E1583" t="str">
        <x:f>IF(K1583="","",IF(N1583&lt;=M1583,"",TRIM(CLEAN(MID(INDEX($B$3:$B$168,K1583),M1583,N1583-M1583)))))</x:f>
      </x:c>
      <x:c r="F1583" t="str">
        <x:f>IF(E1583="","",IF(E1583=TRIM(INDEX($A$3:$A$168,K1583)),"",IF(RIGHT(TRIM(INDEX($A$3:$A$168,K1583)),1)="]",LEFT(TRIM(INDEX($A$3:$A$168,K1583)),LEN(TRIM(INDEX($A$3:$A$168,K1583)))-1)&amp;", "&amp;SUBSTITUTE(SUBSTITUTE(SUBSTITUTE(E1583," [",", "),"[",", "),"]","")&amp;"]",TRIM(INDEX($A$3:$A$168,K1583))&amp;" ["&amp;SUBSTITUTE(SUBSTITUTE(SUBSTITUTE(E1583," [",", "),"[",", "),"]","")&amp;"]")))</x:f>
      </x:c>
      <x:c r="G1583" t="str">
        <x:f>IF(F1583&lt;&gt;"",ROWS($F$3:F1583)-COUNTBLANK($F$3:F1583),"")</x:f>
      </x:c>
      <x:c r="H1583"/>
      <x:c r="I1583"/>
      <x:c r="J1583"/>
      <x:c r="K1583" t="str">
        <x:f>IF(ROW()-ROW($K$2)&lt;=SUM($J$3:$J$168),COUNTIF($H$3:$H$168,"&lt;"&amp;(ROW()-ROW($K$2))),"")</x:f>
      </x:c>
      <x:c r="L1583" t="str">
        <x:f>IF(K1583="","",ROW()-ROW($L$2)-INDEX($H$3:$H$168,K1583))</x:f>
      </x:c>
      <x:c r="M1583" t="str">
        <x:f>IF(K1583="","",IF(L1583=1,1,FIND(CHAR(1),SUBSTITUTE(INDEX($B$3:$B$168,K1583),CHAR(10),CHAR(1),L1583-1))+1))</x:f>
      </x:c>
      <x:c r="N1583" t="str">
        <x:f>IF(K1583="","",IFERROR(FIND(CHAR(1),SUBSTITUTE(INDEX($B$3:$B$168,K1583),CHAR(10),CHAR(1),L1583)),LEN(INDEX($B$3:$B$168,K1583))+1))</x:f>
      </x:c>
    </x:row>
    <x:row r="1584">
      <x:c r="A1584"/>
      <x:c r="B1584"/>
      <x:c r="C1584"/>
      <x:c r="D1584" t="str">
        <x:f>IFERROR(IF(1582&lt;=$O$1,INDEX($A$3:$A$168,MATCH(1582,$I$3:$I$168,0)),IF(1582&lt;=$O$1+$O$2,INDEX($F$3:$F$1994,MATCH(1582-$O$1,$G$3:$G$1994,0)),"")),"")</x:f>
      </x:c>
      <x:c r="E1584" t="str">
        <x:f>IF(K1584="","",IF(N1584&lt;=M1584,"",TRIM(CLEAN(MID(INDEX($B$3:$B$168,K1584),M1584,N1584-M1584)))))</x:f>
      </x:c>
      <x:c r="F1584" t="str">
        <x:f>IF(E1584="","",IF(E1584=TRIM(INDEX($A$3:$A$168,K1584)),"",IF(RIGHT(TRIM(INDEX($A$3:$A$168,K1584)),1)="]",LEFT(TRIM(INDEX($A$3:$A$168,K1584)),LEN(TRIM(INDEX($A$3:$A$168,K1584)))-1)&amp;", "&amp;SUBSTITUTE(SUBSTITUTE(SUBSTITUTE(E1584," [",", "),"[",", "),"]","")&amp;"]",TRIM(INDEX($A$3:$A$168,K1584))&amp;" ["&amp;SUBSTITUTE(SUBSTITUTE(SUBSTITUTE(E1584," [",", "),"[",", "),"]","")&amp;"]")))</x:f>
      </x:c>
      <x:c r="G1584" t="str">
        <x:f>IF(F1584&lt;&gt;"",ROWS($F$3:F1584)-COUNTBLANK($F$3:F1584),"")</x:f>
      </x:c>
      <x:c r="H1584"/>
      <x:c r="I1584"/>
      <x:c r="J1584"/>
      <x:c r="K1584" t="str">
        <x:f>IF(ROW()-ROW($K$2)&lt;=SUM($J$3:$J$168),COUNTIF($H$3:$H$168,"&lt;"&amp;(ROW()-ROW($K$2))),"")</x:f>
      </x:c>
      <x:c r="L1584" t="str">
        <x:f>IF(K1584="","",ROW()-ROW($L$2)-INDEX($H$3:$H$168,K1584))</x:f>
      </x:c>
      <x:c r="M1584" t="str">
        <x:f>IF(K1584="","",IF(L1584=1,1,FIND(CHAR(1),SUBSTITUTE(INDEX($B$3:$B$168,K1584),CHAR(10),CHAR(1),L1584-1))+1))</x:f>
      </x:c>
      <x:c r="N1584" t="str">
        <x:f>IF(K1584="","",IFERROR(FIND(CHAR(1),SUBSTITUTE(INDEX($B$3:$B$168,K1584),CHAR(10),CHAR(1),L1584)),LEN(INDEX($B$3:$B$168,K1584))+1))</x:f>
      </x:c>
    </x:row>
    <x:row r="1585">
      <x:c r="A1585"/>
      <x:c r="B1585"/>
      <x:c r="C1585"/>
      <x:c r="D1585" t="str">
        <x:f>IFERROR(IF(1583&lt;=$O$1,INDEX($A$3:$A$168,MATCH(1583,$I$3:$I$168,0)),IF(1583&lt;=$O$1+$O$2,INDEX($F$3:$F$1994,MATCH(1583-$O$1,$G$3:$G$1994,0)),"")),"")</x:f>
      </x:c>
      <x:c r="E1585" t="str">
        <x:f>IF(K1585="","",IF(N1585&lt;=M1585,"",TRIM(CLEAN(MID(INDEX($B$3:$B$168,K1585),M1585,N1585-M1585)))))</x:f>
      </x:c>
      <x:c r="F1585" t="str">
        <x:f>IF(E1585="","",IF(E1585=TRIM(INDEX($A$3:$A$168,K1585)),"",IF(RIGHT(TRIM(INDEX($A$3:$A$168,K1585)),1)="]",LEFT(TRIM(INDEX($A$3:$A$168,K1585)),LEN(TRIM(INDEX($A$3:$A$168,K1585)))-1)&amp;", "&amp;SUBSTITUTE(SUBSTITUTE(SUBSTITUTE(E1585," [",", "),"[",", "),"]","")&amp;"]",TRIM(INDEX($A$3:$A$168,K1585))&amp;" ["&amp;SUBSTITUTE(SUBSTITUTE(SUBSTITUTE(E1585," [",", "),"[",", "),"]","")&amp;"]")))</x:f>
      </x:c>
      <x:c r="G1585" t="str">
        <x:f>IF(F1585&lt;&gt;"",ROWS($F$3:F1585)-COUNTBLANK($F$3:F1585),"")</x:f>
      </x:c>
      <x:c r="H1585"/>
      <x:c r="I1585"/>
      <x:c r="J1585"/>
      <x:c r="K1585" t="str">
        <x:f>IF(ROW()-ROW($K$2)&lt;=SUM($J$3:$J$168),COUNTIF($H$3:$H$168,"&lt;"&amp;(ROW()-ROW($K$2))),"")</x:f>
      </x:c>
      <x:c r="L1585" t="str">
        <x:f>IF(K1585="","",ROW()-ROW($L$2)-INDEX($H$3:$H$168,K1585))</x:f>
      </x:c>
      <x:c r="M1585" t="str">
        <x:f>IF(K1585="","",IF(L1585=1,1,FIND(CHAR(1),SUBSTITUTE(INDEX($B$3:$B$168,K1585),CHAR(10),CHAR(1),L1585-1))+1))</x:f>
      </x:c>
      <x:c r="N1585" t="str">
        <x:f>IF(K1585="","",IFERROR(FIND(CHAR(1),SUBSTITUTE(INDEX($B$3:$B$168,K1585),CHAR(10),CHAR(1),L1585)),LEN(INDEX($B$3:$B$168,K1585))+1))</x:f>
      </x:c>
    </x:row>
    <x:row r="1586">
      <x:c r="A1586"/>
      <x:c r="B1586"/>
      <x:c r="C1586"/>
      <x:c r="D1586" t="str">
        <x:f>IFERROR(IF(1584&lt;=$O$1,INDEX($A$3:$A$168,MATCH(1584,$I$3:$I$168,0)),IF(1584&lt;=$O$1+$O$2,INDEX($F$3:$F$1994,MATCH(1584-$O$1,$G$3:$G$1994,0)),"")),"")</x:f>
      </x:c>
      <x:c r="E1586" t="str">
        <x:f>IF(K1586="","",IF(N1586&lt;=M1586,"",TRIM(CLEAN(MID(INDEX($B$3:$B$168,K1586),M1586,N1586-M1586)))))</x:f>
      </x:c>
      <x:c r="F1586" t="str">
        <x:f>IF(E1586="","",IF(E1586=TRIM(INDEX($A$3:$A$168,K1586)),"",IF(RIGHT(TRIM(INDEX($A$3:$A$168,K1586)),1)="]",LEFT(TRIM(INDEX($A$3:$A$168,K1586)),LEN(TRIM(INDEX($A$3:$A$168,K1586)))-1)&amp;", "&amp;SUBSTITUTE(SUBSTITUTE(SUBSTITUTE(E1586," [",", "),"[",", "),"]","")&amp;"]",TRIM(INDEX($A$3:$A$168,K1586))&amp;" ["&amp;SUBSTITUTE(SUBSTITUTE(SUBSTITUTE(E1586," [",", "),"[",", "),"]","")&amp;"]")))</x:f>
      </x:c>
      <x:c r="G1586" t="str">
        <x:f>IF(F1586&lt;&gt;"",ROWS($F$3:F1586)-COUNTBLANK($F$3:F1586),"")</x:f>
      </x:c>
      <x:c r="H1586"/>
      <x:c r="I1586"/>
      <x:c r="J1586"/>
      <x:c r="K1586" t="str">
        <x:f>IF(ROW()-ROW($K$2)&lt;=SUM($J$3:$J$168),COUNTIF($H$3:$H$168,"&lt;"&amp;(ROW()-ROW($K$2))),"")</x:f>
      </x:c>
      <x:c r="L1586" t="str">
        <x:f>IF(K1586="","",ROW()-ROW($L$2)-INDEX($H$3:$H$168,K1586))</x:f>
      </x:c>
      <x:c r="M1586" t="str">
        <x:f>IF(K1586="","",IF(L1586=1,1,FIND(CHAR(1),SUBSTITUTE(INDEX($B$3:$B$168,K1586),CHAR(10),CHAR(1),L1586-1))+1))</x:f>
      </x:c>
      <x:c r="N1586" t="str">
        <x:f>IF(K1586="","",IFERROR(FIND(CHAR(1),SUBSTITUTE(INDEX($B$3:$B$168,K1586),CHAR(10),CHAR(1),L1586)),LEN(INDEX($B$3:$B$168,K1586))+1))</x:f>
      </x:c>
    </x:row>
    <x:row r="1587">
      <x:c r="A1587"/>
      <x:c r="B1587"/>
      <x:c r="C1587"/>
      <x:c r="D1587" t="str">
        <x:f>IFERROR(IF(1585&lt;=$O$1,INDEX($A$3:$A$168,MATCH(1585,$I$3:$I$168,0)),IF(1585&lt;=$O$1+$O$2,INDEX($F$3:$F$1994,MATCH(1585-$O$1,$G$3:$G$1994,0)),"")),"")</x:f>
      </x:c>
      <x:c r="E1587" t="str">
        <x:f>IF(K1587="","",IF(N1587&lt;=M1587,"",TRIM(CLEAN(MID(INDEX($B$3:$B$168,K1587),M1587,N1587-M1587)))))</x:f>
      </x:c>
      <x:c r="F1587" t="str">
        <x:f>IF(E1587="","",IF(E1587=TRIM(INDEX($A$3:$A$168,K1587)),"",IF(RIGHT(TRIM(INDEX($A$3:$A$168,K1587)),1)="]",LEFT(TRIM(INDEX($A$3:$A$168,K1587)),LEN(TRIM(INDEX($A$3:$A$168,K1587)))-1)&amp;", "&amp;SUBSTITUTE(SUBSTITUTE(SUBSTITUTE(E1587," [",", "),"[",", "),"]","")&amp;"]",TRIM(INDEX($A$3:$A$168,K1587))&amp;" ["&amp;SUBSTITUTE(SUBSTITUTE(SUBSTITUTE(E1587," [",", "),"[",", "),"]","")&amp;"]")))</x:f>
      </x:c>
      <x:c r="G1587" t="str">
        <x:f>IF(F1587&lt;&gt;"",ROWS($F$3:F1587)-COUNTBLANK($F$3:F1587),"")</x:f>
      </x:c>
      <x:c r="H1587"/>
      <x:c r="I1587"/>
      <x:c r="J1587"/>
      <x:c r="K1587" t="str">
        <x:f>IF(ROW()-ROW($K$2)&lt;=SUM($J$3:$J$168),COUNTIF($H$3:$H$168,"&lt;"&amp;(ROW()-ROW($K$2))),"")</x:f>
      </x:c>
      <x:c r="L1587" t="str">
        <x:f>IF(K1587="","",ROW()-ROW($L$2)-INDEX($H$3:$H$168,K1587))</x:f>
      </x:c>
      <x:c r="M1587" t="str">
        <x:f>IF(K1587="","",IF(L1587=1,1,FIND(CHAR(1),SUBSTITUTE(INDEX($B$3:$B$168,K1587),CHAR(10),CHAR(1),L1587-1))+1))</x:f>
      </x:c>
      <x:c r="N1587" t="str">
        <x:f>IF(K1587="","",IFERROR(FIND(CHAR(1),SUBSTITUTE(INDEX($B$3:$B$168,K1587),CHAR(10),CHAR(1),L1587)),LEN(INDEX($B$3:$B$168,K1587))+1))</x:f>
      </x:c>
    </x:row>
    <x:row r="1588">
      <x:c r="A1588"/>
      <x:c r="B1588"/>
      <x:c r="C1588"/>
      <x:c r="D1588" t="str">
        <x:f>IFERROR(IF(1586&lt;=$O$1,INDEX($A$3:$A$168,MATCH(1586,$I$3:$I$168,0)),IF(1586&lt;=$O$1+$O$2,INDEX($F$3:$F$1994,MATCH(1586-$O$1,$G$3:$G$1994,0)),"")),"")</x:f>
      </x:c>
      <x:c r="E1588" t="str">
        <x:f>IF(K1588="","",IF(N1588&lt;=M1588,"",TRIM(CLEAN(MID(INDEX($B$3:$B$168,K1588),M1588,N1588-M1588)))))</x:f>
      </x:c>
      <x:c r="F1588" t="str">
        <x:f>IF(E1588="","",IF(E1588=TRIM(INDEX($A$3:$A$168,K1588)),"",IF(RIGHT(TRIM(INDEX($A$3:$A$168,K1588)),1)="]",LEFT(TRIM(INDEX($A$3:$A$168,K1588)),LEN(TRIM(INDEX($A$3:$A$168,K1588)))-1)&amp;", "&amp;SUBSTITUTE(SUBSTITUTE(SUBSTITUTE(E1588," [",", "),"[",", "),"]","")&amp;"]",TRIM(INDEX($A$3:$A$168,K1588))&amp;" ["&amp;SUBSTITUTE(SUBSTITUTE(SUBSTITUTE(E1588," [",", "),"[",", "),"]","")&amp;"]")))</x:f>
      </x:c>
      <x:c r="G1588" t="str">
        <x:f>IF(F1588&lt;&gt;"",ROWS($F$3:F1588)-COUNTBLANK($F$3:F1588),"")</x:f>
      </x:c>
      <x:c r="H1588"/>
      <x:c r="I1588"/>
      <x:c r="J1588"/>
      <x:c r="K1588" t="str">
        <x:f>IF(ROW()-ROW($K$2)&lt;=SUM($J$3:$J$168),COUNTIF($H$3:$H$168,"&lt;"&amp;(ROW()-ROW($K$2))),"")</x:f>
      </x:c>
      <x:c r="L1588" t="str">
        <x:f>IF(K1588="","",ROW()-ROW($L$2)-INDEX($H$3:$H$168,K1588))</x:f>
      </x:c>
      <x:c r="M1588" t="str">
        <x:f>IF(K1588="","",IF(L1588=1,1,FIND(CHAR(1),SUBSTITUTE(INDEX($B$3:$B$168,K1588),CHAR(10),CHAR(1),L1588-1))+1))</x:f>
      </x:c>
      <x:c r="N1588" t="str">
        <x:f>IF(K1588="","",IFERROR(FIND(CHAR(1),SUBSTITUTE(INDEX($B$3:$B$168,K1588),CHAR(10),CHAR(1),L1588)),LEN(INDEX($B$3:$B$168,K1588))+1))</x:f>
      </x:c>
    </x:row>
    <x:row r="1589">
      <x:c r="A1589"/>
      <x:c r="B1589"/>
      <x:c r="C1589"/>
      <x:c r="D1589" t="str">
        <x:f>IFERROR(IF(1587&lt;=$O$1,INDEX($A$3:$A$168,MATCH(1587,$I$3:$I$168,0)),IF(1587&lt;=$O$1+$O$2,INDEX($F$3:$F$1994,MATCH(1587-$O$1,$G$3:$G$1994,0)),"")),"")</x:f>
      </x:c>
      <x:c r="E1589" t="str">
        <x:f>IF(K1589="","",IF(N1589&lt;=M1589,"",TRIM(CLEAN(MID(INDEX($B$3:$B$168,K1589),M1589,N1589-M1589)))))</x:f>
      </x:c>
      <x:c r="F1589" t="str">
        <x:f>IF(E1589="","",IF(E1589=TRIM(INDEX($A$3:$A$168,K1589)),"",IF(RIGHT(TRIM(INDEX($A$3:$A$168,K1589)),1)="]",LEFT(TRIM(INDEX($A$3:$A$168,K1589)),LEN(TRIM(INDEX($A$3:$A$168,K1589)))-1)&amp;", "&amp;SUBSTITUTE(SUBSTITUTE(SUBSTITUTE(E1589," [",", "),"[",", "),"]","")&amp;"]",TRIM(INDEX($A$3:$A$168,K1589))&amp;" ["&amp;SUBSTITUTE(SUBSTITUTE(SUBSTITUTE(E1589," [",", "),"[",", "),"]","")&amp;"]")))</x:f>
      </x:c>
      <x:c r="G1589" t="str">
        <x:f>IF(F1589&lt;&gt;"",ROWS($F$3:F1589)-COUNTBLANK($F$3:F1589),"")</x:f>
      </x:c>
      <x:c r="H1589"/>
      <x:c r="I1589"/>
      <x:c r="J1589"/>
      <x:c r="K1589" t="str">
        <x:f>IF(ROW()-ROW($K$2)&lt;=SUM($J$3:$J$168),COUNTIF($H$3:$H$168,"&lt;"&amp;(ROW()-ROW($K$2))),"")</x:f>
      </x:c>
      <x:c r="L1589" t="str">
        <x:f>IF(K1589="","",ROW()-ROW($L$2)-INDEX($H$3:$H$168,K1589))</x:f>
      </x:c>
      <x:c r="M1589" t="str">
        <x:f>IF(K1589="","",IF(L1589=1,1,FIND(CHAR(1),SUBSTITUTE(INDEX($B$3:$B$168,K1589),CHAR(10),CHAR(1),L1589-1))+1))</x:f>
      </x:c>
      <x:c r="N1589" t="str">
        <x:f>IF(K1589="","",IFERROR(FIND(CHAR(1),SUBSTITUTE(INDEX($B$3:$B$168,K1589),CHAR(10),CHAR(1),L1589)),LEN(INDEX($B$3:$B$168,K1589))+1))</x:f>
      </x:c>
    </x:row>
    <x:row r="1590">
      <x:c r="A1590"/>
      <x:c r="B1590"/>
      <x:c r="C1590"/>
      <x:c r="D1590" t="str">
        <x:f>IFERROR(IF(1588&lt;=$O$1,INDEX($A$3:$A$168,MATCH(1588,$I$3:$I$168,0)),IF(1588&lt;=$O$1+$O$2,INDEX($F$3:$F$1994,MATCH(1588-$O$1,$G$3:$G$1994,0)),"")),"")</x:f>
      </x:c>
      <x:c r="E1590" t="str">
        <x:f>IF(K1590="","",IF(N1590&lt;=M1590,"",TRIM(CLEAN(MID(INDEX($B$3:$B$168,K1590),M1590,N1590-M1590)))))</x:f>
      </x:c>
      <x:c r="F1590" t="str">
        <x:f>IF(E1590="","",IF(E1590=TRIM(INDEX($A$3:$A$168,K1590)),"",IF(RIGHT(TRIM(INDEX($A$3:$A$168,K1590)),1)="]",LEFT(TRIM(INDEX($A$3:$A$168,K1590)),LEN(TRIM(INDEX($A$3:$A$168,K1590)))-1)&amp;", "&amp;SUBSTITUTE(SUBSTITUTE(SUBSTITUTE(E1590," [",", "),"[",", "),"]","")&amp;"]",TRIM(INDEX($A$3:$A$168,K1590))&amp;" ["&amp;SUBSTITUTE(SUBSTITUTE(SUBSTITUTE(E1590," [",", "),"[",", "),"]","")&amp;"]")))</x:f>
      </x:c>
      <x:c r="G1590" t="str">
        <x:f>IF(F1590&lt;&gt;"",ROWS($F$3:F1590)-COUNTBLANK($F$3:F1590),"")</x:f>
      </x:c>
      <x:c r="H1590"/>
      <x:c r="I1590"/>
      <x:c r="J1590"/>
      <x:c r="K1590" t="str">
        <x:f>IF(ROW()-ROW($K$2)&lt;=SUM($J$3:$J$168),COUNTIF($H$3:$H$168,"&lt;"&amp;(ROW()-ROW($K$2))),"")</x:f>
      </x:c>
      <x:c r="L1590" t="str">
        <x:f>IF(K1590="","",ROW()-ROW($L$2)-INDEX($H$3:$H$168,K1590))</x:f>
      </x:c>
      <x:c r="M1590" t="str">
        <x:f>IF(K1590="","",IF(L1590=1,1,FIND(CHAR(1),SUBSTITUTE(INDEX($B$3:$B$168,K1590),CHAR(10),CHAR(1),L1590-1))+1))</x:f>
      </x:c>
      <x:c r="N1590" t="str">
        <x:f>IF(K1590="","",IFERROR(FIND(CHAR(1),SUBSTITUTE(INDEX($B$3:$B$168,K1590),CHAR(10),CHAR(1),L1590)),LEN(INDEX($B$3:$B$168,K1590))+1))</x:f>
      </x:c>
    </x:row>
    <x:row r="1591">
      <x:c r="A1591"/>
      <x:c r="B1591"/>
      <x:c r="C1591"/>
      <x:c r="D1591" t="str">
        <x:f>IFERROR(IF(1589&lt;=$O$1,INDEX($A$3:$A$168,MATCH(1589,$I$3:$I$168,0)),IF(1589&lt;=$O$1+$O$2,INDEX($F$3:$F$1994,MATCH(1589-$O$1,$G$3:$G$1994,0)),"")),"")</x:f>
      </x:c>
      <x:c r="E1591" t="str">
        <x:f>IF(K1591="","",IF(N1591&lt;=M1591,"",TRIM(CLEAN(MID(INDEX($B$3:$B$168,K1591),M1591,N1591-M1591)))))</x:f>
      </x:c>
      <x:c r="F1591" t="str">
        <x:f>IF(E1591="","",IF(E1591=TRIM(INDEX($A$3:$A$168,K1591)),"",IF(RIGHT(TRIM(INDEX($A$3:$A$168,K1591)),1)="]",LEFT(TRIM(INDEX($A$3:$A$168,K1591)),LEN(TRIM(INDEX($A$3:$A$168,K1591)))-1)&amp;", "&amp;SUBSTITUTE(SUBSTITUTE(SUBSTITUTE(E1591," [",", "),"[",", "),"]","")&amp;"]",TRIM(INDEX($A$3:$A$168,K1591))&amp;" ["&amp;SUBSTITUTE(SUBSTITUTE(SUBSTITUTE(E1591," [",", "),"[",", "),"]","")&amp;"]")))</x:f>
      </x:c>
      <x:c r="G1591" t="str">
        <x:f>IF(F1591&lt;&gt;"",ROWS($F$3:F1591)-COUNTBLANK($F$3:F1591),"")</x:f>
      </x:c>
      <x:c r="H1591"/>
      <x:c r="I1591"/>
      <x:c r="J1591"/>
      <x:c r="K1591" t="str">
        <x:f>IF(ROW()-ROW($K$2)&lt;=SUM($J$3:$J$168),COUNTIF($H$3:$H$168,"&lt;"&amp;(ROW()-ROW($K$2))),"")</x:f>
      </x:c>
      <x:c r="L1591" t="str">
        <x:f>IF(K1591="","",ROW()-ROW($L$2)-INDEX($H$3:$H$168,K1591))</x:f>
      </x:c>
      <x:c r="M1591" t="str">
        <x:f>IF(K1591="","",IF(L1591=1,1,FIND(CHAR(1),SUBSTITUTE(INDEX($B$3:$B$168,K1591),CHAR(10),CHAR(1),L1591-1))+1))</x:f>
      </x:c>
      <x:c r="N1591" t="str">
        <x:f>IF(K1591="","",IFERROR(FIND(CHAR(1),SUBSTITUTE(INDEX($B$3:$B$168,K1591),CHAR(10),CHAR(1),L1591)),LEN(INDEX($B$3:$B$168,K1591))+1))</x:f>
      </x:c>
    </x:row>
    <x:row r="1592">
      <x:c r="A1592"/>
      <x:c r="B1592"/>
      <x:c r="C1592"/>
      <x:c r="D1592" t="str">
        <x:f>IFERROR(IF(1590&lt;=$O$1,INDEX($A$3:$A$168,MATCH(1590,$I$3:$I$168,0)),IF(1590&lt;=$O$1+$O$2,INDEX($F$3:$F$1994,MATCH(1590-$O$1,$G$3:$G$1994,0)),"")),"")</x:f>
      </x:c>
      <x:c r="E1592" t="str">
        <x:f>IF(K1592="","",IF(N1592&lt;=M1592,"",TRIM(CLEAN(MID(INDEX($B$3:$B$168,K1592),M1592,N1592-M1592)))))</x:f>
      </x:c>
      <x:c r="F1592" t="str">
        <x:f>IF(E1592="","",IF(E1592=TRIM(INDEX($A$3:$A$168,K1592)),"",IF(RIGHT(TRIM(INDEX($A$3:$A$168,K1592)),1)="]",LEFT(TRIM(INDEX($A$3:$A$168,K1592)),LEN(TRIM(INDEX($A$3:$A$168,K1592)))-1)&amp;", "&amp;SUBSTITUTE(SUBSTITUTE(SUBSTITUTE(E1592," [",", "),"[",", "),"]","")&amp;"]",TRIM(INDEX($A$3:$A$168,K1592))&amp;" ["&amp;SUBSTITUTE(SUBSTITUTE(SUBSTITUTE(E1592," [",", "),"[",", "),"]","")&amp;"]")))</x:f>
      </x:c>
      <x:c r="G1592" t="str">
        <x:f>IF(F1592&lt;&gt;"",ROWS($F$3:F1592)-COUNTBLANK($F$3:F1592),"")</x:f>
      </x:c>
      <x:c r="H1592"/>
      <x:c r="I1592"/>
      <x:c r="J1592"/>
      <x:c r="K1592" t="str">
        <x:f>IF(ROW()-ROW($K$2)&lt;=SUM($J$3:$J$168),COUNTIF($H$3:$H$168,"&lt;"&amp;(ROW()-ROW($K$2))),"")</x:f>
      </x:c>
      <x:c r="L1592" t="str">
        <x:f>IF(K1592="","",ROW()-ROW($L$2)-INDEX($H$3:$H$168,K1592))</x:f>
      </x:c>
      <x:c r="M1592" t="str">
        <x:f>IF(K1592="","",IF(L1592=1,1,FIND(CHAR(1),SUBSTITUTE(INDEX($B$3:$B$168,K1592),CHAR(10),CHAR(1),L1592-1))+1))</x:f>
      </x:c>
      <x:c r="N1592" t="str">
        <x:f>IF(K1592="","",IFERROR(FIND(CHAR(1),SUBSTITUTE(INDEX($B$3:$B$168,K1592),CHAR(10),CHAR(1),L1592)),LEN(INDEX($B$3:$B$168,K1592))+1))</x:f>
      </x:c>
    </x:row>
    <x:row r="1593">
      <x:c r="A1593"/>
      <x:c r="B1593"/>
      <x:c r="C1593"/>
      <x:c r="D1593" t="str">
        <x:f>IFERROR(IF(1591&lt;=$O$1,INDEX($A$3:$A$168,MATCH(1591,$I$3:$I$168,0)),IF(1591&lt;=$O$1+$O$2,INDEX($F$3:$F$1994,MATCH(1591-$O$1,$G$3:$G$1994,0)),"")),"")</x:f>
      </x:c>
      <x:c r="E1593" t="str">
        <x:f>IF(K1593="","",IF(N1593&lt;=M1593,"",TRIM(CLEAN(MID(INDEX($B$3:$B$168,K1593),M1593,N1593-M1593)))))</x:f>
      </x:c>
      <x:c r="F1593" t="str">
        <x:f>IF(E1593="","",IF(E1593=TRIM(INDEX($A$3:$A$168,K1593)),"",IF(RIGHT(TRIM(INDEX($A$3:$A$168,K1593)),1)="]",LEFT(TRIM(INDEX($A$3:$A$168,K1593)),LEN(TRIM(INDEX($A$3:$A$168,K1593)))-1)&amp;", "&amp;SUBSTITUTE(SUBSTITUTE(SUBSTITUTE(E1593," [",", "),"[",", "),"]","")&amp;"]",TRIM(INDEX($A$3:$A$168,K1593))&amp;" ["&amp;SUBSTITUTE(SUBSTITUTE(SUBSTITUTE(E1593," [",", "),"[",", "),"]","")&amp;"]")))</x:f>
      </x:c>
      <x:c r="G1593" t="str">
        <x:f>IF(F1593&lt;&gt;"",ROWS($F$3:F1593)-COUNTBLANK($F$3:F1593),"")</x:f>
      </x:c>
      <x:c r="H1593"/>
      <x:c r="I1593"/>
      <x:c r="J1593"/>
      <x:c r="K1593" t="str">
        <x:f>IF(ROW()-ROW($K$2)&lt;=SUM($J$3:$J$168),COUNTIF($H$3:$H$168,"&lt;"&amp;(ROW()-ROW($K$2))),"")</x:f>
      </x:c>
      <x:c r="L1593" t="str">
        <x:f>IF(K1593="","",ROW()-ROW($L$2)-INDEX($H$3:$H$168,K1593))</x:f>
      </x:c>
      <x:c r="M1593" t="str">
        <x:f>IF(K1593="","",IF(L1593=1,1,FIND(CHAR(1),SUBSTITUTE(INDEX($B$3:$B$168,K1593),CHAR(10),CHAR(1),L1593-1))+1))</x:f>
      </x:c>
      <x:c r="N1593" t="str">
        <x:f>IF(K1593="","",IFERROR(FIND(CHAR(1),SUBSTITUTE(INDEX($B$3:$B$168,K1593),CHAR(10),CHAR(1),L1593)),LEN(INDEX($B$3:$B$168,K1593))+1))</x:f>
      </x:c>
    </x:row>
    <x:row r="1594">
      <x:c r="A1594"/>
      <x:c r="B1594"/>
      <x:c r="C1594"/>
      <x:c r="D1594" t="str">
        <x:f>IFERROR(IF(1592&lt;=$O$1,INDEX($A$3:$A$168,MATCH(1592,$I$3:$I$168,0)),IF(1592&lt;=$O$1+$O$2,INDEX($F$3:$F$1994,MATCH(1592-$O$1,$G$3:$G$1994,0)),"")),"")</x:f>
      </x:c>
      <x:c r="E1594" t="str">
        <x:f>IF(K1594="","",IF(N1594&lt;=M1594,"",TRIM(CLEAN(MID(INDEX($B$3:$B$168,K1594),M1594,N1594-M1594)))))</x:f>
      </x:c>
      <x:c r="F1594" t="str">
        <x:f>IF(E1594="","",IF(E1594=TRIM(INDEX($A$3:$A$168,K1594)),"",IF(RIGHT(TRIM(INDEX($A$3:$A$168,K1594)),1)="]",LEFT(TRIM(INDEX($A$3:$A$168,K1594)),LEN(TRIM(INDEX($A$3:$A$168,K1594)))-1)&amp;", "&amp;SUBSTITUTE(SUBSTITUTE(SUBSTITUTE(E1594," [",", "),"[",", "),"]","")&amp;"]",TRIM(INDEX($A$3:$A$168,K1594))&amp;" ["&amp;SUBSTITUTE(SUBSTITUTE(SUBSTITUTE(E1594," [",", "),"[",", "),"]","")&amp;"]")))</x:f>
      </x:c>
      <x:c r="G1594" t="str">
        <x:f>IF(F1594&lt;&gt;"",ROWS($F$3:F1594)-COUNTBLANK($F$3:F1594),"")</x:f>
      </x:c>
      <x:c r="H1594"/>
      <x:c r="I1594"/>
      <x:c r="J1594"/>
      <x:c r="K1594" t="str">
        <x:f>IF(ROW()-ROW($K$2)&lt;=SUM($J$3:$J$168),COUNTIF($H$3:$H$168,"&lt;"&amp;(ROW()-ROW($K$2))),"")</x:f>
      </x:c>
      <x:c r="L1594" t="str">
        <x:f>IF(K1594="","",ROW()-ROW($L$2)-INDEX($H$3:$H$168,K1594))</x:f>
      </x:c>
      <x:c r="M1594" t="str">
        <x:f>IF(K1594="","",IF(L1594=1,1,FIND(CHAR(1),SUBSTITUTE(INDEX($B$3:$B$168,K1594),CHAR(10),CHAR(1),L1594-1))+1))</x:f>
      </x:c>
      <x:c r="N1594" t="str">
        <x:f>IF(K1594="","",IFERROR(FIND(CHAR(1),SUBSTITUTE(INDEX($B$3:$B$168,K1594),CHAR(10),CHAR(1),L1594)),LEN(INDEX($B$3:$B$168,K1594))+1))</x:f>
      </x:c>
    </x:row>
    <x:row r="1595">
      <x:c r="A1595"/>
      <x:c r="B1595"/>
      <x:c r="C1595"/>
      <x:c r="D1595" t="str">
        <x:f>IFERROR(IF(1593&lt;=$O$1,INDEX($A$3:$A$168,MATCH(1593,$I$3:$I$168,0)),IF(1593&lt;=$O$1+$O$2,INDEX($F$3:$F$1994,MATCH(1593-$O$1,$G$3:$G$1994,0)),"")),"")</x:f>
      </x:c>
      <x:c r="E1595" t="str">
        <x:f>IF(K1595="","",IF(N1595&lt;=M1595,"",TRIM(CLEAN(MID(INDEX($B$3:$B$168,K1595),M1595,N1595-M1595)))))</x:f>
      </x:c>
      <x:c r="F1595" t="str">
        <x:f>IF(E1595="","",IF(E1595=TRIM(INDEX($A$3:$A$168,K1595)),"",IF(RIGHT(TRIM(INDEX($A$3:$A$168,K1595)),1)="]",LEFT(TRIM(INDEX($A$3:$A$168,K1595)),LEN(TRIM(INDEX($A$3:$A$168,K1595)))-1)&amp;", "&amp;SUBSTITUTE(SUBSTITUTE(SUBSTITUTE(E1595," [",", "),"[",", "),"]","")&amp;"]",TRIM(INDEX($A$3:$A$168,K1595))&amp;" ["&amp;SUBSTITUTE(SUBSTITUTE(SUBSTITUTE(E1595," [",", "),"[",", "),"]","")&amp;"]")))</x:f>
      </x:c>
      <x:c r="G1595" t="str">
        <x:f>IF(F1595&lt;&gt;"",ROWS($F$3:F1595)-COUNTBLANK($F$3:F1595),"")</x:f>
      </x:c>
      <x:c r="H1595"/>
      <x:c r="I1595"/>
      <x:c r="J1595"/>
      <x:c r="K1595" t="str">
        <x:f>IF(ROW()-ROW($K$2)&lt;=SUM($J$3:$J$168),COUNTIF($H$3:$H$168,"&lt;"&amp;(ROW()-ROW($K$2))),"")</x:f>
      </x:c>
      <x:c r="L1595" t="str">
        <x:f>IF(K1595="","",ROW()-ROW($L$2)-INDEX($H$3:$H$168,K1595))</x:f>
      </x:c>
      <x:c r="M1595" t="str">
        <x:f>IF(K1595="","",IF(L1595=1,1,FIND(CHAR(1),SUBSTITUTE(INDEX($B$3:$B$168,K1595),CHAR(10),CHAR(1),L1595-1))+1))</x:f>
      </x:c>
      <x:c r="N1595" t="str">
        <x:f>IF(K1595="","",IFERROR(FIND(CHAR(1),SUBSTITUTE(INDEX($B$3:$B$168,K1595),CHAR(10),CHAR(1),L1595)),LEN(INDEX($B$3:$B$168,K1595))+1))</x:f>
      </x:c>
    </x:row>
    <x:row r="1596">
      <x:c r="A1596"/>
      <x:c r="B1596"/>
      <x:c r="C1596"/>
      <x:c r="D1596" t="str">
        <x:f>IFERROR(IF(1594&lt;=$O$1,INDEX($A$3:$A$168,MATCH(1594,$I$3:$I$168,0)),IF(1594&lt;=$O$1+$O$2,INDEX($F$3:$F$1994,MATCH(1594-$O$1,$G$3:$G$1994,0)),"")),"")</x:f>
      </x:c>
      <x:c r="E1596" t="str">
        <x:f>IF(K1596="","",IF(N1596&lt;=M1596,"",TRIM(CLEAN(MID(INDEX($B$3:$B$168,K1596),M1596,N1596-M1596)))))</x:f>
      </x:c>
      <x:c r="F1596" t="str">
        <x:f>IF(E1596="","",IF(E1596=TRIM(INDEX($A$3:$A$168,K1596)),"",IF(RIGHT(TRIM(INDEX($A$3:$A$168,K1596)),1)="]",LEFT(TRIM(INDEX($A$3:$A$168,K1596)),LEN(TRIM(INDEX($A$3:$A$168,K1596)))-1)&amp;", "&amp;SUBSTITUTE(SUBSTITUTE(SUBSTITUTE(E1596," [",", "),"[",", "),"]","")&amp;"]",TRIM(INDEX($A$3:$A$168,K1596))&amp;" ["&amp;SUBSTITUTE(SUBSTITUTE(SUBSTITUTE(E1596," [",", "),"[",", "),"]","")&amp;"]")))</x:f>
      </x:c>
      <x:c r="G1596" t="str">
        <x:f>IF(F1596&lt;&gt;"",ROWS($F$3:F1596)-COUNTBLANK($F$3:F1596),"")</x:f>
      </x:c>
      <x:c r="H1596"/>
      <x:c r="I1596"/>
      <x:c r="J1596"/>
      <x:c r="K1596" t="str">
        <x:f>IF(ROW()-ROW($K$2)&lt;=SUM($J$3:$J$168),COUNTIF($H$3:$H$168,"&lt;"&amp;(ROW()-ROW($K$2))),"")</x:f>
      </x:c>
      <x:c r="L1596" t="str">
        <x:f>IF(K1596="","",ROW()-ROW($L$2)-INDEX($H$3:$H$168,K1596))</x:f>
      </x:c>
      <x:c r="M1596" t="str">
        <x:f>IF(K1596="","",IF(L1596=1,1,FIND(CHAR(1),SUBSTITUTE(INDEX($B$3:$B$168,K1596),CHAR(10),CHAR(1),L1596-1))+1))</x:f>
      </x:c>
      <x:c r="N1596" t="str">
        <x:f>IF(K1596="","",IFERROR(FIND(CHAR(1),SUBSTITUTE(INDEX($B$3:$B$168,K1596),CHAR(10),CHAR(1),L1596)),LEN(INDEX($B$3:$B$168,K1596))+1))</x:f>
      </x:c>
    </x:row>
    <x:row r="1597">
      <x:c r="A1597"/>
      <x:c r="B1597"/>
      <x:c r="C1597"/>
      <x:c r="D1597" t="str">
        <x:f>IFERROR(IF(1595&lt;=$O$1,INDEX($A$3:$A$168,MATCH(1595,$I$3:$I$168,0)),IF(1595&lt;=$O$1+$O$2,INDEX($F$3:$F$1994,MATCH(1595-$O$1,$G$3:$G$1994,0)),"")),"")</x:f>
      </x:c>
      <x:c r="E1597" t="str">
        <x:f>IF(K1597="","",IF(N1597&lt;=M1597,"",TRIM(CLEAN(MID(INDEX($B$3:$B$168,K1597),M1597,N1597-M1597)))))</x:f>
      </x:c>
      <x:c r="F1597" t="str">
        <x:f>IF(E1597="","",IF(E1597=TRIM(INDEX($A$3:$A$168,K1597)),"",IF(RIGHT(TRIM(INDEX($A$3:$A$168,K1597)),1)="]",LEFT(TRIM(INDEX($A$3:$A$168,K1597)),LEN(TRIM(INDEX($A$3:$A$168,K1597)))-1)&amp;", "&amp;SUBSTITUTE(SUBSTITUTE(SUBSTITUTE(E1597," [",", "),"[",", "),"]","")&amp;"]",TRIM(INDEX($A$3:$A$168,K1597))&amp;" ["&amp;SUBSTITUTE(SUBSTITUTE(SUBSTITUTE(E1597," [",", "),"[",", "),"]","")&amp;"]")))</x:f>
      </x:c>
      <x:c r="G1597" t="str">
        <x:f>IF(F1597&lt;&gt;"",ROWS($F$3:F1597)-COUNTBLANK($F$3:F1597),"")</x:f>
      </x:c>
      <x:c r="H1597"/>
      <x:c r="I1597"/>
      <x:c r="J1597"/>
      <x:c r="K1597" t="str">
        <x:f>IF(ROW()-ROW($K$2)&lt;=SUM($J$3:$J$168),COUNTIF($H$3:$H$168,"&lt;"&amp;(ROW()-ROW($K$2))),"")</x:f>
      </x:c>
      <x:c r="L1597" t="str">
        <x:f>IF(K1597="","",ROW()-ROW($L$2)-INDEX($H$3:$H$168,K1597))</x:f>
      </x:c>
      <x:c r="M1597" t="str">
        <x:f>IF(K1597="","",IF(L1597=1,1,FIND(CHAR(1),SUBSTITUTE(INDEX($B$3:$B$168,K1597),CHAR(10),CHAR(1),L1597-1))+1))</x:f>
      </x:c>
      <x:c r="N1597" t="str">
        <x:f>IF(K1597="","",IFERROR(FIND(CHAR(1),SUBSTITUTE(INDEX($B$3:$B$168,K1597),CHAR(10),CHAR(1),L1597)),LEN(INDEX($B$3:$B$168,K1597))+1))</x:f>
      </x:c>
    </x:row>
    <x:row r="1598">
      <x:c r="A1598"/>
      <x:c r="B1598"/>
      <x:c r="C1598"/>
      <x:c r="D1598" t="str">
        <x:f>IFERROR(IF(1596&lt;=$O$1,INDEX($A$3:$A$168,MATCH(1596,$I$3:$I$168,0)),IF(1596&lt;=$O$1+$O$2,INDEX($F$3:$F$1994,MATCH(1596-$O$1,$G$3:$G$1994,0)),"")),"")</x:f>
      </x:c>
      <x:c r="E1598" t="str">
        <x:f>IF(K1598="","",IF(N1598&lt;=M1598,"",TRIM(CLEAN(MID(INDEX($B$3:$B$168,K1598),M1598,N1598-M1598)))))</x:f>
      </x:c>
      <x:c r="F1598" t="str">
        <x:f>IF(E1598="","",IF(E1598=TRIM(INDEX($A$3:$A$168,K1598)),"",IF(RIGHT(TRIM(INDEX($A$3:$A$168,K1598)),1)="]",LEFT(TRIM(INDEX($A$3:$A$168,K1598)),LEN(TRIM(INDEX($A$3:$A$168,K1598)))-1)&amp;", "&amp;SUBSTITUTE(SUBSTITUTE(SUBSTITUTE(E1598," [",", "),"[",", "),"]","")&amp;"]",TRIM(INDEX($A$3:$A$168,K1598))&amp;" ["&amp;SUBSTITUTE(SUBSTITUTE(SUBSTITUTE(E1598," [",", "),"[",", "),"]","")&amp;"]")))</x:f>
      </x:c>
      <x:c r="G1598" t="str">
        <x:f>IF(F1598&lt;&gt;"",ROWS($F$3:F1598)-COUNTBLANK($F$3:F1598),"")</x:f>
      </x:c>
      <x:c r="H1598"/>
      <x:c r="I1598"/>
      <x:c r="J1598"/>
      <x:c r="K1598" t="str">
        <x:f>IF(ROW()-ROW($K$2)&lt;=SUM($J$3:$J$168),COUNTIF($H$3:$H$168,"&lt;"&amp;(ROW()-ROW($K$2))),"")</x:f>
      </x:c>
      <x:c r="L1598" t="str">
        <x:f>IF(K1598="","",ROW()-ROW($L$2)-INDEX($H$3:$H$168,K1598))</x:f>
      </x:c>
      <x:c r="M1598" t="str">
        <x:f>IF(K1598="","",IF(L1598=1,1,FIND(CHAR(1),SUBSTITUTE(INDEX($B$3:$B$168,K1598),CHAR(10),CHAR(1),L1598-1))+1))</x:f>
      </x:c>
      <x:c r="N1598" t="str">
        <x:f>IF(K1598="","",IFERROR(FIND(CHAR(1),SUBSTITUTE(INDEX($B$3:$B$168,K1598),CHAR(10),CHAR(1),L1598)),LEN(INDEX($B$3:$B$168,K1598))+1))</x:f>
      </x:c>
    </x:row>
    <x:row r="1599">
      <x:c r="A1599"/>
      <x:c r="B1599"/>
      <x:c r="C1599"/>
      <x:c r="D1599" t="str">
        <x:f>IFERROR(IF(1597&lt;=$O$1,INDEX($A$3:$A$168,MATCH(1597,$I$3:$I$168,0)),IF(1597&lt;=$O$1+$O$2,INDEX($F$3:$F$1994,MATCH(1597-$O$1,$G$3:$G$1994,0)),"")),"")</x:f>
      </x:c>
      <x:c r="E1599" t="str">
        <x:f>IF(K1599="","",IF(N1599&lt;=M1599,"",TRIM(CLEAN(MID(INDEX($B$3:$B$168,K1599),M1599,N1599-M1599)))))</x:f>
      </x:c>
      <x:c r="F1599" t="str">
        <x:f>IF(E1599="","",IF(E1599=TRIM(INDEX($A$3:$A$168,K1599)),"",IF(RIGHT(TRIM(INDEX($A$3:$A$168,K1599)),1)="]",LEFT(TRIM(INDEX($A$3:$A$168,K1599)),LEN(TRIM(INDEX($A$3:$A$168,K1599)))-1)&amp;", "&amp;SUBSTITUTE(SUBSTITUTE(SUBSTITUTE(E1599," [",", "),"[",", "),"]","")&amp;"]",TRIM(INDEX($A$3:$A$168,K1599))&amp;" ["&amp;SUBSTITUTE(SUBSTITUTE(SUBSTITUTE(E1599," [",", "),"[",", "),"]","")&amp;"]")))</x:f>
      </x:c>
      <x:c r="G1599" t="str">
        <x:f>IF(F1599&lt;&gt;"",ROWS($F$3:F1599)-COUNTBLANK($F$3:F1599),"")</x:f>
      </x:c>
      <x:c r="H1599"/>
      <x:c r="I1599"/>
      <x:c r="J1599"/>
      <x:c r="K1599" t="str">
        <x:f>IF(ROW()-ROW($K$2)&lt;=SUM($J$3:$J$168),COUNTIF($H$3:$H$168,"&lt;"&amp;(ROW()-ROW($K$2))),"")</x:f>
      </x:c>
      <x:c r="L1599" t="str">
        <x:f>IF(K1599="","",ROW()-ROW($L$2)-INDEX($H$3:$H$168,K1599))</x:f>
      </x:c>
      <x:c r="M1599" t="str">
        <x:f>IF(K1599="","",IF(L1599=1,1,FIND(CHAR(1),SUBSTITUTE(INDEX($B$3:$B$168,K1599),CHAR(10),CHAR(1),L1599-1))+1))</x:f>
      </x:c>
      <x:c r="N1599" t="str">
        <x:f>IF(K1599="","",IFERROR(FIND(CHAR(1),SUBSTITUTE(INDEX($B$3:$B$168,K1599),CHAR(10),CHAR(1),L1599)),LEN(INDEX($B$3:$B$168,K1599))+1))</x:f>
      </x:c>
    </x:row>
    <x:row r="1600">
      <x:c r="A1600"/>
      <x:c r="B1600"/>
      <x:c r="C1600"/>
      <x:c r="D1600" t="str">
        <x:f>IFERROR(IF(1598&lt;=$O$1,INDEX($A$3:$A$168,MATCH(1598,$I$3:$I$168,0)),IF(1598&lt;=$O$1+$O$2,INDEX($F$3:$F$1994,MATCH(1598-$O$1,$G$3:$G$1994,0)),"")),"")</x:f>
      </x:c>
      <x:c r="E1600" t="str">
        <x:f>IF(K1600="","",IF(N1600&lt;=M1600,"",TRIM(CLEAN(MID(INDEX($B$3:$B$168,K1600),M1600,N1600-M1600)))))</x:f>
      </x:c>
      <x:c r="F1600" t="str">
        <x:f>IF(E1600="","",IF(E1600=TRIM(INDEX($A$3:$A$168,K1600)),"",IF(RIGHT(TRIM(INDEX($A$3:$A$168,K1600)),1)="]",LEFT(TRIM(INDEX($A$3:$A$168,K1600)),LEN(TRIM(INDEX($A$3:$A$168,K1600)))-1)&amp;", "&amp;SUBSTITUTE(SUBSTITUTE(SUBSTITUTE(E1600," [",", "),"[",", "),"]","")&amp;"]",TRIM(INDEX($A$3:$A$168,K1600))&amp;" ["&amp;SUBSTITUTE(SUBSTITUTE(SUBSTITUTE(E1600," [",", "),"[",", "),"]","")&amp;"]")))</x:f>
      </x:c>
      <x:c r="G1600" t="str">
        <x:f>IF(F1600&lt;&gt;"",ROWS($F$3:F1600)-COUNTBLANK($F$3:F1600),"")</x:f>
      </x:c>
      <x:c r="H1600"/>
      <x:c r="I1600"/>
      <x:c r="J1600"/>
      <x:c r="K1600" t="str">
        <x:f>IF(ROW()-ROW($K$2)&lt;=SUM($J$3:$J$168),COUNTIF($H$3:$H$168,"&lt;"&amp;(ROW()-ROW($K$2))),"")</x:f>
      </x:c>
      <x:c r="L1600" t="str">
        <x:f>IF(K1600="","",ROW()-ROW($L$2)-INDEX($H$3:$H$168,K1600))</x:f>
      </x:c>
      <x:c r="M1600" t="str">
        <x:f>IF(K1600="","",IF(L1600=1,1,FIND(CHAR(1),SUBSTITUTE(INDEX($B$3:$B$168,K1600),CHAR(10),CHAR(1),L1600-1))+1))</x:f>
      </x:c>
      <x:c r="N1600" t="str">
        <x:f>IF(K1600="","",IFERROR(FIND(CHAR(1),SUBSTITUTE(INDEX($B$3:$B$168,K1600),CHAR(10),CHAR(1),L1600)),LEN(INDEX($B$3:$B$168,K1600))+1))</x:f>
      </x:c>
    </x:row>
    <x:row r="1601">
      <x:c r="A1601"/>
      <x:c r="B1601"/>
      <x:c r="C1601"/>
      <x:c r="D1601" t="str">
        <x:f>IFERROR(IF(1599&lt;=$O$1,INDEX($A$3:$A$168,MATCH(1599,$I$3:$I$168,0)),IF(1599&lt;=$O$1+$O$2,INDEX($F$3:$F$1994,MATCH(1599-$O$1,$G$3:$G$1994,0)),"")),"")</x:f>
      </x:c>
      <x:c r="E1601" t="str">
        <x:f>IF(K1601="","",IF(N1601&lt;=M1601,"",TRIM(CLEAN(MID(INDEX($B$3:$B$168,K1601),M1601,N1601-M1601)))))</x:f>
      </x:c>
      <x:c r="F1601" t="str">
        <x:f>IF(E1601="","",IF(E1601=TRIM(INDEX($A$3:$A$168,K1601)),"",IF(RIGHT(TRIM(INDEX($A$3:$A$168,K1601)),1)="]",LEFT(TRIM(INDEX($A$3:$A$168,K1601)),LEN(TRIM(INDEX($A$3:$A$168,K1601)))-1)&amp;", "&amp;SUBSTITUTE(SUBSTITUTE(SUBSTITUTE(E1601," [",", "),"[",", "),"]","")&amp;"]",TRIM(INDEX($A$3:$A$168,K1601))&amp;" ["&amp;SUBSTITUTE(SUBSTITUTE(SUBSTITUTE(E1601," [",", "),"[",", "),"]","")&amp;"]")))</x:f>
      </x:c>
      <x:c r="G1601" t="str">
        <x:f>IF(F1601&lt;&gt;"",ROWS($F$3:F1601)-COUNTBLANK($F$3:F1601),"")</x:f>
      </x:c>
      <x:c r="H1601"/>
      <x:c r="I1601"/>
      <x:c r="J1601"/>
      <x:c r="K1601" t="str">
        <x:f>IF(ROW()-ROW($K$2)&lt;=SUM($J$3:$J$168),COUNTIF($H$3:$H$168,"&lt;"&amp;(ROW()-ROW($K$2))),"")</x:f>
      </x:c>
      <x:c r="L1601" t="str">
        <x:f>IF(K1601="","",ROW()-ROW($L$2)-INDEX($H$3:$H$168,K1601))</x:f>
      </x:c>
      <x:c r="M1601" t="str">
        <x:f>IF(K1601="","",IF(L1601=1,1,FIND(CHAR(1),SUBSTITUTE(INDEX($B$3:$B$168,K1601),CHAR(10),CHAR(1),L1601-1))+1))</x:f>
      </x:c>
      <x:c r="N1601" t="str">
        <x:f>IF(K1601="","",IFERROR(FIND(CHAR(1),SUBSTITUTE(INDEX($B$3:$B$168,K1601),CHAR(10),CHAR(1),L1601)),LEN(INDEX($B$3:$B$168,K1601))+1))</x:f>
      </x:c>
    </x:row>
    <x:row r="1602">
      <x:c r="A1602"/>
      <x:c r="B1602"/>
      <x:c r="C1602"/>
      <x:c r="D1602" t="str">
        <x:f>IFERROR(IF(1600&lt;=$O$1,INDEX($A$3:$A$168,MATCH(1600,$I$3:$I$168,0)),IF(1600&lt;=$O$1+$O$2,INDEX($F$3:$F$1994,MATCH(1600-$O$1,$G$3:$G$1994,0)),"")),"")</x:f>
      </x:c>
      <x:c r="E1602" t="str">
        <x:f>IF(K1602="","",IF(N1602&lt;=M1602,"",TRIM(CLEAN(MID(INDEX($B$3:$B$168,K1602),M1602,N1602-M1602)))))</x:f>
      </x:c>
      <x:c r="F1602" t="str">
        <x:f>IF(E1602="","",IF(E1602=TRIM(INDEX($A$3:$A$168,K1602)),"",IF(RIGHT(TRIM(INDEX($A$3:$A$168,K1602)),1)="]",LEFT(TRIM(INDEX($A$3:$A$168,K1602)),LEN(TRIM(INDEX($A$3:$A$168,K1602)))-1)&amp;", "&amp;SUBSTITUTE(SUBSTITUTE(SUBSTITUTE(E1602," [",", "),"[",", "),"]","")&amp;"]",TRIM(INDEX($A$3:$A$168,K1602))&amp;" ["&amp;SUBSTITUTE(SUBSTITUTE(SUBSTITUTE(E1602," [",", "),"[",", "),"]","")&amp;"]")))</x:f>
      </x:c>
      <x:c r="G1602" t="str">
        <x:f>IF(F1602&lt;&gt;"",ROWS($F$3:F1602)-COUNTBLANK($F$3:F1602),"")</x:f>
      </x:c>
      <x:c r="H1602"/>
      <x:c r="I1602"/>
      <x:c r="J1602"/>
      <x:c r="K1602" t="str">
        <x:f>IF(ROW()-ROW($K$2)&lt;=SUM($J$3:$J$168),COUNTIF($H$3:$H$168,"&lt;"&amp;(ROW()-ROW($K$2))),"")</x:f>
      </x:c>
      <x:c r="L1602" t="str">
        <x:f>IF(K1602="","",ROW()-ROW($L$2)-INDEX($H$3:$H$168,K1602))</x:f>
      </x:c>
      <x:c r="M1602" t="str">
        <x:f>IF(K1602="","",IF(L1602=1,1,FIND(CHAR(1),SUBSTITUTE(INDEX($B$3:$B$168,K1602),CHAR(10),CHAR(1),L1602-1))+1))</x:f>
      </x:c>
      <x:c r="N1602" t="str">
        <x:f>IF(K1602="","",IFERROR(FIND(CHAR(1),SUBSTITUTE(INDEX($B$3:$B$168,K1602),CHAR(10),CHAR(1),L1602)),LEN(INDEX($B$3:$B$168,K1602))+1))</x:f>
      </x:c>
    </x:row>
    <x:row r="1603">
      <x:c r="A1603"/>
      <x:c r="B1603"/>
      <x:c r="C1603"/>
      <x:c r="D1603" t="str">
        <x:f>IFERROR(IF(1601&lt;=$O$1,INDEX($A$3:$A$168,MATCH(1601,$I$3:$I$168,0)),IF(1601&lt;=$O$1+$O$2,INDEX($F$3:$F$1994,MATCH(1601-$O$1,$G$3:$G$1994,0)),"")),"")</x:f>
      </x:c>
      <x:c r="E1603" t="str">
        <x:f>IF(K1603="","",IF(N1603&lt;=M1603,"",TRIM(CLEAN(MID(INDEX($B$3:$B$168,K1603),M1603,N1603-M1603)))))</x:f>
      </x:c>
      <x:c r="F1603" t="str">
        <x:f>IF(E1603="","",IF(E1603=TRIM(INDEX($A$3:$A$168,K1603)),"",IF(RIGHT(TRIM(INDEX($A$3:$A$168,K1603)),1)="]",LEFT(TRIM(INDEX($A$3:$A$168,K1603)),LEN(TRIM(INDEX($A$3:$A$168,K1603)))-1)&amp;", "&amp;SUBSTITUTE(SUBSTITUTE(SUBSTITUTE(E1603," [",", "),"[",", "),"]","")&amp;"]",TRIM(INDEX($A$3:$A$168,K1603))&amp;" ["&amp;SUBSTITUTE(SUBSTITUTE(SUBSTITUTE(E1603," [",", "),"[",", "),"]","")&amp;"]")))</x:f>
      </x:c>
      <x:c r="G1603" t="str">
        <x:f>IF(F1603&lt;&gt;"",ROWS($F$3:F1603)-COUNTBLANK($F$3:F1603),"")</x:f>
      </x:c>
      <x:c r="H1603"/>
      <x:c r="I1603"/>
      <x:c r="J1603"/>
      <x:c r="K1603" t="str">
        <x:f>IF(ROW()-ROW($K$2)&lt;=SUM($J$3:$J$168),COUNTIF($H$3:$H$168,"&lt;"&amp;(ROW()-ROW($K$2))),"")</x:f>
      </x:c>
      <x:c r="L1603" t="str">
        <x:f>IF(K1603="","",ROW()-ROW($L$2)-INDEX($H$3:$H$168,K1603))</x:f>
      </x:c>
      <x:c r="M1603" t="str">
        <x:f>IF(K1603="","",IF(L1603=1,1,FIND(CHAR(1),SUBSTITUTE(INDEX($B$3:$B$168,K1603),CHAR(10),CHAR(1),L1603-1))+1))</x:f>
      </x:c>
      <x:c r="N1603" t="str">
        <x:f>IF(K1603="","",IFERROR(FIND(CHAR(1),SUBSTITUTE(INDEX($B$3:$B$168,K1603),CHAR(10),CHAR(1),L1603)),LEN(INDEX($B$3:$B$168,K1603))+1))</x:f>
      </x:c>
    </x:row>
    <x:row r="1604">
      <x:c r="A1604"/>
      <x:c r="B1604"/>
      <x:c r="C1604"/>
      <x:c r="D1604" t="str">
        <x:f>IFERROR(IF(1602&lt;=$O$1,INDEX($A$3:$A$168,MATCH(1602,$I$3:$I$168,0)),IF(1602&lt;=$O$1+$O$2,INDEX($F$3:$F$1994,MATCH(1602-$O$1,$G$3:$G$1994,0)),"")),"")</x:f>
      </x:c>
      <x:c r="E1604" t="str">
        <x:f>IF(K1604="","",IF(N1604&lt;=M1604,"",TRIM(CLEAN(MID(INDEX($B$3:$B$168,K1604),M1604,N1604-M1604)))))</x:f>
      </x:c>
      <x:c r="F1604" t="str">
        <x:f>IF(E1604="","",IF(E1604=TRIM(INDEX($A$3:$A$168,K1604)),"",IF(RIGHT(TRIM(INDEX($A$3:$A$168,K1604)),1)="]",LEFT(TRIM(INDEX($A$3:$A$168,K1604)),LEN(TRIM(INDEX($A$3:$A$168,K1604)))-1)&amp;", "&amp;SUBSTITUTE(SUBSTITUTE(SUBSTITUTE(E1604," [",", "),"[",", "),"]","")&amp;"]",TRIM(INDEX($A$3:$A$168,K1604))&amp;" ["&amp;SUBSTITUTE(SUBSTITUTE(SUBSTITUTE(E1604," [",", "),"[",", "),"]","")&amp;"]")))</x:f>
      </x:c>
      <x:c r="G1604" t="str">
        <x:f>IF(F1604&lt;&gt;"",ROWS($F$3:F1604)-COUNTBLANK($F$3:F1604),"")</x:f>
      </x:c>
      <x:c r="H1604"/>
      <x:c r="I1604"/>
      <x:c r="J1604"/>
      <x:c r="K1604" t="str">
        <x:f>IF(ROW()-ROW($K$2)&lt;=SUM($J$3:$J$168),COUNTIF($H$3:$H$168,"&lt;"&amp;(ROW()-ROW($K$2))),"")</x:f>
      </x:c>
      <x:c r="L1604" t="str">
        <x:f>IF(K1604="","",ROW()-ROW($L$2)-INDEX($H$3:$H$168,K1604))</x:f>
      </x:c>
      <x:c r="M1604" t="str">
        <x:f>IF(K1604="","",IF(L1604=1,1,FIND(CHAR(1),SUBSTITUTE(INDEX($B$3:$B$168,K1604),CHAR(10),CHAR(1),L1604-1))+1))</x:f>
      </x:c>
      <x:c r="N1604" t="str">
        <x:f>IF(K1604="","",IFERROR(FIND(CHAR(1),SUBSTITUTE(INDEX($B$3:$B$168,K1604),CHAR(10),CHAR(1),L1604)),LEN(INDEX($B$3:$B$168,K1604))+1))</x:f>
      </x:c>
    </x:row>
    <x:row r="1605">
      <x:c r="A1605"/>
      <x:c r="B1605"/>
      <x:c r="C1605"/>
      <x:c r="D1605" t="str">
        <x:f>IFERROR(IF(1603&lt;=$O$1,INDEX($A$3:$A$168,MATCH(1603,$I$3:$I$168,0)),IF(1603&lt;=$O$1+$O$2,INDEX($F$3:$F$1994,MATCH(1603-$O$1,$G$3:$G$1994,0)),"")),"")</x:f>
      </x:c>
      <x:c r="E1605" t="str">
        <x:f>IF(K1605="","",IF(N1605&lt;=M1605,"",TRIM(CLEAN(MID(INDEX($B$3:$B$168,K1605),M1605,N1605-M1605)))))</x:f>
      </x:c>
      <x:c r="F1605" t="str">
        <x:f>IF(E1605="","",IF(E1605=TRIM(INDEX($A$3:$A$168,K1605)),"",IF(RIGHT(TRIM(INDEX($A$3:$A$168,K1605)),1)="]",LEFT(TRIM(INDEX($A$3:$A$168,K1605)),LEN(TRIM(INDEX($A$3:$A$168,K1605)))-1)&amp;", "&amp;SUBSTITUTE(SUBSTITUTE(SUBSTITUTE(E1605," [",", "),"[",", "),"]","")&amp;"]",TRIM(INDEX($A$3:$A$168,K1605))&amp;" ["&amp;SUBSTITUTE(SUBSTITUTE(SUBSTITUTE(E1605," [",", "),"[",", "),"]","")&amp;"]")))</x:f>
      </x:c>
      <x:c r="G1605" t="str">
        <x:f>IF(F1605&lt;&gt;"",ROWS($F$3:F1605)-COUNTBLANK($F$3:F1605),"")</x:f>
      </x:c>
      <x:c r="H1605"/>
      <x:c r="I1605"/>
      <x:c r="J1605"/>
      <x:c r="K1605" t="str">
        <x:f>IF(ROW()-ROW($K$2)&lt;=SUM($J$3:$J$168),COUNTIF($H$3:$H$168,"&lt;"&amp;(ROW()-ROW($K$2))),"")</x:f>
      </x:c>
      <x:c r="L1605" t="str">
        <x:f>IF(K1605="","",ROW()-ROW($L$2)-INDEX($H$3:$H$168,K1605))</x:f>
      </x:c>
      <x:c r="M1605" t="str">
        <x:f>IF(K1605="","",IF(L1605=1,1,FIND(CHAR(1),SUBSTITUTE(INDEX($B$3:$B$168,K1605),CHAR(10),CHAR(1),L1605-1))+1))</x:f>
      </x:c>
      <x:c r="N1605" t="str">
        <x:f>IF(K1605="","",IFERROR(FIND(CHAR(1),SUBSTITUTE(INDEX($B$3:$B$168,K1605),CHAR(10),CHAR(1),L1605)),LEN(INDEX($B$3:$B$168,K1605))+1))</x:f>
      </x:c>
    </x:row>
    <x:row r="1606">
      <x:c r="A1606"/>
      <x:c r="B1606"/>
      <x:c r="C1606"/>
      <x:c r="D1606" t="str">
        <x:f>IFERROR(IF(1604&lt;=$O$1,INDEX($A$3:$A$168,MATCH(1604,$I$3:$I$168,0)),IF(1604&lt;=$O$1+$O$2,INDEX($F$3:$F$1994,MATCH(1604-$O$1,$G$3:$G$1994,0)),"")),"")</x:f>
      </x:c>
      <x:c r="E1606" t="str">
        <x:f>IF(K1606="","",IF(N1606&lt;=M1606,"",TRIM(CLEAN(MID(INDEX($B$3:$B$168,K1606),M1606,N1606-M1606)))))</x:f>
      </x:c>
      <x:c r="F1606" t="str">
        <x:f>IF(E1606="","",IF(E1606=TRIM(INDEX($A$3:$A$168,K1606)),"",IF(RIGHT(TRIM(INDEX($A$3:$A$168,K1606)),1)="]",LEFT(TRIM(INDEX($A$3:$A$168,K1606)),LEN(TRIM(INDEX($A$3:$A$168,K1606)))-1)&amp;", "&amp;SUBSTITUTE(SUBSTITUTE(SUBSTITUTE(E1606," [",", "),"[",", "),"]","")&amp;"]",TRIM(INDEX($A$3:$A$168,K1606))&amp;" ["&amp;SUBSTITUTE(SUBSTITUTE(SUBSTITUTE(E1606," [",", "),"[",", "),"]","")&amp;"]")))</x:f>
      </x:c>
      <x:c r="G1606" t="str">
        <x:f>IF(F1606&lt;&gt;"",ROWS($F$3:F1606)-COUNTBLANK($F$3:F1606),"")</x:f>
      </x:c>
      <x:c r="H1606"/>
      <x:c r="I1606"/>
      <x:c r="J1606"/>
      <x:c r="K1606" t="str">
        <x:f>IF(ROW()-ROW($K$2)&lt;=SUM($J$3:$J$168),COUNTIF($H$3:$H$168,"&lt;"&amp;(ROW()-ROW($K$2))),"")</x:f>
      </x:c>
      <x:c r="L1606" t="str">
        <x:f>IF(K1606="","",ROW()-ROW($L$2)-INDEX($H$3:$H$168,K1606))</x:f>
      </x:c>
      <x:c r="M1606" t="str">
        <x:f>IF(K1606="","",IF(L1606=1,1,FIND(CHAR(1),SUBSTITUTE(INDEX($B$3:$B$168,K1606),CHAR(10),CHAR(1),L1606-1))+1))</x:f>
      </x:c>
      <x:c r="N1606" t="str">
        <x:f>IF(K1606="","",IFERROR(FIND(CHAR(1),SUBSTITUTE(INDEX($B$3:$B$168,K1606),CHAR(10),CHAR(1),L1606)),LEN(INDEX($B$3:$B$168,K1606))+1))</x:f>
      </x:c>
    </x:row>
    <x:row r="1607">
      <x:c r="A1607"/>
      <x:c r="B1607"/>
      <x:c r="C1607"/>
      <x:c r="D1607" t="str">
        <x:f>IFERROR(IF(1605&lt;=$O$1,INDEX($A$3:$A$168,MATCH(1605,$I$3:$I$168,0)),IF(1605&lt;=$O$1+$O$2,INDEX($F$3:$F$1994,MATCH(1605-$O$1,$G$3:$G$1994,0)),"")),"")</x:f>
      </x:c>
      <x:c r="E1607" t="str">
        <x:f>IF(K1607="","",IF(N1607&lt;=M1607,"",TRIM(CLEAN(MID(INDEX($B$3:$B$168,K1607),M1607,N1607-M1607)))))</x:f>
      </x:c>
      <x:c r="F1607" t="str">
        <x:f>IF(E1607="","",IF(E1607=TRIM(INDEX($A$3:$A$168,K1607)),"",IF(RIGHT(TRIM(INDEX($A$3:$A$168,K1607)),1)="]",LEFT(TRIM(INDEX($A$3:$A$168,K1607)),LEN(TRIM(INDEX($A$3:$A$168,K1607)))-1)&amp;", "&amp;SUBSTITUTE(SUBSTITUTE(SUBSTITUTE(E1607," [",", "),"[",", "),"]","")&amp;"]",TRIM(INDEX($A$3:$A$168,K1607))&amp;" ["&amp;SUBSTITUTE(SUBSTITUTE(SUBSTITUTE(E1607," [",", "),"[",", "),"]","")&amp;"]")))</x:f>
      </x:c>
      <x:c r="G1607" t="str">
        <x:f>IF(F1607&lt;&gt;"",ROWS($F$3:F1607)-COUNTBLANK($F$3:F1607),"")</x:f>
      </x:c>
      <x:c r="H1607"/>
      <x:c r="I1607"/>
      <x:c r="J1607"/>
      <x:c r="K1607" t="str">
        <x:f>IF(ROW()-ROW($K$2)&lt;=SUM($J$3:$J$168),COUNTIF($H$3:$H$168,"&lt;"&amp;(ROW()-ROW($K$2))),"")</x:f>
      </x:c>
      <x:c r="L1607" t="str">
        <x:f>IF(K1607="","",ROW()-ROW($L$2)-INDEX($H$3:$H$168,K1607))</x:f>
      </x:c>
      <x:c r="M1607" t="str">
        <x:f>IF(K1607="","",IF(L1607=1,1,FIND(CHAR(1),SUBSTITUTE(INDEX($B$3:$B$168,K1607),CHAR(10),CHAR(1),L1607-1))+1))</x:f>
      </x:c>
      <x:c r="N1607" t="str">
        <x:f>IF(K1607="","",IFERROR(FIND(CHAR(1),SUBSTITUTE(INDEX($B$3:$B$168,K1607),CHAR(10),CHAR(1),L1607)),LEN(INDEX($B$3:$B$168,K1607))+1))</x:f>
      </x:c>
    </x:row>
    <x:row r="1608">
      <x:c r="A1608"/>
      <x:c r="B1608"/>
      <x:c r="C1608"/>
      <x:c r="D1608" t="str">
        <x:f>IFERROR(IF(1606&lt;=$O$1,INDEX($A$3:$A$168,MATCH(1606,$I$3:$I$168,0)),IF(1606&lt;=$O$1+$O$2,INDEX($F$3:$F$1994,MATCH(1606-$O$1,$G$3:$G$1994,0)),"")),"")</x:f>
      </x:c>
      <x:c r="E1608" t="str">
        <x:f>IF(K1608="","",IF(N1608&lt;=M1608,"",TRIM(CLEAN(MID(INDEX($B$3:$B$168,K1608),M1608,N1608-M1608)))))</x:f>
      </x:c>
      <x:c r="F1608" t="str">
        <x:f>IF(E1608="","",IF(E1608=TRIM(INDEX($A$3:$A$168,K1608)),"",IF(RIGHT(TRIM(INDEX($A$3:$A$168,K1608)),1)="]",LEFT(TRIM(INDEX($A$3:$A$168,K1608)),LEN(TRIM(INDEX($A$3:$A$168,K1608)))-1)&amp;", "&amp;SUBSTITUTE(SUBSTITUTE(SUBSTITUTE(E1608," [",", "),"[",", "),"]","")&amp;"]",TRIM(INDEX($A$3:$A$168,K1608))&amp;" ["&amp;SUBSTITUTE(SUBSTITUTE(SUBSTITUTE(E1608," [",", "),"[",", "),"]","")&amp;"]")))</x:f>
      </x:c>
      <x:c r="G1608" t="str">
        <x:f>IF(F1608&lt;&gt;"",ROWS($F$3:F1608)-COUNTBLANK($F$3:F1608),"")</x:f>
      </x:c>
      <x:c r="H1608"/>
      <x:c r="I1608"/>
      <x:c r="J1608"/>
      <x:c r="K1608" t="str">
        <x:f>IF(ROW()-ROW($K$2)&lt;=SUM($J$3:$J$168),COUNTIF($H$3:$H$168,"&lt;"&amp;(ROW()-ROW($K$2))),"")</x:f>
      </x:c>
      <x:c r="L1608" t="str">
        <x:f>IF(K1608="","",ROW()-ROW($L$2)-INDEX($H$3:$H$168,K1608))</x:f>
      </x:c>
      <x:c r="M1608" t="str">
        <x:f>IF(K1608="","",IF(L1608=1,1,FIND(CHAR(1),SUBSTITUTE(INDEX($B$3:$B$168,K1608),CHAR(10),CHAR(1),L1608-1))+1))</x:f>
      </x:c>
      <x:c r="N1608" t="str">
        <x:f>IF(K1608="","",IFERROR(FIND(CHAR(1),SUBSTITUTE(INDEX($B$3:$B$168,K1608),CHAR(10),CHAR(1),L1608)),LEN(INDEX($B$3:$B$168,K1608))+1))</x:f>
      </x:c>
    </x:row>
    <x:row r="1609">
      <x:c r="A1609"/>
      <x:c r="B1609"/>
      <x:c r="C1609"/>
      <x:c r="D1609" t="str">
        <x:f>IFERROR(IF(1607&lt;=$O$1,INDEX($A$3:$A$168,MATCH(1607,$I$3:$I$168,0)),IF(1607&lt;=$O$1+$O$2,INDEX($F$3:$F$1994,MATCH(1607-$O$1,$G$3:$G$1994,0)),"")),"")</x:f>
      </x:c>
      <x:c r="E1609" t="str">
        <x:f>IF(K1609="","",IF(N1609&lt;=M1609,"",TRIM(CLEAN(MID(INDEX($B$3:$B$168,K1609),M1609,N1609-M1609)))))</x:f>
      </x:c>
      <x:c r="F1609" t="str">
        <x:f>IF(E1609="","",IF(E1609=TRIM(INDEX($A$3:$A$168,K1609)),"",IF(RIGHT(TRIM(INDEX($A$3:$A$168,K1609)),1)="]",LEFT(TRIM(INDEX($A$3:$A$168,K1609)),LEN(TRIM(INDEX($A$3:$A$168,K1609)))-1)&amp;", "&amp;SUBSTITUTE(SUBSTITUTE(SUBSTITUTE(E1609," [",", "),"[",", "),"]","")&amp;"]",TRIM(INDEX($A$3:$A$168,K1609))&amp;" ["&amp;SUBSTITUTE(SUBSTITUTE(SUBSTITUTE(E1609," [",", "),"[",", "),"]","")&amp;"]")))</x:f>
      </x:c>
      <x:c r="G1609" t="str">
        <x:f>IF(F1609&lt;&gt;"",ROWS($F$3:F1609)-COUNTBLANK($F$3:F1609),"")</x:f>
      </x:c>
      <x:c r="H1609"/>
      <x:c r="I1609"/>
      <x:c r="J1609"/>
      <x:c r="K1609" t="str">
        <x:f>IF(ROW()-ROW($K$2)&lt;=SUM($J$3:$J$168),COUNTIF($H$3:$H$168,"&lt;"&amp;(ROW()-ROW($K$2))),"")</x:f>
      </x:c>
      <x:c r="L1609" t="str">
        <x:f>IF(K1609="","",ROW()-ROW($L$2)-INDEX($H$3:$H$168,K1609))</x:f>
      </x:c>
      <x:c r="M1609" t="str">
        <x:f>IF(K1609="","",IF(L1609=1,1,FIND(CHAR(1),SUBSTITUTE(INDEX($B$3:$B$168,K1609),CHAR(10),CHAR(1),L1609-1))+1))</x:f>
      </x:c>
      <x:c r="N1609" t="str">
        <x:f>IF(K1609="","",IFERROR(FIND(CHAR(1),SUBSTITUTE(INDEX($B$3:$B$168,K1609),CHAR(10),CHAR(1),L1609)),LEN(INDEX($B$3:$B$168,K1609))+1))</x:f>
      </x:c>
    </x:row>
    <x:row r="1610">
      <x:c r="A1610"/>
      <x:c r="B1610"/>
      <x:c r="C1610"/>
      <x:c r="D1610" t="str">
        <x:f>IFERROR(IF(1608&lt;=$O$1,INDEX($A$3:$A$168,MATCH(1608,$I$3:$I$168,0)),IF(1608&lt;=$O$1+$O$2,INDEX($F$3:$F$1994,MATCH(1608-$O$1,$G$3:$G$1994,0)),"")),"")</x:f>
      </x:c>
      <x:c r="E1610" t="str">
        <x:f>IF(K1610="","",IF(N1610&lt;=M1610,"",TRIM(CLEAN(MID(INDEX($B$3:$B$168,K1610),M1610,N1610-M1610)))))</x:f>
      </x:c>
      <x:c r="F1610" t="str">
        <x:f>IF(E1610="","",IF(E1610=TRIM(INDEX($A$3:$A$168,K1610)),"",IF(RIGHT(TRIM(INDEX($A$3:$A$168,K1610)),1)="]",LEFT(TRIM(INDEX($A$3:$A$168,K1610)),LEN(TRIM(INDEX($A$3:$A$168,K1610)))-1)&amp;", "&amp;SUBSTITUTE(SUBSTITUTE(SUBSTITUTE(E1610," [",", "),"[",", "),"]","")&amp;"]",TRIM(INDEX($A$3:$A$168,K1610))&amp;" ["&amp;SUBSTITUTE(SUBSTITUTE(SUBSTITUTE(E1610," [",", "),"[",", "),"]","")&amp;"]")))</x:f>
      </x:c>
      <x:c r="G1610" t="str">
        <x:f>IF(F1610&lt;&gt;"",ROWS($F$3:F1610)-COUNTBLANK($F$3:F1610),"")</x:f>
      </x:c>
      <x:c r="H1610"/>
      <x:c r="I1610"/>
      <x:c r="J1610"/>
      <x:c r="K1610" t="str">
        <x:f>IF(ROW()-ROW($K$2)&lt;=SUM($J$3:$J$168),COUNTIF($H$3:$H$168,"&lt;"&amp;(ROW()-ROW($K$2))),"")</x:f>
      </x:c>
      <x:c r="L1610" t="str">
        <x:f>IF(K1610="","",ROW()-ROW($L$2)-INDEX($H$3:$H$168,K1610))</x:f>
      </x:c>
      <x:c r="M1610" t="str">
        <x:f>IF(K1610="","",IF(L1610=1,1,FIND(CHAR(1),SUBSTITUTE(INDEX($B$3:$B$168,K1610),CHAR(10),CHAR(1),L1610-1))+1))</x:f>
      </x:c>
      <x:c r="N1610" t="str">
        <x:f>IF(K1610="","",IFERROR(FIND(CHAR(1),SUBSTITUTE(INDEX($B$3:$B$168,K1610),CHAR(10),CHAR(1),L1610)),LEN(INDEX($B$3:$B$168,K1610))+1))</x:f>
      </x:c>
    </x:row>
    <x:row r="1611">
      <x:c r="A1611"/>
      <x:c r="B1611"/>
      <x:c r="C1611"/>
      <x:c r="D1611" t="str">
        <x:f>IFERROR(IF(1609&lt;=$O$1,INDEX($A$3:$A$168,MATCH(1609,$I$3:$I$168,0)),IF(1609&lt;=$O$1+$O$2,INDEX($F$3:$F$1994,MATCH(1609-$O$1,$G$3:$G$1994,0)),"")),"")</x:f>
      </x:c>
      <x:c r="E1611" t="str">
        <x:f>IF(K1611="","",IF(N1611&lt;=M1611,"",TRIM(CLEAN(MID(INDEX($B$3:$B$168,K1611),M1611,N1611-M1611)))))</x:f>
      </x:c>
      <x:c r="F1611" t="str">
        <x:f>IF(E1611="","",IF(E1611=TRIM(INDEX($A$3:$A$168,K1611)),"",IF(RIGHT(TRIM(INDEX($A$3:$A$168,K1611)),1)="]",LEFT(TRIM(INDEX($A$3:$A$168,K1611)),LEN(TRIM(INDEX($A$3:$A$168,K1611)))-1)&amp;", "&amp;SUBSTITUTE(SUBSTITUTE(SUBSTITUTE(E1611," [",", "),"[",", "),"]","")&amp;"]",TRIM(INDEX($A$3:$A$168,K1611))&amp;" ["&amp;SUBSTITUTE(SUBSTITUTE(SUBSTITUTE(E1611," [",", "),"[",", "),"]","")&amp;"]")))</x:f>
      </x:c>
      <x:c r="G1611" t="str">
        <x:f>IF(F1611&lt;&gt;"",ROWS($F$3:F1611)-COUNTBLANK($F$3:F1611),"")</x:f>
      </x:c>
      <x:c r="H1611"/>
      <x:c r="I1611"/>
      <x:c r="J1611"/>
      <x:c r="K1611" t="str">
        <x:f>IF(ROW()-ROW($K$2)&lt;=SUM($J$3:$J$168),COUNTIF($H$3:$H$168,"&lt;"&amp;(ROW()-ROW($K$2))),"")</x:f>
      </x:c>
      <x:c r="L1611" t="str">
        <x:f>IF(K1611="","",ROW()-ROW($L$2)-INDEX($H$3:$H$168,K1611))</x:f>
      </x:c>
      <x:c r="M1611" t="str">
        <x:f>IF(K1611="","",IF(L1611=1,1,FIND(CHAR(1),SUBSTITUTE(INDEX($B$3:$B$168,K1611),CHAR(10),CHAR(1),L1611-1))+1))</x:f>
      </x:c>
      <x:c r="N1611" t="str">
        <x:f>IF(K1611="","",IFERROR(FIND(CHAR(1),SUBSTITUTE(INDEX($B$3:$B$168,K1611),CHAR(10),CHAR(1),L1611)),LEN(INDEX($B$3:$B$168,K1611))+1))</x:f>
      </x:c>
    </x:row>
    <x:row r="1612">
      <x:c r="A1612"/>
      <x:c r="B1612"/>
      <x:c r="C1612"/>
      <x:c r="D1612" t="str">
        <x:f>IFERROR(IF(1610&lt;=$O$1,INDEX($A$3:$A$168,MATCH(1610,$I$3:$I$168,0)),IF(1610&lt;=$O$1+$O$2,INDEX($F$3:$F$1994,MATCH(1610-$O$1,$G$3:$G$1994,0)),"")),"")</x:f>
      </x:c>
      <x:c r="E1612" t="str">
        <x:f>IF(K1612="","",IF(N1612&lt;=M1612,"",TRIM(CLEAN(MID(INDEX($B$3:$B$168,K1612),M1612,N1612-M1612)))))</x:f>
      </x:c>
      <x:c r="F1612" t="str">
        <x:f>IF(E1612="","",IF(E1612=TRIM(INDEX($A$3:$A$168,K1612)),"",IF(RIGHT(TRIM(INDEX($A$3:$A$168,K1612)),1)="]",LEFT(TRIM(INDEX($A$3:$A$168,K1612)),LEN(TRIM(INDEX($A$3:$A$168,K1612)))-1)&amp;", "&amp;SUBSTITUTE(SUBSTITUTE(SUBSTITUTE(E1612," [",", "),"[",", "),"]","")&amp;"]",TRIM(INDEX($A$3:$A$168,K1612))&amp;" ["&amp;SUBSTITUTE(SUBSTITUTE(SUBSTITUTE(E1612," [",", "),"[",", "),"]","")&amp;"]")))</x:f>
      </x:c>
      <x:c r="G1612" t="str">
        <x:f>IF(F1612&lt;&gt;"",ROWS($F$3:F1612)-COUNTBLANK($F$3:F1612),"")</x:f>
      </x:c>
      <x:c r="H1612"/>
      <x:c r="I1612"/>
      <x:c r="J1612"/>
      <x:c r="K1612" t="str">
        <x:f>IF(ROW()-ROW($K$2)&lt;=SUM($J$3:$J$168),COUNTIF($H$3:$H$168,"&lt;"&amp;(ROW()-ROW($K$2))),"")</x:f>
      </x:c>
      <x:c r="L1612" t="str">
        <x:f>IF(K1612="","",ROW()-ROW($L$2)-INDEX($H$3:$H$168,K1612))</x:f>
      </x:c>
      <x:c r="M1612" t="str">
        <x:f>IF(K1612="","",IF(L1612=1,1,FIND(CHAR(1),SUBSTITUTE(INDEX($B$3:$B$168,K1612),CHAR(10),CHAR(1),L1612-1))+1))</x:f>
      </x:c>
      <x:c r="N1612" t="str">
        <x:f>IF(K1612="","",IFERROR(FIND(CHAR(1),SUBSTITUTE(INDEX($B$3:$B$168,K1612),CHAR(10),CHAR(1),L1612)),LEN(INDEX($B$3:$B$168,K1612))+1))</x:f>
      </x:c>
    </x:row>
    <x:row r="1613">
      <x:c r="A1613"/>
      <x:c r="B1613"/>
      <x:c r="C1613"/>
      <x:c r="D1613" t="str">
        <x:f>IFERROR(IF(1611&lt;=$O$1,INDEX($A$3:$A$168,MATCH(1611,$I$3:$I$168,0)),IF(1611&lt;=$O$1+$O$2,INDEX($F$3:$F$1994,MATCH(1611-$O$1,$G$3:$G$1994,0)),"")),"")</x:f>
      </x:c>
      <x:c r="E1613" t="str">
        <x:f>IF(K1613="","",IF(N1613&lt;=M1613,"",TRIM(CLEAN(MID(INDEX($B$3:$B$168,K1613),M1613,N1613-M1613)))))</x:f>
      </x:c>
      <x:c r="F1613" t="str">
        <x:f>IF(E1613="","",IF(E1613=TRIM(INDEX($A$3:$A$168,K1613)),"",IF(RIGHT(TRIM(INDEX($A$3:$A$168,K1613)),1)="]",LEFT(TRIM(INDEX($A$3:$A$168,K1613)),LEN(TRIM(INDEX($A$3:$A$168,K1613)))-1)&amp;", "&amp;SUBSTITUTE(SUBSTITUTE(SUBSTITUTE(E1613," [",", "),"[",", "),"]","")&amp;"]",TRIM(INDEX($A$3:$A$168,K1613))&amp;" ["&amp;SUBSTITUTE(SUBSTITUTE(SUBSTITUTE(E1613," [",", "),"[",", "),"]","")&amp;"]")))</x:f>
      </x:c>
      <x:c r="G1613" t="str">
        <x:f>IF(F1613&lt;&gt;"",ROWS($F$3:F1613)-COUNTBLANK($F$3:F1613),"")</x:f>
      </x:c>
      <x:c r="H1613"/>
      <x:c r="I1613"/>
      <x:c r="J1613"/>
      <x:c r="K1613" t="str">
        <x:f>IF(ROW()-ROW($K$2)&lt;=SUM($J$3:$J$168),COUNTIF($H$3:$H$168,"&lt;"&amp;(ROW()-ROW($K$2))),"")</x:f>
      </x:c>
      <x:c r="L1613" t="str">
        <x:f>IF(K1613="","",ROW()-ROW($L$2)-INDEX($H$3:$H$168,K1613))</x:f>
      </x:c>
      <x:c r="M1613" t="str">
        <x:f>IF(K1613="","",IF(L1613=1,1,FIND(CHAR(1),SUBSTITUTE(INDEX($B$3:$B$168,K1613),CHAR(10),CHAR(1),L1613-1))+1))</x:f>
      </x:c>
      <x:c r="N1613" t="str">
        <x:f>IF(K1613="","",IFERROR(FIND(CHAR(1),SUBSTITUTE(INDEX($B$3:$B$168,K1613),CHAR(10),CHAR(1),L1613)),LEN(INDEX($B$3:$B$168,K1613))+1))</x:f>
      </x:c>
    </x:row>
    <x:row r="1614">
      <x:c r="A1614"/>
      <x:c r="B1614"/>
      <x:c r="C1614"/>
      <x:c r="D1614" t="str">
        <x:f>IFERROR(IF(1612&lt;=$O$1,INDEX($A$3:$A$168,MATCH(1612,$I$3:$I$168,0)),IF(1612&lt;=$O$1+$O$2,INDEX($F$3:$F$1994,MATCH(1612-$O$1,$G$3:$G$1994,0)),"")),"")</x:f>
      </x:c>
      <x:c r="E1614" t="str">
        <x:f>IF(K1614="","",IF(N1614&lt;=M1614,"",TRIM(CLEAN(MID(INDEX($B$3:$B$168,K1614),M1614,N1614-M1614)))))</x:f>
      </x:c>
      <x:c r="F1614" t="str">
        <x:f>IF(E1614="","",IF(E1614=TRIM(INDEX($A$3:$A$168,K1614)),"",IF(RIGHT(TRIM(INDEX($A$3:$A$168,K1614)),1)="]",LEFT(TRIM(INDEX($A$3:$A$168,K1614)),LEN(TRIM(INDEX($A$3:$A$168,K1614)))-1)&amp;", "&amp;SUBSTITUTE(SUBSTITUTE(SUBSTITUTE(E1614," [",", "),"[",", "),"]","")&amp;"]",TRIM(INDEX($A$3:$A$168,K1614))&amp;" ["&amp;SUBSTITUTE(SUBSTITUTE(SUBSTITUTE(E1614," [",", "),"[",", "),"]","")&amp;"]")))</x:f>
      </x:c>
      <x:c r="G1614" t="str">
        <x:f>IF(F1614&lt;&gt;"",ROWS($F$3:F1614)-COUNTBLANK($F$3:F1614),"")</x:f>
      </x:c>
      <x:c r="H1614"/>
      <x:c r="I1614"/>
      <x:c r="J1614"/>
      <x:c r="K1614" t="str">
        <x:f>IF(ROW()-ROW($K$2)&lt;=SUM($J$3:$J$168),COUNTIF($H$3:$H$168,"&lt;"&amp;(ROW()-ROW($K$2))),"")</x:f>
      </x:c>
      <x:c r="L1614" t="str">
        <x:f>IF(K1614="","",ROW()-ROW($L$2)-INDEX($H$3:$H$168,K1614))</x:f>
      </x:c>
      <x:c r="M1614" t="str">
        <x:f>IF(K1614="","",IF(L1614=1,1,FIND(CHAR(1),SUBSTITUTE(INDEX($B$3:$B$168,K1614),CHAR(10),CHAR(1),L1614-1))+1))</x:f>
      </x:c>
      <x:c r="N1614" t="str">
        <x:f>IF(K1614="","",IFERROR(FIND(CHAR(1),SUBSTITUTE(INDEX($B$3:$B$168,K1614),CHAR(10),CHAR(1),L1614)),LEN(INDEX($B$3:$B$168,K1614))+1))</x:f>
      </x:c>
    </x:row>
    <x:row r="1615">
      <x:c r="A1615"/>
      <x:c r="B1615"/>
      <x:c r="C1615"/>
      <x:c r="D1615" t="str">
        <x:f>IFERROR(IF(1613&lt;=$O$1,INDEX($A$3:$A$168,MATCH(1613,$I$3:$I$168,0)),IF(1613&lt;=$O$1+$O$2,INDEX($F$3:$F$1994,MATCH(1613-$O$1,$G$3:$G$1994,0)),"")),"")</x:f>
      </x:c>
      <x:c r="E1615" t="str">
        <x:f>IF(K1615="","",IF(N1615&lt;=M1615,"",TRIM(CLEAN(MID(INDEX($B$3:$B$168,K1615),M1615,N1615-M1615)))))</x:f>
      </x:c>
      <x:c r="F1615" t="str">
        <x:f>IF(E1615="","",IF(E1615=TRIM(INDEX($A$3:$A$168,K1615)),"",IF(RIGHT(TRIM(INDEX($A$3:$A$168,K1615)),1)="]",LEFT(TRIM(INDEX($A$3:$A$168,K1615)),LEN(TRIM(INDEX($A$3:$A$168,K1615)))-1)&amp;", "&amp;SUBSTITUTE(SUBSTITUTE(SUBSTITUTE(E1615," [",", "),"[",", "),"]","")&amp;"]",TRIM(INDEX($A$3:$A$168,K1615))&amp;" ["&amp;SUBSTITUTE(SUBSTITUTE(SUBSTITUTE(E1615," [",", "),"[",", "),"]","")&amp;"]")))</x:f>
      </x:c>
      <x:c r="G1615" t="str">
        <x:f>IF(F1615&lt;&gt;"",ROWS($F$3:F1615)-COUNTBLANK($F$3:F1615),"")</x:f>
      </x:c>
      <x:c r="H1615"/>
      <x:c r="I1615"/>
      <x:c r="J1615"/>
      <x:c r="K1615" t="str">
        <x:f>IF(ROW()-ROW($K$2)&lt;=SUM($J$3:$J$168),COUNTIF($H$3:$H$168,"&lt;"&amp;(ROW()-ROW($K$2))),"")</x:f>
      </x:c>
      <x:c r="L1615" t="str">
        <x:f>IF(K1615="","",ROW()-ROW($L$2)-INDEX($H$3:$H$168,K1615))</x:f>
      </x:c>
      <x:c r="M1615" t="str">
        <x:f>IF(K1615="","",IF(L1615=1,1,FIND(CHAR(1),SUBSTITUTE(INDEX($B$3:$B$168,K1615),CHAR(10),CHAR(1),L1615-1))+1))</x:f>
      </x:c>
      <x:c r="N1615" t="str">
        <x:f>IF(K1615="","",IFERROR(FIND(CHAR(1),SUBSTITUTE(INDEX($B$3:$B$168,K1615),CHAR(10),CHAR(1),L1615)),LEN(INDEX($B$3:$B$168,K1615))+1))</x:f>
      </x:c>
    </x:row>
    <x:row r="1616">
      <x:c r="A1616"/>
      <x:c r="B1616"/>
      <x:c r="C1616"/>
      <x:c r="D1616" t="str">
        <x:f>IFERROR(IF(1614&lt;=$O$1,INDEX($A$3:$A$168,MATCH(1614,$I$3:$I$168,0)),IF(1614&lt;=$O$1+$O$2,INDEX($F$3:$F$1994,MATCH(1614-$O$1,$G$3:$G$1994,0)),"")),"")</x:f>
      </x:c>
      <x:c r="E1616" t="str">
        <x:f>IF(K1616="","",IF(N1616&lt;=M1616,"",TRIM(CLEAN(MID(INDEX($B$3:$B$168,K1616),M1616,N1616-M1616)))))</x:f>
      </x:c>
      <x:c r="F1616" t="str">
        <x:f>IF(E1616="","",IF(E1616=TRIM(INDEX($A$3:$A$168,K1616)),"",IF(RIGHT(TRIM(INDEX($A$3:$A$168,K1616)),1)="]",LEFT(TRIM(INDEX($A$3:$A$168,K1616)),LEN(TRIM(INDEX($A$3:$A$168,K1616)))-1)&amp;", "&amp;SUBSTITUTE(SUBSTITUTE(SUBSTITUTE(E1616," [",", "),"[",", "),"]","")&amp;"]",TRIM(INDEX($A$3:$A$168,K1616))&amp;" ["&amp;SUBSTITUTE(SUBSTITUTE(SUBSTITUTE(E1616," [",", "),"[",", "),"]","")&amp;"]")))</x:f>
      </x:c>
      <x:c r="G1616" t="str">
        <x:f>IF(F1616&lt;&gt;"",ROWS($F$3:F1616)-COUNTBLANK($F$3:F1616),"")</x:f>
      </x:c>
      <x:c r="H1616"/>
      <x:c r="I1616"/>
      <x:c r="J1616"/>
      <x:c r="K1616" t="str">
        <x:f>IF(ROW()-ROW($K$2)&lt;=SUM($J$3:$J$168),COUNTIF($H$3:$H$168,"&lt;"&amp;(ROW()-ROW($K$2))),"")</x:f>
      </x:c>
      <x:c r="L1616" t="str">
        <x:f>IF(K1616="","",ROW()-ROW($L$2)-INDEX($H$3:$H$168,K1616))</x:f>
      </x:c>
      <x:c r="M1616" t="str">
        <x:f>IF(K1616="","",IF(L1616=1,1,FIND(CHAR(1),SUBSTITUTE(INDEX($B$3:$B$168,K1616),CHAR(10),CHAR(1),L1616-1))+1))</x:f>
      </x:c>
      <x:c r="N1616" t="str">
        <x:f>IF(K1616="","",IFERROR(FIND(CHAR(1),SUBSTITUTE(INDEX($B$3:$B$168,K1616),CHAR(10),CHAR(1),L1616)),LEN(INDEX($B$3:$B$168,K1616))+1))</x:f>
      </x:c>
    </x:row>
    <x:row r="1617">
      <x:c r="A1617"/>
      <x:c r="B1617"/>
      <x:c r="C1617"/>
      <x:c r="D1617" t="str">
        <x:f>IFERROR(IF(1615&lt;=$O$1,INDEX($A$3:$A$168,MATCH(1615,$I$3:$I$168,0)),IF(1615&lt;=$O$1+$O$2,INDEX($F$3:$F$1994,MATCH(1615-$O$1,$G$3:$G$1994,0)),"")),"")</x:f>
      </x:c>
      <x:c r="E1617" t="str">
        <x:f>IF(K1617="","",IF(N1617&lt;=M1617,"",TRIM(CLEAN(MID(INDEX($B$3:$B$168,K1617),M1617,N1617-M1617)))))</x:f>
      </x:c>
      <x:c r="F1617" t="str">
        <x:f>IF(E1617="","",IF(E1617=TRIM(INDEX($A$3:$A$168,K1617)),"",IF(RIGHT(TRIM(INDEX($A$3:$A$168,K1617)),1)="]",LEFT(TRIM(INDEX($A$3:$A$168,K1617)),LEN(TRIM(INDEX($A$3:$A$168,K1617)))-1)&amp;", "&amp;SUBSTITUTE(SUBSTITUTE(SUBSTITUTE(E1617," [",", "),"[",", "),"]","")&amp;"]",TRIM(INDEX($A$3:$A$168,K1617))&amp;" ["&amp;SUBSTITUTE(SUBSTITUTE(SUBSTITUTE(E1617," [",", "),"[",", "),"]","")&amp;"]")))</x:f>
      </x:c>
      <x:c r="G1617" t="str">
        <x:f>IF(F1617&lt;&gt;"",ROWS($F$3:F1617)-COUNTBLANK($F$3:F1617),"")</x:f>
      </x:c>
      <x:c r="H1617"/>
      <x:c r="I1617"/>
      <x:c r="J1617"/>
      <x:c r="K1617" t="str">
        <x:f>IF(ROW()-ROW($K$2)&lt;=SUM($J$3:$J$168),COUNTIF($H$3:$H$168,"&lt;"&amp;(ROW()-ROW($K$2))),"")</x:f>
      </x:c>
      <x:c r="L1617" t="str">
        <x:f>IF(K1617="","",ROW()-ROW($L$2)-INDEX($H$3:$H$168,K1617))</x:f>
      </x:c>
      <x:c r="M1617" t="str">
        <x:f>IF(K1617="","",IF(L1617=1,1,FIND(CHAR(1),SUBSTITUTE(INDEX($B$3:$B$168,K1617),CHAR(10),CHAR(1),L1617-1))+1))</x:f>
      </x:c>
      <x:c r="N1617" t="str">
        <x:f>IF(K1617="","",IFERROR(FIND(CHAR(1),SUBSTITUTE(INDEX($B$3:$B$168,K1617),CHAR(10),CHAR(1),L1617)),LEN(INDEX($B$3:$B$168,K1617))+1))</x:f>
      </x:c>
    </x:row>
    <x:row r="1618">
      <x:c r="A1618"/>
      <x:c r="B1618"/>
      <x:c r="C1618"/>
      <x:c r="D1618" t="str">
        <x:f>IFERROR(IF(1616&lt;=$O$1,INDEX($A$3:$A$168,MATCH(1616,$I$3:$I$168,0)),IF(1616&lt;=$O$1+$O$2,INDEX($F$3:$F$1994,MATCH(1616-$O$1,$G$3:$G$1994,0)),"")),"")</x:f>
      </x:c>
      <x:c r="E1618" t="str">
        <x:f>IF(K1618="","",IF(N1618&lt;=M1618,"",TRIM(CLEAN(MID(INDEX($B$3:$B$168,K1618),M1618,N1618-M1618)))))</x:f>
      </x:c>
      <x:c r="F1618" t="str">
        <x:f>IF(E1618="","",IF(E1618=TRIM(INDEX($A$3:$A$168,K1618)),"",IF(RIGHT(TRIM(INDEX($A$3:$A$168,K1618)),1)="]",LEFT(TRIM(INDEX($A$3:$A$168,K1618)),LEN(TRIM(INDEX($A$3:$A$168,K1618)))-1)&amp;", "&amp;SUBSTITUTE(SUBSTITUTE(SUBSTITUTE(E1618," [",", "),"[",", "),"]","")&amp;"]",TRIM(INDEX($A$3:$A$168,K1618))&amp;" ["&amp;SUBSTITUTE(SUBSTITUTE(SUBSTITUTE(E1618," [",", "),"[",", "),"]","")&amp;"]")))</x:f>
      </x:c>
      <x:c r="G1618" t="str">
        <x:f>IF(F1618&lt;&gt;"",ROWS($F$3:F1618)-COUNTBLANK($F$3:F1618),"")</x:f>
      </x:c>
      <x:c r="H1618"/>
      <x:c r="I1618"/>
      <x:c r="J1618"/>
      <x:c r="K1618" t="str">
        <x:f>IF(ROW()-ROW($K$2)&lt;=SUM($J$3:$J$168),COUNTIF($H$3:$H$168,"&lt;"&amp;(ROW()-ROW($K$2))),"")</x:f>
      </x:c>
      <x:c r="L1618" t="str">
        <x:f>IF(K1618="","",ROW()-ROW($L$2)-INDEX($H$3:$H$168,K1618))</x:f>
      </x:c>
      <x:c r="M1618" t="str">
        <x:f>IF(K1618="","",IF(L1618=1,1,FIND(CHAR(1),SUBSTITUTE(INDEX($B$3:$B$168,K1618),CHAR(10),CHAR(1),L1618-1))+1))</x:f>
      </x:c>
      <x:c r="N1618" t="str">
        <x:f>IF(K1618="","",IFERROR(FIND(CHAR(1),SUBSTITUTE(INDEX($B$3:$B$168,K1618),CHAR(10),CHAR(1),L1618)),LEN(INDEX($B$3:$B$168,K1618))+1))</x:f>
      </x:c>
    </x:row>
    <x:row r="1619">
      <x:c r="A1619"/>
      <x:c r="B1619"/>
      <x:c r="C1619"/>
      <x:c r="D1619" t="str">
        <x:f>IFERROR(IF(1617&lt;=$O$1,INDEX($A$3:$A$168,MATCH(1617,$I$3:$I$168,0)),IF(1617&lt;=$O$1+$O$2,INDEX($F$3:$F$1994,MATCH(1617-$O$1,$G$3:$G$1994,0)),"")),"")</x:f>
      </x:c>
      <x:c r="E1619" t="str">
        <x:f>IF(K1619="","",IF(N1619&lt;=M1619,"",TRIM(CLEAN(MID(INDEX($B$3:$B$168,K1619),M1619,N1619-M1619)))))</x:f>
      </x:c>
      <x:c r="F1619" t="str">
        <x:f>IF(E1619="","",IF(E1619=TRIM(INDEX($A$3:$A$168,K1619)),"",IF(RIGHT(TRIM(INDEX($A$3:$A$168,K1619)),1)="]",LEFT(TRIM(INDEX($A$3:$A$168,K1619)),LEN(TRIM(INDEX($A$3:$A$168,K1619)))-1)&amp;", "&amp;SUBSTITUTE(SUBSTITUTE(SUBSTITUTE(E1619," [",", "),"[",", "),"]","")&amp;"]",TRIM(INDEX($A$3:$A$168,K1619))&amp;" ["&amp;SUBSTITUTE(SUBSTITUTE(SUBSTITUTE(E1619," [",", "),"[",", "),"]","")&amp;"]")))</x:f>
      </x:c>
      <x:c r="G1619" t="str">
        <x:f>IF(F1619&lt;&gt;"",ROWS($F$3:F1619)-COUNTBLANK($F$3:F1619),"")</x:f>
      </x:c>
      <x:c r="H1619"/>
      <x:c r="I1619"/>
      <x:c r="J1619"/>
      <x:c r="K1619" t="str">
        <x:f>IF(ROW()-ROW($K$2)&lt;=SUM($J$3:$J$168),COUNTIF($H$3:$H$168,"&lt;"&amp;(ROW()-ROW($K$2))),"")</x:f>
      </x:c>
      <x:c r="L1619" t="str">
        <x:f>IF(K1619="","",ROW()-ROW($L$2)-INDEX($H$3:$H$168,K1619))</x:f>
      </x:c>
      <x:c r="M1619" t="str">
        <x:f>IF(K1619="","",IF(L1619=1,1,FIND(CHAR(1),SUBSTITUTE(INDEX($B$3:$B$168,K1619),CHAR(10),CHAR(1),L1619-1))+1))</x:f>
      </x:c>
      <x:c r="N1619" t="str">
        <x:f>IF(K1619="","",IFERROR(FIND(CHAR(1),SUBSTITUTE(INDEX($B$3:$B$168,K1619),CHAR(10),CHAR(1),L1619)),LEN(INDEX($B$3:$B$168,K1619))+1))</x:f>
      </x:c>
    </x:row>
    <x:row r="1620">
      <x:c r="A1620"/>
      <x:c r="B1620"/>
      <x:c r="C1620"/>
      <x:c r="D1620" t="str">
        <x:f>IFERROR(IF(1618&lt;=$O$1,INDEX($A$3:$A$168,MATCH(1618,$I$3:$I$168,0)),IF(1618&lt;=$O$1+$O$2,INDEX($F$3:$F$1994,MATCH(1618-$O$1,$G$3:$G$1994,0)),"")),"")</x:f>
      </x:c>
      <x:c r="E1620" t="str">
        <x:f>IF(K1620="","",IF(N1620&lt;=M1620,"",TRIM(CLEAN(MID(INDEX($B$3:$B$168,K1620),M1620,N1620-M1620)))))</x:f>
      </x:c>
      <x:c r="F1620" t="str">
        <x:f>IF(E1620="","",IF(E1620=TRIM(INDEX($A$3:$A$168,K1620)),"",IF(RIGHT(TRIM(INDEX($A$3:$A$168,K1620)),1)="]",LEFT(TRIM(INDEX($A$3:$A$168,K1620)),LEN(TRIM(INDEX($A$3:$A$168,K1620)))-1)&amp;", "&amp;SUBSTITUTE(SUBSTITUTE(SUBSTITUTE(E1620," [",", "),"[",", "),"]","")&amp;"]",TRIM(INDEX($A$3:$A$168,K1620))&amp;" ["&amp;SUBSTITUTE(SUBSTITUTE(SUBSTITUTE(E1620," [",", "),"[",", "),"]","")&amp;"]")))</x:f>
      </x:c>
      <x:c r="G1620" t="str">
        <x:f>IF(F1620&lt;&gt;"",ROWS($F$3:F1620)-COUNTBLANK($F$3:F1620),"")</x:f>
      </x:c>
      <x:c r="H1620"/>
      <x:c r="I1620"/>
      <x:c r="J1620"/>
      <x:c r="K1620" t="str">
        <x:f>IF(ROW()-ROW($K$2)&lt;=SUM($J$3:$J$168),COUNTIF($H$3:$H$168,"&lt;"&amp;(ROW()-ROW($K$2))),"")</x:f>
      </x:c>
      <x:c r="L1620" t="str">
        <x:f>IF(K1620="","",ROW()-ROW($L$2)-INDEX($H$3:$H$168,K1620))</x:f>
      </x:c>
      <x:c r="M1620" t="str">
        <x:f>IF(K1620="","",IF(L1620=1,1,FIND(CHAR(1),SUBSTITUTE(INDEX($B$3:$B$168,K1620),CHAR(10),CHAR(1),L1620-1))+1))</x:f>
      </x:c>
      <x:c r="N1620" t="str">
        <x:f>IF(K1620="","",IFERROR(FIND(CHAR(1),SUBSTITUTE(INDEX($B$3:$B$168,K1620),CHAR(10),CHAR(1),L1620)),LEN(INDEX($B$3:$B$168,K1620))+1))</x:f>
      </x:c>
    </x:row>
    <x:row r="1621">
      <x:c r="A1621"/>
      <x:c r="B1621"/>
      <x:c r="C1621"/>
      <x:c r="D1621" t="str">
        <x:f>IFERROR(IF(1619&lt;=$O$1,INDEX($A$3:$A$168,MATCH(1619,$I$3:$I$168,0)),IF(1619&lt;=$O$1+$O$2,INDEX($F$3:$F$1994,MATCH(1619-$O$1,$G$3:$G$1994,0)),"")),"")</x:f>
      </x:c>
      <x:c r="E1621" t="str">
        <x:f>IF(K1621="","",IF(N1621&lt;=M1621,"",TRIM(CLEAN(MID(INDEX($B$3:$B$168,K1621),M1621,N1621-M1621)))))</x:f>
      </x:c>
      <x:c r="F1621" t="str">
        <x:f>IF(E1621="","",IF(E1621=TRIM(INDEX($A$3:$A$168,K1621)),"",IF(RIGHT(TRIM(INDEX($A$3:$A$168,K1621)),1)="]",LEFT(TRIM(INDEX($A$3:$A$168,K1621)),LEN(TRIM(INDEX($A$3:$A$168,K1621)))-1)&amp;", "&amp;SUBSTITUTE(SUBSTITUTE(SUBSTITUTE(E1621," [",", "),"[",", "),"]","")&amp;"]",TRIM(INDEX($A$3:$A$168,K1621))&amp;" ["&amp;SUBSTITUTE(SUBSTITUTE(SUBSTITUTE(E1621," [",", "),"[",", "),"]","")&amp;"]")))</x:f>
      </x:c>
      <x:c r="G1621" t="str">
        <x:f>IF(F1621&lt;&gt;"",ROWS($F$3:F1621)-COUNTBLANK($F$3:F1621),"")</x:f>
      </x:c>
      <x:c r="H1621"/>
      <x:c r="I1621"/>
      <x:c r="J1621"/>
      <x:c r="K1621" t="str">
        <x:f>IF(ROW()-ROW($K$2)&lt;=SUM($J$3:$J$168),COUNTIF($H$3:$H$168,"&lt;"&amp;(ROW()-ROW($K$2))),"")</x:f>
      </x:c>
      <x:c r="L1621" t="str">
        <x:f>IF(K1621="","",ROW()-ROW($L$2)-INDEX($H$3:$H$168,K1621))</x:f>
      </x:c>
      <x:c r="M1621" t="str">
        <x:f>IF(K1621="","",IF(L1621=1,1,FIND(CHAR(1),SUBSTITUTE(INDEX($B$3:$B$168,K1621),CHAR(10),CHAR(1),L1621-1))+1))</x:f>
      </x:c>
      <x:c r="N1621" t="str">
        <x:f>IF(K1621="","",IFERROR(FIND(CHAR(1),SUBSTITUTE(INDEX($B$3:$B$168,K1621),CHAR(10),CHAR(1),L1621)),LEN(INDEX($B$3:$B$168,K1621))+1))</x:f>
      </x:c>
    </x:row>
    <x:row r="1622">
      <x:c r="A1622"/>
      <x:c r="B1622"/>
      <x:c r="C1622"/>
      <x:c r="D1622" t="str">
        <x:f>IFERROR(IF(1620&lt;=$O$1,INDEX($A$3:$A$168,MATCH(1620,$I$3:$I$168,0)),IF(1620&lt;=$O$1+$O$2,INDEX($F$3:$F$1994,MATCH(1620-$O$1,$G$3:$G$1994,0)),"")),"")</x:f>
      </x:c>
      <x:c r="E1622" t="str">
        <x:f>IF(K1622="","",IF(N1622&lt;=M1622,"",TRIM(CLEAN(MID(INDEX($B$3:$B$168,K1622),M1622,N1622-M1622)))))</x:f>
      </x:c>
      <x:c r="F1622" t="str">
        <x:f>IF(E1622="","",IF(E1622=TRIM(INDEX($A$3:$A$168,K1622)),"",IF(RIGHT(TRIM(INDEX($A$3:$A$168,K1622)),1)="]",LEFT(TRIM(INDEX($A$3:$A$168,K1622)),LEN(TRIM(INDEX($A$3:$A$168,K1622)))-1)&amp;", "&amp;SUBSTITUTE(SUBSTITUTE(SUBSTITUTE(E1622," [",", "),"[",", "),"]","")&amp;"]",TRIM(INDEX($A$3:$A$168,K1622))&amp;" ["&amp;SUBSTITUTE(SUBSTITUTE(SUBSTITUTE(E1622," [",", "),"[",", "),"]","")&amp;"]")))</x:f>
      </x:c>
      <x:c r="G1622" t="str">
        <x:f>IF(F1622&lt;&gt;"",ROWS($F$3:F1622)-COUNTBLANK($F$3:F1622),"")</x:f>
      </x:c>
      <x:c r="H1622"/>
      <x:c r="I1622"/>
      <x:c r="J1622"/>
      <x:c r="K1622" t="str">
        <x:f>IF(ROW()-ROW($K$2)&lt;=SUM($J$3:$J$168),COUNTIF($H$3:$H$168,"&lt;"&amp;(ROW()-ROW($K$2))),"")</x:f>
      </x:c>
      <x:c r="L1622" t="str">
        <x:f>IF(K1622="","",ROW()-ROW($L$2)-INDEX($H$3:$H$168,K1622))</x:f>
      </x:c>
      <x:c r="M1622" t="str">
        <x:f>IF(K1622="","",IF(L1622=1,1,FIND(CHAR(1),SUBSTITUTE(INDEX($B$3:$B$168,K1622),CHAR(10),CHAR(1),L1622-1))+1))</x:f>
      </x:c>
      <x:c r="N1622" t="str">
        <x:f>IF(K1622="","",IFERROR(FIND(CHAR(1),SUBSTITUTE(INDEX($B$3:$B$168,K1622),CHAR(10),CHAR(1),L1622)),LEN(INDEX($B$3:$B$168,K1622))+1))</x:f>
      </x:c>
    </x:row>
    <x:row r="1623">
      <x:c r="A1623"/>
      <x:c r="B1623"/>
      <x:c r="C1623"/>
      <x:c r="D1623" t="str">
        <x:f>IFERROR(IF(1621&lt;=$O$1,INDEX($A$3:$A$168,MATCH(1621,$I$3:$I$168,0)),IF(1621&lt;=$O$1+$O$2,INDEX($F$3:$F$1994,MATCH(1621-$O$1,$G$3:$G$1994,0)),"")),"")</x:f>
      </x:c>
      <x:c r="E1623" t="str">
        <x:f>IF(K1623="","",IF(N1623&lt;=M1623,"",TRIM(CLEAN(MID(INDEX($B$3:$B$168,K1623),M1623,N1623-M1623)))))</x:f>
      </x:c>
      <x:c r="F1623" t="str">
        <x:f>IF(E1623="","",IF(E1623=TRIM(INDEX($A$3:$A$168,K1623)),"",IF(RIGHT(TRIM(INDEX($A$3:$A$168,K1623)),1)="]",LEFT(TRIM(INDEX($A$3:$A$168,K1623)),LEN(TRIM(INDEX($A$3:$A$168,K1623)))-1)&amp;", "&amp;SUBSTITUTE(SUBSTITUTE(SUBSTITUTE(E1623," [",", "),"[",", "),"]","")&amp;"]",TRIM(INDEX($A$3:$A$168,K1623))&amp;" ["&amp;SUBSTITUTE(SUBSTITUTE(SUBSTITUTE(E1623," [",", "),"[",", "),"]","")&amp;"]")))</x:f>
      </x:c>
      <x:c r="G1623" t="str">
        <x:f>IF(F1623&lt;&gt;"",ROWS($F$3:F1623)-COUNTBLANK($F$3:F1623),"")</x:f>
      </x:c>
      <x:c r="H1623"/>
      <x:c r="I1623"/>
      <x:c r="J1623"/>
      <x:c r="K1623" t="str">
        <x:f>IF(ROW()-ROW($K$2)&lt;=SUM($J$3:$J$168),COUNTIF($H$3:$H$168,"&lt;"&amp;(ROW()-ROW($K$2))),"")</x:f>
      </x:c>
      <x:c r="L1623" t="str">
        <x:f>IF(K1623="","",ROW()-ROW($L$2)-INDEX($H$3:$H$168,K1623))</x:f>
      </x:c>
      <x:c r="M1623" t="str">
        <x:f>IF(K1623="","",IF(L1623=1,1,FIND(CHAR(1),SUBSTITUTE(INDEX($B$3:$B$168,K1623),CHAR(10),CHAR(1),L1623-1))+1))</x:f>
      </x:c>
      <x:c r="N1623" t="str">
        <x:f>IF(K1623="","",IFERROR(FIND(CHAR(1),SUBSTITUTE(INDEX($B$3:$B$168,K1623),CHAR(10),CHAR(1),L1623)),LEN(INDEX($B$3:$B$168,K1623))+1))</x:f>
      </x:c>
    </x:row>
    <x:row r="1624">
      <x:c r="A1624"/>
      <x:c r="B1624"/>
      <x:c r="C1624"/>
      <x:c r="D1624" t="str">
        <x:f>IFERROR(IF(1622&lt;=$O$1,INDEX($A$3:$A$168,MATCH(1622,$I$3:$I$168,0)),IF(1622&lt;=$O$1+$O$2,INDEX($F$3:$F$1994,MATCH(1622-$O$1,$G$3:$G$1994,0)),"")),"")</x:f>
      </x:c>
      <x:c r="E1624" t="str">
        <x:f>IF(K1624="","",IF(N1624&lt;=M1624,"",TRIM(CLEAN(MID(INDEX($B$3:$B$168,K1624),M1624,N1624-M1624)))))</x:f>
      </x:c>
      <x:c r="F1624" t="str">
        <x:f>IF(E1624="","",IF(E1624=TRIM(INDEX($A$3:$A$168,K1624)),"",IF(RIGHT(TRIM(INDEX($A$3:$A$168,K1624)),1)="]",LEFT(TRIM(INDEX($A$3:$A$168,K1624)),LEN(TRIM(INDEX($A$3:$A$168,K1624)))-1)&amp;", "&amp;SUBSTITUTE(SUBSTITUTE(SUBSTITUTE(E1624," [",", "),"[",", "),"]","")&amp;"]",TRIM(INDEX($A$3:$A$168,K1624))&amp;" ["&amp;SUBSTITUTE(SUBSTITUTE(SUBSTITUTE(E1624," [",", "),"[",", "),"]","")&amp;"]")))</x:f>
      </x:c>
      <x:c r="G1624" t="str">
        <x:f>IF(F1624&lt;&gt;"",ROWS($F$3:F1624)-COUNTBLANK($F$3:F1624),"")</x:f>
      </x:c>
      <x:c r="H1624"/>
      <x:c r="I1624"/>
      <x:c r="J1624"/>
      <x:c r="K1624" t="str">
        <x:f>IF(ROW()-ROW($K$2)&lt;=SUM($J$3:$J$168),COUNTIF($H$3:$H$168,"&lt;"&amp;(ROW()-ROW($K$2))),"")</x:f>
      </x:c>
      <x:c r="L1624" t="str">
        <x:f>IF(K1624="","",ROW()-ROW($L$2)-INDEX($H$3:$H$168,K1624))</x:f>
      </x:c>
      <x:c r="M1624" t="str">
        <x:f>IF(K1624="","",IF(L1624=1,1,FIND(CHAR(1),SUBSTITUTE(INDEX($B$3:$B$168,K1624),CHAR(10),CHAR(1),L1624-1))+1))</x:f>
      </x:c>
      <x:c r="N1624" t="str">
        <x:f>IF(K1624="","",IFERROR(FIND(CHAR(1),SUBSTITUTE(INDEX($B$3:$B$168,K1624),CHAR(10),CHAR(1),L1624)),LEN(INDEX($B$3:$B$168,K1624))+1))</x:f>
      </x:c>
    </x:row>
    <x:row r="1625">
      <x:c r="A1625"/>
      <x:c r="B1625"/>
      <x:c r="C1625"/>
      <x:c r="D1625" t="str">
        <x:f>IFERROR(IF(1623&lt;=$O$1,INDEX($A$3:$A$168,MATCH(1623,$I$3:$I$168,0)),IF(1623&lt;=$O$1+$O$2,INDEX($F$3:$F$1994,MATCH(1623-$O$1,$G$3:$G$1994,0)),"")),"")</x:f>
      </x:c>
      <x:c r="E1625" t="str">
        <x:f>IF(K1625="","",IF(N1625&lt;=M1625,"",TRIM(CLEAN(MID(INDEX($B$3:$B$168,K1625),M1625,N1625-M1625)))))</x:f>
      </x:c>
      <x:c r="F1625" t="str">
        <x:f>IF(E1625="","",IF(E1625=TRIM(INDEX($A$3:$A$168,K1625)),"",IF(RIGHT(TRIM(INDEX($A$3:$A$168,K1625)),1)="]",LEFT(TRIM(INDEX($A$3:$A$168,K1625)),LEN(TRIM(INDEX($A$3:$A$168,K1625)))-1)&amp;", "&amp;SUBSTITUTE(SUBSTITUTE(SUBSTITUTE(E1625," [",", "),"[",", "),"]","")&amp;"]",TRIM(INDEX($A$3:$A$168,K1625))&amp;" ["&amp;SUBSTITUTE(SUBSTITUTE(SUBSTITUTE(E1625," [",", "),"[",", "),"]","")&amp;"]")))</x:f>
      </x:c>
      <x:c r="G1625" t="str">
        <x:f>IF(F1625&lt;&gt;"",ROWS($F$3:F1625)-COUNTBLANK($F$3:F1625),"")</x:f>
      </x:c>
      <x:c r="H1625"/>
      <x:c r="I1625"/>
      <x:c r="J1625"/>
      <x:c r="K1625" t="str">
        <x:f>IF(ROW()-ROW($K$2)&lt;=SUM($J$3:$J$168),COUNTIF($H$3:$H$168,"&lt;"&amp;(ROW()-ROW($K$2))),"")</x:f>
      </x:c>
      <x:c r="L1625" t="str">
        <x:f>IF(K1625="","",ROW()-ROW($L$2)-INDEX($H$3:$H$168,K1625))</x:f>
      </x:c>
      <x:c r="M1625" t="str">
        <x:f>IF(K1625="","",IF(L1625=1,1,FIND(CHAR(1),SUBSTITUTE(INDEX($B$3:$B$168,K1625),CHAR(10),CHAR(1),L1625-1))+1))</x:f>
      </x:c>
      <x:c r="N1625" t="str">
        <x:f>IF(K1625="","",IFERROR(FIND(CHAR(1),SUBSTITUTE(INDEX($B$3:$B$168,K1625),CHAR(10),CHAR(1),L1625)),LEN(INDEX($B$3:$B$168,K1625))+1))</x:f>
      </x:c>
    </x:row>
    <x:row r="1626">
      <x:c r="A1626"/>
      <x:c r="B1626"/>
      <x:c r="C1626"/>
      <x:c r="D1626" t="str">
        <x:f>IFERROR(IF(1624&lt;=$O$1,INDEX($A$3:$A$168,MATCH(1624,$I$3:$I$168,0)),IF(1624&lt;=$O$1+$O$2,INDEX($F$3:$F$1994,MATCH(1624-$O$1,$G$3:$G$1994,0)),"")),"")</x:f>
      </x:c>
      <x:c r="E1626" t="str">
        <x:f>IF(K1626="","",IF(N1626&lt;=M1626,"",TRIM(CLEAN(MID(INDEX($B$3:$B$168,K1626),M1626,N1626-M1626)))))</x:f>
      </x:c>
      <x:c r="F1626" t="str">
        <x:f>IF(E1626="","",IF(E1626=TRIM(INDEX($A$3:$A$168,K1626)),"",IF(RIGHT(TRIM(INDEX($A$3:$A$168,K1626)),1)="]",LEFT(TRIM(INDEX($A$3:$A$168,K1626)),LEN(TRIM(INDEX($A$3:$A$168,K1626)))-1)&amp;", "&amp;SUBSTITUTE(SUBSTITUTE(SUBSTITUTE(E1626," [",", "),"[",", "),"]","")&amp;"]",TRIM(INDEX($A$3:$A$168,K1626))&amp;" ["&amp;SUBSTITUTE(SUBSTITUTE(SUBSTITUTE(E1626," [",", "),"[",", "),"]","")&amp;"]")))</x:f>
      </x:c>
      <x:c r="G1626" t="str">
        <x:f>IF(F1626&lt;&gt;"",ROWS($F$3:F1626)-COUNTBLANK($F$3:F1626),"")</x:f>
      </x:c>
      <x:c r="H1626"/>
      <x:c r="I1626"/>
      <x:c r="J1626"/>
      <x:c r="K1626" t="str">
        <x:f>IF(ROW()-ROW($K$2)&lt;=SUM($J$3:$J$168),COUNTIF($H$3:$H$168,"&lt;"&amp;(ROW()-ROW($K$2))),"")</x:f>
      </x:c>
      <x:c r="L1626" t="str">
        <x:f>IF(K1626="","",ROW()-ROW($L$2)-INDEX($H$3:$H$168,K1626))</x:f>
      </x:c>
      <x:c r="M1626" t="str">
        <x:f>IF(K1626="","",IF(L1626=1,1,FIND(CHAR(1),SUBSTITUTE(INDEX($B$3:$B$168,K1626),CHAR(10),CHAR(1),L1626-1))+1))</x:f>
      </x:c>
      <x:c r="N1626" t="str">
        <x:f>IF(K1626="","",IFERROR(FIND(CHAR(1),SUBSTITUTE(INDEX($B$3:$B$168,K1626),CHAR(10),CHAR(1),L1626)),LEN(INDEX($B$3:$B$168,K1626))+1))</x:f>
      </x:c>
    </x:row>
    <x:row r="1627">
      <x:c r="A1627"/>
      <x:c r="B1627"/>
      <x:c r="C1627"/>
      <x:c r="D1627" t="str">
        <x:f>IFERROR(IF(1625&lt;=$O$1,INDEX($A$3:$A$168,MATCH(1625,$I$3:$I$168,0)),IF(1625&lt;=$O$1+$O$2,INDEX($F$3:$F$1994,MATCH(1625-$O$1,$G$3:$G$1994,0)),"")),"")</x:f>
      </x:c>
      <x:c r="E1627" t="str">
        <x:f>IF(K1627="","",IF(N1627&lt;=M1627,"",TRIM(CLEAN(MID(INDEX($B$3:$B$168,K1627),M1627,N1627-M1627)))))</x:f>
      </x:c>
      <x:c r="F1627" t="str">
        <x:f>IF(E1627="","",IF(E1627=TRIM(INDEX($A$3:$A$168,K1627)),"",IF(RIGHT(TRIM(INDEX($A$3:$A$168,K1627)),1)="]",LEFT(TRIM(INDEX($A$3:$A$168,K1627)),LEN(TRIM(INDEX($A$3:$A$168,K1627)))-1)&amp;", "&amp;SUBSTITUTE(SUBSTITUTE(SUBSTITUTE(E1627," [",", "),"[",", "),"]","")&amp;"]",TRIM(INDEX($A$3:$A$168,K1627))&amp;" ["&amp;SUBSTITUTE(SUBSTITUTE(SUBSTITUTE(E1627," [",", "),"[",", "),"]","")&amp;"]")))</x:f>
      </x:c>
      <x:c r="G1627" t="str">
        <x:f>IF(F1627&lt;&gt;"",ROWS($F$3:F1627)-COUNTBLANK($F$3:F1627),"")</x:f>
      </x:c>
      <x:c r="H1627"/>
      <x:c r="I1627"/>
      <x:c r="J1627"/>
      <x:c r="K1627" t="str">
        <x:f>IF(ROW()-ROW($K$2)&lt;=SUM($J$3:$J$168),COUNTIF($H$3:$H$168,"&lt;"&amp;(ROW()-ROW($K$2))),"")</x:f>
      </x:c>
      <x:c r="L1627" t="str">
        <x:f>IF(K1627="","",ROW()-ROW($L$2)-INDEX($H$3:$H$168,K1627))</x:f>
      </x:c>
      <x:c r="M1627" t="str">
        <x:f>IF(K1627="","",IF(L1627=1,1,FIND(CHAR(1),SUBSTITUTE(INDEX($B$3:$B$168,K1627),CHAR(10),CHAR(1),L1627-1))+1))</x:f>
      </x:c>
      <x:c r="N1627" t="str">
        <x:f>IF(K1627="","",IFERROR(FIND(CHAR(1),SUBSTITUTE(INDEX($B$3:$B$168,K1627),CHAR(10),CHAR(1),L1627)),LEN(INDEX($B$3:$B$168,K1627))+1))</x:f>
      </x:c>
    </x:row>
    <x:row r="1628">
      <x:c r="A1628"/>
      <x:c r="B1628"/>
      <x:c r="C1628"/>
      <x:c r="D1628" t="str">
        <x:f>IFERROR(IF(1626&lt;=$O$1,INDEX($A$3:$A$168,MATCH(1626,$I$3:$I$168,0)),IF(1626&lt;=$O$1+$O$2,INDEX($F$3:$F$1994,MATCH(1626-$O$1,$G$3:$G$1994,0)),"")),"")</x:f>
      </x:c>
      <x:c r="E1628" t="str">
        <x:f>IF(K1628="","",IF(N1628&lt;=M1628,"",TRIM(CLEAN(MID(INDEX($B$3:$B$168,K1628),M1628,N1628-M1628)))))</x:f>
      </x:c>
      <x:c r="F1628" t="str">
        <x:f>IF(E1628="","",IF(E1628=TRIM(INDEX($A$3:$A$168,K1628)),"",IF(RIGHT(TRIM(INDEX($A$3:$A$168,K1628)),1)="]",LEFT(TRIM(INDEX($A$3:$A$168,K1628)),LEN(TRIM(INDEX($A$3:$A$168,K1628)))-1)&amp;", "&amp;SUBSTITUTE(SUBSTITUTE(SUBSTITUTE(E1628," [",", "),"[",", "),"]","")&amp;"]",TRIM(INDEX($A$3:$A$168,K1628))&amp;" ["&amp;SUBSTITUTE(SUBSTITUTE(SUBSTITUTE(E1628," [",", "),"[",", "),"]","")&amp;"]")))</x:f>
      </x:c>
      <x:c r="G1628" t="str">
        <x:f>IF(F1628&lt;&gt;"",ROWS($F$3:F1628)-COUNTBLANK($F$3:F1628),"")</x:f>
      </x:c>
      <x:c r="H1628"/>
      <x:c r="I1628"/>
      <x:c r="J1628"/>
      <x:c r="K1628" t="str">
        <x:f>IF(ROW()-ROW($K$2)&lt;=SUM($J$3:$J$168),COUNTIF($H$3:$H$168,"&lt;"&amp;(ROW()-ROW($K$2))),"")</x:f>
      </x:c>
      <x:c r="L1628" t="str">
        <x:f>IF(K1628="","",ROW()-ROW($L$2)-INDEX($H$3:$H$168,K1628))</x:f>
      </x:c>
      <x:c r="M1628" t="str">
        <x:f>IF(K1628="","",IF(L1628=1,1,FIND(CHAR(1),SUBSTITUTE(INDEX($B$3:$B$168,K1628),CHAR(10),CHAR(1),L1628-1))+1))</x:f>
      </x:c>
      <x:c r="N1628" t="str">
        <x:f>IF(K1628="","",IFERROR(FIND(CHAR(1),SUBSTITUTE(INDEX($B$3:$B$168,K1628),CHAR(10),CHAR(1),L1628)),LEN(INDEX($B$3:$B$168,K1628))+1))</x:f>
      </x:c>
    </x:row>
    <x:row r="1629">
      <x:c r="A1629"/>
      <x:c r="B1629"/>
      <x:c r="C1629"/>
      <x:c r="D1629" t="str">
        <x:f>IFERROR(IF(1627&lt;=$O$1,INDEX($A$3:$A$168,MATCH(1627,$I$3:$I$168,0)),IF(1627&lt;=$O$1+$O$2,INDEX($F$3:$F$1994,MATCH(1627-$O$1,$G$3:$G$1994,0)),"")),"")</x:f>
      </x:c>
      <x:c r="E1629" t="str">
        <x:f>IF(K1629="","",IF(N1629&lt;=M1629,"",TRIM(CLEAN(MID(INDEX($B$3:$B$168,K1629),M1629,N1629-M1629)))))</x:f>
      </x:c>
      <x:c r="F1629" t="str">
        <x:f>IF(E1629="","",IF(E1629=TRIM(INDEX($A$3:$A$168,K1629)),"",IF(RIGHT(TRIM(INDEX($A$3:$A$168,K1629)),1)="]",LEFT(TRIM(INDEX($A$3:$A$168,K1629)),LEN(TRIM(INDEX($A$3:$A$168,K1629)))-1)&amp;", "&amp;SUBSTITUTE(SUBSTITUTE(SUBSTITUTE(E1629," [",", "),"[",", "),"]","")&amp;"]",TRIM(INDEX($A$3:$A$168,K1629))&amp;" ["&amp;SUBSTITUTE(SUBSTITUTE(SUBSTITUTE(E1629," [",", "),"[",", "),"]","")&amp;"]")))</x:f>
      </x:c>
      <x:c r="G1629" t="str">
        <x:f>IF(F1629&lt;&gt;"",ROWS($F$3:F1629)-COUNTBLANK($F$3:F1629),"")</x:f>
      </x:c>
      <x:c r="H1629"/>
      <x:c r="I1629"/>
      <x:c r="J1629"/>
      <x:c r="K1629" t="str">
        <x:f>IF(ROW()-ROW($K$2)&lt;=SUM($J$3:$J$168),COUNTIF($H$3:$H$168,"&lt;"&amp;(ROW()-ROW($K$2))),"")</x:f>
      </x:c>
      <x:c r="L1629" t="str">
        <x:f>IF(K1629="","",ROW()-ROW($L$2)-INDEX($H$3:$H$168,K1629))</x:f>
      </x:c>
      <x:c r="M1629" t="str">
        <x:f>IF(K1629="","",IF(L1629=1,1,FIND(CHAR(1),SUBSTITUTE(INDEX($B$3:$B$168,K1629),CHAR(10),CHAR(1),L1629-1))+1))</x:f>
      </x:c>
      <x:c r="N1629" t="str">
        <x:f>IF(K1629="","",IFERROR(FIND(CHAR(1),SUBSTITUTE(INDEX($B$3:$B$168,K1629),CHAR(10),CHAR(1),L1629)),LEN(INDEX($B$3:$B$168,K1629))+1))</x:f>
      </x:c>
    </x:row>
    <x:row r="1630">
      <x:c r="A1630"/>
      <x:c r="B1630"/>
      <x:c r="C1630"/>
      <x:c r="D1630" t="str">
        <x:f>IFERROR(IF(1628&lt;=$O$1,INDEX($A$3:$A$168,MATCH(1628,$I$3:$I$168,0)),IF(1628&lt;=$O$1+$O$2,INDEX($F$3:$F$1994,MATCH(1628-$O$1,$G$3:$G$1994,0)),"")),"")</x:f>
      </x:c>
      <x:c r="E1630" t="str">
        <x:f>IF(K1630="","",IF(N1630&lt;=M1630,"",TRIM(CLEAN(MID(INDEX($B$3:$B$168,K1630),M1630,N1630-M1630)))))</x:f>
      </x:c>
      <x:c r="F1630" t="str">
        <x:f>IF(E1630="","",IF(E1630=TRIM(INDEX($A$3:$A$168,K1630)),"",IF(RIGHT(TRIM(INDEX($A$3:$A$168,K1630)),1)="]",LEFT(TRIM(INDEX($A$3:$A$168,K1630)),LEN(TRIM(INDEX($A$3:$A$168,K1630)))-1)&amp;", "&amp;SUBSTITUTE(SUBSTITUTE(SUBSTITUTE(E1630," [",", "),"[",", "),"]","")&amp;"]",TRIM(INDEX($A$3:$A$168,K1630))&amp;" ["&amp;SUBSTITUTE(SUBSTITUTE(SUBSTITUTE(E1630," [",", "),"[",", "),"]","")&amp;"]")))</x:f>
      </x:c>
      <x:c r="G1630" t="str">
        <x:f>IF(F1630&lt;&gt;"",ROWS($F$3:F1630)-COUNTBLANK($F$3:F1630),"")</x:f>
      </x:c>
      <x:c r="H1630"/>
      <x:c r="I1630"/>
      <x:c r="J1630"/>
      <x:c r="K1630" t="str">
        <x:f>IF(ROW()-ROW($K$2)&lt;=SUM($J$3:$J$168),COUNTIF($H$3:$H$168,"&lt;"&amp;(ROW()-ROW($K$2))),"")</x:f>
      </x:c>
      <x:c r="L1630" t="str">
        <x:f>IF(K1630="","",ROW()-ROW($L$2)-INDEX($H$3:$H$168,K1630))</x:f>
      </x:c>
      <x:c r="M1630" t="str">
        <x:f>IF(K1630="","",IF(L1630=1,1,FIND(CHAR(1),SUBSTITUTE(INDEX($B$3:$B$168,K1630),CHAR(10),CHAR(1),L1630-1))+1))</x:f>
      </x:c>
      <x:c r="N1630" t="str">
        <x:f>IF(K1630="","",IFERROR(FIND(CHAR(1),SUBSTITUTE(INDEX($B$3:$B$168,K1630),CHAR(10),CHAR(1),L1630)),LEN(INDEX($B$3:$B$168,K1630))+1))</x:f>
      </x:c>
    </x:row>
    <x:row r="1631">
      <x:c r="A1631"/>
      <x:c r="B1631"/>
      <x:c r="C1631"/>
      <x:c r="D1631" t="str">
        <x:f>IFERROR(IF(1629&lt;=$O$1,INDEX($A$3:$A$168,MATCH(1629,$I$3:$I$168,0)),IF(1629&lt;=$O$1+$O$2,INDEX($F$3:$F$1994,MATCH(1629-$O$1,$G$3:$G$1994,0)),"")),"")</x:f>
      </x:c>
      <x:c r="E1631" t="str">
        <x:f>IF(K1631="","",IF(N1631&lt;=M1631,"",TRIM(CLEAN(MID(INDEX($B$3:$B$168,K1631),M1631,N1631-M1631)))))</x:f>
      </x:c>
      <x:c r="F1631" t="str">
        <x:f>IF(E1631="","",IF(E1631=TRIM(INDEX($A$3:$A$168,K1631)),"",IF(RIGHT(TRIM(INDEX($A$3:$A$168,K1631)),1)="]",LEFT(TRIM(INDEX($A$3:$A$168,K1631)),LEN(TRIM(INDEX($A$3:$A$168,K1631)))-1)&amp;", "&amp;SUBSTITUTE(SUBSTITUTE(SUBSTITUTE(E1631," [",", "),"[",", "),"]","")&amp;"]",TRIM(INDEX($A$3:$A$168,K1631))&amp;" ["&amp;SUBSTITUTE(SUBSTITUTE(SUBSTITUTE(E1631," [",", "),"[",", "),"]","")&amp;"]")))</x:f>
      </x:c>
      <x:c r="G1631" t="str">
        <x:f>IF(F1631&lt;&gt;"",ROWS($F$3:F1631)-COUNTBLANK($F$3:F1631),"")</x:f>
      </x:c>
      <x:c r="H1631"/>
      <x:c r="I1631"/>
      <x:c r="J1631"/>
      <x:c r="K1631" t="str">
        <x:f>IF(ROW()-ROW($K$2)&lt;=SUM($J$3:$J$168),COUNTIF($H$3:$H$168,"&lt;"&amp;(ROW()-ROW($K$2))),"")</x:f>
      </x:c>
      <x:c r="L1631" t="str">
        <x:f>IF(K1631="","",ROW()-ROW($L$2)-INDEX($H$3:$H$168,K1631))</x:f>
      </x:c>
      <x:c r="M1631" t="str">
        <x:f>IF(K1631="","",IF(L1631=1,1,FIND(CHAR(1),SUBSTITUTE(INDEX($B$3:$B$168,K1631),CHAR(10),CHAR(1),L1631-1))+1))</x:f>
      </x:c>
      <x:c r="N1631" t="str">
        <x:f>IF(K1631="","",IFERROR(FIND(CHAR(1),SUBSTITUTE(INDEX($B$3:$B$168,K1631),CHAR(10),CHAR(1),L1631)),LEN(INDEX($B$3:$B$168,K1631))+1))</x:f>
      </x:c>
    </x:row>
    <x:row r="1632">
      <x:c r="A1632"/>
      <x:c r="B1632"/>
      <x:c r="C1632"/>
      <x:c r="D1632" t="str">
        <x:f>IFERROR(IF(1630&lt;=$O$1,INDEX($A$3:$A$168,MATCH(1630,$I$3:$I$168,0)),IF(1630&lt;=$O$1+$O$2,INDEX($F$3:$F$1994,MATCH(1630-$O$1,$G$3:$G$1994,0)),"")),"")</x:f>
      </x:c>
      <x:c r="E1632" t="str">
        <x:f>IF(K1632="","",IF(N1632&lt;=M1632,"",TRIM(CLEAN(MID(INDEX($B$3:$B$168,K1632),M1632,N1632-M1632)))))</x:f>
      </x:c>
      <x:c r="F1632" t="str">
        <x:f>IF(E1632="","",IF(E1632=TRIM(INDEX($A$3:$A$168,K1632)),"",IF(RIGHT(TRIM(INDEX($A$3:$A$168,K1632)),1)="]",LEFT(TRIM(INDEX($A$3:$A$168,K1632)),LEN(TRIM(INDEX($A$3:$A$168,K1632)))-1)&amp;", "&amp;SUBSTITUTE(SUBSTITUTE(SUBSTITUTE(E1632," [",", "),"[",", "),"]","")&amp;"]",TRIM(INDEX($A$3:$A$168,K1632))&amp;" ["&amp;SUBSTITUTE(SUBSTITUTE(SUBSTITUTE(E1632," [",", "),"[",", "),"]","")&amp;"]")))</x:f>
      </x:c>
      <x:c r="G1632" t="str">
        <x:f>IF(F1632&lt;&gt;"",ROWS($F$3:F1632)-COUNTBLANK($F$3:F1632),"")</x:f>
      </x:c>
      <x:c r="H1632"/>
      <x:c r="I1632"/>
      <x:c r="J1632"/>
      <x:c r="K1632" t="str">
        <x:f>IF(ROW()-ROW($K$2)&lt;=SUM($J$3:$J$168),COUNTIF($H$3:$H$168,"&lt;"&amp;(ROW()-ROW($K$2))),"")</x:f>
      </x:c>
      <x:c r="L1632" t="str">
        <x:f>IF(K1632="","",ROW()-ROW($L$2)-INDEX($H$3:$H$168,K1632))</x:f>
      </x:c>
      <x:c r="M1632" t="str">
        <x:f>IF(K1632="","",IF(L1632=1,1,FIND(CHAR(1),SUBSTITUTE(INDEX($B$3:$B$168,K1632),CHAR(10),CHAR(1),L1632-1))+1))</x:f>
      </x:c>
      <x:c r="N1632" t="str">
        <x:f>IF(K1632="","",IFERROR(FIND(CHAR(1),SUBSTITUTE(INDEX($B$3:$B$168,K1632),CHAR(10),CHAR(1),L1632)),LEN(INDEX($B$3:$B$168,K1632))+1))</x:f>
      </x:c>
    </x:row>
    <x:row r="1633">
      <x:c r="A1633"/>
      <x:c r="B1633"/>
      <x:c r="C1633"/>
      <x:c r="D1633" t="str">
        <x:f>IFERROR(IF(1631&lt;=$O$1,INDEX($A$3:$A$168,MATCH(1631,$I$3:$I$168,0)),IF(1631&lt;=$O$1+$O$2,INDEX($F$3:$F$1994,MATCH(1631-$O$1,$G$3:$G$1994,0)),"")),"")</x:f>
      </x:c>
      <x:c r="E1633" t="str">
        <x:f>IF(K1633="","",IF(N1633&lt;=M1633,"",TRIM(CLEAN(MID(INDEX($B$3:$B$168,K1633),M1633,N1633-M1633)))))</x:f>
      </x:c>
      <x:c r="F1633" t="str">
        <x:f>IF(E1633="","",IF(E1633=TRIM(INDEX($A$3:$A$168,K1633)),"",IF(RIGHT(TRIM(INDEX($A$3:$A$168,K1633)),1)="]",LEFT(TRIM(INDEX($A$3:$A$168,K1633)),LEN(TRIM(INDEX($A$3:$A$168,K1633)))-1)&amp;", "&amp;SUBSTITUTE(SUBSTITUTE(SUBSTITUTE(E1633," [",", "),"[",", "),"]","")&amp;"]",TRIM(INDEX($A$3:$A$168,K1633))&amp;" ["&amp;SUBSTITUTE(SUBSTITUTE(SUBSTITUTE(E1633," [",", "),"[",", "),"]","")&amp;"]")))</x:f>
      </x:c>
      <x:c r="G1633" t="str">
        <x:f>IF(F1633&lt;&gt;"",ROWS($F$3:F1633)-COUNTBLANK($F$3:F1633),"")</x:f>
      </x:c>
      <x:c r="H1633"/>
      <x:c r="I1633"/>
      <x:c r="J1633"/>
      <x:c r="K1633" t="str">
        <x:f>IF(ROW()-ROW($K$2)&lt;=SUM($J$3:$J$168),COUNTIF($H$3:$H$168,"&lt;"&amp;(ROW()-ROW($K$2))),"")</x:f>
      </x:c>
      <x:c r="L1633" t="str">
        <x:f>IF(K1633="","",ROW()-ROW($L$2)-INDEX($H$3:$H$168,K1633))</x:f>
      </x:c>
      <x:c r="M1633" t="str">
        <x:f>IF(K1633="","",IF(L1633=1,1,FIND(CHAR(1),SUBSTITUTE(INDEX($B$3:$B$168,K1633),CHAR(10),CHAR(1),L1633-1))+1))</x:f>
      </x:c>
      <x:c r="N1633" t="str">
        <x:f>IF(K1633="","",IFERROR(FIND(CHAR(1),SUBSTITUTE(INDEX($B$3:$B$168,K1633),CHAR(10),CHAR(1),L1633)),LEN(INDEX($B$3:$B$168,K1633))+1))</x:f>
      </x:c>
    </x:row>
    <x:row r="1634">
      <x:c r="A1634"/>
      <x:c r="B1634"/>
      <x:c r="C1634"/>
      <x:c r="D1634" t="str">
        <x:f>IFERROR(IF(1632&lt;=$O$1,INDEX($A$3:$A$168,MATCH(1632,$I$3:$I$168,0)),IF(1632&lt;=$O$1+$O$2,INDEX($F$3:$F$1994,MATCH(1632-$O$1,$G$3:$G$1994,0)),"")),"")</x:f>
      </x:c>
      <x:c r="E1634" t="str">
        <x:f>IF(K1634="","",IF(N1634&lt;=M1634,"",TRIM(CLEAN(MID(INDEX($B$3:$B$168,K1634),M1634,N1634-M1634)))))</x:f>
      </x:c>
      <x:c r="F1634" t="str">
        <x:f>IF(E1634="","",IF(E1634=TRIM(INDEX($A$3:$A$168,K1634)),"",IF(RIGHT(TRIM(INDEX($A$3:$A$168,K1634)),1)="]",LEFT(TRIM(INDEX($A$3:$A$168,K1634)),LEN(TRIM(INDEX($A$3:$A$168,K1634)))-1)&amp;", "&amp;SUBSTITUTE(SUBSTITUTE(SUBSTITUTE(E1634," [",", "),"[",", "),"]","")&amp;"]",TRIM(INDEX($A$3:$A$168,K1634))&amp;" ["&amp;SUBSTITUTE(SUBSTITUTE(SUBSTITUTE(E1634," [",", "),"[",", "),"]","")&amp;"]")))</x:f>
      </x:c>
      <x:c r="G1634" t="str">
        <x:f>IF(F1634&lt;&gt;"",ROWS($F$3:F1634)-COUNTBLANK($F$3:F1634),"")</x:f>
      </x:c>
      <x:c r="H1634"/>
      <x:c r="I1634"/>
      <x:c r="J1634"/>
      <x:c r="K1634" t="str">
        <x:f>IF(ROW()-ROW($K$2)&lt;=SUM($J$3:$J$168),COUNTIF($H$3:$H$168,"&lt;"&amp;(ROW()-ROW($K$2))),"")</x:f>
      </x:c>
      <x:c r="L1634" t="str">
        <x:f>IF(K1634="","",ROW()-ROW($L$2)-INDEX($H$3:$H$168,K1634))</x:f>
      </x:c>
      <x:c r="M1634" t="str">
        <x:f>IF(K1634="","",IF(L1634=1,1,FIND(CHAR(1),SUBSTITUTE(INDEX($B$3:$B$168,K1634),CHAR(10),CHAR(1),L1634-1))+1))</x:f>
      </x:c>
      <x:c r="N1634" t="str">
        <x:f>IF(K1634="","",IFERROR(FIND(CHAR(1),SUBSTITUTE(INDEX($B$3:$B$168,K1634),CHAR(10),CHAR(1),L1634)),LEN(INDEX($B$3:$B$168,K1634))+1))</x:f>
      </x:c>
    </x:row>
    <x:row r="1635">
      <x:c r="A1635"/>
      <x:c r="B1635"/>
      <x:c r="C1635"/>
      <x:c r="D1635" t="str">
        <x:f>IFERROR(IF(1633&lt;=$O$1,INDEX($A$3:$A$168,MATCH(1633,$I$3:$I$168,0)),IF(1633&lt;=$O$1+$O$2,INDEX($F$3:$F$1994,MATCH(1633-$O$1,$G$3:$G$1994,0)),"")),"")</x:f>
      </x:c>
      <x:c r="E1635" t="str">
        <x:f>IF(K1635="","",IF(N1635&lt;=M1635,"",TRIM(CLEAN(MID(INDEX($B$3:$B$168,K1635),M1635,N1635-M1635)))))</x:f>
      </x:c>
      <x:c r="F1635" t="str">
        <x:f>IF(E1635="","",IF(E1635=TRIM(INDEX($A$3:$A$168,K1635)),"",IF(RIGHT(TRIM(INDEX($A$3:$A$168,K1635)),1)="]",LEFT(TRIM(INDEX($A$3:$A$168,K1635)),LEN(TRIM(INDEX($A$3:$A$168,K1635)))-1)&amp;", "&amp;SUBSTITUTE(SUBSTITUTE(SUBSTITUTE(E1635," [",", "),"[",", "),"]","")&amp;"]",TRIM(INDEX($A$3:$A$168,K1635))&amp;" ["&amp;SUBSTITUTE(SUBSTITUTE(SUBSTITUTE(E1635," [",", "),"[",", "),"]","")&amp;"]")))</x:f>
      </x:c>
      <x:c r="G1635" t="str">
        <x:f>IF(F1635&lt;&gt;"",ROWS($F$3:F1635)-COUNTBLANK($F$3:F1635),"")</x:f>
      </x:c>
      <x:c r="H1635"/>
      <x:c r="I1635"/>
      <x:c r="J1635"/>
      <x:c r="K1635" t="str">
        <x:f>IF(ROW()-ROW($K$2)&lt;=SUM($J$3:$J$168),COUNTIF($H$3:$H$168,"&lt;"&amp;(ROW()-ROW($K$2))),"")</x:f>
      </x:c>
      <x:c r="L1635" t="str">
        <x:f>IF(K1635="","",ROW()-ROW($L$2)-INDEX($H$3:$H$168,K1635))</x:f>
      </x:c>
      <x:c r="M1635" t="str">
        <x:f>IF(K1635="","",IF(L1635=1,1,FIND(CHAR(1),SUBSTITUTE(INDEX($B$3:$B$168,K1635),CHAR(10),CHAR(1),L1635-1))+1))</x:f>
      </x:c>
      <x:c r="N1635" t="str">
        <x:f>IF(K1635="","",IFERROR(FIND(CHAR(1),SUBSTITUTE(INDEX($B$3:$B$168,K1635),CHAR(10),CHAR(1),L1635)),LEN(INDEX($B$3:$B$168,K1635))+1))</x:f>
      </x:c>
    </x:row>
    <x:row r="1636">
      <x:c r="A1636"/>
      <x:c r="B1636"/>
      <x:c r="C1636"/>
      <x:c r="D1636" t="str">
        <x:f>IFERROR(IF(1634&lt;=$O$1,INDEX($A$3:$A$168,MATCH(1634,$I$3:$I$168,0)),IF(1634&lt;=$O$1+$O$2,INDEX($F$3:$F$1994,MATCH(1634-$O$1,$G$3:$G$1994,0)),"")),"")</x:f>
      </x:c>
      <x:c r="E1636" t="str">
        <x:f>IF(K1636="","",IF(N1636&lt;=M1636,"",TRIM(CLEAN(MID(INDEX($B$3:$B$168,K1636),M1636,N1636-M1636)))))</x:f>
      </x:c>
      <x:c r="F1636" t="str">
        <x:f>IF(E1636="","",IF(E1636=TRIM(INDEX($A$3:$A$168,K1636)),"",IF(RIGHT(TRIM(INDEX($A$3:$A$168,K1636)),1)="]",LEFT(TRIM(INDEX($A$3:$A$168,K1636)),LEN(TRIM(INDEX($A$3:$A$168,K1636)))-1)&amp;", "&amp;SUBSTITUTE(SUBSTITUTE(SUBSTITUTE(E1636," [",", "),"[",", "),"]","")&amp;"]",TRIM(INDEX($A$3:$A$168,K1636))&amp;" ["&amp;SUBSTITUTE(SUBSTITUTE(SUBSTITUTE(E1636," [",", "),"[",", "),"]","")&amp;"]")))</x:f>
      </x:c>
      <x:c r="G1636" t="str">
        <x:f>IF(F1636&lt;&gt;"",ROWS($F$3:F1636)-COUNTBLANK($F$3:F1636),"")</x:f>
      </x:c>
      <x:c r="H1636"/>
      <x:c r="I1636"/>
      <x:c r="J1636"/>
      <x:c r="K1636" t="str">
        <x:f>IF(ROW()-ROW($K$2)&lt;=SUM($J$3:$J$168),COUNTIF($H$3:$H$168,"&lt;"&amp;(ROW()-ROW($K$2))),"")</x:f>
      </x:c>
      <x:c r="L1636" t="str">
        <x:f>IF(K1636="","",ROW()-ROW($L$2)-INDEX($H$3:$H$168,K1636))</x:f>
      </x:c>
      <x:c r="M1636" t="str">
        <x:f>IF(K1636="","",IF(L1636=1,1,FIND(CHAR(1),SUBSTITUTE(INDEX($B$3:$B$168,K1636),CHAR(10),CHAR(1),L1636-1))+1))</x:f>
      </x:c>
      <x:c r="N1636" t="str">
        <x:f>IF(K1636="","",IFERROR(FIND(CHAR(1),SUBSTITUTE(INDEX($B$3:$B$168,K1636),CHAR(10),CHAR(1),L1636)),LEN(INDEX($B$3:$B$168,K1636))+1))</x:f>
      </x:c>
    </x:row>
    <x:row r="1637">
      <x:c r="A1637"/>
      <x:c r="B1637"/>
      <x:c r="C1637"/>
      <x:c r="D1637" t="str">
        <x:f>IFERROR(IF(1635&lt;=$O$1,INDEX($A$3:$A$168,MATCH(1635,$I$3:$I$168,0)),IF(1635&lt;=$O$1+$O$2,INDEX($F$3:$F$1994,MATCH(1635-$O$1,$G$3:$G$1994,0)),"")),"")</x:f>
      </x:c>
      <x:c r="E1637" t="str">
        <x:f>IF(K1637="","",IF(N1637&lt;=M1637,"",TRIM(CLEAN(MID(INDEX($B$3:$B$168,K1637),M1637,N1637-M1637)))))</x:f>
      </x:c>
      <x:c r="F1637" t="str">
        <x:f>IF(E1637="","",IF(E1637=TRIM(INDEX($A$3:$A$168,K1637)),"",IF(RIGHT(TRIM(INDEX($A$3:$A$168,K1637)),1)="]",LEFT(TRIM(INDEX($A$3:$A$168,K1637)),LEN(TRIM(INDEX($A$3:$A$168,K1637)))-1)&amp;", "&amp;SUBSTITUTE(SUBSTITUTE(SUBSTITUTE(E1637," [",", "),"[",", "),"]","")&amp;"]",TRIM(INDEX($A$3:$A$168,K1637))&amp;" ["&amp;SUBSTITUTE(SUBSTITUTE(SUBSTITUTE(E1637," [",", "),"[",", "),"]","")&amp;"]")))</x:f>
      </x:c>
      <x:c r="G1637" t="str">
        <x:f>IF(F1637&lt;&gt;"",ROWS($F$3:F1637)-COUNTBLANK($F$3:F1637),"")</x:f>
      </x:c>
      <x:c r="H1637"/>
      <x:c r="I1637"/>
      <x:c r="J1637"/>
      <x:c r="K1637" t="str">
        <x:f>IF(ROW()-ROW($K$2)&lt;=SUM($J$3:$J$168),COUNTIF($H$3:$H$168,"&lt;"&amp;(ROW()-ROW($K$2))),"")</x:f>
      </x:c>
      <x:c r="L1637" t="str">
        <x:f>IF(K1637="","",ROW()-ROW($L$2)-INDEX($H$3:$H$168,K1637))</x:f>
      </x:c>
      <x:c r="M1637" t="str">
        <x:f>IF(K1637="","",IF(L1637=1,1,FIND(CHAR(1),SUBSTITUTE(INDEX($B$3:$B$168,K1637),CHAR(10),CHAR(1),L1637-1))+1))</x:f>
      </x:c>
      <x:c r="N1637" t="str">
        <x:f>IF(K1637="","",IFERROR(FIND(CHAR(1),SUBSTITUTE(INDEX($B$3:$B$168,K1637),CHAR(10),CHAR(1),L1637)),LEN(INDEX($B$3:$B$168,K1637))+1))</x:f>
      </x:c>
    </x:row>
    <x:row r="1638">
      <x:c r="A1638"/>
      <x:c r="B1638"/>
      <x:c r="C1638"/>
      <x:c r="D1638" t="str">
        <x:f>IFERROR(IF(1636&lt;=$O$1,INDEX($A$3:$A$168,MATCH(1636,$I$3:$I$168,0)),IF(1636&lt;=$O$1+$O$2,INDEX($F$3:$F$1994,MATCH(1636-$O$1,$G$3:$G$1994,0)),"")),"")</x:f>
      </x:c>
      <x:c r="E1638" t="str">
        <x:f>IF(K1638="","",IF(N1638&lt;=M1638,"",TRIM(CLEAN(MID(INDEX($B$3:$B$168,K1638),M1638,N1638-M1638)))))</x:f>
      </x:c>
      <x:c r="F1638" t="str">
        <x:f>IF(E1638="","",IF(E1638=TRIM(INDEX($A$3:$A$168,K1638)),"",IF(RIGHT(TRIM(INDEX($A$3:$A$168,K1638)),1)="]",LEFT(TRIM(INDEX($A$3:$A$168,K1638)),LEN(TRIM(INDEX($A$3:$A$168,K1638)))-1)&amp;", "&amp;SUBSTITUTE(SUBSTITUTE(SUBSTITUTE(E1638," [",", "),"[",", "),"]","")&amp;"]",TRIM(INDEX($A$3:$A$168,K1638))&amp;" ["&amp;SUBSTITUTE(SUBSTITUTE(SUBSTITUTE(E1638," [",", "),"[",", "),"]","")&amp;"]")))</x:f>
      </x:c>
      <x:c r="G1638" t="str">
        <x:f>IF(F1638&lt;&gt;"",ROWS($F$3:F1638)-COUNTBLANK($F$3:F1638),"")</x:f>
      </x:c>
      <x:c r="H1638"/>
      <x:c r="I1638"/>
      <x:c r="J1638"/>
      <x:c r="K1638" t="str">
        <x:f>IF(ROW()-ROW($K$2)&lt;=SUM($J$3:$J$168),COUNTIF($H$3:$H$168,"&lt;"&amp;(ROW()-ROW($K$2))),"")</x:f>
      </x:c>
      <x:c r="L1638" t="str">
        <x:f>IF(K1638="","",ROW()-ROW($L$2)-INDEX($H$3:$H$168,K1638))</x:f>
      </x:c>
      <x:c r="M1638" t="str">
        <x:f>IF(K1638="","",IF(L1638=1,1,FIND(CHAR(1),SUBSTITUTE(INDEX($B$3:$B$168,K1638),CHAR(10),CHAR(1),L1638-1))+1))</x:f>
      </x:c>
      <x:c r="N1638" t="str">
        <x:f>IF(K1638="","",IFERROR(FIND(CHAR(1),SUBSTITUTE(INDEX($B$3:$B$168,K1638),CHAR(10),CHAR(1),L1638)),LEN(INDEX($B$3:$B$168,K1638))+1))</x:f>
      </x:c>
    </x:row>
    <x:row r="1639">
      <x:c r="A1639"/>
      <x:c r="B1639"/>
      <x:c r="C1639"/>
      <x:c r="D1639" t="str">
        <x:f>IFERROR(IF(1637&lt;=$O$1,INDEX($A$3:$A$168,MATCH(1637,$I$3:$I$168,0)),IF(1637&lt;=$O$1+$O$2,INDEX($F$3:$F$1994,MATCH(1637-$O$1,$G$3:$G$1994,0)),"")),"")</x:f>
      </x:c>
      <x:c r="E1639" t="str">
        <x:f>IF(K1639="","",IF(N1639&lt;=M1639,"",TRIM(CLEAN(MID(INDEX($B$3:$B$168,K1639),M1639,N1639-M1639)))))</x:f>
      </x:c>
      <x:c r="F1639" t="str">
        <x:f>IF(E1639="","",IF(E1639=TRIM(INDEX($A$3:$A$168,K1639)),"",IF(RIGHT(TRIM(INDEX($A$3:$A$168,K1639)),1)="]",LEFT(TRIM(INDEX($A$3:$A$168,K1639)),LEN(TRIM(INDEX($A$3:$A$168,K1639)))-1)&amp;", "&amp;SUBSTITUTE(SUBSTITUTE(SUBSTITUTE(E1639," [",", "),"[",", "),"]","")&amp;"]",TRIM(INDEX($A$3:$A$168,K1639))&amp;" ["&amp;SUBSTITUTE(SUBSTITUTE(SUBSTITUTE(E1639," [",", "),"[",", "),"]","")&amp;"]")))</x:f>
      </x:c>
      <x:c r="G1639" t="str">
        <x:f>IF(F1639&lt;&gt;"",ROWS($F$3:F1639)-COUNTBLANK($F$3:F1639),"")</x:f>
      </x:c>
      <x:c r="H1639"/>
      <x:c r="I1639"/>
      <x:c r="J1639"/>
      <x:c r="K1639" t="str">
        <x:f>IF(ROW()-ROW($K$2)&lt;=SUM($J$3:$J$168),COUNTIF($H$3:$H$168,"&lt;"&amp;(ROW()-ROW($K$2))),"")</x:f>
      </x:c>
      <x:c r="L1639" t="str">
        <x:f>IF(K1639="","",ROW()-ROW($L$2)-INDEX($H$3:$H$168,K1639))</x:f>
      </x:c>
      <x:c r="M1639" t="str">
        <x:f>IF(K1639="","",IF(L1639=1,1,FIND(CHAR(1),SUBSTITUTE(INDEX($B$3:$B$168,K1639),CHAR(10),CHAR(1),L1639-1))+1))</x:f>
      </x:c>
      <x:c r="N1639" t="str">
        <x:f>IF(K1639="","",IFERROR(FIND(CHAR(1),SUBSTITUTE(INDEX($B$3:$B$168,K1639),CHAR(10),CHAR(1),L1639)),LEN(INDEX($B$3:$B$168,K1639))+1))</x:f>
      </x:c>
    </x:row>
    <x:row r="1640">
      <x:c r="A1640"/>
      <x:c r="B1640"/>
      <x:c r="C1640"/>
      <x:c r="D1640" t="str">
        <x:f>IFERROR(IF(1638&lt;=$O$1,INDEX($A$3:$A$168,MATCH(1638,$I$3:$I$168,0)),IF(1638&lt;=$O$1+$O$2,INDEX($F$3:$F$1994,MATCH(1638-$O$1,$G$3:$G$1994,0)),"")),"")</x:f>
      </x:c>
      <x:c r="E1640" t="str">
        <x:f>IF(K1640="","",IF(N1640&lt;=M1640,"",TRIM(CLEAN(MID(INDEX($B$3:$B$168,K1640),M1640,N1640-M1640)))))</x:f>
      </x:c>
      <x:c r="F1640" t="str">
        <x:f>IF(E1640="","",IF(E1640=TRIM(INDEX($A$3:$A$168,K1640)),"",IF(RIGHT(TRIM(INDEX($A$3:$A$168,K1640)),1)="]",LEFT(TRIM(INDEX($A$3:$A$168,K1640)),LEN(TRIM(INDEX($A$3:$A$168,K1640)))-1)&amp;", "&amp;SUBSTITUTE(SUBSTITUTE(SUBSTITUTE(E1640," [",", "),"[",", "),"]","")&amp;"]",TRIM(INDEX($A$3:$A$168,K1640))&amp;" ["&amp;SUBSTITUTE(SUBSTITUTE(SUBSTITUTE(E1640," [",", "),"[",", "),"]","")&amp;"]")))</x:f>
      </x:c>
      <x:c r="G1640" t="str">
        <x:f>IF(F1640&lt;&gt;"",ROWS($F$3:F1640)-COUNTBLANK($F$3:F1640),"")</x:f>
      </x:c>
      <x:c r="H1640"/>
      <x:c r="I1640"/>
      <x:c r="J1640"/>
      <x:c r="K1640" t="str">
        <x:f>IF(ROW()-ROW($K$2)&lt;=SUM($J$3:$J$168),COUNTIF($H$3:$H$168,"&lt;"&amp;(ROW()-ROW($K$2))),"")</x:f>
      </x:c>
      <x:c r="L1640" t="str">
        <x:f>IF(K1640="","",ROW()-ROW($L$2)-INDEX($H$3:$H$168,K1640))</x:f>
      </x:c>
      <x:c r="M1640" t="str">
        <x:f>IF(K1640="","",IF(L1640=1,1,FIND(CHAR(1),SUBSTITUTE(INDEX($B$3:$B$168,K1640),CHAR(10),CHAR(1),L1640-1))+1))</x:f>
      </x:c>
      <x:c r="N1640" t="str">
        <x:f>IF(K1640="","",IFERROR(FIND(CHAR(1),SUBSTITUTE(INDEX($B$3:$B$168,K1640),CHAR(10),CHAR(1),L1640)),LEN(INDEX($B$3:$B$168,K1640))+1))</x:f>
      </x:c>
    </x:row>
    <x:row r="1641">
      <x:c r="A1641"/>
      <x:c r="B1641"/>
      <x:c r="C1641"/>
      <x:c r="D1641" t="str">
        <x:f>IFERROR(IF(1639&lt;=$O$1,INDEX($A$3:$A$168,MATCH(1639,$I$3:$I$168,0)),IF(1639&lt;=$O$1+$O$2,INDEX($F$3:$F$1994,MATCH(1639-$O$1,$G$3:$G$1994,0)),"")),"")</x:f>
      </x:c>
      <x:c r="E1641" t="str">
        <x:f>IF(K1641="","",IF(N1641&lt;=M1641,"",TRIM(CLEAN(MID(INDEX($B$3:$B$168,K1641),M1641,N1641-M1641)))))</x:f>
      </x:c>
      <x:c r="F1641" t="str">
        <x:f>IF(E1641="","",IF(E1641=TRIM(INDEX($A$3:$A$168,K1641)),"",IF(RIGHT(TRIM(INDEX($A$3:$A$168,K1641)),1)="]",LEFT(TRIM(INDEX($A$3:$A$168,K1641)),LEN(TRIM(INDEX($A$3:$A$168,K1641)))-1)&amp;", "&amp;SUBSTITUTE(SUBSTITUTE(SUBSTITUTE(E1641," [",", "),"[",", "),"]","")&amp;"]",TRIM(INDEX($A$3:$A$168,K1641))&amp;" ["&amp;SUBSTITUTE(SUBSTITUTE(SUBSTITUTE(E1641," [",", "),"[",", "),"]","")&amp;"]")))</x:f>
      </x:c>
      <x:c r="G1641" t="str">
        <x:f>IF(F1641&lt;&gt;"",ROWS($F$3:F1641)-COUNTBLANK($F$3:F1641),"")</x:f>
      </x:c>
      <x:c r="H1641"/>
      <x:c r="I1641"/>
      <x:c r="J1641"/>
      <x:c r="K1641" t="str">
        <x:f>IF(ROW()-ROW($K$2)&lt;=SUM($J$3:$J$168),COUNTIF($H$3:$H$168,"&lt;"&amp;(ROW()-ROW($K$2))),"")</x:f>
      </x:c>
      <x:c r="L1641" t="str">
        <x:f>IF(K1641="","",ROW()-ROW($L$2)-INDEX($H$3:$H$168,K1641))</x:f>
      </x:c>
      <x:c r="M1641" t="str">
        <x:f>IF(K1641="","",IF(L1641=1,1,FIND(CHAR(1),SUBSTITUTE(INDEX($B$3:$B$168,K1641),CHAR(10),CHAR(1),L1641-1))+1))</x:f>
      </x:c>
      <x:c r="N1641" t="str">
        <x:f>IF(K1641="","",IFERROR(FIND(CHAR(1),SUBSTITUTE(INDEX($B$3:$B$168,K1641),CHAR(10),CHAR(1),L1641)),LEN(INDEX($B$3:$B$168,K1641))+1))</x:f>
      </x:c>
    </x:row>
    <x:row r="1642">
      <x:c r="A1642"/>
      <x:c r="B1642"/>
      <x:c r="C1642"/>
      <x:c r="D1642" t="str">
        <x:f>IFERROR(IF(1640&lt;=$O$1,INDEX($A$3:$A$168,MATCH(1640,$I$3:$I$168,0)),IF(1640&lt;=$O$1+$O$2,INDEX($F$3:$F$1994,MATCH(1640-$O$1,$G$3:$G$1994,0)),"")),"")</x:f>
      </x:c>
      <x:c r="E1642" t="str">
        <x:f>IF(K1642="","",IF(N1642&lt;=M1642,"",TRIM(CLEAN(MID(INDEX($B$3:$B$168,K1642),M1642,N1642-M1642)))))</x:f>
      </x:c>
      <x:c r="F1642" t="str">
        <x:f>IF(E1642="","",IF(E1642=TRIM(INDEX($A$3:$A$168,K1642)),"",IF(RIGHT(TRIM(INDEX($A$3:$A$168,K1642)),1)="]",LEFT(TRIM(INDEX($A$3:$A$168,K1642)),LEN(TRIM(INDEX($A$3:$A$168,K1642)))-1)&amp;", "&amp;SUBSTITUTE(SUBSTITUTE(SUBSTITUTE(E1642," [",", "),"[",", "),"]","")&amp;"]",TRIM(INDEX($A$3:$A$168,K1642))&amp;" ["&amp;SUBSTITUTE(SUBSTITUTE(SUBSTITUTE(E1642," [",", "),"[",", "),"]","")&amp;"]")))</x:f>
      </x:c>
      <x:c r="G1642" t="str">
        <x:f>IF(F1642&lt;&gt;"",ROWS($F$3:F1642)-COUNTBLANK($F$3:F1642),"")</x:f>
      </x:c>
      <x:c r="H1642"/>
      <x:c r="I1642"/>
      <x:c r="J1642"/>
      <x:c r="K1642" t="str">
        <x:f>IF(ROW()-ROW($K$2)&lt;=SUM($J$3:$J$168),COUNTIF($H$3:$H$168,"&lt;"&amp;(ROW()-ROW($K$2))),"")</x:f>
      </x:c>
      <x:c r="L1642" t="str">
        <x:f>IF(K1642="","",ROW()-ROW($L$2)-INDEX($H$3:$H$168,K1642))</x:f>
      </x:c>
      <x:c r="M1642" t="str">
        <x:f>IF(K1642="","",IF(L1642=1,1,FIND(CHAR(1),SUBSTITUTE(INDEX($B$3:$B$168,K1642),CHAR(10),CHAR(1),L1642-1))+1))</x:f>
      </x:c>
      <x:c r="N1642" t="str">
        <x:f>IF(K1642="","",IFERROR(FIND(CHAR(1),SUBSTITUTE(INDEX($B$3:$B$168,K1642),CHAR(10),CHAR(1),L1642)),LEN(INDEX($B$3:$B$168,K1642))+1))</x:f>
      </x:c>
    </x:row>
    <x:row r="1643">
      <x:c r="A1643"/>
      <x:c r="B1643"/>
      <x:c r="C1643"/>
      <x:c r="D1643" t="str">
        <x:f>IFERROR(IF(1641&lt;=$O$1,INDEX($A$3:$A$168,MATCH(1641,$I$3:$I$168,0)),IF(1641&lt;=$O$1+$O$2,INDEX($F$3:$F$1994,MATCH(1641-$O$1,$G$3:$G$1994,0)),"")),"")</x:f>
      </x:c>
      <x:c r="E1643" t="str">
        <x:f>IF(K1643="","",IF(N1643&lt;=M1643,"",TRIM(CLEAN(MID(INDEX($B$3:$B$168,K1643),M1643,N1643-M1643)))))</x:f>
      </x:c>
      <x:c r="F1643" t="str">
        <x:f>IF(E1643="","",IF(E1643=TRIM(INDEX($A$3:$A$168,K1643)),"",IF(RIGHT(TRIM(INDEX($A$3:$A$168,K1643)),1)="]",LEFT(TRIM(INDEX($A$3:$A$168,K1643)),LEN(TRIM(INDEX($A$3:$A$168,K1643)))-1)&amp;", "&amp;SUBSTITUTE(SUBSTITUTE(SUBSTITUTE(E1643," [",", "),"[",", "),"]","")&amp;"]",TRIM(INDEX($A$3:$A$168,K1643))&amp;" ["&amp;SUBSTITUTE(SUBSTITUTE(SUBSTITUTE(E1643," [",", "),"[",", "),"]","")&amp;"]")))</x:f>
      </x:c>
      <x:c r="G1643" t="str">
        <x:f>IF(F1643&lt;&gt;"",ROWS($F$3:F1643)-COUNTBLANK($F$3:F1643),"")</x:f>
      </x:c>
      <x:c r="H1643"/>
      <x:c r="I1643"/>
      <x:c r="J1643"/>
      <x:c r="K1643" t="str">
        <x:f>IF(ROW()-ROW($K$2)&lt;=SUM($J$3:$J$168),COUNTIF($H$3:$H$168,"&lt;"&amp;(ROW()-ROW($K$2))),"")</x:f>
      </x:c>
      <x:c r="L1643" t="str">
        <x:f>IF(K1643="","",ROW()-ROW($L$2)-INDEX($H$3:$H$168,K1643))</x:f>
      </x:c>
      <x:c r="M1643" t="str">
        <x:f>IF(K1643="","",IF(L1643=1,1,FIND(CHAR(1),SUBSTITUTE(INDEX($B$3:$B$168,K1643),CHAR(10),CHAR(1),L1643-1))+1))</x:f>
      </x:c>
      <x:c r="N1643" t="str">
        <x:f>IF(K1643="","",IFERROR(FIND(CHAR(1),SUBSTITUTE(INDEX($B$3:$B$168,K1643),CHAR(10),CHAR(1),L1643)),LEN(INDEX($B$3:$B$168,K1643))+1))</x:f>
      </x:c>
    </x:row>
    <x:row r="1644">
      <x:c r="A1644"/>
      <x:c r="B1644"/>
      <x:c r="C1644"/>
      <x:c r="D1644" t="str">
        <x:f>IFERROR(IF(1642&lt;=$O$1,INDEX($A$3:$A$168,MATCH(1642,$I$3:$I$168,0)),IF(1642&lt;=$O$1+$O$2,INDEX($F$3:$F$1994,MATCH(1642-$O$1,$G$3:$G$1994,0)),"")),"")</x:f>
      </x:c>
      <x:c r="E1644" t="str">
        <x:f>IF(K1644="","",IF(N1644&lt;=M1644,"",TRIM(CLEAN(MID(INDEX($B$3:$B$168,K1644),M1644,N1644-M1644)))))</x:f>
      </x:c>
      <x:c r="F1644" t="str">
        <x:f>IF(E1644="","",IF(E1644=TRIM(INDEX($A$3:$A$168,K1644)),"",IF(RIGHT(TRIM(INDEX($A$3:$A$168,K1644)),1)="]",LEFT(TRIM(INDEX($A$3:$A$168,K1644)),LEN(TRIM(INDEX($A$3:$A$168,K1644)))-1)&amp;", "&amp;SUBSTITUTE(SUBSTITUTE(SUBSTITUTE(E1644," [",", "),"[",", "),"]","")&amp;"]",TRIM(INDEX($A$3:$A$168,K1644))&amp;" ["&amp;SUBSTITUTE(SUBSTITUTE(SUBSTITUTE(E1644," [",", "),"[",", "),"]","")&amp;"]")))</x:f>
      </x:c>
      <x:c r="G1644" t="str">
        <x:f>IF(F1644&lt;&gt;"",ROWS($F$3:F1644)-COUNTBLANK($F$3:F1644),"")</x:f>
      </x:c>
      <x:c r="H1644"/>
      <x:c r="I1644"/>
      <x:c r="J1644"/>
      <x:c r="K1644" t="str">
        <x:f>IF(ROW()-ROW($K$2)&lt;=SUM($J$3:$J$168),COUNTIF($H$3:$H$168,"&lt;"&amp;(ROW()-ROW($K$2))),"")</x:f>
      </x:c>
      <x:c r="L1644" t="str">
        <x:f>IF(K1644="","",ROW()-ROW($L$2)-INDEX($H$3:$H$168,K1644))</x:f>
      </x:c>
      <x:c r="M1644" t="str">
        <x:f>IF(K1644="","",IF(L1644=1,1,FIND(CHAR(1),SUBSTITUTE(INDEX($B$3:$B$168,K1644),CHAR(10),CHAR(1),L1644-1))+1))</x:f>
      </x:c>
      <x:c r="N1644" t="str">
        <x:f>IF(K1644="","",IFERROR(FIND(CHAR(1),SUBSTITUTE(INDEX($B$3:$B$168,K1644),CHAR(10),CHAR(1),L1644)),LEN(INDEX($B$3:$B$168,K1644))+1))</x:f>
      </x:c>
    </x:row>
    <x:row r="1645">
      <x:c r="A1645"/>
      <x:c r="B1645"/>
      <x:c r="C1645"/>
      <x:c r="D1645" t="str">
        <x:f>IFERROR(IF(1643&lt;=$O$1,INDEX($A$3:$A$168,MATCH(1643,$I$3:$I$168,0)),IF(1643&lt;=$O$1+$O$2,INDEX($F$3:$F$1994,MATCH(1643-$O$1,$G$3:$G$1994,0)),"")),"")</x:f>
      </x:c>
      <x:c r="E1645" t="str">
        <x:f>IF(K1645="","",IF(N1645&lt;=M1645,"",TRIM(CLEAN(MID(INDEX($B$3:$B$168,K1645),M1645,N1645-M1645)))))</x:f>
      </x:c>
      <x:c r="F1645" t="str">
        <x:f>IF(E1645="","",IF(E1645=TRIM(INDEX($A$3:$A$168,K1645)),"",IF(RIGHT(TRIM(INDEX($A$3:$A$168,K1645)),1)="]",LEFT(TRIM(INDEX($A$3:$A$168,K1645)),LEN(TRIM(INDEX($A$3:$A$168,K1645)))-1)&amp;", "&amp;SUBSTITUTE(SUBSTITUTE(SUBSTITUTE(E1645," [",", "),"[",", "),"]","")&amp;"]",TRIM(INDEX($A$3:$A$168,K1645))&amp;" ["&amp;SUBSTITUTE(SUBSTITUTE(SUBSTITUTE(E1645," [",", "),"[",", "),"]","")&amp;"]")))</x:f>
      </x:c>
      <x:c r="G1645" t="str">
        <x:f>IF(F1645&lt;&gt;"",ROWS($F$3:F1645)-COUNTBLANK($F$3:F1645),"")</x:f>
      </x:c>
      <x:c r="H1645"/>
      <x:c r="I1645"/>
      <x:c r="J1645"/>
      <x:c r="K1645" t="str">
        <x:f>IF(ROW()-ROW($K$2)&lt;=SUM($J$3:$J$168),COUNTIF($H$3:$H$168,"&lt;"&amp;(ROW()-ROW($K$2))),"")</x:f>
      </x:c>
      <x:c r="L1645" t="str">
        <x:f>IF(K1645="","",ROW()-ROW($L$2)-INDEX($H$3:$H$168,K1645))</x:f>
      </x:c>
      <x:c r="M1645" t="str">
        <x:f>IF(K1645="","",IF(L1645=1,1,FIND(CHAR(1),SUBSTITUTE(INDEX($B$3:$B$168,K1645),CHAR(10),CHAR(1),L1645-1))+1))</x:f>
      </x:c>
      <x:c r="N1645" t="str">
        <x:f>IF(K1645="","",IFERROR(FIND(CHAR(1),SUBSTITUTE(INDEX($B$3:$B$168,K1645),CHAR(10),CHAR(1),L1645)),LEN(INDEX($B$3:$B$168,K1645))+1))</x:f>
      </x:c>
    </x:row>
    <x:row r="1646">
      <x:c r="A1646"/>
      <x:c r="B1646"/>
      <x:c r="C1646"/>
      <x:c r="D1646" t="str">
        <x:f>IFERROR(IF(1644&lt;=$O$1,INDEX($A$3:$A$168,MATCH(1644,$I$3:$I$168,0)),IF(1644&lt;=$O$1+$O$2,INDEX($F$3:$F$1994,MATCH(1644-$O$1,$G$3:$G$1994,0)),"")),"")</x:f>
      </x:c>
      <x:c r="E1646" t="str">
        <x:f>IF(K1646="","",IF(N1646&lt;=M1646,"",TRIM(CLEAN(MID(INDEX($B$3:$B$168,K1646),M1646,N1646-M1646)))))</x:f>
      </x:c>
      <x:c r="F1646" t="str">
        <x:f>IF(E1646="","",IF(E1646=TRIM(INDEX($A$3:$A$168,K1646)),"",IF(RIGHT(TRIM(INDEX($A$3:$A$168,K1646)),1)="]",LEFT(TRIM(INDEX($A$3:$A$168,K1646)),LEN(TRIM(INDEX($A$3:$A$168,K1646)))-1)&amp;", "&amp;SUBSTITUTE(SUBSTITUTE(SUBSTITUTE(E1646," [",", "),"[",", "),"]","")&amp;"]",TRIM(INDEX($A$3:$A$168,K1646))&amp;" ["&amp;SUBSTITUTE(SUBSTITUTE(SUBSTITUTE(E1646," [",", "),"[",", "),"]","")&amp;"]")))</x:f>
      </x:c>
      <x:c r="G1646" t="str">
        <x:f>IF(F1646&lt;&gt;"",ROWS($F$3:F1646)-COUNTBLANK($F$3:F1646),"")</x:f>
      </x:c>
      <x:c r="H1646"/>
      <x:c r="I1646"/>
      <x:c r="J1646"/>
      <x:c r="K1646" t="str">
        <x:f>IF(ROW()-ROW($K$2)&lt;=SUM($J$3:$J$168),COUNTIF($H$3:$H$168,"&lt;"&amp;(ROW()-ROW($K$2))),"")</x:f>
      </x:c>
      <x:c r="L1646" t="str">
        <x:f>IF(K1646="","",ROW()-ROW($L$2)-INDEX($H$3:$H$168,K1646))</x:f>
      </x:c>
      <x:c r="M1646" t="str">
        <x:f>IF(K1646="","",IF(L1646=1,1,FIND(CHAR(1),SUBSTITUTE(INDEX($B$3:$B$168,K1646),CHAR(10),CHAR(1),L1646-1))+1))</x:f>
      </x:c>
      <x:c r="N1646" t="str">
        <x:f>IF(K1646="","",IFERROR(FIND(CHAR(1),SUBSTITUTE(INDEX($B$3:$B$168,K1646),CHAR(10),CHAR(1),L1646)),LEN(INDEX($B$3:$B$168,K1646))+1))</x:f>
      </x:c>
    </x:row>
    <x:row r="1647">
      <x:c r="A1647"/>
      <x:c r="B1647"/>
      <x:c r="C1647"/>
      <x:c r="D1647" t="str">
        <x:f>IFERROR(IF(1645&lt;=$O$1,INDEX($A$3:$A$168,MATCH(1645,$I$3:$I$168,0)),IF(1645&lt;=$O$1+$O$2,INDEX($F$3:$F$1994,MATCH(1645-$O$1,$G$3:$G$1994,0)),"")),"")</x:f>
      </x:c>
      <x:c r="E1647" t="str">
        <x:f>IF(K1647="","",IF(N1647&lt;=M1647,"",TRIM(CLEAN(MID(INDEX($B$3:$B$168,K1647),M1647,N1647-M1647)))))</x:f>
      </x:c>
      <x:c r="F1647" t="str">
        <x:f>IF(E1647="","",IF(E1647=TRIM(INDEX($A$3:$A$168,K1647)),"",IF(RIGHT(TRIM(INDEX($A$3:$A$168,K1647)),1)="]",LEFT(TRIM(INDEX($A$3:$A$168,K1647)),LEN(TRIM(INDEX($A$3:$A$168,K1647)))-1)&amp;", "&amp;SUBSTITUTE(SUBSTITUTE(SUBSTITUTE(E1647," [",", "),"[",", "),"]","")&amp;"]",TRIM(INDEX($A$3:$A$168,K1647))&amp;" ["&amp;SUBSTITUTE(SUBSTITUTE(SUBSTITUTE(E1647," [",", "),"[",", "),"]","")&amp;"]")))</x:f>
      </x:c>
      <x:c r="G1647" t="str">
        <x:f>IF(F1647&lt;&gt;"",ROWS($F$3:F1647)-COUNTBLANK($F$3:F1647),"")</x:f>
      </x:c>
      <x:c r="H1647"/>
      <x:c r="I1647"/>
      <x:c r="J1647"/>
      <x:c r="K1647" t="str">
        <x:f>IF(ROW()-ROW($K$2)&lt;=SUM($J$3:$J$168),COUNTIF($H$3:$H$168,"&lt;"&amp;(ROW()-ROW($K$2))),"")</x:f>
      </x:c>
      <x:c r="L1647" t="str">
        <x:f>IF(K1647="","",ROW()-ROW($L$2)-INDEX($H$3:$H$168,K1647))</x:f>
      </x:c>
      <x:c r="M1647" t="str">
        <x:f>IF(K1647="","",IF(L1647=1,1,FIND(CHAR(1),SUBSTITUTE(INDEX($B$3:$B$168,K1647),CHAR(10),CHAR(1),L1647-1))+1))</x:f>
      </x:c>
      <x:c r="N1647" t="str">
        <x:f>IF(K1647="","",IFERROR(FIND(CHAR(1),SUBSTITUTE(INDEX($B$3:$B$168,K1647),CHAR(10),CHAR(1),L1647)),LEN(INDEX($B$3:$B$168,K1647))+1))</x:f>
      </x:c>
    </x:row>
    <x:row r="1648">
      <x:c r="A1648"/>
      <x:c r="B1648"/>
      <x:c r="C1648"/>
      <x:c r="D1648" t="str">
        <x:f>IFERROR(IF(1646&lt;=$O$1,INDEX($A$3:$A$168,MATCH(1646,$I$3:$I$168,0)),IF(1646&lt;=$O$1+$O$2,INDEX($F$3:$F$1994,MATCH(1646-$O$1,$G$3:$G$1994,0)),"")),"")</x:f>
      </x:c>
      <x:c r="E1648" t="str">
        <x:f>IF(K1648="","",IF(N1648&lt;=M1648,"",TRIM(CLEAN(MID(INDEX($B$3:$B$168,K1648),M1648,N1648-M1648)))))</x:f>
      </x:c>
      <x:c r="F1648" t="str">
        <x:f>IF(E1648="","",IF(E1648=TRIM(INDEX($A$3:$A$168,K1648)),"",IF(RIGHT(TRIM(INDEX($A$3:$A$168,K1648)),1)="]",LEFT(TRIM(INDEX($A$3:$A$168,K1648)),LEN(TRIM(INDEX($A$3:$A$168,K1648)))-1)&amp;", "&amp;SUBSTITUTE(SUBSTITUTE(SUBSTITUTE(E1648," [",", "),"[",", "),"]","")&amp;"]",TRIM(INDEX($A$3:$A$168,K1648))&amp;" ["&amp;SUBSTITUTE(SUBSTITUTE(SUBSTITUTE(E1648," [",", "),"[",", "),"]","")&amp;"]")))</x:f>
      </x:c>
      <x:c r="G1648" t="str">
        <x:f>IF(F1648&lt;&gt;"",ROWS($F$3:F1648)-COUNTBLANK($F$3:F1648),"")</x:f>
      </x:c>
      <x:c r="H1648"/>
      <x:c r="I1648"/>
      <x:c r="J1648"/>
      <x:c r="K1648" t="str">
        <x:f>IF(ROW()-ROW($K$2)&lt;=SUM($J$3:$J$168),COUNTIF($H$3:$H$168,"&lt;"&amp;(ROW()-ROW($K$2))),"")</x:f>
      </x:c>
      <x:c r="L1648" t="str">
        <x:f>IF(K1648="","",ROW()-ROW($L$2)-INDEX($H$3:$H$168,K1648))</x:f>
      </x:c>
      <x:c r="M1648" t="str">
        <x:f>IF(K1648="","",IF(L1648=1,1,FIND(CHAR(1),SUBSTITUTE(INDEX($B$3:$B$168,K1648),CHAR(10),CHAR(1),L1648-1))+1))</x:f>
      </x:c>
      <x:c r="N1648" t="str">
        <x:f>IF(K1648="","",IFERROR(FIND(CHAR(1),SUBSTITUTE(INDEX($B$3:$B$168,K1648),CHAR(10),CHAR(1),L1648)),LEN(INDEX($B$3:$B$168,K1648))+1))</x:f>
      </x:c>
    </x:row>
    <x:row r="1649">
      <x:c r="A1649"/>
      <x:c r="B1649"/>
      <x:c r="C1649"/>
      <x:c r="D1649" t="str">
        <x:f>IFERROR(IF(1647&lt;=$O$1,INDEX($A$3:$A$168,MATCH(1647,$I$3:$I$168,0)),IF(1647&lt;=$O$1+$O$2,INDEX($F$3:$F$1994,MATCH(1647-$O$1,$G$3:$G$1994,0)),"")),"")</x:f>
      </x:c>
      <x:c r="E1649" t="str">
        <x:f>IF(K1649="","",IF(N1649&lt;=M1649,"",TRIM(CLEAN(MID(INDEX($B$3:$B$168,K1649),M1649,N1649-M1649)))))</x:f>
      </x:c>
      <x:c r="F1649" t="str">
        <x:f>IF(E1649="","",IF(E1649=TRIM(INDEX($A$3:$A$168,K1649)),"",IF(RIGHT(TRIM(INDEX($A$3:$A$168,K1649)),1)="]",LEFT(TRIM(INDEX($A$3:$A$168,K1649)),LEN(TRIM(INDEX($A$3:$A$168,K1649)))-1)&amp;", "&amp;SUBSTITUTE(SUBSTITUTE(SUBSTITUTE(E1649," [",", "),"[",", "),"]","")&amp;"]",TRIM(INDEX($A$3:$A$168,K1649))&amp;" ["&amp;SUBSTITUTE(SUBSTITUTE(SUBSTITUTE(E1649," [",", "),"[",", "),"]","")&amp;"]")))</x:f>
      </x:c>
      <x:c r="G1649" t="str">
        <x:f>IF(F1649&lt;&gt;"",ROWS($F$3:F1649)-COUNTBLANK($F$3:F1649),"")</x:f>
      </x:c>
      <x:c r="H1649"/>
      <x:c r="I1649"/>
      <x:c r="J1649"/>
      <x:c r="K1649" t="str">
        <x:f>IF(ROW()-ROW($K$2)&lt;=SUM($J$3:$J$168),COUNTIF($H$3:$H$168,"&lt;"&amp;(ROW()-ROW($K$2))),"")</x:f>
      </x:c>
      <x:c r="L1649" t="str">
        <x:f>IF(K1649="","",ROW()-ROW($L$2)-INDEX($H$3:$H$168,K1649))</x:f>
      </x:c>
      <x:c r="M1649" t="str">
        <x:f>IF(K1649="","",IF(L1649=1,1,FIND(CHAR(1),SUBSTITUTE(INDEX($B$3:$B$168,K1649),CHAR(10),CHAR(1),L1649-1))+1))</x:f>
      </x:c>
      <x:c r="N1649" t="str">
        <x:f>IF(K1649="","",IFERROR(FIND(CHAR(1),SUBSTITUTE(INDEX($B$3:$B$168,K1649),CHAR(10),CHAR(1),L1649)),LEN(INDEX($B$3:$B$168,K1649))+1))</x:f>
      </x:c>
    </x:row>
    <x:row r="1650">
      <x:c r="A1650"/>
      <x:c r="B1650"/>
      <x:c r="C1650"/>
      <x:c r="D1650" t="str">
        <x:f>IFERROR(IF(1648&lt;=$O$1,INDEX($A$3:$A$168,MATCH(1648,$I$3:$I$168,0)),IF(1648&lt;=$O$1+$O$2,INDEX($F$3:$F$1994,MATCH(1648-$O$1,$G$3:$G$1994,0)),"")),"")</x:f>
      </x:c>
      <x:c r="E1650" t="str">
        <x:f>IF(K1650="","",IF(N1650&lt;=M1650,"",TRIM(CLEAN(MID(INDEX($B$3:$B$168,K1650),M1650,N1650-M1650)))))</x:f>
      </x:c>
      <x:c r="F1650" t="str">
        <x:f>IF(E1650="","",IF(E1650=TRIM(INDEX($A$3:$A$168,K1650)),"",IF(RIGHT(TRIM(INDEX($A$3:$A$168,K1650)),1)="]",LEFT(TRIM(INDEX($A$3:$A$168,K1650)),LEN(TRIM(INDEX($A$3:$A$168,K1650)))-1)&amp;", "&amp;SUBSTITUTE(SUBSTITUTE(SUBSTITUTE(E1650," [",", "),"[",", "),"]","")&amp;"]",TRIM(INDEX($A$3:$A$168,K1650))&amp;" ["&amp;SUBSTITUTE(SUBSTITUTE(SUBSTITUTE(E1650," [",", "),"[",", "),"]","")&amp;"]")))</x:f>
      </x:c>
      <x:c r="G1650" t="str">
        <x:f>IF(F1650&lt;&gt;"",ROWS($F$3:F1650)-COUNTBLANK($F$3:F1650),"")</x:f>
      </x:c>
      <x:c r="H1650"/>
      <x:c r="I1650"/>
      <x:c r="J1650"/>
      <x:c r="K1650" t="str">
        <x:f>IF(ROW()-ROW($K$2)&lt;=SUM($J$3:$J$168),COUNTIF($H$3:$H$168,"&lt;"&amp;(ROW()-ROW($K$2))),"")</x:f>
      </x:c>
      <x:c r="L1650" t="str">
        <x:f>IF(K1650="","",ROW()-ROW($L$2)-INDEX($H$3:$H$168,K1650))</x:f>
      </x:c>
      <x:c r="M1650" t="str">
        <x:f>IF(K1650="","",IF(L1650=1,1,FIND(CHAR(1),SUBSTITUTE(INDEX($B$3:$B$168,K1650),CHAR(10),CHAR(1),L1650-1))+1))</x:f>
      </x:c>
      <x:c r="N1650" t="str">
        <x:f>IF(K1650="","",IFERROR(FIND(CHAR(1),SUBSTITUTE(INDEX($B$3:$B$168,K1650),CHAR(10),CHAR(1),L1650)),LEN(INDEX($B$3:$B$168,K1650))+1))</x:f>
      </x:c>
    </x:row>
    <x:row r="1651">
      <x:c r="A1651"/>
      <x:c r="B1651"/>
      <x:c r="C1651"/>
      <x:c r="D1651" t="str">
        <x:f>IFERROR(IF(1649&lt;=$O$1,INDEX($A$3:$A$168,MATCH(1649,$I$3:$I$168,0)),IF(1649&lt;=$O$1+$O$2,INDEX($F$3:$F$1994,MATCH(1649-$O$1,$G$3:$G$1994,0)),"")),"")</x:f>
      </x:c>
      <x:c r="E1651" t="str">
        <x:f>IF(K1651="","",IF(N1651&lt;=M1651,"",TRIM(CLEAN(MID(INDEX($B$3:$B$168,K1651),M1651,N1651-M1651)))))</x:f>
      </x:c>
      <x:c r="F1651" t="str">
        <x:f>IF(E1651="","",IF(E1651=TRIM(INDEX($A$3:$A$168,K1651)),"",IF(RIGHT(TRIM(INDEX($A$3:$A$168,K1651)),1)="]",LEFT(TRIM(INDEX($A$3:$A$168,K1651)),LEN(TRIM(INDEX($A$3:$A$168,K1651)))-1)&amp;", "&amp;SUBSTITUTE(SUBSTITUTE(SUBSTITUTE(E1651," [",", "),"[",", "),"]","")&amp;"]",TRIM(INDEX($A$3:$A$168,K1651))&amp;" ["&amp;SUBSTITUTE(SUBSTITUTE(SUBSTITUTE(E1651," [",", "),"[",", "),"]","")&amp;"]")))</x:f>
      </x:c>
      <x:c r="G1651" t="str">
        <x:f>IF(F1651&lt;&gt;"",ROWS($F$3:F1651)-COUNTBLANK($F$3:F1651),"")</x:f>
      </x:c>
      <x:c r="H1651"/>
      <x:c r="I1651"/>
      <x:c r="J1651"/>
      <x:c r="K1651" t="str">
        <x:f>IF(ROW()-ROW($K$2)&lt;=SUM($J$3:$J$168),COUNTIF($H$3:$H$168,"&lt;"&amp;(ROW()-ROW($K$2))),"")</x:f>
      </x:c>
      <x:c r="L1651" t="str">
        <x:f>IF(K1651="","",ROW()-ROW($L$2)-INDEX($H$3:$H$168,K1651))</x:f>
      </x:c>
      <x:c r="M1651" t="str">
        <x:f>IF(K1651="","",IF(L1651=1,1,FIND(CHAR(1),SUBSTITUTE(INDEX($B$3:$B$168,K1651),CHAR(10),CHAR(1),L1651-1))+1))</x:f>
      </x:c>
      <x:c r="N1651" t="str">
        <x:f>IF(K1651="","",IFERROR(FIND(CHAR(1),SUBSTITUTE(INDEX($B$3:$B$168,K1651),CHAR(10),CHAR(1),L1651)),LEN(INDEX($B$3:$B$168,K1651))+1))</x:f>
      </x:c>
    </x:row>
    <x:row r="1652">
      <x:c r="A1652"/>
      <x:c r="B1652"/>
      <x:c r="C1652"/>
      <x:c r="D1652" t="str">
        <x:f>IFERROR(IF(1650&lt;=$O$1,INDEX($A$3:$A$168,MATCH(1650,$I$3:$I$168,0)),IF(1650&lt;=$O$1+$O$2,INDEX($F$3:$F$1994,MATCH(1650-$O$1,$G$3:$G$1994,0)),"")),"")</x:f>
      </x:c>
      <x:c r="E1652" t="str">
        <x:f>IF(K1652="","",IF(N1652&lt;=M1652,"",TRIM(CLEAN(MID(INDEX($B$3:$B$168,K1652),M1652,N1652-M1652)))))</x:f>
      </x:c>
      <x:c r="F1652" t="str">
        <x:f>IF(E1652="","",IF(E1652=TRIM(INDEX($A$3:$A$168,K1652)),"",IF(RIGHT(TRIM(INDEX($A$3:$A$168,K1652)),1)="]",LEFT(TRIM(INDEX($A$3:$A$168,K1652)),LEN(TRIM(INDEX($A$3:$A$168,K1652)))-1)&amp;", "&amp;SUBSTITUTE(SUBSTITUTE(SUBSTITUTE(E1652," [",", "),"[",", "),"]","")&amp;"]",TRIM(INDEX($A$3:$A$168,K1652))&amp;" ["&amp;SUBSTITUTE(SUBSTITUTE(SUBSTITUTE(E1652," [",", "),"[",", "),"]","")&amp;"]")))</x:f>
      </x:c>
      <x:c r="G1652" t="str">
        <x:f>IF(F1652&lt;&gt;"",ROWS($F$3:F1652)-COUNTBLANK($F$3:F1652),"")</x:f>
      </x:c>
      <x:c r="H1652"/>
      <x:c r="I1652"/>
      <x:c r="J1652"/>
      <x:c r="K1652" t="str">
        <x:f>IF(ROW()-ROW($K$2)&lt;=SUM($J$3:$J$168),COUNTIF($H$3:$H$168,"&lt;"&amp;(ROW()-ROW($K$2))),"")</x:f>
      </x:c>
      <x:c r="L1652" t="str">
        <x:f>IF(K1652="","",ROW()-ROW($L$2)-INDEX($H$3:$H$168,K1652))</x:f>
      </x:c>
      <x:c r="M1652" t="str">
        <x:f>IF(K1652="","",IF(L1652=1,1,FIND(CHAR(1),SUBSTITUTE(INDEX($B$3:$B$168,K1652),CHAR(10),CHAR(1),L1652-1))+1))</x:f>
      </x:c>
      <x:c r="N1652" t="str">
        <x:f>IF(K1652="","",IFERROR(FIND(CHAR(1),SUBSTITUTE(INDEX($B$3:$B$168,K1652),CHAR(10),CHAR(1),L1652)),LEN(INDEX($B$3:$B$168,K1652))+1))</x:f>
      </x:c>
    </x:row>
    <x:row r="1653">
      <x:c r="A1653"/>
      <x:c r="B1653"/>
      <x:c r="C1653"/>
      <x:c r="D1653" t="str">
        <x:f>IFERROR(IF(1651&lt;=$O$1,INDEX($A$3:$A$168,MATCH(1651,$I$3:$I$168,0)),IF(1651&lt;=$O$1+$O$2,INDEX($F$3:$F$1994,MATCH(1651-$O$1,$G$3:$G$1994,0)),"")),"")</x:f>
      </x:c>
      <x:c r="E1653" t="str">
        <x:f>IF(K1653="","",IF(N1653&lt;=M1653,"",TRIM(CLEAN(MID(INDEX($B$3:$B$168,K1653),M1653,N1653-M1653)))))</x:f>
      </x:c>
      <x:c r="F1653" t="str">
        <x:f>IF(E1653="","",IF(E1653=TRIM(INDEX($A$3:$A$168,K1653)),"",IF(RIGHT(TRIM(INDEX($A$3:$A$168,K1653)),1)="]",LEFT(TRIM(INDEX($A$3:$A$168,K1653)),LEN(TRIM(INDEX($A$3:$A$168,K1653)))-1)&amp;", "&amp;SUBSTITUTE(SUBSTITUTE(SUBSTITUTE(E1653," [",", "),"[",", "),"]","")&amp;"]",TRIM(INDEX($A$3:$A$168,K1653))&amp;" ["&amp;SUBSTITUTE(SUBSTITUTE(SUBSTITUTE(E1653," [",", "),"[",", "),"]","")&amp;"]")))</x:f>
      </x:c>
      <x:c r="G1653" t="str">
        <x:f>IF(F1653&lt;&gt;"",ROWS($F$3:F1653)-COUNTBLANK($F$3:F1653),"")</x:f>
      </x:c>
      <x:c r="H1653"/>
      <x:c r="I1653"/>
      <x:c r="J1653"/>
      <x:c r="K1653" t="str">
        <x:f>IF(ROW()-ROW($K$2)&lt;=SUM($J$3:$J$168),COUNTIF($H$3:$H$168,"&lt;"&amp;(ROW()-ROW($K$2))),"")</x:f>
      </x:c>
      <x:c r="L1653" t="str">
        <x:f>IF(K1653="","",ROW()-ROW($L$2)-INDEX($H$3:$H$168,K1653))</x:f>
      </x:c>
      <x:c r="M1653" t="str">
        <x:f>IF(K1653="","",IF(L1653=1,1,FIND(CHAR(1),SUBSTITUTE(INDEX($B$3:$B$168,K1653),CHAR(10),CHAR(1),L1653-1))+1))</x:f>
      </x:c>
      <x:c r="N1653" t="str">
        <x:f>IF(K1653="","",IFERROR(FIND(CHAR(1),SUBSTITUTE(INDEX($B$3:$B$168,K1653),CHAR(10),CHAR(1),L1653)),LEN(INDEX($B$3:$B$168,K1653))+1))</x:f>
      </x:c>
    </x:row>
    <x:row r="1654">
      <x:c r="A1654"/>
      <x:c r="B1654"/>
      <x:c r="C1654"/>
      <x:c r="D1654" t="str">
        <x:f>IFERROR(IF(1652&lt;=$O$1,INDEX($A$3:$A$168,MATCH(1652,$I$3:$I$168,0)),IF(1652&lt;=$O$1+$O$2,INDEX($F$3:$F$1994,MATCH(1652-$O$1,$G$3:$G$1994,0)),"")),"")</x:f>
      </x:c>
      <x:c r="E1654" t="str">
        <x:f>IF(K1654="","",IF(N1654&lt;=M1654,"",TRIM(CLEAN(MID(INDEX($B$3:$B$168,K1654),M1654,N1654-M1654)))))</x:f>
      </x:c>
      <x:c r="F1654" t="str">
        <x:f>IF(E1654="","",IF(E1654=TRIM(INDEX($A$3:$A$168,K1654)),"",IF(RIGHT(TRIM(INDEX($A$3:$A$168,K1654)),1)="]",LEFT(TRIM(INDEX($A$3:$A$168,K1654)),LEN(TRIM(INDEX($A$3:$A$168,K1654)))-1)&amp;", "&amp;SUBSTITUTE(SUBSTITUTE(SUBSTITUTE(E1654," [",", "),"[",", "),"]","")&amp;"]",TRIM(INDEX($A$3:$A$168,K1654))&amp;" ["&amp;SUBSTITUTE(SUBSTITUTE(SUBSTITUTE(E1654," [",", "),"[",", "),"]","")&amp;"]")))</x:f>
      </x:c>
      <x:c r="G1654" t="str">
        <x:f>IF(F1654&lt;&gt;"",ROWS($F$3:F1654)-COUNTBLANK($F$3:F1654),"")</x:f>
      </x:c>
      <x:c r="H1654"/>
      <x:c r="I1654"/>
      <x:c r="J1654"/>
      <x:c r="K1654" t="str">
        <x:f>IF(ROW()-ROW($K$2)&lt;=SUM($J$3:$J$168),COUNTIF($H$3:$H$168,"&lt;"&amp;(ROW()-ROW($K$2))),"")</x:f>
      </x:c>
      <x:c r="L1654" t="str">
        <x:f>IF(K1654="","",ROW()-ROW($L$2)-INDEX($H$3:$H$168,K1654))</x:f>
      </x:c>
      <x:c r="M1654" t="str">
        <x:f>IF(K1654="","",IF(L1654=1,1,FIND(CHAR(1),SUBSTITUTE(INDEX($B$3:$B$168,K1654),CHAR(10),CHAR(1),L1654-1))+1))</x:f>
      </x:c>
      <x:c r="N1654" t="str">
        <x:f>IF(K1654="","",IFERROR(FIND(CHAR(1),SUBSTITUTE(INDEX($B$3:$B$168,K1654),CHAR(10),CHAR(1),L1654)),LEN(INDEX($B$3:$B$168,K1654))+1))</x:f>
      </x:c>
    </x:row>
    <x:row r="1655">
      <x:c r="A1655"/>
      <x:c r="B1655"/>
      <x:c r="C1655"/>
      <x:c r="D1655" t="str">
        <x:f>IFERROR(IF(1653&lt;=$O$1,INDEX($A$3:$A$168,MATCH(1653,$I$3:$I$168,0)),IF(1653&lt;=$O$1+$O$2,INDEX($F$3:$F$1994,MATCH(1653-$O$1,$G$3:$G$1994,0)),"")),"")</x:f>
      </x:c>
      <x:c r="E1655" t="str">
        <x:f>IF(K1655="","",IF(N1655&lt;=M1655,"",TRIM(CLEAN(MID(INDEX($B$3:$B$168,K1655),M1655,N1655-M1655)))))</x:f>
      </x:c>
      <x:c r="F1655" t="str">
        <x:f>IF(E1655="","",IF(E1655=TRIM(INDEX($A$3:$A$168,K1655)),"",IF(RIGHT(TRIM(INDEX($A$3:$A$168,K1655)),1)="]",LEFT(TRIM(INDEX($A$3:$A$168,K1655)),LEN(TRIM(INDEX($A$3:$A$168,K1655)))-1)&amp;", "&amp;SUBSTITUTE(SUBSTITUTE(SUBSTITUTE(E1655," [",", "),"[",", "),"]","")&amp;"]",TRIM(INDEX($A$3:$A$168,K1655))&amp;" ["&amp;SUBSTITUTE(SUBSTITUTE(SUBSTITUTE(E1655," [",", "),"[",", "),"]","")&amp;"]")))</x:f>
      </x:c>
      <x:c r="G1655" t="str">
        <x:f>IF(F1655&lt;&gt;"",ROWS($F$3:F1655)-COUNTBLANK($F$3:F1655),"")</x:f>
      </x:c>
      <x:c r="H1655"/>
      <x:c r="I1655"/>
      <x:c r="J1655"/>
      <x:c r="K1655" t="str">
        <x:f>IF(ROW()-ROW($K$2)&lt;=SUM($J$3:$J$168),COUNTIF($H$3:$H$168,"&lt;"&amp;(ROW()-ROW($K$2))),"")</x:f>
      </x:c>
      <x:c r="L1655" t="str">
        <x:f>IF(K1655="","",ROW()-ROW($L$2)-INDEX($H$3:$H$168,K1655))</x:f>
      </x:c>
      <x:c r="M1655" t="str">
        <x:f>IF(K1655="","",IF(L1655=1,1,FIND(CHAR(1),SUBSTITUTE(INDEX($B$3:$B$168,K1655),CHAR(10),CHAR(1),L1655-1))+1))</x:f>
      </x:c>
      <x:c r="N1655" t="str">
        <x:f>IF(K1655="","",IFERROR(FIND(CHAR(1),SUBSTITUTE(INDEX($B$3:$B$168,K1655),CHAR(10),CHAR(1),L1655)),LEN(INDEX($B$3:$B$168,K1655))+1))</x:f>
      </x:c>
    </x:row>
    <x:row r="1656">
      <x:c r="A1656"/>
      <x:c r="B1656"/>
      <x:c r="C1656"/>
      <x:c r="D1656" t="str">
        <x:f>IFERROR(IF(1654&lt;=$O$1,INDEX($A$3:$A$168,MATCH(1654,$I$3:$I$168,0)),IF(1654&lt;=$O$1+$O$2,INDEX($F$3:$F$1994,MATCH(1654-$O$1,$G$3:$G$1994,0)),"")),"")</x:f>
      </x:c>
      <x:c r="E1656" t="str">
        <x:f>IF(K1656="","",IF(N1656&lt;=M1656,"",TRIM(CLEAN(MID(INDEX($B$3:$B$168,K1656),M1656,N1656-M1656)))))</x:f>
      </x:c>
      <x:c r="F1656" t="str">
        <x:f>IF(E1656="","",IF(E1656=TRIM(INDEX($A$3:$A$168,K1656)),"",IF(RIGHT(TRIM(INDEX($A$3:$A$168,K1656)),1)="]",LEFT(TRIM(INDEX($A$3:$A$168,K1656)),LEN(TRIM(INDEX($A$3:$A$168,K1656)))-1)&amp;", "&amp;SUBSTITUTE(SUBSTITUTE(SUBSTITUTE(E1656," [",", "),"[",", "),"]","")&amp;"]",TRIM(INDEX($A$3:$A$168,K1656))&amp;" ["&amp;SUBSTITUTE(SUBSTITUTE(SUBSTITUTE(E1656," [",", "),"[",", "),"]","")&amp;"]")))</x:f>
      </x:c>
      <x:c r="G1656" t="str">
        <x:f>IF(F1656&lt;&gt;"",ROWS($F$3:F1656)-COUNTBLANK($F$3:F1656),"")</x:f>
      </x:c>
      <x:c r="H1656"/>
      <x:c r="I1656"/>
      <x:c r="J1656"/>
      <x:c r="K1656" t="str">
        <x:f>IF(ROW()-ROW($K$2)&lt;=SUM($J$3:$J$168),COUNTIF($H$3:$H$168,"&lt;"&amp;(ROW()-ROW($K$2))),"")</x:f>
      </x:c>
      <x:c r="L1656" t="str">
        <x:f>IF(K1656="","",ROW()-ROW($L$2)-INDEX($H$3:$H$168,K1656))</x:f>
      </x:c>
      <x:c r="M1656" t="str">
        <x:f>IF(K1656="","",IF(L1656=1,1,FIND(CHAR(1),SUBSTITUTE(INDEX($B$3:$B$168,K1656),CHAR(10),CHAR(1),L1656-1))+1))</x:f>
      </x:c>
      <x:c r="N1656" t="str">
        <x:f>IF(K1656="","",IFERROR(FIND(CHAR(1),SUBSTITUTE(INDEX($B$3:$B$168,K1656),CHAR(10),CHAR(1),L1656)),LEN(INDEX($B$3:$B$168,K1656))+1))</x:f>
      </x:c>
    </x:row>
    <x:row r="1657">
      <x:c r="A1657"/>
      <x:c r="B1657"/>
      <x:c r="C1657"/>
      <x:c r="D1657" t="str">
        <x:f>IFERROR(IF(1655&lt;=$O$1,INDEX($A$3:$A$168,MATCH(1655,$I$3:$I$168,0)),IF(1655&lt;=$O$1+$O$2,INDEX($F$3:$F$1994,MATCH(1655-$O$1,$G$3:$G$1994,0)),"")),"")</x:f>
      </x:c>
      <x:c r="E1657" t="str">
        <x:f>IF(K1657="","",IF(N1657&lt;=M1657,"",TRIM(CLEAN(MID(INDEX($B$3:$B$168,K1657),M1657,N1657-M1657)))))</x:f>
      </x:c>
      <x:c r="F1657" t="str">
        <x:f>IF(E1657="","",IF(E1657=TRIM(INDEX($A$3:$A$168,K1657)),"",IF(RIGHT(TRIM(INDEX($A$3:$A$168,K1657)),1)="]",LEFT(TRIM(INDEX($A$3:$A$168,K1657)),LEN(TRIM(INDEX($A$3:$A$168,K1657)))-1)&amp;", "&amp;SUBSTITUTE(SUBSTITUTE(SUBSTITUTE(E1657," [",", "),"[",", "),"]","")&amp;"]",TRIM(INDEX($A$3:$A$168,K1657))&amp;" ["&amp;SUBSTITUTE(SUBSTITUTE(SUBSTITUTE(E1657," [",", "),"[",", "),"]","")&amp;"]")))</x:f>
      </x:c>
      <x:c r="G1657" t="str">
        <x:f>IF(F1657&lt;&gt;"",ROWS($F$3:F1657)-COUNTBLANK($F$3:F1657),"")</x:f>
      </x:c>
      <x:c r="H1657"/>
      <x:c r="I1657"/>
      <x:c r="J1657"/>
      <x:c r="K1657" t="str">
        <x:f>IF(ROW()-ROW($K$2)&lt;=SUM($J$3:$J$168),COUNTIF($H$3:$H$168,"&lt;"&amp;(ROW()-ROW($K$2))),"")</x:f>
      </x:c>
      <x:c r="L1657" t="str">
        <x:f>IF(K1657="","",ROW()-ROW($L$2)-INDEX($H$3:$H$168,K1657))</x:f>
      </x:c>
      <x:c r="M1657" t="str">
        <x:f>IF(K1657="","",IF(L1657=1,1,FIND(CHAR(1),SUBSTITUTE(INDEX($B$3:$B$168,K1657),CHAR(10),CHAR(1),L1657-1))+1))</x:f>
      </x:c>
      <x:c r="N1657" t="str">
        <x:f>IF(K1657="","",IFERROR(FIND(CHAR(1),SUBSTITUTE(INDEX($B$3:$B$168,K1657),CHAR(10),CHAR(1),L1657)),LEN(INDEX($B$3:$B$168,K1657))+1))</x:f>
      </x:c>
    </x:row>
    <x:row r="1658">
      <x:c r="A1658"/>
      <x:c r="B1658"/>
      <x:c r="C1658"/>
      <x:c r="D1658" t="str">
        <x:f>IFERROR(IF(1656&lt;=$O$1,INDEX($A$3:$A$168,MATCH(1656,$I$3:$I$168,0)),IF(1656&lt;=$O$1+$O$2,INDEX($F$3:$F$1994,MATCH(1656-$O$1,$G$3:$G$1994,0)),"")),"")</x:f>
      </x:c>
      <x:c r="E1658" t="str">
        <x:f>IF(K1658="","",IF(N1658&lt;=M1658,"",TRIM(CLEAN(MID(INDEX($B$3:$B$168,K1658),M1658,N1658-M1658)))))</x:f>
      </x:c>
      <x:c r="F1658" t="str">
        <x:f>IF(E1658="","",IF(E1658=TRIM(INDEX($A$3:$A$168,K1658)),"",IF(RIGHT(TRIM(INDEX($A$3:$A$168,K1658)),1)="]",LEFT(TRIM(INDEX($A$3:$A$168,K1658)),LEN(TRIM(INDEX($A$3:$A$168,K1658)))-1)&amp;", "&amp;SUBSTITUTE(SUBSTITUTE(SUBSTITUTE(E1658," [",", "),"[",", "),"]","")&amp;"]",TRIM(INDEX($A$3:$A$168,K1658))&amp;" ["&amp;SUBSTITUTE(SUBSTITUTE(SUBSTITUTE(E1658," [",", "),"[",", "),"]","")&amp;"]")))</x:f>
      </x:c>
      <x:c r="G1658" t="str">
        <x:f>IF(F1658&lt;&gt;"",ROWS($F$3:F1658)-COUNTBLANK($F$3:F1658),"")</x:f>
      </x:c>
      <x:c r="H1658"/>
      <x:c r="I1658"/>
      <x:c r="J1658"/>
      <x:c r="K1658" t="str">
        <x:f>IF(ROW()-ROW($K$2)&lt;=SUM($J$3:$J$168),COUNTIF($H$3:$H$168,"&lt;"&amp;(ROW()-ROW($K$2))),"")</x:f>
      </x:c>
      <x:c r="L1658" t="str">
        <x:f>IF(K1658="","",ROW()-ROW($L$2)-INDEX($H$3:$H$168,K1658))</x:f>
      </x:c>
      <x:c r="M1658" t="str">
        <x:f>IF(K1658="","",IF(L1658=1,1,FIND(CHAR(1),SUBSTITUTE(INDEX($B$3:$B$168,K1658),CHAR(10),CHAR(1),L1658-1))+1))</x:f>
      </x:c>
      <x:c r="N1658" t="str">
        <x:f>IF(K1658="","",IFERROR(FIND(CHAR(1),SUBSTITUTE(INDEX($B$3:$B$168,K1658),CHAR(10),CHAR(1),L1658)),LEN(INDEX($B$3:$B$168,K1658))+1))</x:f>
      </x:c>
    </x:row>
    <x:row r="1659">
      <x:c r="A1659"/>
      <x:c r="B1659"/>
      <x:c r="C1659"/>
      <x:c r="D1659" t="str">
        <x:f>IFERROR(IF(1657&lt;=$O$1,INDEX($A$3:$A$168,MATCH(1657,$I$3:$I$168,0)),IF(1657&lt;=$O$1+$O$2,INDEX($F$3:$F$1994,MATCH(1657-$O$1,$G$3:$G$1994,0)),"")),"")</x:f>
      </x:c>
      <x:c r="E1659" t="str">
        <x:f>IF(K1659="","",IF(N1659&lt;=M1659,"",TRIM(CLEAN(MID(INDEX($B$3:$B$168,K1659),M1659,N1659-M1659)))))</x:f>
      </x:c>
      <x:c r="F1659" t="str">
        <x:f>IF(E1659="","",IF(E1659=TRIM(INDEX($A$3:$A$168,K1659)),"",IF(RIGHT(TRIM(INDEX($A$3:$A$168,K1659)),1)="]",LEFT(TRIM(INDEX($A$3:$A$168,K1659)),LEN(TRIM(INDEX($A$3:$A$168,K1659)))-1)&amp;", "&amp;SUBSTITUTE(SUBSTITUTE(SUBSTITUTE(E1659," [",", "),"[",", "),"]","")&amp;"]",TRIM(INDEX($A$3:$A$168,K1659))&amp;" ["&amp;SUBSTITUTE(SUBSTITUTE(SUBSTITUTE(E1659," [",", "),"[",", "),"]","")&amp;"]")))</x:f>
      </x:c>
      <x:c r="G1659" t="str">
        <x:f>IF(F1659&lt;&gt;"",ROWS($F$3:F1659)-COUNTBLANK($F$3:F1659),"")</x:f>
      </x:c>
      <x:c r="H1659"/>
      <x:c r="I1659"/>
      <x:c r="J1659"/>
      <x:c r="K1659" t="str">
        <x:f>IF(ROW()-ROW($K$2)&lt;=SUM($J$3:$J$168),COUNTIF($H$3:$H$168,"&lt;"&amp;(ROW()-ROW($K$2))),"")</x:f>
      </x:c>
      <x:c r="L1659" t="str">
        <x:f>IF(K1659="","",ROW()-ROW($L$2)-INDEX($H$3:$H$168,K1659))</x:f>
      </x:c>
      <x:c r="M1659" t="str">
        <x:f>IF(K1659="","",IF(L1659=1,1,FIND(CHAR(1),SUBSTITUTE(INDEX($B$3:$B$168,K1659),CHAR(10),CHAR(1),L1659-1))+1))</x:f>
      </x:c>
      <x:c r="N1659" t="str">
        <x:f>IF(K1659="","",IFERROR(FIND(CHAR(1),SUBSTITUTE(INDEX($B$3:$B$168,K1659),CHAR(10),CHAR(1),L1659)),LEN(INDEX($B$3:$B$168,K1659))+1))</x:f>
      </x:c>
    </x:row>
    <x:row r="1660">
      <x:c r="A1660"/>
      <x:c r="B1660"/>
      <x:c r="C1660"/>
      <x:c r="D1660" t="str">
        <x:f>IFERROR(IF(1658&lt;=$O$1,INDEX($A$3:$A$168,MATCH(1658,$I$3:$I$168,0)),IF(1658&lt;=$O$1+$O$2,INDEX($F$3:$F$1994,MATCH(1658-$O$1,$G$3:$G$1994,0)),"")),"")</x:f>
      </x:c>
      <x:c r="E1660" t="str">
        <x:f>IF(K1660="","",IF(N1660&lt;=M1660,"",TRIM(CLEAN(MID(INDEX($B$3:$B$168,K1660),M1660,N1660-M1660)))))</x:f>
      </x:c>
      <x:c r="F1660" t="str">
        <x:f>IF(E1660="","",IF(E1660=TRIM(INDEX($A$3:$A$168,K1660)),"",IF(RIGHT(TRIM(INDEX($A$3:$A$168,K1660)),1)="]",LEFT(TRIM(INDEX($A$3:$A$168,K1660)),LEN(TRIM(INDEX($A$3:$A$168,K1660)))-1)&amp;", "&amp;SUBSTITUTE(SUBSTITUTE(SUBSTITUTE(E1660," [",", "),"[",", "),"]","")&amp;"]",TRIM(INDEX($A$3:$A$168,K1660))&amp;" ["&amp;SUBSTITUTE(SUBSTITUTE(SUBSTITUTE(E1660," [",", "),"[",", "),"]","")&amp;"]")))</x:f>
      </x:c>
      <x:c r="G1660" t="str">
        <x:f>IF(F1660&lt;&gt;"",ROWS($F$3:F1660)-COUNTBLANK($F$3:F1660),"")</x:f>
      </x:c>
      <x:c r="H1660"/>
      <x:c r="I1660"/>
      <x:c r="J1660"/>
      <x:c r="K1660" t="str">
        <x:f>IF(ROW()-ROW($K$2)&lt;=SUM($J$3:$J$168),COUNTIF($H$3:$H$168,"&lt;"&amp;(ROW()-ROW($K$2))),"")</x:f>
      </x:c>
      <x:c r="L1660" t="str">
        <x:f>IF(K1660="","",ROW()-ROW($L$2)-INDEX($H$3:$H$168,K1660))</x:f>
      </x:c>
      <x:c r="M1660" t="str">
        <x:f>IF(K1660="","",IF(L1660=1,1,FIND(CHAR(1),SUBSTITUTE(INDEX($B$3:$B$168,K1660),CHAR(10),CHAR(1),L1660-1))+1))</x:f>
      </x:c>
      <x:c r="N1660" t="str">
        <x:f>IF(K1660="","",IFERROR(FIND(CHAR(1),SUBSTITUTE(INDEX($B$3:$B$168,K1660),CHAR(10),CHAR(1),L1660)),LEN(INDEX($B$3:$B$168,K1660))+1))</x:f>
      </x:c>
    </x:row>
    <x:row r="1661">
      <x:c r="A1661"/>
      <x:c r="B1661"/>
      <x:c r="C1661"/>
      <x:c r="D1661" t="str">
        <x:f>IFERROR(IF(1659&lt;=$O$1,INDEX($A$3:$A$168,MATCH(1659,$I$3:$I$168,0)),IF(1659&lt;=$O$1+$O$2,INDEX($F$3:$F$1994,MATCH(1659-$O$1,$G$3:$G$1994,0)),"")),"")</x:f>
      </x:c>
      <x:c r="E1661" t="str">
        <x:f>IF(K1661="","",IF(N1661&lt;=M1661,"",TRIM(CLEAN(MID(INDEX($B$3:$B$168,K1661),M1661,N1661-M1661)))))</x:f>
      </x:c>
      <x:c r="F1661" t="str">
        <x:f>IF(E1661="","",IF(E1661=TRIM(INDEX($A$3:$A$168,K1661)),"",IF(RIGHT(TRIM(INDEX($A$3:$A$168,K1661)),1)="]",LEFT(TRIM(INDEX($A$3:$A$168,K1661)),LEN(TRIM(INDEX($A$3:$A$168,K1661)))-1)&amp;", "&amp;SUBSTITUTE(SUBSTITUTE(SUBSTITUTE(E1661," [",", "),"[",", "),"]","")&amp;"]",TRIM(INDEX($A$3:$A$168,K1661))&amp;" ["&amp;SUBSTITUTE(SUBSTITUTE(SUBSTITUTE(E1661," [",", "),"[",", "),"]","")&amp;"]")))</x:f>
      </x:c>
      <x:c r="G1661" t="str">
        <x:f>IF(F1661&lt;&gt;"",ROWS($F$3:F1661)-COUNTBLANK($F$3:F1661),"")</x:f>
      </x:c>
      <x:c r="H1661"/>
      <x:c r="I1661"/>
      <x:c r="J1661"/>
      <x:c r="K1661" t="str">
        <x:f>IF(ROW()-ROW($K$2)&lt;=SUM($J$3:$J$168),COUNTIF($H$3:$H$168,"&lt;"&amp;(ROW()-ROW($K$2))),"")</x:f>
      </x:c>
      <x:c r="L1661" t="str">
        <x:f>IF(K1661="","",ROW()-ROW($L$2)-INDEX($H$3:$H$168,K1661))</x:f>
      </x:c>
      <x:c r="M1661" t="str">
        <x:f>IF(K1661="","",IF(L1661=1,1,FIND(CHAR(1),SUBSTITUTE(INDEX($B$3:$B$168,K1661),CHAR(10),CHAR(1),L1661-1))+1))</x:f>
      </x:c>
      <x:c r="N1661" t="str">
        <x:f>IF(K1661="","",IFERROR(FIND(CHAR(1),SUBSTITUTE(INDEX($B$3:$B$168,K1661),CHAR(10),CHAR(1),L1661)),LEN(INDEX($B$3:$B$168,K1661))+1))</x:f>
      </x:c>
    </x:row>
    <x:row r="1662">
      <x:c r="A1662"/>
      <x:c r="B1662"/>
      <x:c r="C1662"/>
      <x:c r="D1662" t="str">
        <x:f>IFERROR(IF(1660&lt;=$O$1,INDEX($A$3:$A$168,MATCH(1660,$I$3:$I$168,0)),IF(1660&lt;=$O$1+$O$2,INDEX($F$3:$F$1994,MATCH(1660-$O$1,$G$3:$G$1994,0)),"")),"")</x:f>
      </x:c>
      <x:c r="E1662" t="str">
        <x:f>IF(K1662="","",IF(N1662&lt;=M1662,"",TRIM(CLEAN(MID(INDEX($B$3:$B$168,K1662),M1662,N1662-M1662)))))</x:f>
      </x:c>
      <x:c r="F1662" t="str">
        <x:f>IF(E1662="","",IF(E1662=TRIM(INDEX($A$3:$A$168,K1662)),"",IF(RIGHT(TRIM(INDEX($A$3:$A$168,K1662)),1)="]",LEFT(TRIM(INDEX($A$3:$A$168,K1662)),LEN(TRIM(INDEX($A$3:$A$168,K1662)))-1)&amp;", "&amp;SUBSTITUTE(SUBSTITUTE(SUBSTITUTE(E1662," [",", "),"[",", "),"]","")&amp;"]",TRIM(INDEX($A$3:$A$168,K1662))&amp;" ["&amp;SUBSTITUTE(SUBSTITUTE(SUBSTITUTE(E1662," [",", "),"[",", "),"]","")&amp;"]")))</x:f>
      </x:c>
      <x:c r="G1662" t="str">
        <x:f>IF(F1662&lt;&gt;"",ROWS($F$3:F1662)-COUNTBLANK($F$3:F1662),"")</x:f>
      </x:c>
      <x:c r="H1662"/>
      <x:c r="I1662"/>
      <x:c r="J1662"/>
      <x:c r="K1662" t="str">
        <x:f>IF(ROW()-ROW($K$2)&lt;=SUM($J$3:$J$168),COUNTIF($H$3:$H$168,"&lt;"&amp;(ROW()-ROW($K$2))),"")</x:f>
      </x:c>
      <x:c r="L1662" t="str">
        <x:f>IF(K1662="","",ROW()-ROW($L$2)-INDEX($H$3:$H$168,K1662))</x:f>
      </x:c>
      <x:c r="M1662" t="str">
        <x:f>IF(K1662="","",IF(L1662=1,1,FIND(CHAR(1),SUBSTITUTE(INDEX($B$3:$B$168,K1662),CHAR(10),CHAR(1),L1662-1))+1))</x:f>
      </x:c>
      <x:c r="N1662" t="str">
        <x:f>IF(K1662="","",IFERROR(FIND(CHAR(1),SUBSTITUTE(INDEX($B$3:$B$168,K1662),CHAR(10),CHAR(1),L1662)),LEN(INDEX($B$3:$B$168,K1662))+1))</x:f>
      </x:c>
    </x:row>
    <x:row r="1663">
      <x:c r="A1663"/>
      <x:c r="B1663"/>
      <x:c r="C1663"/>
      <x:c r="D1663" t="str">
        <x:f>IFERROR(IF(1661&lt;=$O$1,INDEX($A$3:$A$168,MATCH(1661,$I$3:$I$168,0)),IF(1661&lt;=$O$1+$O$2,INDEX($F$3:$F$1994,MATCH(1661-$O$1,$G$3:$G$1994,0)),"")),"")</x:f>
      </x:c>
      <x:c r="E1663" t="str">
        <x:f>IF(K1663="","",IF(N1663&lt;=M1663,"",TRIM(CLEAN(MID(INDEX($B$3:$B$168,K1663),M1663,N1663-M1663)))))</x:f>
      </x:c>
      <x:c r="F1663" t="str">
        <x:f>IF(E1663="","",IF(E1663=TRIM(INDEX($A$3:$A$168,K1663)),"",IF(RIGHT(TRIM(INDEX($A$3:$A$168,K1663)),1)="]",LEFT(TRIM(INDEX($A$3:$A$168,K1663)),LEN(TRIM(INDEX($A$3:$A$168,K1663)))-1)&amp;", "&amp;SUBSTITUTE(SUBSTITUTE(SUBSTITUTE(E1663," [",", "),"[",", "),"]","")&amp;"]",TRIM(INDEX($A$3:$A$168,K1663))&amp;" ["&amp;SUBSTITUTE(SUBSTITUTE(SUBSTITUTE(E1663," [",", "),"[",", "),"]","")&amp;"]")))</x:f>
      </x:c>
      <x:c r="G1663" t="str">
        <x:f>IF(F1663&lt;&gt;"",ROWS($F$3:F1663)-COUNTBLANK($F$3:F1663),"")</x:f>
      </x:c>
      <x:c r="H1663"/>
      <x:c r="I1663"/>
      <x:c r="J1663"/>
      <x:c r="K1663" t="str">
        <x:f>IF(ROW()-ROW($K$2)&lt;=SUM($J$3:$J$168),COUNTIF($H$3:$H$168,"&lt;"&amp;(ROW()-ROW($K$2))),"")</x:f>
      </x:c>
      <x:c r="L1663" t="str">
        <x:f>IF(K1663="","",ROW()-ROW($L$2)-INDEX($H$3:$H$168,K1663))</x:f>
      </x:c>
      <x:c r="M1663" t="str">
        <x:f>IF(K1663="","",IF(L1663=1,1,FIND(CHAR(1),SUBSTITUTE(INDEX($B$3:$B$168,K1663),CHAR(10),CHAR(1),L1663-1))+1))</x:f>
      </x:c>
      <x:c r="N1663" t="str">
        <x:f>IF(K1663="","",IFERROR(FIND(CHAR(1),SUBSTITUTE(INDEX($B$3:$B$168,K1663),CHAR(10),CHAR(1),L1663)),LEN(INDEX($B$3:$B$168,K1663))+1))</x:f>
      </x:c>
    </x:row>
    <x:row r="1664">
      <x:c r="A1664"/>
      <x:c r="B1664"/>
      <x:c r="C1664"/>
      <x:c r="D1664" t="str">
        <x:f>IFERROR(IF(1662&lt;=$O$1,INDEX($A$3:$A$168,MATCH(1662,$I$3:$I$168,0)),IF(1662&lt;=$O$1+$O$2,INDEX($F$3:$F$1994,MATCH(1662-$O$1,$G$3:$G$1994,0)),"")),"")</x:f>
      </x:c>
      <x:c r="E1664" t="str">
        <x:f>IF(K1664="","",IF(N1664&lt;=M1664,"",TRIM(CLEAN(MID(INDEX($B$3:$B$168,K1664),M1664,N1664-M1664)))))</x:f>
      </x:c>
      <x:c r="F1664" t="str">
        <x:f>IF(E1664="","",IF(E1664=TRIM(INDEX($A$3:$A$168,K1664)),"",IF(RIGHT(TRIM(INDEX($A$3:$A$168,K1664)),1)="]",LEFT(TRIM(INDEX($A$3:$A$168,K1664)),LEN(TRIM(INDEX($A$3:$A$168,K1664)))-1)&amp;", "&amp;SUBSTITUTE(SUBSTITUTE(SUBSTITUTE(E1664," [",", "),"[",", "),"]","")&amp;"]",TRIM(INDEX($A$3:$A$168,K1664))&amp;" ["&amp;SUBSTITUTE(SUBSTITUTE(SUBSTITUTE(E1664," [",", "),"[",", "),"]","")&amp;"]")))</x:f>
      </x:c>
      <x:c r="G1664" t="str">
        <x:f>IF(F1664&lt;&gt;"",ROWS($F$3:F1664)-COUNTBLANK($F$3:F1664),"")</x:f>
      </x:c>
      <x:c r="H1664"/>
      <x:c r="I1664"/>
      <x:c r="J1664"/>
      <x:c r="K1664" t="str">
        <x:f>IF(ROW()-ROW($K$2)&lt;=SUM($J$3:$J$168),COUNTIF($H$3:$H$168,"&lt;"&amp;(ROW()-ROW($K$2))),"")</x:f>
      </x:c>
      <x:c r="L1664" t="str">
        <x:f>IF(K1664="","",ROW()-ROW($L$2)-INDEX($H$3:$H$168,K1664))</x:f>
      </x:c>
      <x:c r="M1664" t="str">
        <x:f>IF(K1664="","",IF(L1664=1,1,FIND(CHAR(1),SUBSTITUTE(INDEX($B$3:$B$168,K1664),CHAR(10),CHAR(1),L1664-1))+1))</x:f>
      </x:c>
      <x:c r="N1664" t="str">
        <x:f>IF(K1664="","",IFERROR(FIND(CHAR(1),SUBSTITUTE(INDEX($B$3:$B$168,K1664),CHAR(10),CHAR(1),L1664)),LEN(INDEX($B$3:$B$168,K1664))+1))</x:f>
      </x:c>
    </x:row>
    <x:row r="1665">
      <x:c r="A1665"/>
      <x:c r="B1665"/>
      <x:c r="C1665"/>
      <x:c r="D1665" t="str">
        <x:f>IFERROR(IF(1663&lt;=$O$1,INDEX($A$3:$A$168,MATCH(1663,$I$3:$I$168,0)),IF(1663&lt;=$O$1+$O$2,INDEX($F$3:$F$1994,MATCH(1663-$O$1,$G$3:$G$1994,0)),"")),"")</x:f>
      </x:c>
      <x:c r="E1665" t="str">
        <x:f>IF(K1665="","",IF(N1665&lt;=M1665,"",TRIM(CLEAN(MID(INDEX($B$3:$B$168,K1665),M1665,N1665-M1665)))))</x:f>
      </x:c>
      <x:c r="F1665" t="str">
        <x:f>IF(E1665="","",IF(E1665=TRIM(INDEX($A$3:$A$168,K1665)),"",IF(RIGHT(TRIM(INDEX($A$3:$A$168,K1665)),1)="]",LEFT(TRIM(INDEX($A$3:$A$168,K1665)),LEN(TRIM(INDEX($A$3:$A$168,K1665)))-1)&amp;", "&amp;SUBSTITUTE(SUBSTITUTE(SUBSTITUTE(E1665," [",", "),"[",", "),"]","")&amp;"]",TRIM(INDEX($A$3:$A$168,K1665))&amp;" ["&amp;SUBSTITUTE(SUBSTITUTE(SUBSTITUTE(E1665," [",", "),"[",", "),"]","")&amp;"]")))</x:f>
      </x:c>
      <x:c r="G1665" t="str">
        <x:f>IF(F1665&lt;&gt;"",ROWS($F$3:F1665)-COUNTBLANK($F$3:F1665),"")</x:f>
      </x:c>
      <x:c r="H1665"/>
      <x:c r="I1665"/>
      <x:c r="J1665"/>
      <x:c r="K1665" t="str">
        <x:f>IF(ROW()-ROW($K$2)&lt;=SUM($J$3:$J$168),COUNTIF($H$3:$H$168,"&lt;"&amp;(ROW()-ROW($K$2))),"")</x:f>
      </x:c>
      <x:c r="L1665" t="str">
        <x:f>IF(K1665="","",ROW()-ROW($L$2)-INDEX($H$3:$H$168,K1665))</x:f>
      </x:c>
      <x:c r="M1665" t="str">
        <x:f>IF(K1665="","",IF(L1665=1,1,FIND(CHAR(1),SUBSTITUTE(INDEX($B$3:$B$168,K1665),CHAR(10),CHAR(1),L1665-1))+1))</x:f>
      </x:c>
      <x:c r="N1665" t="str">
        <x:f>IF(K1665="","",IFERROR(FIND(CHAR(1),SUBSTITUTE(INDEX($B$3:$B$168,K1665),CHAR(10),CHAR(1),L1665)),LEN(INDEX($B$3:$B$168,K1665))+1))</x:f>
      </x:c>
    </x:row>
    <x:row r="1666">
      <x:c r="A1666"/>
      <x:c r="B1666"/>
      <x:c r="C1666"/>
      <x:c r="D1666" t="str">
        <x:f>IFERROR(IF(1664&lt;=$O$1,INDEX($A$3:$A$168,MATCH(1664,$I$3:$I$168,0)),IF(1664&lt;=$O$1+$O$2,INDEX($F$3:$F$1994,MATCH(1664-$O$1,$G$3:$G$1994,0)),"")),"")</x:f>
      </x:c>
      <x:c r="E1666" t="str">
        <x:f>IF(K1666="","",IF(N1666&lt;=M1666,"",TRIM(CLEAN(MID(INDEX($B$3:$B$168,K1666),M1666,N1666-M1666)))))</x:f>
      </x:c>
      <x:c r="F1666" t="str">
        <x:f>IF(E1666="","",IF(E1666=TRIM(INDEX($A$3:$A$168,K1666)),"",IF(RIGHT(TRIM(INDEX($A$3:$A$168,K1666)),1)="]",LEFT(TRIM(INDEX($A$3:$A$168,K1666)),LEN(TRIM(INDEX($A$3:$A$168,K1666)))-1)&amp;", "&amp;SUBSTITUTE(SUBSTITUTE(SUBSTITUTE(E1666," [",", "),"[",", "),"]","")&amp;"]",TRIM(INDEX($A$3:$A$168,K1666))&amp;" ["&amp;SUBSTITUTE(SUBSTITUTE(SUBSTITUTE(E1666," [",", "),"[",", "),"]","")&amp;"]")))</x:f>
      </x:c>
      <x:c r="G1666" t="str">
        <x:f>IF(F1666&lt;&gt;"",ROWS($F$3:F1666)-COUNTBLANK($F$3:F1666),"")</x:f>
      </x:c>
      <x:c r="H1666"/>
      <x:c r="I1666"/>
      <x:c r="J1666"/>
      <x:c r="K1666" t="str">
        <x:f>IF(ROW()-ROW($K$2)&lt;=SUM($J$3:$J$168),COUNTIF($H$3:$H$168,"&lt;"&amp;(ROW()-ROW($K$2))),"")</x:f>
      </x:c>
      <x:c r="L1666" t="str">
        <x:f>IF(K1666="","",ROW()-ROW($L$2)-INDEX($H$3:$H$168,K1666))</x:f>
      </x:c>
      <x:c r="M1666" t="str">
        <x:f>IF(K1666="","",IF(L1666=1,1,FIND(CHAR(1),SUBSTITUTE(INDEX($B$3:$B$168,K1666),CHAR(10),CHAR(1),L1666-1))+1))</x:f>
      </x:c>
      <x:c r="N1666" t="str">
        <x:f>IF(K1666="","",IFERROR(FIND(CHAR(1),SUBSTITUTE(INDEX($B$3:$B$168,K1666),CHAR(10),CHAR(1),L1666)),LEN(INDEX($B$3:$B$168,K1666))+1))</x:f>
      </x:c>
    </x:row>
    <x:row r="1667">
      <x:c r="A1667"/>
      <x:c r="B1667"/>
      <x:c r="C1667"/>
      <x:c r="D1667" t="str">
        <x:f>IFERROR(IF(1665&lt;=$O$1,INDEX($A$3:$A$168,MATCH(1665,$I$3:$I$168,0)),IF(1665&lt;=$O$1+$O$2,INDEX($F$3:$F$1994,MATCH(1665-$O$1,$G$3:$G$1994,0)),"")),"")</x:f>
      </x:c>
      <x:c r="E1667" t="str">
        <x:f>IF(K1667="","",IF(N1667&lt;=M1667,"",TRIM(CLEAN(MID(INDEX($B$3:$B$168,K1667),M1667,N1667-M1667)))))</x:f>
      </x:c>
      <x:c r="F1667" t="str">
        <x:f>IF(E1667="","",IF(E1667=TRIM(INDEX($A$3:$A$168,K1667)),"",IF(RIGHT(TRIM(INDEX($A$3:$A$168,K1667)),1)="]",LEFT(TRIM(INDEX($A$3:$A$168,K1667)),LEN(TRIM(INDEX($A$3:$A$168,K1667)))-1)&amp;", "&amp;SUBSTITUTE(SUBSTITUTE(SUBSTITUTE(E1667," [",", "),"[",", "),"]","")&amp;"]",TRIM(INDEX($A$3:$A$168,K1667))&amp;" ["&amp;SUBSTITUTE(SUBSTITUTE(SUBSTITUTE(E1667," [",", "),"[",", "),"]","")&amp;"]")))</x:f>
      </x:c>
      <x:c r="G1667" t="str">
        <x:f>IF(F1667&lt;&gt;"",ROWS($F$3:F1667)-COUNTBLANK($F$3:F1667),"")</x:f>
      </x:c>
      <x:c r="H1667"/>
      <x:c r="I1667"/>
      <x:c r="J1667"/>
      <x:c r="K1667" t="str">
        <x:f>IF(ROW()-ROW($K$2)&lt;=SUM($J$3:$J$168),COUNTIF($H$3:$H$168,"&lt;"&amp;(ROW()-ROW($K$2))),"")</x:f>
      </x:c>
      <x:c r="L1667" t="str">
        <x:f>IF(K1667="","",ROW()-ROW($L$2)-INDEX($H$3:$H$168,K1667))</x:f>
      </x:c>
      <x:c r="M1667" t="str">
        <x:f>IF(K1667="","",IF(L1667=1,1,FIND(CHAR(1),SUBSTITUTE(INDEX($B$3:$B$168,K1667),CHAR(10),CHAR(1),L1667-1))+1))</x:f>
      </x:c>
      <x:c r="N1667" t="str">
        <x:f>IF(K1667="","",IFERROR(FIND(CHAR(1),SUBSTITUTE(INDEX($B$3:$B$168,K1667),CHAR(10),CHAR(1),L1667)),LEN(INDEX($B$3:$B$168,K1667))+1))</x:f>
      </x:c>
    </x:row>
    <x:row r="1668">
      <x:c r="A1668"/>
      <x:c r="B1668"/>
      <x:c r="C1668"/>
      <x:c r="D1668" t="str">
        <x:f>IFERROR(IF(1666&lt;=$O$1,INDEX($A$3:$A$168,MATCH(1666,$I$3:$I$168,0)),IF(1666&lt;=$O$1+$O$2,INDEX($F$3:$F$1994,MATCH(1666-$O$1,$G$3:$G$1994,0)),"")),"")</x:f>
      </x:c>
      <x:c r="E1668" t="str">
        <x:f>IF(K1668="","",IF(N1668&lt;=M1668,"",TRIM(CLEAN(MID(INDEX($B$3:$B$168,K1668),M1668,N1668-M1668)))))</x:f>
      </x:c>
      <x:c r="F1668" t="str">
        <x:f>IF(E1668="","",IF(E1668=TRIM(INDEX($A$3:$A$168,K1668)),"",IF(RIGHT(TRIM(INDEX($A$3:$A$168,K1668)),1)="]",LEFT(TRIM(INDEX($A$3:$A$168,K1668)),LEN(TRIM(INDEX($A$3:$A$168,K1668)))-1)&amp;", "&amp;SUBSTITUTE(SUBSTITUTE(SUBSTITUTE(E1668," [",", "),"[",", "),"]","")&amp;"]",TRIM(INDEX($A$3:$A$168,K1668))&amp;" ["&amp;SUBSTITUTE(SUBSTITUTE(SUBSTITUTE(E1668," [",", "),"[",", "),"]","")&amp;"]")))</x:f>
      </x:c>
      <x:c r="G1668" t="str">
        <x:f>IF(F1668&lt;&gt;"",ROWS($F$3:F1668)-COUNTBLANK($F$3:F1668),"")</x:f>
      </x:c>
      <x:c r="H1668"/>
      <x:c r="I1668"/>
      <x:c r="J1668"/>
      <x:c r="K1668" t="str">
        <x:f>IF(ROW()-ROW($K$2)&lt;=SUM($J$3:$J$168),COUNTIF($H$3:$H$168,"&lt;"&amp;(ROW()-ROW($K$2))),"")</x:f>
      </x:c>
      <x:c r="L1668" t="str">
        <x:f>IF(K1668="","",ROW()-ROW($L$2)-INDEX($H$3:$H$168,K1668))</x:f>
      </x:c>
      <x:c r="M1668" t="str">
        <x:f>IF(K1668="","",IF(L1668=1,1,FIND(CHAR(1),SUBSTITUTE(INDEX($B$3:$B$168,K1668),CHAR(10),CHAR(1),L1668-1))+1))</x:f>
      </x:c>
      <x:c r="N1668" t="str">
        <x:f>IF(K1668="","",IFERROR(FIND(CHAR(1),SUBSTITUTE(INDEX($B$3:$B$168,K1668),CHAR(10),CHAR(1),L1668)),LEN(INDEX($B$3:$B$168,K1668))+1))</x:f>
      </x:c>
    </x:row>
    <x:row r="1669">
      <x:c r="A1669"/>
      <x:c r="B1669"/>
      <x:c r="C1669"/>
      <x:c r="D1669" t="str">
        <x:f>IFERROR(IF(1667&lt;=$O$1,INDEX($A$3:$A$168,MATCH(1667,$I$3:$I$168,0)),IF(1667&lt;=$O$1+$O$2,INDEX($F$3:$F$1994,MATCH(1667-$O$1,$G$3:$G$1994,0)),"")),"")</x:f>
      </x:c>
      <x:c r="E1669" t="str">
        <x:f>IF(K1669="","",IF(N1669&lt;=M1669,"",TRIM(CLEAN(MID(INDEX($B$3:$B$168,K1669),M1669,N1669-M1669)))))</x:f>
      </x:c>
      <x:c r="F1669" t="str">
        <x:f>IF(E1669="","",IF(E1669=TRIM(INDEX($A$3:$A$168,K1669)),"",IF(RIGHT(TRIM(INDEX($A$3:$A$168,K1669)),1)="]",LEFT(TRIM(INDEX($A$3:$A$168,K1669)),LEN(TRIM(INDEX($A$3:$A$168,K1669)))-1)&amp;", "&amp;SUBSTITUTE(SUBSTITUTE(SUBSTITUTE(E1669," [",", "),"[",", "),"]","")&amp;"]",TRIM(INDEX($A$3:$A$168,K1669))&amp;" ["&amp;SUBSTITUTE(SUBSTITUTE(SUBSTITUTE(E1669," [",", "),"[",", "),"]","")&amp;"]")))</x:f>
      </x:c>
      <x:c r="G1669" t="str">
        <x:f>IF(F1669&lt;&gt;"",ROWS($F$3:F1669)-COUNTBLANK($F$3:F1669),"")</x:f>
      </x:c>
      <x:c r="H1669"/>
      <x:c r="I1669"/>
      <x:c r="J1669"/>
      <x:c r="K1669" t="str">
        <x:f>IF(ROW()-ROW($K$2)&lt;=SUM($J$3:$J$168),COUNTIF($H$3:$H$168,"&lt;"&amp;(ROW()-ROW($K$2))),"")</x:f>
      </x:c>
      <x:c r="L1669" t="str">
        <x:f>IF(K1669="","",ROW()-ROW($L$2)-INDEX($H$3:$H$168,K1669))</x:f>
      </x:c>
      <x:c r="M1669" t="str">
        <x:f>IF(K1669="","",IF(L1669=1,1,FIND(CHAR(1),SUBSTITUTE(INDEX($B$3:$B$168,K1669),CHAR(10),CHAR(1),L1669-1))+1))</x:f>
      </x:c>
      <x:c r="N1669" t="str">
        <x:f>IF(K1669="","",IFERROR(FIND(CHAR(1),SUBSTITUTE(INDEX($B$3:$B$168,K1669),CHAR(10),CHAR(1),L1669)),LEN(INDEX($B$3:$B$168,K1669))+1))</x:f>
      </x:c>
    </x:row>
    <x:row r="1670">
      <x:c r="A1670"/>
      <x:c r="B1670"/>
      <x:c r="C1670"/>
      <x:c r="D1670" t="str">
        <x:f>IFERROR(IF(1668&lt;=$O$1,INDEX($A$3:$A$168,MATCH(1668,$I$3:$I$168,0)),IF(1668&lt;=$O$1+$O$2,INDEX($F$3:$F$1994,MATCH(1668-$O$1,$G$3:$G$1994,0)),"")),"")</x:f>
      </x:c>
      <x:c r="E1670" t="str">
        <x:f>IF(K1670="","",IF(N1670&lt;=M1670,"",TRIM(CLEAN(MID(INDEX($B$3:$B$168,K1670),M1670,N1670-M1670)))))</x:f>
      </x:c>
      <x:c r="F1670" t="str">
        <x:f>IF(E1670="","",IF(E1670=TRIM(INDEX($A$3:$A$168,K1670)),"",IF(RIGHT(TRIM(INDEX($A$3:$A$168,K1670)),1)="]",LEFT(TRIM(INDEX($A$3:$A$168,K1670)),LEN(TRIM(INDEX($A$3:$A$168,K1670)))-1)&amp;", "&amp;SUBSTITUTE(SUBSTITUTE(SUBSTITUTE(E1670," [",", "),"[",", "),"]","")&amp;"]",TRIM(INDEX($A$3:$A$168,K1670))&amp;" ["&amp;SUBSTITUTE(SUBSTITUTE(SUBSTITUTE(E1670," [",", "),"[",", "),"]","")&amp;"]")))</x:f>
      </x:c>
      <x:c r="G1670" t="str">
        <x:f>IF(F1670&lt;&gt;"",ROWS($F$3:F1670)-COUNTBLANK($F$3:F1670),"")</x:f>
      </x:c>
      <x:c r="H1670"/>
      <x:c r="I1670"/>
      <x:c r="J1670"/>
      <x:c r="K1670" t="str">
        <x:f>IF(ROW()-ROW($K$2)&lt;=SUM($J$3:$J$168),COUNTIF($H$3:$H$168,"&lt;"&amp;(ROW()-ROW($K$2))),"")</x:f>
      </x:c>
      <x:c r="L1670" t="str">
        <x:f>IF(K1670="","",ROW()-ROW($L$2)-INDEX($H$3:$H$168,K1670))</x:f>
      </x:c>
      <x:c r="M1670" t="str">
        <x:f>IF(K1670="","",IF(L1670=1,1,FIND(CHAR(1),SUBSTITUTE(INDEX($B$3:$B$168,K1670),CHAR(10),CHAR(1),L1670-1))+1))</x:f>
      </x:c>
      <x:c r="N1670" t="str">
        <x:f>IF(K1670="","",IFERROR(FIND(CHAR(1),SUBSTITUTE(INDEX($B$3:$B$168,K1670),CHAR(10),CHAR(1),L1670)),LEN(INDEX($B$3:$B$168,K1670))+1))</x:f>
      </x:c>
    </x:row>
    <x:row r="1671">
      <x:c r="A1671"/>
      <x:c r="B1671"/>
      <x:c r="C1671"/>
      <x:c r="D1671" t="str">
        <x:f>IFERROR(IF(1669&lt;=$O$1,INDEX($A$3:$A$168,MATCH(1669,$I$3:$I$168,0)),IF(1669&lt;=$O$1+$O$2,INDEX($F$3:$F$1994,MATCH(1669-$O$1,$G$3:$G$1994,0)),"")),"")</x:f>
      </x:c>
      <x:c r="E1671" t="str">
        <x:f>IF(K1671="","",IF(N1671&lt;=M1671,"",TRIM(CLEAN(MID(INDEX($B$3:$B$168,K1671),M1671,N1671-M1671)))))</x:f>
      </x:c>
      <x:c r="F1671" t="str">
        <x:f>IF(E1671="","",IF(E1671=TRIM(INDEX($A$3:$A$168,K1671)),"",IF(RIGHT(TRIM(INDEX($A$3:$A$168,K1671)),1)="]",LEFT(TRIM(INDEX($A$3:$A$168,K1671)),LEN(TRIM(INDEX($A$3:$A$168,K1671)))-1)&amp;", "&amp;SUBSTITUTE(SUBSTITUTE(SUBSTITUTE(E1671," [",", "),"[",", "),"]","")&amp;"]",TRIM(INDEX($A$3:$A$168,K1671))&amp;" ["&amp;SUBSTITUTE(SUBSTITUTE(SUBSTITUTE(E1671," [",", "),"[",", "),"]","")&amp;"]")))</x:f>
      </x:c>
      <x:c r="G1671" t="str">
        <x:f>IF(F1671&lt;&gt;"",ROWS($F$3:F1671)-COUNTBLANK($F$3:F1671),"")</x:f>
      </x:c>
      <x:c r="H1671"/>
      <x:c r="I1671"/>
      <x:c r="J1671"/>
      <x:c r="K1671" t="str">
        <x:f>IF(ROW()-ROW($K$2)&lt;=SUM($J$3:$J$168),COUNTIF($H$3:$H$168,"&lt;"&amp;(ROW()-ROW($K$2))),"")</x:f>
      </x:c>
      <x:c r="L1671" t="str">
        <x:f>IF(K1671="","",ROW()-ROW($L$2)-INDEX($H$3:$H$168,K1671))</x:f>
      </x:c>
      <x:c r="M1671" t="str">
        <x:f>IF(K1671="","",IF(L1671=1,1,FIND(CHAR(1),SUBSTITUTE(INDEX($B$3:$B$168,K1671),CHAR(10),CHAR(1),L1671-1))+1))</x:f>
      </x:c>
      <x:c r="N1671" t="str">
        <x:f>IF(K1671="","",IFERROR(FIND(CHAR(1),SUBSTITUTE(INDEX($B$3:$B$168,K1671),CHAR(10),CHAR(1),L1671)),LEN(INDEX($B$3:$B$168,K1671))+1))</x:f>
      </x:c>
    </x:row>
    <x:row r="1672">
      <x:c r="A1672"/>
      <x:c r="B1672"/>
      <x:c r="C1672"/>
      <x:c r="D1672" t="str">
        <x:f>IFERROR(IF(1670&lt;=$O$1,INDEX($A$3:$A$168,MATCH(1670,$I$3:$I$168,0)),IF(1670&lt;=$O$1+$O$2,INDEX($F$3:$F$1994,MATCH(1670-$O$1,$G$3:$G$1994,0)),"")),"")</x:f>
      </x:c>
      <x:c r="E1672" t="str">
        <x:f>IF(K1672="","",IF(N1672&lt;=M1672,"",TRIM(CLEAN(MID(INDEX($B$3:$B$168,K1672),M1672,N1672-M1672)))))</x:f>
      </x:c>
      <x:c r="F1672" t="str">
        <x:f>IF(E1672="","",IF(E1672=TRIM(INDEX($A$3:$A$168,K1672)),"",IF(RIGHT(TRIM(INDEX($A$3:$A$168,K1672)),1)="]",LEFT(TRIM(INDEX($A$3:$A$168,K1672)),LEN(TRIM(INDEX($A$3:$A$168,K1672)))-1)&amp;", "&amp;SUBSTITUTE(SUBSTITUTE(SUBSTITUTE(E1672," [",", "),"[",", "),"]","")&amp;"]",TRIM(INDEX($A$3:$A$168,K1672))&amp;" ["&amp;SUBSTITUTE(SUBSTITUTE(SUBSTITUTE(E1672," [",", "),"[",", "),"]","")&amp;"]")))</x:f>
      </x:c>
      <x:c r="G1672" t="str">
        <x:f>IF(F1672&lt;&gt;"",ROWS($F$3:F1672)-COUNTBLANK($F$3:F1672),"")</x:f>
      </x:c>
      <x:c r="H1672"/>
      <x:c r="I1672"/>
      <x:c r="J1672"/>
      <x:c r="K1672" t="str">
        <x:f>IF(ROW()-ROW($K$2)&lt;=SUM($J$3:$J$168),COUNTIF($H$3:$H$168,"&lt;"&amp;(ROW()-ROW($K$2))),"")</x:f>
      </x:c>
      <x:c r="L1672" t="str">
        <x:f>IF(K1672="","",ROW()-ROW($L$2)-INDEX($H$3:$H$168,K1672))</x:f>
      </x:c>
      <x:c r="M1672" t="str">
        <x:f>IF(K1672="","",IF(L1672=1,1,FIND(CHAR(1),SUBSTITUTE(INDEX($B$3:$B$168,K1672),CHAR(10),CHAR(1),L1672-1))+1))</x:f>
      </x:c>
      <x:c r="N1672" t="str">
        <x:f>IF(K1672="","",IFERROR(FIND(CHAR(1),SUBSTITUTE(INDEX($B$3:$B$168,K1672),CHAR(10),CHAR(1),L1672)),LEN(INDEX($B$3:$B$168,K1672))+1))</x:f>
      </x:c>
    </x:row>
    <x:row r="1673">
      <x:c r="A1673"/>
      <x:c r="B1673"/>
      <x:c r="C1673"/>
      <x:c r="D1673" t="str">
        <x:f>IFERROR(IF(1671&lt;=$O$1,INDEX($A$3:$A$168,MATCH(1671,$I$3:$I$168,0)),IF(1671&lt;=$O$1+$O$2,INDEX($F$3:$F$1994,MATCH(1671-$O$1,$G$3:$G$1994,0)),"")),"")</x:f>
      </x:c>
      <x:c r="E1673" t="str">
        <x:f>IF(K1673="","",IF(N1673&lt;=M1673,"",TRIM(CLEAN(MID(INDEX($B$3:$B$168,K1673),M1673,N1673-M1673)))))</x:f>
      </x:c>
      <x:c r="F1673" t="str">
        <x:f>IF(E1673="","",IF(E1673=TRIM(INDEX($A$3:$A$168,K1673)),"",IF(RIGHT(TRIM(INDEX($A$3:$A$168,K1673)),1)="]",LEFT(TRIM(INDEX($A$3:$A$168,K1673)),LEN(TRIM(INDEX($A$3:$A$168,K1673)))-1)&amp;", "&amp;SUBSTITUTE(SUBSTITUTE(SUBSTITUTE(E1673," [",", "),"[",", "),"]","")&amp;"]",TRIM(INDEX($A$3:$A$168,K1673))&amp;" ["&amp;SUBSTITUTE(SUBSTITUTE(SUBSTITUTE(E1673," [",", "),"[",", "),"]","")&amp;"]")))</x:f>
      </x:c>
      <x:c r="G1673" t="str">
        <x:f>IF(F1673&lt;&gt;"",ROWS($F$3:F1673)-COUNTBLANK($F$3:F1673),"")</x:f>
      </x:c>
      <x:c r="H1673"/>
      <x:c r="I1673"/>
      <x:c r="J1673"/>
      <x:c r="K1673" t="str">
        <x:f>IF(ROW()-ROW($K$2)&lt;=SUM($J$3:$J$168),COUNTIF($H$3:$H$168,"&lt;"&amp;(ROW()-ROW($K$2))),"")</x:f>
      </x:c>
      <x:c r="L1673" t="str">
        <x:f>IF(K1673="","",ROW()-ROW($L$2)-INDEX($H$3:$H$168,K1673))</x:f>
      </x:c>
      <x:c r="M1673" t="str">
        <x:f>IF(K1673="","",IF(L1673=1,1,FIND(CHAR(1),SUBSTITUTE(INDEX($B$3:$B$168,K1673),CHAR(10),CHAR(1),L1673-1))+1))</x:f>
      </x:c>
      <x:c r="N1673" t="str">
        <x:f>IF(K1673="","",IFERROR(FIND(CHAR(1),SUBSTITUTE(INDEX($B$3:$B$168,K1673),CHAR(10),CHAR(1),L1673)),LEN(INDEX($B$3:$B$168,K1673))+1))</x:f>
      </x:c>
    </x:row>
    <x:row r="1674">
      <x:c r="A1674"/>
      <x:c r="B1674"/>
      <x:c r="C1674"/>
      <x:c r="D1674" t="str">
        <x:f>IFERROR(IF(1672&lt;=$O$1,INDEX($A$3:$A$168,MATCH(1672,$I$3:$I$168,0)),IF(1672&lt;=$O$1+$O$2,INDEX($F$3:$F$1994,MATCH(1672-$O$1,$G$3:$G$1994,0)),"")),"")</x:f>
      </x:c>
      <x:c r="E1674" t="str">
        <x:f>IF(K1674="","",IF(N1674&lt;=M1674,"",TRIM(CLEAN(MID(INDEX($B$3:$B$168,K1674),M1674,N1674-M1674)))))</x:f>
      </x:c>
      <x:c r="F1674" t="str">
        <x:f>IF(E1674="","",IF(E1674=TRIM(INDEX($A$3:$A$168,K1674)),"",IF(RIGHT(TRIM(INDEX($A$3:$A$168,K1674)),1)="]",LEFT(TRIM(INDEX($A$3:$A$168,K1674)),LEN(TRIM(INDEX($A$3:$A$168,K1674)))-1)&amp;", "&amp;SUBSTITUTE(SUBSTITUTE(SUBSTITUTE(E1674," [",", "),"[",", "),"]","")&amp;"]",TRIM(INDEX($A$3:$A$168,K1674))&amp;" ["&amp;SUBSTITUTE(SUBSTITUTE(SUBSTITUTE(E1674," [",", "),"[",", "),"]","")&amp;"]")))</x:f>
      </x:c>
      <x:c r="G1674" t="str">
        <x:f>IF(F1674&lt;&gt;"",ROWS($F$3:F1674)-COUNTBLANK($F$3:F1674),"")</x:f>
      </x:c>
      <x:c r="H1674"/>
      <x:c r="I1674"/>
      <x:c r="J1674"/>
      <x:c r="K1674" t="str">
        <x:f>IF(ROW()-ROW($K$2)&lt;=SUM($J$3:$J$168),COUNTIF($H$3:$H$168,"&lt;"&amp;(ROW()-ROW($K$2))),"")</x:f>
      </x:c>
      <x:c r="L1674" t="str">
        <x:f>IF(K1674="","",ROW()-ROW($L$2)-INDEX($H$3:$H$168,K1674))</x:f>
      </x:c>
      <x:c r="M1674" t="str">
        <x:f>IF(K1674="","",IF(L1674=1,1,FIND(CHAR(1),SUBSTITUTE(INDEX($B$3:$B$168,K1674),CHAR(10),CHAR(1),L1674-1))+1))</x:f>
      </x:c>
      <x:c r="N1674" t="str">
        <x:f>IF(K1674="","",IFERROR(FIND(CHAR(1),SUBSTITUTE(INDEX($B$3:$B$168,K1674),CHAR(10),CHAR(1),L1674)),LEN(INDEX($B$3:$B$168,K1674))+1))</x:f>
      </x:c>
    </x:row>
    <x:row r="1675">
      <x:c r="A1675"/>
      <x:c r="B1675"/>
      <x:c r="C1675"/>
      <x:c r="D1675" t="str">
        <x:f>IFERROR(IF(1673&lt;=$O$1,INDEX($A$3:$A$168,MATCH(1673,$I$3:$I$168,0)),IF(1673&lt;=$O$1+$O$2,INDEX($F$3:$F$1994,MATCH(1673-$O$1,$G$3:$G$1994,0)),"")),"")</x:f>
      </x:c>
      <x:c r="E1675" t="str">
        <x:f>IF(K1675="","",IF(N1675&lt;=M1675,"",TRIM(CLEAN(MID(INDEX($B$3:$B$168,K1675),M1675,N1675-M1675)))))</x:f>
      </x:c>
      <x:c r="F1675" t="str">
        <x:f>IF(E1675="","",IF(E1675=TRIM(INDEX($A$3:$A$168,K1675)),"",IF(RIGHT(TRIM(INDEX($A$3:$A$168,K1675)),1)="]",LEFT(TRIM(INDEX($A$3:$A$168,K1675)),LEN(TRIM(INDEX($A$3:$A$168,K1675)))-1)&amp;", "&amp;SUBSTITUTE(SUBSTITUTE(SUBSTITUTE(E1675," [",", "),"[",", "),"]","")&amp;"]",TRIM(INDEX($A$3:$A$168,K1675))&amp;" ["&amp;SUBSTITUTE(SUBSTITUTE(SUBSTITUTE(E1675," [",", "),"[",", "),"]","")&amp;"]")))</x:f>
      </x:c>
      <x:c r="G1675" t="str">
        <x:f>IF(F1675&lt;&gt;"",ROWS($F$3:F1675)-COUNTBLANK($F$3:F1675),"")</x:f>
      </x:c>
      <x:c r="H1675"/>
      <x:c r="I1675"/>
      <x:c r="J1675"/>
      <x:c r="K1675" t="str">
        <x:f>IF(ROW()-ROW($K$2)&lt;=SUM($J$3:$J$168),COUNTIF($H$3:$H$168,"&lt;"&amp;(ROW()-ROW($K$2))),"")</x:f>
      </x:c>
      <x:c r="L1675" t="str">
        <x:f>IF(K1675="","",ROW()-ROW($L$2)-INDEX($H$3:$H$168,K1675))</x:f>
      </x:c>
      <x:c r="M1675" t="str">
        <x:f>IF(K1675="","",IF(L1675=1,1,FIND(CHAR(1),SUBSTITUTE(INDEX($B$3:$B$168,K1675),CHAR(10),CHAR(1),L1675-1))+1))</x:f>
      </x:c>
      <x:c r="N1675" t="str">
        <x:f>IF(K1675="","",IFERROR(FIND(CHAR(1),SUBSTITUTE(INDEX($B$3:$B$168,K1675),CHAR(10),CHAR(1),L1675)),LEN(INDEX($B$3:$B$168,K1675))+1))</x:f>
      </x:c>
    </x:row>
    <x:row r="1676">
      <x:c r="A1676"/>
      <x:c r="B1676"/>
      <x:c r="C1676"/>
      <x:c r="D1676" t="str">
        <x:f>IFERROR(IF(1674&lt;=$O$1,INDEX($A$3:$A$168,MATCH(1674,$I$3:$I$168,0)),IF(1674&lt;=$O$1+$O$2,INDEX($F$3:$F$1994,MATCH(1674-$O$1,$G$3:$G$1994,0)),"")),"")</x:f>
      </x:c>
      <x:c r="E1676" t="str">
        <x:f>IF(K1676="","",IF(N1676&lt;=M1676,"",TRIM(CLEAN(MID(INDEX($B$3:$B$168,K1676),M1676,N1676-M1676)))))</x:f>
      </x:c>
      <x:c r="F1676" t="str">
        <x:f>IF(E1676="","",IF(E1676=TRIM(INDEX($A$3:$A$168,K1676)),"",IF(RIGHT(TRIM(INDEX($A$3:$A$168,K1676)),1)="]",LEFT(TRIM(INDEX($A$3:$A$168,K1676)),LEN(TRIM(INDEX($A$3:$A$168,K1676)))-1)&amp;", "&amp;SUBSTITUTE(SUBSTITUTE(SUBSTITUTE(E1676," [",", "),"[",", "),"]","")&amp;"]",TRIM(INDEX($A$3:$A$168,K1676))&amp;" ["&amp;SUBSTITUTE(SUBSTITUTE(SUBSTITUTE(E1676," [",", "),"[",", "),"]","")&amp;"]")))</x:f>
      </x:c>
      <x:c r="G1676" t="str">
        <x:f>IF(F1676&lt;&gt;"",ROWS($F$3:F1676)-COUNTBLANK($F$3:F1676),"")</x:f>
      </x:c>
      <x:c r="H1676"/>
      <x:c r="I1676"/>
      <x:c r="J1676"/>
      <x:c r="K1676" t="str">
        <x:f>IF(ROW()-ROW($K$2)&lt;=SUM($J$3:$J$168),COUNTIF($H$3:$H$168,"&lt;"&amp;(ROW()-ROW($K$2))),"")</x:f>
      </x:c>
      <x:c r="L1676" t="str">
        <x:f>IF(K1676="","",ROW()-ROW($L$2)-INDEX($H$3:$H$168,K1676))</x:f>
      </x:c>
      <x:c r="M1676" t="str">
        <x:f>IF(K1676="","",IF(L1676=1,1,FIND(CHAR(1),SUBSTITUTE(INDEX($B$3:$B$168,K1676),CHAR(10),CHAR(1),L1676-1))+1))</x:f>
      </x:c>
      <x:c r="N1676" t="str">
        <x:f>IF(K1676="","",IFERROR(FIND(CHAR(1),SUBSTITUTE(INDEX($B$3:$B$168,K1676),CHAR(10),CHAR(1),L1676)),LEN(INDEX($B$3:$B$168,K1676))+1))</x:f>
      </x:c>
    </x:row>
    <x:row r="1677">
      <x:c r="A1677"/>
      <x:c r="B1677"/>
      <x:c r="C1677"/>
      <x:c r="D1677" t="str">
        <x:f>IFERROR(IF(1675&lt;=$O$1,INDEX($A$3:$A$168,MATCH(1675,$I$3:$I$168,0)),IF(1675&lt;=$O$1+$O$2,INDEX($F$3:$F$1994,MATCH(1675-$O$1,$G$3:$G$1994,0)),"")),"")</x:f>
      </x:c>
      <x:c r="E1677" t="str">
        <x:f>IF(K1677="","",IF(N1677&lt;=M1677,"",TRIM(CLEAN(MID(INDEX($B$3:$B$168,K1677),M1677,N1677-M1677)))))</x:f>
      </x:c>
      <x:c r="F1677" t="str">
        <x:f>IF(E1677="","",IF(E1677=TRIM(INDEX($A$3:$A$168,K1677)),"",IF(RIGHT(TRIM(INDEX($A$3:$A$168,K1677)),1)="]",LEFT(TRIM(INDEX($A$3:$A$168,K1677)),LEN(TRIM(INDEX($A$3:$A$168,K1677)))-1)&amp;", "&amp;SUBSTITUTE(SUBSTITUTE(SUBSTITUTE(E1677," [",", "),"[",", "),"]","")&amp;"]",TRIM(INDEX($A$3:$A$168,K1677))&amp;" ["&amp;SUBSTITUTE(SUBSTITUTE(SUBSTITUTE(E1677," [",", "),"[",", "),"]","")&amp;"]")))</x:f>
      </x:c>
      <x:c r="G1677" t="str">
        <x:f>IF(F1677&lt;&gt;"",ROWS($F$3:F1677)-COUNTBLANK($F$3:F1677),"")</x:f>
      </x:c>
      <x:c r="H1677"/>
      <x:c r="I1677"/>
      <x:c r="J1677"/>
      <x:c r="K1677" t="str">
        <x:f>IF(ROW()-ROW($K$2)&lt;=SUM($J$3:$J$168),COUNTIF($H$3:$H$168,"&lt;"&amp;(ROW()-ROW($K$2))),"")</x:f>
      </x:c>
      <x:c r="L1677" t="str">
        <x:f>IF(K1677="","",ROW()-ROW($L$2)-INDEX($H$3:$H$168,K1677))</x:f>
      </x:c>
      <x:c r="M1677" t="str">
        <x:f>IF(K1677="","",IF(L1677=1,1,FIND(CHAR(1),SUBSTITUTE(INDEX($B$3:$B$168,K1677),CHAR(10),CHAR(1),L1677-1))+1))</x:f>
      </x:c>
      <x:c r="N1677" t="str">
        <x:f>IF(K1677="","",IFERROR(FIND(CHAR(1),SUBSTITUTE(INDEX($B$3:$B$168,K1677),CHAR(10),CHAR(1),L1677)),LEN(INDEX($B$3:$B$168,K1677))+1))</x:f>
      </x:c>
    </x:row>
    <x:row r="1678">
      <x:c r="A1678"/>
      <x:c r="B1678"/>
      <x:c r="C1678"/>
      <x:c r="D1678" t="str">
        <x:f>IFERROR(IF(1676&lt;=$O$1,INDEX($A$3:$A$168,MATCH(1676,$I$3:$I$168,0)),IF(1676&lt;=$O$1+$O$2,INDEX($F$3:$F$1994,MATCH(1676-$O$1,$G$3:$G$1994,0)),"")),"")</x:f>
      </x:c>
      <x:c r="E1678" t="str">
        <x:f>IF(K1678="","",IF(N1678&lt;=M1678,"",TRIM(CLEAN(MID(INDEX($B$3:$B$168,K1678),M1678,N1678-M1678)))))</x:f>
      </x:c>
      <x:c r="F1678" t="str">
        <x:f>IF(E1678="","",IF(E1678=TRIM(INDEX($A$3:$A$168,K1678)),"",IF(RIGHT(TRIM(INDEX($A$3:$A$168,K1678)),1)="]",LEFT(TRIM(INDEX($A$3:$A$168,K1678)),LEN(TRIM(INDEX($A$3:$A$168,K1678)))-1)&amp;", "&amp;SUBSTITUTE(SUBSTITUTE(SUBSTITUTE(E1678," [",", "),"[",", "),"]","")&amp;"]",TRIM(INDEX($A$3:$A$168,K1678))&amp;" ["&amp;SUBSTITUTE(SUBSTITUTE(SUBSTITUTE(E1678," [",", "),"[",", "),"]","")&amp;"]")))</x:f>
      </x:c>
      <x:c r="G1678" t="str">
        <x:f>IF(F1678&lt;&gt;"",ROWS($F$3:F1678)-COUNTBLANK($F$3:F1678),"")</x:f>
      </x:c>
      <x:c r="H1678"/>
      <x:c r="I1678"/>
      <x:c r="J1678"/>
      <x:c r="K1678" t="str">
        <x:f>IF(ROW()-ROW($K$2)&lt;=SUM($J$3:$J$168),COUNTIF($H$3:$H$168,"&lt;"&amp;(ROW()-ROW($K$2))),"")</x:f>
      </x:c>
      <x:c r="L1678" t="str">
        <x:f>IF(K1678="","",ROW()-ROW($L$2)-INDEX($H$3:$H$168,K1678))</x:f>
      </x:c>
      <x:c r="M1678" t="str">
        <x:f>IF(K1678="","",IF(L1678=1,1,FIND(CHAR(1),SUBSTITUTE(INDEX($B$3:$B$168,K1678),CHAR(10),CHAR(1),L1678-1))+1))</x:f>
      </x:c>
      <x:c r="N1678" t="str">
        <x:f>IF(K1678="","",IFERROR(FIND(CHAR(1),SUBSTITUTE(INDEX($B$3:$B$168,K1678),CHAR(10),CHAR(1),L1678)),LEN(INDEX($B$3:$B$168,K1678))+1))</x:f>
      </x:c>
    </x:row>
    <x:row r="1679">
      <x:c r="A1679"/>
      <x:c r="B1679"/>
      <x:c r="C1679"/>
      <x:c r="D1679" t="str">
        <x:f>IFERROR(IF(1677&lt;=$O$1,INDEX($A$3:$A$168,MATCH(1677,$I$3:$I$168,0)),IF(1677&lt;=$O$1+$O$2,INDEX($F$3:$F$1994,MATCH(1677-$O$1,$G$3:$G$1994,0)),"")),"")</x:f>
      </x:c>
      <x:c r="E1679" t="str">
        <x:f>IF(K1679="","",IF(N1679&lt;=M1679,"",TRIM(CLEAN(MID(INDEX($B$3:$B$168,K1679),M1679,N1679-M1679)))))</x:f>
      </x:c>
      <x:c r="F1679" t="str">
        <x:f>IF(E1679="","",IF(E1679=TRIM(INDEX($A$3:$A$168,K1679)),"",IF(RIGHT(TRIM(INDEX($A$3:$A$168,K1679)),1)="]",LEFT(TRIM(INDEX($A$3:$A$168,K1679)),LEN(TRIM(INDEX($A$3:$A$168,K1679)))-1)&amp;", "&amp;SUBSTITUTE(SUBSTITUTE(SUBSTITUTE(E1679," [",", "),"[",", "),"]","")&amp;"]",TRIM(INDEX($A$3:$A$168,K1679))&amp;" ["&amp;SUBSTITUTE(SUBSTITUTE(SUBSTITUTE(E1679," [",", "),"[",", "),"]","")&amp;"]")))</x:f>
      </x:c>
      <x:c r="G1679" t="str">
        <x:f>IF(F1679&lt;&gt;"",ROWS($F$3:F1679)-COUNTBLANK($F$3:F1679),"")</x:f>
      </x:c>
      <x:c r="H1679"/>
      <x:c r="I1679"/>
      <x:c r="J1679"/>
      <x:c r="K1679" t="str">
        <x:f>IF(ROW()-ROW($K$2)&lt;=SUM($J$3:$J$168),COUNTIF($H$3:$H$168,"&lt;"&amp;(ROW()-ROW($K$2))),"")</x:f>
      </x:c>
      <x:c r="L1679" t="str">
        <x:f>IF(K1679="","",ROW()-ROW($L$2)-INDEX($H$3:$H$168,K1679))</x:f>
      </x:c>
      <x:c r="M1679" t="str">
        <x:f>IF(K1679="","",IF(L1679=1,1,FIND(CHAR(1),SUBSTITUTE(INDEX($B$3:$B$168,K1679),CHAR(10),CHAR(1),L1679-1))+1))</x:f>
      </x:c>
      <x:c r="N1679" t="str">
        <x:f>IF(K1679="","",IFERROR(FIND(CHAR(1),SUBSTITUTE(INDEX($B$3:$B$168,K1679),CHAR(10),CHAR(1),L1679)),LEN(INDEX($B$3:$B$168,K1679))+1))</x:f>
      </x:c>
    </x:row>
    <x:row r="1680">
      <x:c r="A1680"/>
      <x:c r="B1680"/>
      <x:c r="C1680"/>
      <x:c r="D1680" t="str">
        <x:f>IFERROR(IF(1678&lt;=$O$1,INDEX($A$3:$A$168,MATCH(1678,$I$3:$I$168,0)),IF(1678&lt;=$O$1+$O$2,INDEX($F$3:$F$1994,MATCH(1678-$O$1,$G$3:$G$1994,0)),"")),"")</x:f>
      </x:c>
      <x:c r="E1680" t="str">
        <x:f>IF(K1680="","",IF(N1680&lt;=M1680,"",TRIM(CLEAN(MID(INDEX($B$3:$B$168,K1680),M1680,N1680-M1680)))))</x:f>
      </x:c>
      <x:c r="F1680" t="str">
        <x:f>IF(E1680="","",IF(E1680=TRIM(INDEX($A$3:$A$168,K1680)),"",IF(RIGHT(TRIM(INDEX($A$3:$A$168,K1680)),1)="]",LEFT(TRIM(INDEX($A$3:$A$168,K1680)),LEN(TRIM(INDEX($A$3:$A$168,K1680)))-1)&amp;", "&amp;SUBSTITUTE(SUBSTITUTE(SUBSTITUTE(E1680," [",", "),"[",", "),"]","")&amp;"]",TRIM(INDEX($A$3:$A$168,K1680))&amp;" ["&amp;SUBSTITUTE(SUBSTITUTE(SUBSTITUTE(E1680," [",", "),"[",", "),"]","")&amp;"]")))</x:f>
      </x:c>
      <x:c r="G1680" t="str">
        <x:f>IF(F1680&lt;&gt;"",ROWS($F$3:F1680)-COUNTBLANK($F$3:F1680),"")</x:f>
      </x:c>
      <x:c r="H1680"/>
      <x:c r="I1680"/>
      <x:c r="J1680"/>
      <x:c r="K1680" t="str">
        <x:f>IF(ROW()-ROW($K$2)&lt;=SUM($J$3:$J$168),COUNTIF($H$3:$H$168,"&lt;"&amp;(ROW()-ROW($K$2))),"")</x:f>
      </x:c>
      <x:c r="L1680" t="str">
        <x:f>IF(K1680="","",ROW()-ROW($L$2)-INDEX($H$3:$H$168,K1680))</x:f>
      </x:c>
      <x:c r="M1680" t="str">
        <x:f>IF(K1680="","",IF(L1680=1,1,FIND(CHAR(1),SUBSTITUTE(INDEX($B$3:$B$168,K1680),CHAR(10),CHAR(1),L1680-1))+1))</x:f>
      </x:c>
      <x:c r="N1680" t="str">
        <x:f>IF(K1680="","",IFERROR(FIND(CHAR(1),SUBSTITUTE(INDEX($B$3:$B$168,K1680),CHAR(10),CHAR(1),L1680)),LEN(INDEX($B$3:$B$168,K1680))+1))</x:f>
      </x:c>
    </x:row>
    <x:row r="1681">
      <x:c r="A1681"/>
      <x:c r="B1681"/>
      <x:c r="C1681"/>
      <x:c r="D1681" t="str">
        <x:f>IFERROR(IF(1679&lt;=$O$1,INDEX($A$3:$A$168,MATCH(1679,$I$3:$I$168,0)),IF(1679&lt;=$O$1+$O$2,INDEX($F$3:$F$1994,MATCH(1679-$O$1,$G$3:$G$1994,0)),"")),"")</x:f>
      </x:c>
      <x:c r="E1681" t="str">
        <x:f>IF(K1681="","",IF(N1681&lt;=M1681,"",TRIM(CLEAN(MID(INDEX($B$3:$B$168,K1681),M1681,N1681-M1681)))))</x:f>
      </x:c>
      <x:c r="F1681" t="str">
        <x:f>IF(E1681="","",IF(E1681=TRIM(INDEX($A$3:$A$168,K1681)),"",IF(RIGHT(TRIM(INDEX($A$3:$A$168,K1681)),1)="]",LEFT(TRIM(INDEX($A$3:$A$168,K1681)),LEN(TRIM(INDEX($A$3:$A$168,K1681)))-1)&amp;", "&amp;SUBSTITUTE(SUBSTITUTE(SUBSTITUTE(E1681," [",", "),"[",", "),"]","")&amp;"]",TRIM(INDEX($A$3:$A$168,K1681))&amp;" ["&amp;SUBSTITUTE(SUBSTITUTE(SUBSTITUTE(E1681," [",", "),"[",", "),"]","")&amp;"]")))</x:f>
      </x:c>
      <x:c r="G1681" t="str">
        <x:f>IF(F1681&lt;&gt;"",ROWS($F$3:F1681)-COUNTBLANK($F$3:F1681),"")</x:f>
      </x:c>
      <x:c r="H1681"/>
      <x:c r="I1681"/>
      <x:c r="J1681"/>
      <x:c r="K1681" t="str">
        <x:f>IF(ROW()-ROW($K$2)&lt;=SUM($J$3:$J$168),COUNTIF($H$3:$H$168,"&lt;"&amp;(ROW()-ROW($K$2))),"")</x:f>
      </x:c>
      <x:c r="L1681" t="str">
        <x:f>IF(K1681="","",ROW()-ROW($L$2)-INDEX($H$3:$H$168,K1681))</x:f>
      </x:c>
      <x:c r="M1681" t="str">
        <x:f>IF(K1681="","",IF(L1681=1,1,FIND(CHAR(1),SUBSTITUTE(INDEX($B$3:$B$168,K1681),CHAR(10),CHAR(1),L1681-1))+1))</x:f>
      </x:c>
      <x:c r="N1681" t="str">
        <x:f>IF(K1681="","",IFERROR(FIND(CHAR(1),SUBSTITUTE(INDEX($B$3:$B$168,K1681),CHAR(10),CHAR(1),L1681)),LEN(INDEX($B$3:$B$168,K1681))+1))</x:f>
      </x:c>
    </x:row>
    <x:row r="1682">
      <x:c r="A1682"/>
      <x:c r="B1682"/>
      <x:c r="C1682"/>
      <x:c r="D1682" t="str">
        <x:f>IFERROR(IF(1680&lt;=$O$1,INDEX($A$3:$A$168,MATCH(1680,$I$3:$I$168,0)),IF(1680&lt;=$O$1+$O$2,INDEX($F$3:$F$1994,MATCH(1680-$O$1,$G$3:$G$1994,0)),"")),"")</x:f>
      </x:c>
      <x:c r="E1682" t="str">
        <x:f>IF(K1682="","",IF(N1682&lt;=M1682,"",TRIM(CLEAN(MID(INDEX($B$3:$B$168,K1682),M1682,N1682-M1682)))))</x:f>
      </x:c>
      <x:c r="F1682" t="str">
        <x:f>IF(E1682="","",IF(E1682=TRIM(INDEX($A$3:$A$168,K1682)),"",IF(RIGHT(TRIM(INDEX($A$3:$A$168,K1682)),1)="]",LEFT(TRIM(INDEX($A$3:$A$168,K1682)),LEN(TRIM(INDEX($A$3:$A$168,K1682)))-1)&amp;", "&amp;SUBSTITUTE(SUBSTITUTE(SUBSTITUTE(E1682," [",", "),"[",", "),"]","")&amp;"]",TRIM(INDEX($A$3:$A$168,K1682))&amp;" ["&amp;SUBSTITUTE(SUBSTITUTE(SUBSTITUTE(E1682," [",", "),"[",", "),"]","")&amp;"]")))</x:f>
      </x:c>
      <x:c r="G1682" t="str">
        <x:f>IF(F1682&lt;&gt;"",ROWS($F$3:F1682)-COUNTBLANK($F$3:F1682),"")</x:f>
      </x:c>
      <x:c r="H1682"/>
      <x:c r="I1682"/>
      <x:c r="J1682"/>
      <x:c r="K1682" t="str">
        <x:f>IF(ROW()-ROW($K$2)&lt;=SUM($J$3:$J$168),COUNTIF($H$3:$H$168,"&lt;"&amp;(ROW()-ROW($K$2))),"")</x:f>
      </x:c>
      <x:c r="L1682" t="str">
        <x:f>IF(K1682="","",ROW()-ROW($L$2)-INDEX($H$3:$H$168,K1682))</x:f>
      </x:c>
      <x:c r="M1682" t="str">
        <x:f>IF(K1682="","",IF(L1682=1,1,FIND(CHAR(1),SUBSTITUTE(INDEX($B$3:$B$168,K1682),CHAR(10),CHAR(1),L1682-1))+1))</x:f>
      </x:c>
      <x:c r="N1682" t="str">
        <x:f>IF(K1682="","",IFERROR(FIND(CHAR(1),SUBSTITUTE(INDEX($B$3:$B$168,K1682),CHAR(10),CHAR(1),L1682)),LEN(INDEX($B$3:$B$168,K1682))+1))</x:f>
      </x:c>
    </x:row>
    <x:row r="1683">
      <x:c r="A1683"/>
      <x:c r="B1683"/>
      <x:c r="C1683"/>
      <x:c r="D1683" t="str">
        <x:f>IFERROR(IF(1681&lt;=$O$1,INDEX($A$3:$A$168,MATCH(1681,$I$3:$I$168,0)),IF(1681&lt;=$O$1+$O$2,INDEX($F$3:$F$1994,MATCH(1681-$O$1,$G$3:$G$1994,0)),"")),"")</x:f>
      </x:c>
      <x:c r="E1683" t="str">
        <x:f>IF(K1683="","",IF(N1683&lt;=M1683,"",TRIM(CLEAN(MID(INDEX($B$3:$B$168,K1683),M1683,N1683-M1683)))))</x:f>
      </x:c>
      <x:c r="F1683" t="str">
        <x:f>IF(E1683="","",IF(E1683=TRIM(INDEX($A$3:$A$168,K1683)),"",IF(RIGHT(TRIM(INDEX($A$3:$A$168,K1683)),1)="]",LEFT(TRIM(INDEX($A$3:$A$168,K1683)),LEN(TRIM(INDEX($A$3:$A$168,K1683)))-1)&amp;", "&amp;SUBSTITUTE(SUBSTITUTE(SUBSTITUTE(E1683," [",", "),"[",", "),"]","")&amp;"]",TRIM(INDEX($A$3:$A$168,K1683))&amp;" ["&amp;SUBSTITUTE(SUBSTITUTE(SUBSTITUTE(E1683," [",", "),"[",", "),"]","")&amp;"]")))</x:f>
      </x:c>
      <x:c r="G1683" t="str">
        <x:f>IF(F1683&lt;&gt;"",ROWS($F$3:F1683)-COUNTBLANK($F$3:F1683),"")</x:f>
      </x:c>
      <x:c r="H1683"/>
      <x:c r="I1683"/>
      <x:c r="J1683"/>
      <x:c r="K1683" t="str">
        <x:f>IF(ROW()-ROW($K$2)&lt;=SUM($J$3:$J$168),COUNTIF($H$3:$H$168,"&lt;"&amp;(ROW()-ROW($K$2))),"")</x:f>
      </x:c>
      <x:c r="L1683" t="str">
        <x:f>IF(K1683="","",ROW()-ROW($L$2)-INDEX($H$3:$H$168,K1683))</x:f>
      </x:c>
      <x:c r="M1683" t="str">
        <x:f>IF(K1683="","",IF(L1683=1,1,FIND(CHAR(1),SUBSTITUTE(INDEX($B$3:$B$168,K1683),CHAR(10),CHAR(1),L1683-1))+1))</x:f>
      </x:c>
      <x:c r="N1683" t="str">
        <x:f>IF(K1683="","",IFERROR(FIND(CHAR(1),SUBSTITUTE(INDEX($B$3:$B$168,K1683),CHAR(10),CHAR(1),L1683)),LEN(INDEX($B$3:$B$168,K1683))+1))</x:f>
      </x:c>
    </x:row>
    <x:row r="1684">
      <x:c r="A1684"/>
      <x:c r="B1684"/>
      <x:c r="C1684"/>
      <x:c r="D1684" t="str">
        <x:f>IFERROR(IF(1682&lt;=$O$1,INDEX($A$3:$A$168,MATCH(1682,$I$3:$I$168,0)),IF(1682&lt;=$O$1+$O$2,INDEX($F$3:$F$1994,MATCH(1682-$O$1,$G$3:$G$1994,0)),"")),"")</x:f>
      </x:c>
      <x:c r="E1684" t="str">
        <x:f>IF(K1684="","",IF(N1684&lt;=M1684,"",TRIM(CLEAN(MID(INDEX($B$3:$B$168,K1684),M1684,N1684-M1684)))))</x:f>
      </x:c>
      <x:c r="F1684" t="str">
        <x:f>IF(E1684="","",IF(E1684=TRIM(INDEX($A$3:$A$168,K1684)),"",IF(RIGHT(TRIM(INDEX($A$3:$A$168,K1684)),1)="]",LEFT(TRIM(INDEX($A$3:$A$168,K1684)),LEN(TRIM(INDEX($A$3:$A$168,K1684)))-1)&amp;", "&amp;SUBSTITUTE(SUBSTITUTE(SUBSTITUTE(E1684," [",", "),"[",", "),"]","")&amp;"]",TRIM(INDEX($A$3:$A$168,K1684))&amp;" ["&amp;SUBSTITUTE(SUBSTITUTE(SUBSTITUTE(E1684," [",", "),"[",", "),"]","")&amp;"]")))</x:f>
      </x:c>
      <x:c r="G1684" t="str">
        <x:f>IF(F1684&lt;&gt;"",ROWS($F$3:F1684)-COUNTBLANK($F$3:F1684),"")</x:f>
      </x:c>
      <x:c r="H1684"/>
      <x:c r="I1684"/>
      <x:c r="J1684"/>
      <x:c r="K1684" t="str">
        <x:f>IF(ROW()-ROW($K$2)&lt;=SUM($J$3:$J$168),COUNTIF($H$3:$H$168,"&lt;"&amp;(ROW()-ROW($K$2))),"")</x:f>
      </x:c>
      <x:c r="L1684" t="str">
        <x:f>IF(K1684="","",ROW()-ROW($L$2)-INDEX($H$3:$H$168,K1684))</x:f>
      </x:c>
      <x:c r="M1684" t="str">
        <x:f>IF(K1684="","",IF(L1684=1,1,FIND(CHAR(1),SUBSTITUTE(INDEX($B$3:$B$168,K1684),CHAR(10),CHAR(1),L1684-1))+1))</x:f>
      </x:c>
      <x:c r="N1684" t="str">
        <x:f>IF(K1684="","",IFERROR(FIND(CHAR(1),SUBSTITUTE(INDEX($B$3:$B$168,K1684),CHAR(10),CHAR(1),L1684)),LEN(INDEX($B$3:$B$168,K1684))+1))</x:f>
      </x:c>
    </x:row>
    <x:row r="1685">
      <x:c r="A1685"/>
      <x:c r="B1685"/>
      <x:c r="C1685"/>
      <x:c r="D1685" t="str">
        <x:f>IFERROR(IF(1683&lt;=$O$1,INDEX($A$3:$A$168,MATCH(1683,$I$3:$I$168,0)),IF(1683&lt;=$O$1+$O$2,INDEX($F$3:$F$1994,MATCH(1683-$O$1,$G$3:$G$1994,0)),"")),"")</x:f>
      </x:c>
      <x:c r="E1685" t="str">
        <x:f>IF(K1685="","",IF(N1685&lt;=M1685,"",TRIM(CLEAN(MID(INDEX($B$3:$B$168,K1685),M1685,N1685-M1685)))))</x:f>
      </x:c>
      <x:c r="F1685" t="str">
        <x:f>IF(E1685="","",IF(E1685=TRIM(INDEX($A$3:$A$168,K1685)),"",IF(RIGHT(TRIM(INDEX($A$3:$A$168,K1685)),1)="]",LEFT(TRIM(INDEX($A$3:$A$168,K1685)),LEN(TRIM(INDEX($A$3:$A$168,K1685)))-1)&amp;", "&amp;SUBSTITUTE(SUBSTITUTE(SUBSTITUTE(E1685," [",", "),"[",", "),"]","")&amp;"]",TRIM(INDEX($A$3:$A$168,K1685))&amp;" ["&amp;SUBSTITUTE(SUBSTITUTE(SUBSTITUTE(E1685," [",", "),"[",", "),"]","")&amp;"]")))</x:f>
      </x:c>
      <x:c r="G1685" t="str">
        <x:f>IF(F1685&lt;&gt;"",ROWS($F$3:F1685)-COUNTBLANK($F$3:F1685),"")</x:f>
      </x:c>
      <x:c r="H1685"/>
      <x:c r="I1685"/>
      <x:c r="J1685"/>
      <x:c r="K1685" t="str">
        <x:f>IF(ROW()-ROW($K$2)&lt;=SUM($J$3:$J$168),COUNTIF($H$3:$H$168,"&lt;"&amp;(ROW()-ROW($K$2))),"")</x:f>
      </x:c>
      <x:c r="L1685" t="str">
        <x:f>IF(K1685="","",ROW()-ROW($L$2)-INDEX($H$3:$H$168,K1685))</x:f>
      </x:c>
      <x:c r="M1685" t="str">
        <x:f>IF(K1685="","",IF(L1685=1,1,FIND(CHAR(1),SUBSTITUTE(INDEX($B$3:$B$168,K1685),CHAR(10),CHAR(1),L1685-1))+1))</x:f>
      </x:c>
      <x:c r="N1685" t="str">
        <x:f>IF(K1685="","",IFERROR(FIND(CHAR(1),SUBSTITUTE(INDEX($B$3:$B$168,K1685),CHAR(10),CHAR(1),L1685)),LEN(INDEX($B$3:$B$168,K1685))+1))</x:f>
      </x:c>
    </x:row>
    <x:row r="1686">
      <x:c r="A1686"/>
      <x:c r="B1686"/>
      <x:c r="C1686"/>
      <x:c r="D1686" t="str">
        <x:f>IFERROR(IF(1684&lt;=$O$1,INDEX($A$3:$A$168,MATCH(1684,$I$3:$I$168,0)),IF(1684&lt;=$O$1+$O$2,INDEX($F$3:$F$1994,MATCH(1684-$O$1,$G$3:$G$1994,0)),"")),"")</x:f>
      </x:c>
      <x:c r="E1686" t="str">
        <x:f>IF(K1686="","",IF(N1686&lt;=M1686,"",TRIM(CLEAN(MID(INDEX($B$3:$B$168,K1686),M1686,N1686-M1686)))))</x:f>
      </x:c>
      <x:c r="F1686" t="str">
        <x:f>IF(E1686="","",IF(E1686=TRIM(INDEX($A$3:$A$168,K1686)),"",IF(RIGHT(TRIM(INDEX($A$3:$A$168,K1686)),1)="]",LEFT(TRIM(INDEX($A$3:$A$168,K1686)),LEN(TRIM(INDEX($A$3:$A$168,K1686)))-1)&amp;", "&amp;SUBSTITUTE(SUBSTITUTE(SUBSTITUTE(E1686," [",", "),"[",", "),"]","")&amp;"]",TRIM(INDEX($A$3:$A$168,K1686))&amp;" ["&amp;SUBSTITUTE(SUBSTITUTE(SUBSTITUTE(E1686," [",", "),"[",", "),"]","")&amp;"]")))</x:f>
      </x:c>
      <x:c r="G1686" t="str">
        <x:f>IF(F1686&lt;&gt;"",ROWS($F$3:F1686)-COUNTBLANK($F$3:F1686),"")</x:f>
      </x:c>
      <x:c r="H1686"/>
      <x:c r="I1686"/>
      <x:c r="J1686"/>
      <x:c r="K1686" t="str">
        <x:f>IF(ROW()-ROW($K$2)&lt;=SUM($J$3:$J$168),COUNTIF($H$3:$H$168,"&lt;"&amp;(ROW()-ROW($K$2))),"")</x:f>
      </x:c>
      <x:c r="L1686" t="str">
        <x:f>IF(K1686="","",ROW()-ROW($L$2)-INDEX($H$3:$H$168,K1686))</x:f>
      </x:c>
      <x:c r="M1686" t="str">
        <x:f>IF(K1686="","",IF(L1686=1,1,FIND(CHAR(1),SUBSTITUTE(INDEX($B$3:$B$168,K1686),CHAR(10),CHAR(1),L1686-1))+1))</x:f>
      </x:c>
      <x:c r="N1686" t="str">
        <x:f>IF(K1686="","",IFERROR(FIND(CHAR(1),SUBSTITUTE(INDEX($B$3:$B$168,K1686),CHAR(10),CHAR(1),L1686)),LEN(INDEX($B$3:$B$168,K1686))+1))</x:f>
      </x:c>
    </x:row>
    <x:row r="1687">
      <x:c r="A1687"/>
      <x:c r="B1687"/>
      <x:c r="C1687"/>
      <x:c r="D1687" t="str">
        <x:f>IFERROR(IF(1685&lt;=$O$1,INDEX($A$3:$A$168,MATCH(1685,$I$3:$I$168,0)),IF(1685&lt;=$O$1+$O$2,INDEX($F$3:$F$1994,MATCH(1685-$O$1,$G$3:$G$1994,0)),"")),"")</x:f>
      </x:c>
      <x:c r="E1687" t="str">
        <x:f>IF(K1687="","",IF(N1687&lt;=M1687,"",TRIM(CLEAN(MID(INDEX($B$3:$B$168,K1687),M1687,N1687-M1687)))))</x:f>
      </x:c>
      <x:c r="F1687" t="str">
        <x:f>IF(E1687="","",IF(E1687=TRIM(INDEX($A$3:$A$168,K1687)),"",IF(RIGHT(TRIM(INDEX($A$3:$A$168,K1687)),1)="]",LEFT(TRIM(INDEX($A$3:$A$168,K1687)),LEN(TRIM(INDEX($A$3:$A$168,K1687)))-1)&amp;", "&amp;SUBSTITUTE(SUBSTITUTE(SUBSTITUTE(E1687," [",", "),"[",", "),"]","")&amp;"]",TRIM(INDEX($A$3:$A$168,K1687))&amp;" ["&amp;SUBSTITUTE(SUBSTITUTE(SUBSTITUTE(E1687," [",", "),"[",", "),"]","")&amp;"]")))</x:f>
      </x:c>
      <x:c r="G1687" t="str">
        <x:f>IF(F1687&lt;&gt;"",ROWS($F$3:F1687)-COUNTBLANK($F$3:F1687),"")</x:f>
      </x:c>
      <x:c r="H1687"/>
      <x:c r="I1687"/>
      <x:c r="J1687"/>
      <x:c r="K1687" t="str">
        <x:f>IF(ROW()-ROW($K$2)&lt;=SUM($J$3:$J$168),COUNTIF($H$3:$H$168,"&lt;"&amp;(ROW()-ROW($K$2))),"")</x:f>
      </x:c>
      <x:c r="L1687" t="str">
        <x:f>IF(K1687="","",ROW()-ROW($L$2)-INDEX($H$3:$H$168,K1687))</x:f>
      </x:c>
      <x:c r="M1687" t="str">
        <x:f>IF(K1687="","",IF(L1687=1,1,FIND(CHAR(1),SUBSTITUTE(INDEX($B$3:$B$168,K1687),CHAR(10),CHAR(1),L1687-1))+1))</x:f>
      </x:c>
      <x:c r="N1687" t="str">
        <x:f>IF(K1687="","",IFERROR(FIND(CHAR(1),SUBSTITUTE(INDEX($B$3:$B$168,K1687),CHAR(10),CHAR(1),L1687)),LEN(INDEX($B$3:$B$168,K1687))+1))</x:f>
      </x:c>
    </x:row>
    <x:row r="1688">
      <x:c r="A1688"/>
      <x:c r="B1688"/>
      <x:c r="C1688"/>
      <x:c r="D1688" t="str">
        <x:f>IFERROR(IF(1686&lt;=$O$1,INDEX($A$3:$A$168,MATCH(1686,$I$3:$I$168,0)),IF(1686&lt;=$O$1+$O$2,INDEX($F$3:$F$1994,MATCH(1686-$O$1,$G$3:$G$1994,0)),"")),"")</x:f>
      </x:c>
      <x:c r="E1688" t="str">
        <x:f>IF(K1688="","",IF(N1688&lt;=M1688,"",TRIM(CLEAN(MID(INDEX($B$3:$B$168,K1688),M1688,N1688-M1688)))))</x:f>
      </x:c>
      <x:c r="F1688" t="str">
        <x:f>IF(E1688="","",IF(E1688=TRIM(INDEX($A$3:$A$168,K1688)),"",IF(RIGHT(TRIM(INDEX($A$3:$A$168,K1688)),1)="]",LEFT(TRIM(INDEX($A$3:$A$168,K1688)),LEN(TRIM(INDEX($A$3:$A$168,K1688)))-1)&amp;", "&amp;SUBSTITUTE(SUBSTITUTE(SUBSTITUTE(E1688," [",", "),"[",", "),"]","")&amp;"]",TRIM(INDEX($A$3:$A$168,K1688))&amp;" ["&amp;SUBSTITUTE(SUBSTITUTE(SUBSTITUTE(E1688," [",", "),"[",", "),"]","")&amp;"]")))</x:f>
      </x:c>
      <x:c r="G1688" t="str">
        <x:f>IF(F1688&lt;&gt;"",ROWS($F$3:F1688)-COUNTBLANK($F$3:F1688),"")</x:f>
      </x:c>
      <x:c r="H1688"/>
      <x:c r="I1688"/>
      <x:c r="J1688"/>
      <x:c r="K1688" t="str">
        <x:f>IF(ROW()-ROW($K$2)&lt;=SUM($J$3:$J$168),COUNTIF($H$3:$H$168,"&lt;"&amp;(ROW()-ROW($K$2))),"")</x:f>
      </x:c>
      <x:c r="L1688" t="str">
        <x:f>IF(K1688="","",ROW()-ROW($L$2)-INDEX($H$3:$H$168,K1688))</x:f>
      </x:c>
      <x:c r="M1688" t="str">
        <x:f>IF(K1688="","",IF(L1688=1,1,FIND(CHAR(1),SUBSTITUTE(INDEX($B$3:$B$168,K1688),CHAR(10),CHAR(1),L1688-1))+1))</x:f>
      </x:c>
      <x:c r="N1688" t="str">
        <x:f>IF(K1688="","",IFERROR(FIND(CHAR(1),SUBSTITUTE(INDEX($B$3:$B$168,K1688),CHAR(10),CHAR(1),L1688)),LEN(INDEX($B$3:$B$168,K1688))+1))</x:f>
      </x:c>
    </x:row>
    <x:row r="1689">
      <x:c r="A1689"/>
      <x:c r="B1689"/>
      <x:c r="C1689"/>
      <x:c r="D1689" t="str">
        <x:f>IFERROR(IF(1687&lt;=$O$1,INDEX($A$3:$A$168,MATCH(1687,$I$3:$I$168,0)),IF(1687&lt;=$O$1+$O$2,INDEX($F$3:$F$1994,MATCH(1687-$O$1,$G$3:$G$1994,0)),"")),"")</x:f>
      </x:c>
      <x:c r="E1689" t="str">
        <x:f>IF(K1689="","",IF(N1689&lt;=M1689,"",TRIM(CLEAN(MID(INDEX($B$3:$B$168,K1689),M1689,N1689-M1689)))))</x:f>
      </x:c>
      <x:c r="F1689" t="str">
        <x:f>IF(E1689="","",IF(E1689=TRIM(INDEX($A$3:$A$168,K1689)),"",IF(RIGHT(TRIM(INDEX($A$3:$A$168,K1689)),1)="]",LEFT(TRIM(INDEX($A$3:$A$168,K1689)),LEN(TRIM(INDEX($A$3:$A$168,K1689)))-1)&amp;", "&amp;SUBSTITUTE(SUBSTITUTE(SUBSTITUTE(E1689," [",", "),"[",", "),"]","")&amp;"]",TRIM(INDEX($A$3:$A$168,K1689))&amp;" ["&amp;SUBSTITUTE(SUBSTITUTE(SUBSTITUTE(E1689," [",", "),"[",", "),"]","")&amp;"]")))</x:f>
      </x:c>
      <x:c r="G1689" t="str">
        <x:f>IF(F1689&lt;&gt;"",ROWS($F$3:F1689)-COUNTBLANK($F$3:F1689),"")</x:f>
      </x:c>
      <x:c r="H1689"/>
      <x:c r="I1689"/>
      <x:c r="J1689"/>
      <x:c r="K1689" t="str">
        <x:f>IF(ROW()-ROW($K$2)&lt;=SUM($J$3:$J$168),COUNTIF($H$3:$H$168,"&lt;"&amp;(ROW()-ROW($K$2))),"")</x:f>
      </x:c>
      <x:c r="L1689" t="str">
        <x:f>IF(K1689="","",ROW()-ROW($L$2)-INDEX($H$3:$H$168,K1689))</x:f>
      </x:c>
      <x:c r="M1689" t="str">
        <x:f>IF(K1689="","",IF(L1689=1,1,FIND(CHAR(1),SUBSTITUTE(INDEX($B$3:$B$168,K1689),CHAR(10),CHAR(1),L1689-1))+1))</x:f>
      </x:c>
      <x:c r="N1689" t="str">
        <x:f>IF(K1689="","",IFERROR(FIND(CHAR(1),SUBSTITUTE(INDEX($B$3:$B$168,K1689),CHAR(10),CHAR(1),L1689)),LEN(INDEX($B$3:$B$168,K1689))+1))</x:f>
      </x:c>
    </x:row>
    <x:row r="1690">
      <x:c r="A1690"/>
      <x:c r="B1690"/>
      <x:c r="C1690"/>
      <x:c r="D1690" t="str">
        <x:f>IFERROR(IF(1688&lt;=$O$1,INDEX($A$3:$A$168,MATCH(1688,$I$3:$I$168,0)),IF(1688&lt;=$O$1+$O$2,INDEX($F$3:$F$1994,MATCH(1688-$O$1,$G$3:$G$1994,0)),"")),"")</x:f>
      </x:c>
      <x:c r="E1690" t="str">
        <x:f>IF(K1690="","",IF(N1690&lt;=M1690,"",TRIM(CLEAN(MID(INDEX($B$3:$B$168,K1690),M1690,N1690-M1690)))))</x:f>
      </x:c>
      <x:c r="F1690" t="str">
        <x:f>IF(E1690="","",IF(E1690=TRIM(INDEX($A$3:$A$168,K1690)),"",IF(RIGHT(TRIM(INDEX($A$3:$A$168,K1690)),1)="]",LEFT(TRIM(INDEX($A$3:$A$168,K1690)),LEN(TRIM(INDEX($A$3:$A$168,K1690)))-1)&amp;", "&amp;SUBSTITUTE(SUBSTITUTE(SUBSTITUTE(E1690," [",", "),"[",", "),"]","")&amp;"]",TRIM(INDEX($A$3:$A$168,K1690))&amp;" ["&amp;SUBSTITUTE(SUBSTITUTE(SUBSTITUTE(E1690," [",", "),"[",", "),"]","")&amp;"]")))</x:f>
      </x:c>
      <x:c r="G1690" t="str">
        <x:f>IF(F1690&lt;&gt;"",ROWS($F$3:F1690)-COUNTBLANK($F$3:F1690),"")</x:f>
      </x:c>
      <x:c r="H1690"/>
      <x:c r="I1690"/>
      <x:c r="J1690"/>
      <x:c r="K1690" t="str">
        <x:f>IF(ROW()-ROW($K$2)&lt;=SUM($J$3:$J$168),COUNTIF($H$3:$H$168,"&lt;"&amp;(ROW()-ROW($K$2))),"")</x:f>
      </x:c>
      <x:c r="L1690" t="str">
        <x:f>IF(K1690="","",ROW()-ROW($L$2)-INDEX($H$3:$H$168,K1690))</x:f>
      </x:c>
      <x:c r="M1690" t="str">
        <x:f>IF(K1690="","",IF(L1690=1,1,FIND(CHAR(1),SUBSTITUTE(INDEX($B$3:$B$168,K1690),CHAR(10),CHAR(1),L1690-1))+1))</x:f>
      </x:c>
      <x:c r="N1690" t="str">
        <x:f>IF(K1690="","",IFERROR(FIND(CHAR(1),SUBSTITUTE(INDEX($B$3:$B$168,K1690),CHAR(10),CHAR(1),L1690)),LEN(INDEX($B$3:$B$168,K1690))+1))</x:f>
      </x:c>
    </x:row>
    <x:row r="1691">
      <x:c r="A1691"/>
      <x:c r="B1691"/>
      <x:c r="C1691"/>
      <x:c r="D1691" t="str">
        <x:f>IFERROR(IF(1689&lt;=$O$1,INDEX($A$3:$A$168,MATCH(1689,$I$3:$I$168,0)),IF(1689&lt;=$O$1+$O$2,INDEX($F$3:$F$1994,MATCH(1689-$O$1,$G$3:$G$1994,0)),"")),"")</x:f>
      </x:c>
      <x:c r="E1691" t="str">
        <x:f>IF(K1691="","",IF(N1691&lt;=M1691,"",TRIM(CLEAN(MID(INDEX($B$3:$B$168,K1691),M1691,N1691-M1691)))))</x:f>
      </x:c>
      <x:c r="F1691" t="str">
        <x:f>IF(E1691="","",IF(E1691=TRIM(INDEX($A$3:$A$168,K1691)),"",IF(RIGHT(TRIM(INDEX($A$3:$A$168,K1691)),1)="]",LEFT(TRIM(INDEX($A$3:$A$168,K1691)),LEN(TRIM(INDEX($A$3:$A$168,K1691)))-1)&amp;", "&amp;SUBSTITUTE(SUBSTITUTE(SUBSTITUTE(E1691," [",", "),"[",", "),"]","")&amp;"]",TRIM(INDEX($A$3:$A$168,K1691))&amp;" ["&amp;SUBSTITUTE(SUBSTITUTE(SUBSTITUTE(E1691," [",", "),"[",", "),"]","")&amp;"]")))</x:f>
      </x:c>
      <x:c r="G1691" t="str">
        <x:f>IF(F1691&lt;&gt;"",ROWS($F$3:F1691)-COUNTBLANK($F$3:F1691),"")</x:f>
      </x:c>
      <x:c r="H1691"/>
      <x:c r="I1691"/>
      <x:c r="J1691"/>
      <x:c r="K1691" t="str">
        <x:f>IF(ROW()-ROW($K$2)&lt;=SUM($J$3:$J$168),COUNTIF($H$3:$H$168,"&lt;"&amp;(ROW()-ROW($K$2))),"")</x:f>
      </x:c>
      <x:c r="L1691" t="str">
        <x:f>IF(K1691="","",ROW()-ROW($L$2)-INDEX($H$3:$H$168,K1691))</x:f>
      </x:c>
      <x:c r="M1691" t="str">
        <x:f>IF(K1691="","",IF(L1691=1,1,FIND(CHAR(1),SUBSTITUTE(INDEX($B$3:$B$168,K1691),CHAR(10),CHAR(1),L1691-1))+1))</x:f>
      </x:c>
      <x:c r="N1691" t="str">
        <x:f>IF(K1691="","",IFERROR(FIND(CHAR(1),SUBSTITUTE(INDEX($B$3:$B$168,K1691),CHAR(10),CHAR(1),L1691)),LEN(INDEX($B$3:$B$168,K1691))+1))</x:f>
      </x:c>
    </x:row>
    <x:row r="1692">
      <x:c r="A1692"/>
      <x:c r="B1692"/>
      <x:c r="C1692"/>
      <x:c r="D1692" t="str">
        <x:f>IFERROR(IF(1690&lt;=$O$1,INDEX($A$3:$A$168,MATCH(1690,$I$3:$I$168,0)),IF(1690&lt;=$O$1+$O$2,INDEX($F$3:$F$1994,MATCH(1690-$O$1,$G$3:$G$1994,0)),"")),"")</x:f>
      </x:c>
      <x:c r="E1692" t="str">
        <x:f>IF(K1692="","",IF(N1692&lt;=M1692,"",TRIM(CLEAN(MID(INDEX($B$3:$B$168,K1692),M1692,N1692-M1692)))))</x:f>
      </x:c>
      <x:c r="F1692" t="str">
        <x:f>IF(E1692="","",IF(E1692=TRIM(INDEX($A$3:$A$168,K1692)),"",IF(RIGHT(TRIM(INDEX($A$3:$A$168,K1692)),1)="]",LEFT(TRIM(INDEX($A$3:$A$168,K1692)),LEN(TRIM(INDEX($A$3:$A$168,K1692)))-1)&amp;", "&amp;SUBSTITUTE(SUBSTITUTE(SUBSTITUTE(E1692," [",", "),"[",", "),"]","")&amp;"]",TRIM(INDEX($A$3:$A$168,K1692))&amp;" ["&amp;SUBSTITUTE(SUBSTITUTE(SUBSTITUTE(E1692," [",", "),"[",", "),"]","")&amp;"]")))</x:f>
      </x:c>
      <x:c r="G1692" t="str">
        <x:f>IF(F1692&lt;&gt;"",ROWS($F$3:F1692)-COUNTBLANK($F$3:F1692),"")</x:f>
      </x:c>
      <x:c r="H1692"/>
      <x:c r="I1692"/>
      <x:c r="J1692"/>
      <x:c r="K1692" t="str">
        <x:f>IF(ROW()-ROW($K$2)&lt;=SUM($J$3:$J$168),COUNTIF($H$3:$H$168,"&lt;"&amp;(ROW()-ROW($K$2))),"")</x:f>
      </x:c>
      <x:c r="L1692" t="str">
        <x:f>IF(K1692="","",ROW()-ROW($L$2)-INDEX($H$3:$H$168,K1692))</x:f>
      </x:c>
      <x:c r="M1692" t="str">
        <x:f>IF(K1692="","",IF(L1692=1,1,FIND(CHAR(1),SUBSTITUTE(INDEX($B$3:$B$168,K1692),CHAR(10),CHAR(1),L1692-1))+1))</x:f>
      </x:c>
      <x:c r="N1692" t="str">
        <x:f>IF(K1692="","",IFERROR(FIND(CHAR(1),SUBSTITUTE(INDEX($B$3:$B$168,K1692),CHAR(10),CHAR(1),L1692)),LEN(INDEX($B$3:$B$168,K1692))+1))</x:f>
      </x:c>
    </x:row>
    <x:row r="1693">
      <x:c r="A1693"/>
      <x:c r="B1693"/>
      <x:c r="C1693"/>
      <x:c r="D1693" t="str">
        <x:f>IFERROR(IF(1691&lt;=$O$1,INDEX($A$3:$A$168,MATCH(1691,$I$3:$I$168,0)),IF(1691&lt;=$O$1+$O$2,INDEX($F$3:$F$1994,MATCH(1691-$O$1,$G$3:$G$1994,0)),"")),"")</x:f>
      </x:c>
      <x:c r="E1693" t="str">
        <x:f>IF(K1693="","",IF(N1693&lt;=M1693,"",TRIM(CLEAN(MID(INDEX($B$3:$B$168,K1693),M1693,N1693-M1693)))))</x:f>
      </x:c>
      <x:c r="F1693" t="str">
        <x:f>IF(E1693="","",IF(E1693=TRIM(INDEX($A$3:$A$168,K1693)),"",IF(RIGHT(TRIM(INDEX($A$3:$A$168,K1693)),1)="]",LEFT(TRIM(INDEX($A$3:$A$168,K1693)),LEN(TRIM(INDEX($A$3:$A$168,K1693)))-1)&amp;", "&amp;SUBSTITUTE(SUBSTITUTE(SUBSTITUTE(E1693," [",", "),"[",", "),"]","")&amp;"]",TRIM(INDEX($A$3:$A$168,K1693))&amp;" ["&amp;SUBSTITUTE(SUBSTITUTE(SUBSTITUTE(E1693," [",", "),"[",", "),"]","")&amp;"]")))</x:f>
      </x:c>
      <x:c r="G1693" t="str">
        <x:f>IF(F1693&lt;&gt;"",ROWS($F$3:F1693)-COUNTBLANK($F$3:F1693),"")</x:f>
      </x:c>
      <x:c r="H1693"/>
      <x:c r="I1693"/>
      <x:c r="J1693"/>
      <x:c r="K1693" t="str">
        <x:f>IF(ROW()-ROW($K$2)&lt;=SUM($J$3:$J$168),COUNTIF($H$3:$H$168,"&lt;"&amp;(ROW()-ROW($K$2))),"")</x:f>
      </x:c>
      <x:c r="L1693" t="str">
        <x:f>IF(K1693="","",ROW()-ROW($L$2)-INDEX($H$3:$H$168,K1693))</x:f>
      </x:c>
      <x:c r="M1693" t="str">
        <x:f>IF(K1693="","",IF(L1693=1,1,FIND(CHAR(1),SUBSTITUTE(INDEX($B$3:$B$168,K1693),CHAR(10),CHAR(1),L1693-1))+1))</x:f>
      </x:c>
      <x:c r="N1693" t="str">
        <x:f>IF(K1693="","",IFERROR(FIND(CHAR(1),SUBSTITUTE(INDEX($B$3:$B$168,K1693),CHAR(10),CHAR(1),L1693)),LEN(INDEX($B$3:$B$168,K1693))+1))</x:f>
      </x:c>
    </x:row>
    <x:row r="1694">
      <x:c r="A1694"/>
      <x:c r="B1694"/>
      <x:c r="C1694"/>
      <x:c r="D1694" t="str">
        <x:f>IFERROR(IF(1692&lt;=$O$1,INDEX($A$3:$A$168,MATCH(1692,$I$3:$I$168,0)),IF(1692&lt;=$O$1+$O$2,INDEX($F$3:$F$1994,MATCH(1692-$O$1,$G$3:$G$1994,0)),"")),"")</x:f>
      </x:c>
      <x:c r="E1694" t="str">
        <x:f>IF(K1694="","",IF(N1694&lt;=M1694,"",TRIM(CLEAN(MID(INDEX($B$3:$B$168,K1694),M1694,N1694-M1694)))))</x:f>
      </x:c>
      <x:c r="F1694" t="str">
        <x:f>IF(E1694="","",IF(E1694=TRIM(INDEX($A$3:$A$168,K1694)),"",IF(RIGHT(TRIM(INDEX($A$3:$A$168,K1694)),1)="]",LEFT(TRIM(INDEX($A$3:$A$168,K1694)),LEN(TRIM(INDEX($A$3:$A$168,K1694)))-1)&amp;", "&amp;SUBSTITUTE(SUBSTITUTE(SUBSTITUTE(E1694," [",", "),"[",", "),"]","")&amp;"]",TRIM(INDEX($A$3:$A$168,K1694))&amp;" ["&amp;SUBSTITUTE(SUBSTITUTE(SUBSTITUTE(E1694," [",", "),"[",", "),"]","")&amp;"]")))</x:f>
      </x:c>
      <x:c r="G1694" t="str">
        <x:f>IF(F1694&lt;&gt;"",ROWS($F$3:F1694)-COUNTBLANK($F$3:F1694),"")</x:f>
      </x:c>
      <x:c r="H1694"/>
      <x:c r="I1694"/>
      <x:c r="J1694"/>
      <x:c r="K1694" t="str">
        <x:f>IF(ROW()-ROW($K$2)&lt;=SUM($J$3:$J$168),COUNTIF($H$3:$H$168,"&lt;"&amp;(ROW()-ROW($K$2))),"")</x:f>
      </x:c>
      <x:c r="L1694" t="str">
        <x:f>IF(K1694="","",ROW()-ROW($L$2)-INDEX($H$3:$H$168,K1694))</x:f>
      </x:c>
      <x:c r="M1694" t="str">
        <x:f>IF(K1694="","",IF(L1694=1,1,FIND(CHAR(1),SUBSTITUTE(INDEX($B$3:$B$168,K1694),CHAR(10),CHAR(1),L1694-1))+1))</x:f>
      </x:c>
      <x:c r="N1694" t="str">
        <x:f>IF(K1694="","",IFERROR(FIND(CHAR(1),SUBSTITUTE(INDEX($B$3:$B$168,K1694),CHAR(10),CHAR(1),L1694)),LEN(INDEX($B$3:$B$168,K1694))+1))</x:f>
      </x:c>
    </x:row>
    <x:row r="1695">
      <x:c r="A1695"/>
      <x:c r="B1695"/>
      <x:c r="C1695"/>
      <x:c r="D1695" t="str">
        <x:f>IFERROR(IF(1693&lt;=$O$1,INDEX($A$3:$A$168,MATCH(1693,$I$3:$I$168,0)),IF(1693&lt;=$O$1+$O$2,INDEX($F$3:$F$1994,MATCH(1693-$O$1,$G$3:$G$1994,0)),"")),"")</x:f>
      </x:c>
      <x:c r="E1695" t="str">
        <x:f>IF(K1695="","",IF(N1695&lt;=M1695,"",TRIM(CLEAN(MID(INDEX($B$3:$B$168,K1695),M1695,N1695-M1695)))))</x:f>
      </x:c>
      <x:c r="F1695" t="str">
        <x:f>IF(E1695="","",IF(E1695=TRIM(INDEX($A$3:$A$168,K1695)),"",IF(RIGHT(TRIM(INDEX($A$3:$A$168,K1695)),1)="]",LEFT(TRIM(INDEX($A$3:$A$168,K1695)),LEN(TRIM(INDEX($A$3:$A$168,K1695)))-1)&amp;", "&amp;SUBSTITUTE(SUBSTITUTE(SUBSTITUTE(E1695," [",", "),"[",", "),"]","")&amp;"]",TRIM(INDEX($A$3:$A$168,K1695))&amp;" ["&amp;SUBSTITUTE(SUBSTITUTE(SUBSTITUTE(E1695," [",", "),"[",", "),"]","")&amp;"]")))</x:f>
      </x:c>
      <x:c r="G1695" t="str">
        <x:f>IF(F1695&lt;&gt;"",ROWS($F$3:F1695)-COUNTBLANK($F$3:F1695),"")</x:f>
      </x:c>
      <x:c r="H1695"/>
      <x:c r="I1695"/>
      <x:c r="J1695"/>
      <x:c r="K1695" t="str">
        <x:f>IF(ROW()-ROW($K$2)&lt;=SUM($J$3:$J$168),COUNTIF($H$3:$H$168,"&lt;"&amp;(ROW()-ROW($K$2))),"")</x:f>
      </x:c>
      <x:c r="L1695" t="str">
        <x:f>IF(K1695="","",ROW()-ROW($L$2)-INDEX($H$3:$H$168,K1695))</x:f>
      </x:c>
      <x:c r="M1695" t="str">
        <x:f>IF(K1695="","",IF(L1695=1,1,FIND(CHAR(1),SUBSTITUTE(INDEX($B$3:$B$168,K1695),CHAR(10),CHAR(1),L1695-1))+1))</x:f>
      </x:c>
      <x:c r="N1695" t="str">
        <x:f>IF(K1695="","",IFERROR(FIND(CHAR(1),SUBSTITUTE(INDEX($B$3:$B$168,K1695),CHAR(10),CHAR(1),L1695)),LEN(INDEX($B$3:$B$168,K1695))+1))</x:f>
      </x:c>
    </x:row>
    <x:row r="1696">
      <x:c r="A1696"/>
      <x:c r="B1696"/>
      <x:c r="C1696"/>
      <x:c r="D1696" t="str">
        <x:f>IFERROR(IF(1694&lt;=$O$1,INDEX($A$3:$A$168,MATCH(1694,$I$3:$I$168,0)),IF(1694&lt;=$O$1+$O$2,INDEX($F$3:$F$1994,MATCH(1694-$O$1,$G$3:$G$1994,0)),"")),"")</x:f>
      </x:c>
      <x:c r="E1696" t="str">
        <x:f>IF(K1696="","",IF(N1696&lt;=M1696,"",TRIM(CLEAN(MID(INDEX($B$3:$B$168,K1696),M1696,N1696-M1696)))))</x:f>
      </x:c>
      <x:c r="F1696" t="str">
        <x:f>IF(E1696="","",IF(E1696=TRIM(INDEX($A$3:$A$168,K1696)),"",IF(RIGHT(TRIM(INDEX($A$3:$A$168,K1696)),1)="]",LEFT(TRIM(INDEX($A$3:$A$168,K1696)),LEN(TRIM(INDEX($A$3:$A$168,K1696)))-1)&amp;", "&amp;SUBSTITUTE(SUBSTITUTE(SUBSTITUTE(E1696," [",", "),"[",", "),"]","")&amp;"]",TRIM(INDEX($A$3:$A$168,K1696))&amp;" ["&amp;SUBSTITUTE(SUBSTITUTE(SUBSTITUTE(E1696," [",", "),"[",", "),"]","")&amp;"]")))</x:f>
      </x:c>
      <x:c r="G1696" t="str">
        <x:f>IF(F1696&lt;&gt;"",ROWS($F$3:F1696)-COUNTBLANK($F$3:F1696),"")</x:f>
      </x:c>
      <x:c r="H1696"/>
      <x:c r="I1696"/>
      <x:c r="J1696"/>
      <x:c r="K1696" t="str">
        <x:f>IF(ROW()-ROW($K$2)&lt;=SUM($J$3:$J$168),COUNTIF($H$3:$H$168,"&lt;"&amp;(ROW()-ROW($K$2))),"")</x:f>
      </x:c>
      <x:c r="L1696" t="str">
        <x:f>IF(K1696="","",ROW()-ROW($L$2)-INDEX($H$3:$H$168,K1696))</x:f>
      </x:c>
      <x:c r="M1696" t="str">
        <x:f>IF(K1696="","",IF(L1696=1,1,FIND(CHAR(1),SUBSTITUTE(INDEX($B$3:$B$168,K1696),CHAR(10),CHAR(1),L1696-1))+1))</x:f>
      </x:c>
      <x:c r="N1696" t="str">
        <x:f>IF(K1696="","",IFERROR(FIND(CHAR(1),SUBSTITUTE(INDEX($B$3:$B$168,K1696),CHAR(10),CHAR(1),L1696)),LEN(INDEX($B$3:$B$168,K1696))+1))</x:f>
      </x:c>
    </x:row>
    <x:row r="1697">
      <x:c r="A1697"/>
      <x:c r="B1697"/>
      <x:c r="C1697"/>
      <x:c r="D1697" t="str">
        <x:f>IFERROR(IF(1695&lt;=$O$1,INDEX($A$3:$A$168,MATCH(1695,$I$3:$I$168,0)),IF(1695&lt;=$O$1+$O$2,INDEX($F$3:$F$1994,MATCH(1695-$O$1,$G$3:$G$1994,0)),"")),"")</x:f>
      </x:c>
      <x:c r="E1697" t="str">
        <x:f>IF(K1697="","",IF(N1697&lt;=M1697,"",TRIM(CLEAN(MID(INDEX($B$3:$B$168,K1697),M1697,N1697-M1697)))))</x:f>
      </x:c>
      <x:c r="F1697" t="str">
        <x:f>IF(E1697="","",IF(E1697=TRIM(INDEX($A$3:$A$168,K1697)),"",IF(RIGHT(TRIM(INDEX($A$3:$A$168,K1697)),1)="]",LEFT(TRIM(INDEX($A$3:$A$168,K1697)),LEN(TRIM(INDEX($A$3:$A$168,K1697)))-1)&amp;", "&amp;SUBSTITUTE(SUBSTITUTE(SUBSTITUTE(E1697," [",", "),"[",", "),"]","")&amp;"]",TRIM(INDEX($A$3:$A$168,K1697))&amp;" ["&amp;SUBSTITUTE(SUBSTITUTE(SUBSTITUTE(E1697," [",", "),"[",", "),"]","")&amp;"]")))</x:f>
      </x:c>
      <x:c r="G1697" t="str">
        <x:f>IF(F1697&lt;&gt;"",ROWS($F$3:F1697)-COUNTBLANK($F$3:F1697),"")</x:f>
      </x:c>
      <x:c r="H1697"/>
      <x:c r="I1697"/>
      <x:c r="J1697"/>
      <x:c r="K1697" t="str">
        <x:f>IF(ROW()-ROW($K$2)&lt;=SUM($J$3:$J$168),COUNTIF($H$3:$H$168,"&lt;"&amp;(ROW()-ROW($K$2))),"")</x:f>
      </x:c>
      <x:c r="L1697" t="str">
        <x:f>IF(K1697="","",ROW()-ROW($L$2)-INDEX($H$3:$H$168,K1697))</x:f>
      </x:c>
      <x:c r="M1697" t="str">
        <x:f>IF(K1697="","",IF(L1697=1,1,FIND(CHAR(1),SUBSTITUTE(INDEX($B$3:$B$168,K1697),CHAR(10),CHAR(1),L1697-1))+1))</x:f>
      </x:c>
      <x:c r="N1697" t="str">
        <x:f>IF(K1697="","",IFERROR(FIND(CHAR(1),SUBSTITUTE(INDEX($B$3:$B$168,K1697),CHAR(10),CHAR(1),L1697)),LEN(INDEX($B$3:$B$168,K1697))+1))</x:f>
      </x:c>
    </x:row>
    <x:row r="1698">
      <x:c r="A1698"/>
      <x:c r="B1698"/>
      <x:c r="C1698"/>
      <x:c r="D1698" t="str">
        <x:f>IFERROR(IF(1696&lt;=$O$1,INDEX($A$3:$A$168,MATCH(1696,$I$3:$I$168,0)),IF(1696&lt;=$O$1+$O$2,INDEX($F$3:$F$1994,MATCH(1696-$O$1,$G$3:$G$1994,0)),"")),"")</x:f>
      </x:c>
      <x:c r="E1698" t="str">
        <x:f>IF(K1698="","",IF(N1698&lt;=M1698,"",TRIM(CLEAN(MID(INDEX($B$3:$B$168,K1698),M1698,N1698-M1698)))))</x:f>
      </x:c>
      <x:c r="F1698" t="str">
        <x:f>IF(E1698="","",IF(E1698=TRIM(INDEX($A$3:$A$168,K1698)),"",IF(RIGHT(TRIM(INDEX($A$3:$A$168,K1698)),1)="]",LEFT(TRIM(INDEX($A$3:$A$168,K1698)),LEN(TRIM(INDEX($A$3:$A$168,K1698)))-1)&amp;", "&amp;SUBSTITUTE(SUBSTITUTE(SUBSTITUTE(E1698," [",", "),"[",", "),"]","")&amp;"]",TRIM(INDEX($A$3:$A$168,K1698))&amp;" ["&amp;SUBSTITUTE(SUBSTITUTE(SUBSTITUTE(E1698," [",", "),"[",", "),"]","")&amp;"]")))</x:f>
      </x:c>
      <x:c r="G1698" t="str">
        <x:f>IF(F1698&lt;&gt;"",ROWS($F$3:F1698)-COUNTBLANK($F$3:F1698),"")</x:f>
      </x:c>
      <x:c r="H1698"/>
      <x:c r="I1698"/>
      <x:c r="J1698"/>
      <x:c r="K1698" t="str">
        <x:f>IF(ROW()-ROW($K$2)&lt;=SUM($J$3:$J$168),COUNTIF($H$3:$H$168,"&lt;"&amp;(ROW()-ROW($K$2))),"")</x:f>
      </x:c>
      <x:c r="L1698" t="str">
        <x:f>IF(K1698="","",ROW()-ROW($L$2)-INDEX($H$3:$H$168,K1698))</x:f>
      </x:c>
      <x:c r="M1698" t="str">
        <x:f>IF(K1698="","",IF(L1698=1,1,FIND(CHAR(1),SUBSTITUTE(INDEX($B$3:$B$168,K1698),CHAR(10),CHAR(1),L1698-1))+1))</x:f>
      </x:c>
      <x:c r="N1698" t="str">
        <x:f>IF(K1698="","",IFERROR(FIND(CHAR(1),SUBSTITUTE(INDEX($B$3:$B$168,K1698),CHAR(10),CHAR(1),L1698)),LEN(INDEX($B$3:$B$168,K1698))+1))</x:f>
      </x:c>
    </x:row>
    <x:row r="1699">
      <x:c r="A1699"/>
      <x:c r="B1699"/>
      <x:c r="C1699"/>
      <x:c r="D1699" t="str">
        <x:f>IFERROR(IF(1697&lt;=$O$1,INDEX($A$3:$A$168,MATCH(1697,$I$3:$I$168,0)),IF(1697&lt;=$O$1+$O$2,INDEX($F$3:$F$1994,MATCH(1697-$O$1,$G$3:$G$1994,0)),"")),"")</x:f>
      </x:c>
      <x:c r="E1699" t="str">
        <x:f>IF(K1699="","",IF(N1699&lt;=M1699,"",TRIM(CLEAN(MID(INDEX($B$3:$B$168,K1699),M1699,N1699-M1699)))))</x:f>
      </x:c>
      <x:c r="F1699" t="str">
        <x:f>IF(E1699="","",IF(E1699=TRIM(INDEX($A$3:$A$168,K1699)),"",IF(RIGHT(TRIM(INDEX($A$3:$A$168,K1699)),1)="]",LEFT(TRIM(INDEX($A$3:$A$168,K1699)),LEN(TRIM(INDEX($A$3:$A$168,K1699)))-1)&amp;", "&amp;SUBSTITUTE(SUBSTITUTE(SUBSTITUTE(E1699," [",", "),"[",", "),"]","")&amp;"]",TRIM(INDEX($A$3:$A$168,K1699))&amp;" ["&amp;SUBSTITUTE(SUBSTITUTE(SUBSTITUTE(E1699," [",", "),"[",", "),"]","")&amp;"]")))</x:f>
      </x:c>
      <x:c r="G1699" t="str">
        <x:f>IF(F1699&lt;&gt;"",ROWS($F$3:F1699)-COUNTBLANK($F$3:F1699),"")</x:f>
      </x:c>
      <x:c r="H1699"/>
      <x:c r="I1699"/>
      <x:c r="J1699"/>
      <x:c r="K1699" t="str">
        <x:f>IF(ROW()-ROW($K$2)&lt;=SUM($J$3:$J$168),COUNTIF($H$3:$H$168,"&lt;"&amp;(ROW()-ROW($K$2))),"")</x:f>
      </x:c>
      <x:c r="L1699" t="str">
        <x:f>IF(K1699="","",ROW()-ROW($L$2)-INDEX($H$3:$H$168,K1699))</x:f>
      </x:c>
      <x:c r="M1699" t="str">
        <x:f>IF(K1699="","",IF(L1699=1,1,FIND(CHAR(1),SUBSTITUTE(INDEX($B$3:$B$168,K1699),CHAR(10),CHAR(1),L1699-1))+1))</x:f>
      </x:c>
      <x:c r="N1699" t="str">
        <x:f>IF(K1699="","",IFERROR(FIND(CHAR(1),SUBSTITUTE(INDEX($B$3:$B$168,K1699),CHAR(10),CHAR(1),L1699)),LEN(INDEX($B$3:$B$168,K1699))+1))</x:f>
      </x:c>
    </x:row>
    <x:row r="1700">
      <x:c r="A1700"/>
      <x:c r="B1700"/>
      <x:c r="C1700"/>
      <x:c r="D1700" t="str">
        <x:f>IFERROR(IF(1698&lt;=$O$1,INDEX($A$3:$A$168,MATCH(1698,$I$3:$I$168,0)),IF(1698&lt;=$O$1+$O$2,INDEX($F$3:$F$1994,MATCH(1698-$O$1,$G$3:$G$1994,0)),"")),"")</x:f>
      </x:c>
      <x:c r="E1700" t="str">
        <x:f>IF(K1700="","",IF(N1700&lt;=M1700,"",TRIM(CLEAN(MID(INDEX($B$3:$B$168,K1700),M1700,N1700-M1700)))))</x:f>
      </x:c>
      <x:c r="F1700" t="str">
        <x:f>IF(E1700="","",IF(E1700=TRIM(INDEX($A$3:$A$168,K1700)),"",IF(RIGHT(TRIM(INDEX($A$3:$A$168,K1700)),1)="]",LEFT(TRIM(INDEX($A$3:$A$168,K1700)),LEN(TRIM(INDEX($A$3:$A$168,K1700)))-1)&amp;", "&amp;SUBSTITUTE(SUBSTITUTE(SUBSTITUTE(E1700," [",", "),"[",", "),"]","")&amp;"]",TRIM(INDEX($A$3:$A$168,K1700))&amp;" ["&amp;SUBSTITUTE(SUBSTITUTE(SUBSTITUTE(E1700," [",", "),"[",", "),"]","")&amp;"]")))</x:f>
      </x:c>
      <x:c r="G1700" t="str">
        <x:f>IF(F1700&lt;&gt;"",ROWS($F$3:F1700)-COUNTBLANK($F$3:F1700),"")</x:f>
      </x:c>
      <x:c r="H1700"/>
      <x:c r="I1700"/>
      <x:c r="J1700"/>
      <x:c r="K1700" t="str">
        <x:f>IF(ROW()-ROW($K$2)&lt;=SUM($J$3:$J$168),COUNTIF($H$3:$H$168,"&lt;"&amp;(ROW()-ROW($K$2))),"")</x:f>
      </x:c>
      <x:c r="L1700" t="str">
        <x:f>IF(K1700="","",ROW()-ROW($L$2)-INDEX($H$3:$H$168,K1700))</x:f>
      </x:c>
      <x:c r="M1700" t="str">
        <x:f>IF(K1700="","",IF(L1700=1,1,FIND(CHAR(1),SUBSTITUTE(INDEX($B$3:$B$168,K1700),CHAR(10),CHAR(1),L1700-1))+1))</x:f>
      </x:c>
      <x:c r="N1700" t="str">
        <x:f>IF(K1700="","",IFERROR(FIND(CHAR(1),SUBSTITUTE(INDEX($B$3:$B$168,K1700),CHAR(10),CHAR(1),L1700)),LEN(INDEX($B$3:$B$168,K1700))+1))</x:f>
      </x:c>
    </x:row>
    <x:row r="1701">
      <x:c r="A1701"/>
      <x:c r="B1701"/>
      <x:c r="C1701"/>
      <x:c r="D1701" t="str">
        <x:f>IFERROR(IF(1699&lt;=$O$1,INDEX($A$3:$A$168,MATCH(1699,$I$3:$I$168,0)),IF(1699&lt;=$O$1+$O$2,INDEX($F$3:$F$1994,MATCH(1699-$O$1,$G$3:$G$1994,0)),"")),"")</x:f>
      </x:c>
      <x:c r="E1701" t="str">
        <x:f>IF(K1701="","",IF(N1701&lt;=M1701,"",TRIM(CLEAN(MID(INDEX($B$3:$B$168,K1701),M1701,N1701-M1701)))))</x:f>
      </x:c>
      <x:c r="F1701" t="str">
        <x:f>IF(E1701="","",IF(E1701=TRIM(INDEX($A$3:$A$168,K1701)),"",IF(RIGHT(TRIM(INDEX($A$3:$A$168,K1701)),1)="]",LEFT(TRIM(INDEX($A$3:$A$168,K1701)),LEN(TRIM(INDEX($A$3:$A$168,K1701)))-1)&amp;", "&amp;SUBSTITUTE(SUBSTITUTE(SUBSTITUTE(E1701," [",", "),"[",", "),"]","")&amp;"]",TRIM(INDEX($A$3:$A$168,K1701))&amp;" ["&amp;SUBSTITUTE(SUBSTITUTE(SUBSTITUTE(E1701," [",", "),"[",", "),"]","")&amp;"]")))</x:f>
      </x:c>
      <x:c r="G1701" t="str">
        <x:f>IF(F1701&lt;&gt;"",ROWS($F$3:F1701)-COUNTBLANK($F$3:F1701),"")</x:f>
      </x:c>
      <x:c r="H1701"/>
      <x:c r="I1701"/>
      <x:c r="J1701"/>
      <x:c r="K1701" t="str">
        <x:f>IF(ROW()-ROW($K$2)&lt;=SUM($J$3:$J$168),COUNTIF($H$3:$H$168,"&lt;"&amp;(ROW()-ROW($K$2))),"")</x:f>
      </x:c>
      <x:c r="L1701" t="str">
        <x:f>IF(K1701="","",ROW()-ROW($L$2)-INDEX($H$3:$H$168,K1701))</x:f>
      </x:c>
      <x:c r="M1701" t="str">
        <x:f>IF(K1701="","",IF(L1701=1,1,FIND(CHAR(1),SUBSTITUTE(INDEX($B$3:$B$168,K1701),CHAR(10),CHAR(1),L1701-1))+1))</x:f>
      </x:c>
      <x:c r="N1701" t="str">
        <x:f>IF(K1701="","",IFERROR(FIND(CHAR(1),SUBSTITUTE(INDEX($B$3:$B$168,K1701),CHAR(10),CHAR(1),L1701)),LEN(INDEX($B$3:$B$168,K1701))+1))</x:f>
      </x:c>
    </x:row>
    <x:row r="1702">
      <x:c r="A1702"/>
      <x:c r="B1702"/>
      <x:c r="C1702"/>
      <x:c r="D1702" t="str">
        <x:f>IFERROR(IF(1700&lt;=$O$1,INDEX($A$3:$A$168,MATCH(1700,$I$3:$I$168,0)),IF(1700&lt;=$O$1+$O$2,INDEX($F$3:$F$1994,MATCH(1700-$O$1,$G$3:$G$1994,0)),"")),"")</x:f>
      </x:c>
      <x:c r="E1702" t="str">
        <x:f>IF(K1702="","",IF(N1702&lt;=M1702,"",TRIM(CLEAN(MID(INDEX($B$3:$B$168,K1702),M1702,N1702-M1702)))))</x:f>
      </x:c>
      <x:c r="F1702" t="str">
        <x:f>IF(E1702="","",IF(E1702=TRIM(INDEX($A$3:$A$168,K1702)),"",IF(RIGHT(TRIM(INDEX($A$3:$A$168,K1702)),1)="]",LEFT(TRIM(INDEX($A$3:$A$168,K1702)),LEN(TRIM(INDEX($A$3:$A$168,K1702)))-1)&amp;", "&amp;SUBSTITUTE(SUBSTITUTE(SUBSTITUTE(E1702," [",", "),"[",", "),"]","")&amp;"]",TRIM(INDEX($A$3:$A$168,K1702))&amp;" ["&amp;SUBSTITUTE(SUBSTITUTE(SUBSTITUTE(E1702," [",", "),"[",", "),"]","")&amp;"]")))</x:f>
      </x:c>
      <x:c r="G1702" t="str">
        <x:f>IF(F1702&lt;&gt;"",ROWS($F$3:F1702)-COUNTBLANK($F$3:F1702),"")</x:f>
      </x:c>
      <x:c r="H1702"/>
      <x:c r="I1702"/>
      <x:c r="J1702"/>
      <x:c r="K1702" t="str">
        <x:f>IF(ROW()-ROW($K$2)&lt;=SUM($J$3:$J$168),COUNTIF($H$3:$H$168,"&lt;"&amp;(ROW()-ROW($K$2))),"")</x:f>
      </x:c>
      <x:c r="L1702" t="str">
        <x:f>IF(K1702="","",ROW()-ROW($L$2)-INDEX($H$3:$H$168,K1702))</x:f>
      </x:c>
      <x:c r="M1702" t="str">
        <x:f>IF(K1702="","",IF(L1702=1,1,FIND(CHAR(1),SUBSTITUTE(INDEX($B$3:$B$168,K1702),CHAR(10),CHAR(1),L1702-1))+1))</x:f>
      </x:c>
      <x:c r="N1702" t="str">
        <x:f>IF(K1702="","",IFERROR(FIND(CHAR(1),SUBSTITUTE(INDEX($B$3:$B$168,K1702),CHAR(10),CHAR(1),L1702)),LEN(INDEX($B$3:$B$168,K1702))+1))</x:f>
      </x:c>
    </x:row>
    <x:row r="1703">
      <x:c r="A1703"/>
      <x:c r="B1703"/>
      <x:c r="C1703"/>
      <x:c r="D1703" t="str">
        <x:f>IFERROR(IF(1701&lt;=$O$1,INDEX($A$3:$A$168,MATCH(1701,$I$3:$I$168,0)),IF(1701&lt;=$O$1+$O$2,INDEX($F$3:$F$1994,MATCH(1701-$O$1,$G$3:$G$1994,0)),"")),"")</x:f>
      </x:c>
      <x:c r="E1703" t="str">
        <x:f>IF(K1703="","",IF(N1703&lt;=M1703,"",TRIM(CLEAN(MID(INDEX($B$3:$B$168,K1703),M1703,N1703-M1703)))))</x:f>
      </x:c>
      <x:c r="F1703" t="str">
        <x:f>IF(E1703="","",IF(E1703=TRIM(INDEX($A$3:$A$168,K1703)),"",IF(RIGHT(TRIM(INDEX($A$3:$A$168,K1703)),1)="]",LEFT(TRIM(INDEX($A$3:$A$168,K1703)),LEN(TRIM(INDEX($A$3:$A$168,K1703)))-1)&amp;", "&amp;SUBSTITUTE(SUBSTITUTE(SUBSTITUTE(E1703," [",", "),"[",", "),"]","")&amp;"]",TRIM(INDEX($A$3:$A$168,K1703))&amp;" ["&amp;SUBSTITUTE(SUBSTITUTE(SUBSTITUTE(E1703," [",", "),"[",", "),"]","")&amp;"]")))</x:f>
      </x:c>
      <x:c r="G1703" t="str">
        <x:f>IF(F1703&lt;&gt;"",ROWS($F$3:F1703)-COUNTBLANK($F$3:F1703),"")</x:f>
      </x:c>
      <x:c r="H1703"/>
      <x:c r="I1703"/>
      <x:c r="J1703"/>
      <x:c r="K1703" t="str">
        <x:f>IF(ROW()-ROW($K$2)&lt;=SUM($J$3:$J$168),COUNTIF($H$3:$H$168,"&lt;"&amp;(ROW()-ROW($K$2))),"")</x:f>
      </x:c>
      <x:c r="L1703" t="str">
        <x:f>IF(K1703="","",ROW()-ROW($L$2)-INDEX($H$3:$H$168,K1703))</x:f>
      </x:c>
      <x:c r="M1703" t="str">
        <x:f>IF(K1703="","",IF(L1703=1,1,FIND(CHAR(1),SUBSTITUTE(INDEX($B$3:$B$168,K1703),CHAR(10),CHAR(1),L1703-1))+1))</x:f>
      </x:c>
      <x:c r="N1703" t="str">
        <x:f>IF(K1703="","",IFERROR(FIND(CHAR(1),SUBSTITUTE(INDEX($B$3:$B$168,K1703),CHAR(10),CHAR(1),L1703)),LEN(INDEX($B$3:$B$168,K1703))+1))</x:f>
      </x:c>
    </x:row>
    <x:row r="1704">
      <x:c r="A1704"/>
      <x:c r="B1704"/>
      <x:c r="C1704"/>
      <x:c r="D1704" t="str">
        <x:f>IFERROR(IF(1702&lt;=$O$1,INDEX($A$3:$A$168,MATCH(1702,$I$3:$I$168,0)),IF(1702&lt;=$O$1+$O$2,INDEX($F$3:$F$1994,MATCH(1702-$O$1,$G$3:$G$1994,0)),"")),"")</x:f>
      </x:c>
      <x:c r="E1704" t="str">
        <x:f>IF(K1704="","",IF(N1704&lt;=M1704,"",TRIM(CLEAN(MID(INDEX($B$3:$B$168,K1704),M1704,N1704-M1704)))))</x:f>
      </x:c>
      <x:c r="F1704" t="str">
        <x:f>IF(E1704="","",IF(E1704=TRIM(INDEX($A$3:$A$168,K1704)),"",IF(RIGHT(TRIM(INDEX($A$3:$A$168,K1704)),1)="]",LEFT(TRIM(INDEX($A$3:$A$168,K1704)),LEN(TRIM(INDEX($A$3:$A$168,K1704)))-1)&amp;", "&amp;SUBSTITUTE(SUBSTITUTE(SUBSTITUTE(E1704," [",", "),"[",", "),"]","")&amp;"]",TRIM(INDEX($A$3:$A$168,K1704))&amp;" ["&amp;SUBSTITUTE(SUBSTITUTE(SUBSTITUTE(E1704," [",", "),"[",", "),"]","")&amp;"]")))</x:f>
      </x:c>
      <x:c r="G1704" t="str">
        <x:f>IF(F1704&lt;&gt;"",ROWS($F$3:F1704)-COUNTBLANK($F$3:F1704),"")</x:f>
      </x:c>
      <x:c r="H1704"/>
      <x:c r="I1704"/>
      <x:c r="J1704"/>
      <x:c r="K1704" t="str">
        <x:f>IF(ROW()-ROW($K$2)&lt;=SUM($J$3:$J$168),COUNTIF($H$3:$H$168,"&lt;"&amp;(ROW()-ROW($K$2))),"")</x:f>
      </x:c>
      <x:c r="L1704" t="str">
        <x:f>IF(K1704="","",ROW()-ROW($L$2)-INDEX($H$3:$H$168,K1704))</x:f>
      </x:c>
      <x:c r="M1704" t="str">
        <x:f>IF(K1704="","",IF(L1704=1,1,FIND(CHAR(1),SUBSTITUTE(INDEX($B$3:$B$168,K1704),CHAR(10),CHAR(1),L1704-1))+1))</x:f>
      </x:c>
      <x:c r="N1704" t="str">
        <x:f>IF(K1704="","",IFERROR(FIND(CHAR(1),SUBSTITUTE(INDEX($B$3:$B$168,K1704),CHAR(10),CHAR(1),L1704)),LEN(INDEX($B$3:$B$168,K1704))+1))</x:f>
      </x:c>
    </x:row>
    <x:row r="1705">
      <x:c r="A1705"/>
      <x:c r="B1705"/>
      <x:c r="C1705"/>
      <x:c r="D1705" t="str">
        <x:f>IFERROR(IF(1703&lt;=$O$1,INDEX($A$3:$A$168,MATCH(1703,$I$3:$I$168,0)),IF(1703&lt;=$O$1+$O$2,INDEX($F$3:$F$1994,MATCH(1703-$O$1,$G$3:$G$1994,0)),"")),"")</x:f>
      </x:c>
      <x:c r="E1705" t="str">
        <x:f>IF(K1705="","",IF(N1705&lt;=M1705,"",TRIM(CLEAN(MID(INDEX($B$3:$B$168,K1705),M1705,N1705-M1705)))))</x:f>
      </x:c>
      <x:c r="F1705" t="str">
        <x:f>IF(E1705="","",IF(E1705=TRIM(INDEX($A$3:$A$168,K1705)),"",IF(RIGHT(TRIM(INDEX($A$3:$A$168,K1705)),1)="]",LEFT(TRIM(INDEX($A$3:$A$168,K1705)),LEN(TRIM(INDEX($A$3:$A$168,K1705)))-1)&amp;", "&amp;SUBSTITUTE(SUBSTITUTE(SUBSTITUTE(E1705," [",", "),"[",", "),"]","")&amp;"]",TRIM(INDEX($A$3:$A$168,K1705))&amp;" ["&amp;SUBSTITUTE(SUBSTITUTE(SUBSTITUTE(E1705," [",", "),"[",", "),"]","")&amp;"]")))</x:f>
      </x:c>
      <x:c r="G1705" t="str">
        <x:f>IF(F1705&lt;&gt;"",ROWS($F$3:F1705)-COUNTBLANK($F$3:F1705),"")</x:f>
      </x:c>
      <x:c r="H1705"/>
      <x:c r="I1705"/>
      <x:c r="J1705"/>
      <x:c r="K1705" t="str">
        <x:f>IF(ROW()-ROW($K$2)&lt;=SUM($J$3:$J$168),COUNTIF($H$3:$H$168,"&lt;"&amp;(ROW()-ROW($K$2))),"")</x:f>
      </x:c>
      <x:c r="L1705" t="str">
        <x:f>IF(K1705="","",ROW()-ROW($L$2)-INDEX($H$3:$H$168,K1705))</x:f>
      </x:c>
      <x:c r="M1705" t="str">
        <x:f>IF(K1705="","",IF(L1705=1,1,FIND(CHAR(1),SUBSTITUTE(INDEX($B$3:$B$168,K1705),CHAR(10),CHAR(1),L1705-1))+1))</x:f>
      </x:c>
      <x:c r="N1705" t="str">
        <x:f>IF(K1705="","",IFERROR(FIND(CHAR(1),SUBSTITUTE(INDEX($B$3:$B$168,K1705),CHAR(10),CHAR(1),L1705)),LEN(INDEX($B$3:$B$168,K1705))+1))</x:f>
      </x:c>
    </x:row>
    <x:row r="1706">
      <x:c r="A1706"/>
      <x:c r="B1706"/>
      <x:c r="C1706"/>
      <x:c r="D1706" t="str">
        <x:f>IFERROR(IF(1704&lt;=$O$1,INDEX($A$3:$A$168,MATCH(1704,$I$3:$I$168,0)),IF(1704&lt;=$O$1+$O$2,INDEX($F$3:$F$1994,MATCH(1704-$O$1,$G$3:$G$1994,0)),"")),"")</x:f>
      </x:c>
      <x:c r="E1706" t="str">
        <x:f>IF(K1706="","",IF(N1706&lt;=M1706,"",TRIM(CLEAN(MID(INDEX($B$3:$B$168,K1706),M1706,N1706-M1706)))))</x:f>
      </x:c>
      <x:c r="F1706" t="str">
        <x:f>IF(E1706="","",IF(E1706=TRIM(INDEX($A$3:$A$168,K1706)),"",IF(RIGHT(TRIM(INDEX($A$3:$A$168,K1706)),1)="]",LEFT(TRIM(INDEX($A$3:$A$168,K1706)),LEN(TRIM(INDEX($A$3:$A$168,K1706)))-1)&amp;", "&amp;SUBSTITUTE(SUBSTITUTE(SUBSTITUTE(E1706," [",", "),"[",", "),"]","")&amp;"]",TRIM(INDEX($A$3:$A$168,K1706))&amp;" ["&amp;SUBSTITUTE(SUBSTITUTE(SUBSTITUTE(E1706," [",", "),"[",", "),"]","")&amp;"]")))</x:f>
      </x:c>
      <x:c r="G1706" t="str">
        <x:f>IF(F1706&lt;&gt;"",ROWS($F$3:F1706)-COUNTBLANK($F$3:F1706),"")</x:f>
      </x:c>
      <x:c r="H1706"/>
      <x:c r="I1706"/>
      <x:c r="J1706"/>
      <x:c r="K1706" t="str">
        <x:f>IF(ROW()-ROW($K$2)&lt;=SUM($J$3:$J$168),COUNTIF($H$3:$H$168,"&lt;"&amp;(ROW()-ROW($K$2))),"")</x:f>
      </x:c>
      <x:c r="L1706" t="str">
        <x:f>IF(K1706="","",ROW()-ROW($L$2)-INDEX($H$3:$H$168,K1706))</x:f>
      </x:c>
      <x:c r="M1706" t="str">
        <x:f>IF(K1706="","",IF(L1706=1,1,FIND(CHAR(1),SUBSTITUTE(INDEX($B$3:$B$168,K1706),CHAR(10),CHAR(1),L1706-1))+1))</x:f>
      </x:c>
      <x:c r="N1706" t="str">
        <x:f>IF(K1706="","",IFERROR(FIND(CHAR(1),SUBSTITUTE(INDEX($B$3:$B$168,K1706),CHAR(10),CHAR(1),L1706)),LEN(INDEX($B$3:$B$168,K1706))+1))</x:f>
      </x:c>
    </x:row>
    <x:row r="1707">
      <x:c r="A1707"/>
      <x:c r="B1707"/>
      <x:c r="C1707"/>
      <x:c r="D1707" t="str">
        <x:f>IFERROR(IF(1705&lt;=$O$1,INDEX($A$3:$A$168,MATCH(1705,$I$3:$I$168,0)),IF(1705&lt;=$O$1+$O$2,INDEX($F$3:$F$1994,MATCH(1705-$O$1,$G$3:$G$1994,0)),"")),"")</x:f>
      </x:c>
      <x:c r="E1707" t="str">
        <x:f>IF(K1707="","",IF(N1707&lt;=M1707,"",TRIM(CLEAN(MID(INDEX($B$3:$B$168,K1707),M1707,N1707-M1707)))))</x:f>
      </x:c>
      <x:c r="F1707" t="str">
        <x:f>IF(E1707="","",IF(E1707=TRIM(INDEX($A$3:$A$168,K1707)),"",IF(RIGHT(TRIM(INDEX($A$3:$A$168,K1707)),1)="]",LEFT(TRIM(INDEX($A$3:$A$168,K1707)),LEN(TRIM(INDEX($A$3:$A$168,K1707)))-1)&amp;", "&amp;SUBSTITUTE(SUBSTITUTE(SUBSTITUTE(E1707," [",", "),"[",", "),"]","")&amp;"]",TRIM(INDEX($A$3:$A$168,K1707))&amp;" ["&amp;SUBSTITUTE(SUBSTITUTE(SUBSTITUTE(E1707," [",", "),"[",", "),"]","")&amp;"]")))</x:f>
      </x:c>
      <x:c r="G1707" t="str">
        <x:f>IF(F1707&lt;&gt;"",ROWS($F$3:F1707)-COUNTBLANK($F$3:F1707),"")</x:f>
      </x:c>
      <x:c r="H1707"/>
      <x:c r="I1707"/>
      <x:c r="J1707"/>
      <x:c r="K1707" t="str">
        <x:f>IF(ROW()-ROW($K$2)&lt;=SUM($J$3:$J$168),COUNTIF($H$3:$H$168,"&lt;"&amp;(ROW()-ROW($K$2))),"")</x:f>
      </x:c>
      <x:c r="L1707" t="str">
        <x:f>IF(K1707="","",ROW()-ROW($L$2)-INDEX($H$3:$H$168,K1707))</x:f>
      </x:c>
      <x:c r="M1707" t="str">
        <x:f>IF(K1707="","",IF(L1707=1,1,FIND(CHAR(1),SUBSTITUTE(INDEX($B$3:$B$168,K1707),CHAR(10),CHAR(1),L1707-1))+1))</x:f>
      </x:c>
      <x:c r="N1707" t="str">
        <x:f>IF(K1707="","",IFERROR(FIND(CHAR(1),SUBSTITUTE(INDEX($B$3:$B$168,K1707),CHAR(10),CHAR(1),L1707)),LEN(INDEX($B$3:$B$168,K1707))+1))</x:f>
      </x:c>
    </x:row>
    <x:row r="1708">
      <x:c r="A1708"/>
      <x:c r="B1708"/>
      <x:c r="C1708"/>
      <x:c r="D1708" t="str">
        <x:f>IFERROR(IF(1706&lt;=$O$1,INDEX($A$3:$A$168,MATCH(1706,$I$3:$I$168,0)),IF(1706&lt;=$O$1+$O$2,INDEX($F$3:$F$1994,MATCH(1706-$O$1,$G$3:$G$1994,0)),"")),"")</x:f>
      </x:c>
      <x:c r="E1708" t="str">
        <x:f>IF(K1708="","",IF(N1708&lt;=M1708,"",TRIM(CLEAN(MID(INDEX($B$3:$B$168,K1708),M1708,N1708-M1708)))))</x:f>
      </x:c>
      <x:c r="F1708" t="str">
        <x:f>IF(E1708="","",IF(E1708=TRIM(INDEX($A$3:$A$168,K1708)),"",IF(RIGHT(TRIM(INDEX($A$3:$A$168,K1708)),1)="]",LEFT(TRIM(INDEX($A$3:$A$168,K1708)),LEN(TRIM(INDEX($A$3:$A$168,K1708)))-1)&amp;", "&amp;SUBSTITUTE(SUBSTITUTE(SUBSTITUTE(E1708," [",", "),"[",", "),"]","")&amp;"]",TRIM(INDEX($A$3:$A$168,K1708))&amp;" ["&amp;SUBSTITUTE(SUBSTITUTE(SUBSTITUTE(E1708," [",", "),"[",", "),"]","")&amp;"]")))</x:f>
      </x:c>
      <x:c r="G1708" t="str">
        <x:f>IF(F1708&lt;&gt;"",ROWS($F$3:F1708)-COUNTBLANK($F$3:F1708),"")</x:f>
      </x:c>
      <x:c r="H1708"/>
      <x:c r="I1708"/>
      <x:c r="J1708"/>
      <x:c r="K1708" t="str">
        <x:f>IF(ROW()-ROW($K$2)&lt;=SUM($J$3:$J$168),COUNTIF($H$3:$H$168,"&lt;"&amp;(ROW()-ROW($K$2))),"")</x:f>
      </x:c>
      <x:c r="L1708" t="str">
        <x:f>IF(K1708="","",ROW()-ROW($L$2)-INDEX($H$3:$H$168,K1708))</x:f>
      </x:c>
      <x:c r="M1708" t="str">
        <x:f>IF(K1708="","",IF(L1708=1,1,FIND(CHAR(1),SUBSTITUTE(INDEX($B$3:$B$168,K1708),CHAR(10),CHAR(1),L1708-1))+1))</x:f>
      </x:c>
      <x:c r="N1708" t="str">
        <x:f>IF(K1708="","",IFERROR(FIND(CHAR(1),SUBSTITUTE(INDEX($B$3:$B$168,K1708),CHAR(10),CHAR(1),L1708)),LEN(INDEX($B$3:$B$168,K1708))+1))</x:f>
      </x:c>
    </x:row>
    <x:row r="1709">
      <x:c r="A1709"/>
      <x:c r="B1709"/>
      <x:c r="C1709"/>
      <x:c r="D1709" t="str">
        <x:f>IFERROR(IF(1707&lt;=$O$1,INDEX($A$3:$A$168,MATCH(1707,$I$3:$I$168,0)),IF(1707&lt;=$O$1+$O$2,INDEX($F$3:$F$1994,MATCH(1707-$O$1,$G$3:$G$1994,0)),"")),"")</x:f>
      </x:c>
      <x:c r="E1709" t="str">
        <x:f>IF(K1709="","",IF(N1709&lt;=M1709,"",TRIM(CLEAN(MID(INDEX($B$3:$B$168,K1709),M1709,N1709-M1709)))))</x:f>
      </x:c>
      <x:c r="F1709" t="str">
        <x:f>IF(E1709="","",IF(E1709=TRIM(INDEX($A$3:$A$168,K1709)),"",IF(RIGHT(TRIM(INDEX($A$3:$A$168,K1709)),1)="]",LEFT(TRIM(INDEX($A$3:$A$168,K1709)),LEN(TRIM(INDEX($A$3:$A$168,K1709)))-1)&amp;", "&amp;SUBSTITUTE(SUBSTITUTE(SUBSTITUTE(E1709," [",", "),"[",", "),"]","")&amp;"]",TRIM(INDEX($A$3:$A$168,K1709))&amp;" ["&amp;SUBSTITUTE(SUBSTITUTE(SUBSTITUTE(E1709," [",", "),"[",", "),"]","")&amp;"]")))</x:f>
      </x:c>
      <x:c r="G1709" t="str">
        <x:f>IF(F1709&lt;&gt;"",ROWS($F$3:F1709)-COUNTBLANK($F$3:F1709),"")</x:f>
      </x:c>
      <x:c r="H1709"/>
      <x:c r="I1709"/>
      <x:c r="J1709"/>
      <x:c r="K1709" t="str">
        <x:f>IF(ROW()-ROW($K$2)&lt;=SUM($J$3:$J$168),COUNTIF($H$3:$H$168,"&lt;"&amp;(ROW()-ROW($K$2))),"")</x:f>
      </x:c>
      <x:c r="L1709" t="str">
        <x:f>IF(K1709="","",ROW()-ROW($L$2)-INDEX($H$3:$H$168,K1709))</x:f>
      </x:c>
      <x:c r="M1709" t="str">
        <x:f>IF(K1709="","",IF(L1709=1,1,FIND(CHAR(1),SUBSTITUTE(INDEX($B$3:$B$168,K1709),CHAR(10),CHAR(1),L1709-1))+1))</x:f>
      </x:c>
      <x:c r="N1709" t="str">
        <x:f>IF(K1709="","",IFERROR(FIND(CHAR(1),SUBSTITUTE(INDEX($B$3:$B$168,K1709),CHAR(10),CHAR(1),L1709)),LEN(INDEX($B$3:$B$168,K1709))+1))</x:f>
      </x:c>
    </x:row>
    <x:row r="1710">
      <x:c r="A1710"/>
      <x:c r="B1710"/>
      <x:c r="C1710"/>
      <x:c r="D1710" t="str">
        <x:f>IFERROR(IF(1708&lt;=$O$1,INDEX($A$3:$A$168,MATCH(1708,$I$3:$I$168,0)),IF(1708&lt;=$O$1+$O$2,INDEX($F$3:$F$1994,MATCH(1708-$O$1,$G$3:$G$1994,0)),"")),"")</x:f>
      </x:c>
      <x:c r="E1710" t="str">
        <x:f>IF(K1710="","",IF(N1710&lt;=M1710,"",TRIM(CLEAN(MID(INDEX($B$3:$B$168,K1710),M1710,N1710-M1710)))))</x:f>
      </x:c>
      <x:c r="F1710" t="str">
        <x:f>IF(E1710="","",IF(E1710=TRIM(INDEX($A$3:$A$168,K1710)),"",IF(RIGHT(TRIM(INDEX($A$3:$A$168,K1710)),1)="]",LEFT(TRIM(INDEX($A$3:$A$168,K1710)),LEN(TRIM(INDEX($A$3:$A$168,K1710)))-1)&amp;", "&amp;SUBSTITUTE(SUBSTITUTE(SUBSTITUTE(E1710," [",", "),"[",", "),"]","")&amp;"]",TRIM(INDEX($A$3:$A$168,K1710))&amp;" ["&amp;SUBSTITUTE(SUBSTITUTE(SUBSTITUTE(E1710," [",", "),"[",", "),"]","")&amp;"]")))</x:f>
      </x:c>
      <x:c r="G1710" t="str">
        <x:f>IF(F1710&lt;&gt;"",ROWS($F$3:F1710)-COUNTBLANK($F$3:F1710),"")</x:f>
      </x:c>
      <x:c r="H1710"/>
      <x:c r="I1710"/>
      <x:c r="J1710"/>
      <x:c r="K1710" t="str">
        <x:f>IF(ROW()-ROW($K$2)&lt;=SUM($J$3:$J$168),COUNTIF($H$3:$H$168,"&lt;"&amp;(ROW()-ROW($K$2))),"")</x:f>
      </x:c>
      <x:c r="L1710" t="str">
        <x:f>IF(K1710="","",ROW()-ROW($L$2)-INDEX($H$3:$H$168,K1710))</x:f>
      </x:c>
      <x:c r="M1710" t="str">
        <x:f>IF(K1710="","",IF(L1710=1,1,FIND(CHAR(1),SUBSTITUTE(INDEX($B$3:$B$168,K1710),CHAR(10),CHAR(1),L1710-1))+1))</x:f>
      </x:c>
      <x:c r="N1710" t="str">
        <x:f>IF(K1710="","",IFERROR(FIND(CHAR(1),SUBSTITUTE(INDEX($B$3:$B$168,K1710),CHAR(10),CHAR(1),L1710)),LEN(INDEX($B$3:$B$168,K1710))+1))</x:f>
      </x:c>
    </x:row>
    <x:row r="1711">
      <x:c r="A1711"/>
      <x:c r="B1711"/>
      <x:c r="C1711"/>
      <x:c r="D1711" t="str">
        <x:f>IFERROR(IF(1709&lt;=$O$1,INDEX($A$3:$A$168,MATCH(1709,$I$3:$I$168,0)),IF(1709&lt;=$O$1+$O$2,INDEX($F$3:$F$1994,MATCH(1709-$O$1,$G$3:$G$1994,0)),"")),"")</x:f>
      </x:c>
      <x:c r="E1711" t="str">
        <x:f>IF(K1711="","",IF(N1711&lt;=M1711,"",TRIM(CLEAN(MID(INDEX($B$3:$B$168,K1711),M1711,N1711-M1711)))))</x:f>
      </x:c>
      <x:c r="F1711" t="str">
        <x:f>IF(E1711="","",IF(E1711=TRIM(INDEX($A$3:$A$168,K1711)),"",IF(RIGHT(TRIM(INDEX($A$3:$A$168,K1711)),1)="]",LEFT(TRIM(INDEX($A$3:$A$168,K1711)),LEN(TRIM(INDEX($A$3:$A$168,K1711)))-1)&amp;", "&amp;SUBSTITUTE(SUBSTITUTE(SUBSTITUTE(E1711," [",", "),"[",", "),"]","")&amp;"]",TRIM(INDEX($A$3:$A$168,K1711))&amp;" ["&amp;SUBSTITUTE(SUBSTITUTE(SUBSTITUTE(E1711," [",", "),"[",", "),"]","")&amp;"]")))</x:f>
      </x:c>
      <x:c r="G1711" t="str">
        <x:f>IF(F1711&lt;&gt;"",ROWS($F$3:F1711)-COUNTBLANK($F$3:F1711),"")</x:f>
      </x:c>
      <x:c r="H1711"/>
      <x:c r="I1711"/>
      <x:c r="J1711"/>
      <x:c r="K1711" t="str">
        <x:f>IF(ROW()-ROW($K$2)&lt;=SUM($J$3:$J$168),COUNTIF($H$3:$H$168,"&lt;"&amp;(ROW()-ROW($K$2))),"")</x:f>
      </x:c>
      <x:c r="L1711" t="str">
        <x:f>IF(K1711="","",ROW()-ROW($L$2)-INDEX($H$3:$H$168,K1711))</x:f>
      </x:c>
      <x:c r="M1711" t="str">
        <x:f>IF(K1711="","",IF(L1711=1,1,FIND(CHAR(1),SUBSTITUTE(INDEX($B$3:$B$168,K1711),CHAR(10),CHAR(1),L1711-1))+1))</x:f>
      </x:c>
      <x:c r="N1711" t="str">
        <x:f>IF(K1711="","",IFERROR(FIND(CHAR(1),SUBSTITUTE(INDEX($B$3:$B$168,K1711),CHAR(10),CHAR(1),L1711)),LEN(INDEX($B$3:$B$168,K1711))+1))</x:f>
      </x:c>
    </x:row>
    <x:row r="1712">
      <x:c r="A1712"/>
      <x:c r="B1712"/>
      <x:c r="C1712"/>
      <x:c r="D1712" t="str">
        <x:f>IFERROR(IF(1710&lt;=$O$1,INDEX($A$3:$A$168,MATCH(1710,$I$3:$I$168,0)),IF(1710&lt;=$O$1+$O$2,INDEX($F$3:$F$1994,MATCH(1710-$O$1,$G$3:$G$1994,0)),"")),"")</x:f>
      </x:c>
      <x:c r="E1712" t="str">
        <x:f>IF(K1712="","",IF(N1712&lt;=M1712,"",TRIM(CLEAN(MID(INDEX($B$3:$B$168,K1712),M1712,N1712-M1712)))))</x:f>
      </x:c>
      <x:c r="F1712" t="str">
        <x:f>IF(E1712="","",IF(E1712=TRIM(INDEX($A$3:$A$168,K1712)),"",IF(RIGHT(TRIM(INDEX($A$3:$A$168,K1712)),1)="]",LEFT(TRIM(INDEX($A$3:$A$168,K1712)),LEN(TRIM(INDEX($A$3:$A$168,K1712)))-1)&amp;", "&amp;SUBSTITUTE(SUBSTITUTE(SUBSTITUTE(E1712," [",", "),"[",", "),"]","")&amp;"]",TRIM(INDEX($A$3:$A$168,K1712))&amp;" ["&amp;SUBSTITUTE(SUBSTITUTE(SUBSTITUTE(E1712," [",", "),"[",", "),"]","")&amp;"]")))</x:f>
      </x:c>
      <x:c r="G1712" t="str">
        <x:f>IF(F1712&lt;&gt;"",ROWS($F$3:F1712)-COUNTBLANK($F$3:F1712),"")</x:f>
      </x:c>
      <x:c r="H1712"/>
      <x:c r="I1712"/>
      <x:c r="J1712"/>
      <x:c r="K1712" t="str">
        <x:f>IF(ROW()-ROW($K$2)&lt;=SUM($J$3:$J$168),COUNTIF($H$3:$H$168,"&lt;"&amp;(ROW()-ROW($K$2))),"")</x:f>
      </x:c>
      <x:c r="L1712" t="str">
        <x:f>IF(K1712="","",ROW()-ROW($L$2)-INDEX($H$3:$H$168,K1712))</x:f>
      </x:c>
      <x:c r="M1712" t="str">
        <x:f>IF(K1712="","",IF(L1712=1,1,FIND(CHAR(1),SUBSTITUTE(INDEX($B$3:$B$168,K1712),CHAR(10),CHAR(1),L1712-1))+1))</x:f>
      </x:c>
      <x:c r="N1712" t="str">
        <x:f>IF(K1712="","",IFERROR(FIND(CHAR(1),SUBSTITUTE(INDEX($B$3:$B$168,K1712),CHAR(10),CHAR(1),L1712)),LEN(INDEX($B$3:$B$168,K1712))+1))</x:f>
      </x:c>
    </x:row>
    <x:row r="1713">
      <x:c r="A1713"/>
      <x:c r="B1713"/>
      <x:c r="C1713"/>
      <x:c r="D1713" t="str">
        <x:f>IFERROR(IF(1711&lt;=$O$1,INDEX($A$3:$A$168,MATCH(1711,$I$3:$I$168,0)),IF(1711&lt;=$O$1+$O$2,INDEX($F$3:$F$1994,MATCH(1711-$O$1,$G$3:$G$1994,0)),"")),"")</x:f>
      </x:c>
      <x:c r="E1713" t="str">
        <x:f>IF(K1713="","",IF(N1713&lt;=M1713,"",TRIM(CLEAN(MID(INDEX($B$3:$B$168,K1713),M1713,N1713-M1713)))))</x:f>
      </x:c>
      <x:c r="F1713" t="str">
        <x:f>IF(E1713="","",IF(E1713=TRIM(INDEX($A$3:$A$168,K1713)),"",IF(RIGHT(TRIM(INDEX($A$3:$A$168,K1713)),1)="]",LEFT(TRIM(INDEX($A$3:$A$168,K1713)),LEN(TRIM(INDEX($A$3:$A$168,K1713)))-1)&amp;", "&amp;SUBSTITUTE(SUBSTITUTE(SUBSTITUTE(E1713," [",", "),"[",", "),"]","")&amp;"]",TRIM(INDEX($A$3:$A$168,K1713))&amp;" ["&amp;SUBSTITUTE(SUBSTITUTE(SUBSTITUTE(E1713," [",", "),"[",", "),"]","")&amp;"]")))</x:f>
      </x:c>
      <x:c r="G1713" t="str">
        <x:f>IF(F1713&lt;&gt;"",ROWS($F$3:F1713)-COUNTBLANK($F$3:F1713),"")</x:f>
      </x:c>
      <x:c r="H1713"/>
      <x:c r="I1713"/>
      <x:c r="J1713"/>
      <x:c r="K1713" t="str">
        <x:f>IF(ROW()-ROW($K$2)&lt;=SUM($J$3:$J$168),COUNTIF($H$3:$H$168,"&lt;"&amp;(ROW()-ROW($K$2))),"")</x:f>
      </x:c>
      <x:c r="L1713" t="str">
        <x:f>IF(K1713="","",ROW()-ROW($L$2)-INDEX($H$3:$H$168,K1713))</x:f>
      </x:c>
      <x:c r="M1713" t="str">
        <x:f>IF(K1713="","",IF(L1713=1,1,FIND(CHAR(1),SUBSTITUTE(INDEX($B$3:$B$168,K1713),CHAR(10),CHAR(1),L1713-1))+1))</x:f>
      </x:c>
      <x:c r="N1713" t="str">
        <x:f>IF(K1713="","",IFERROR(FIND(CHAR(1),SUBSTITUTE(INDEX($B$3:$B$168,K1713),CHAR(10),CHAR(1),L1713)),LEN(INDEX($B$3:$B$168,K1713))+1))</x:f>
      </x:c>
    </x:row>
    <x:row r="1714">
      <x:c r="A1714"/>
      <x:c r="B1714"/>
      <x:c r="C1714"/>
      <x:c r="D1714" t="str">
        <x:f>IFERROR(IF(1712&lt;=$O$1,INDEX($A$3:$A$168,MATCH(1712,$I$3:$I$168,0)),IF(1712&lt;=$O$1+$O$2,INDEX($F$3:$F$1994,MATCH(1712-$O$1,$G$3:$G$1994,0)),"")),"")</x:f>
      </x:c>
      <x:c r="E1714" t="str">
        <x:f>IF(K1714="","",IF(N1714&lt;=M1714,"",TRIM(CLEAN(MID(INDEX($B$3:$B$168,K1714),M1714,N1714-M1714)))))</x:f>
      </x:c>
      <x:c r="F1714" t="str">
        <x:f>IF(E1714="","",IF(E1714=TRIM(INDEX($A$3:$A$168,K1714)),"",IF(RIGHT(TRIM(INDEX($A$3:$A$168,K1714)),1)="]",LEFT(TRIM(INDEX($A$3:$A$168,K1714)),LEN(TRIM(INDEX($A$3:$A$168,K1714)))-1)&amp;", "&amp;SUBSTITUTE(SUBSTITUTE(SUBSTITUTE(E1714," [",", "),"[",", "),"]","")&amp;"]",TRIM(INDEX($A$3:$A$168,K1714))&amp;" ["&amp;SUBSTITUTE(SUBSTITUTE(SUBSTITUTE(E1714," [",", "),"[",", "),"]","")&amp;"]")))</x:f>
      </x:c>
      <x:c r="G1714" t="str">
        <x:f>IF(F1714&lt;&gt;"",ROWS($F$3:F1714)-COUNTBLANK($F$3:F1714),"")</x:f>
      </x:c>
      <x:c r="H1714"/>
      <x:c r="I1714"/>
      <x:c r="J1714"/>
      <x:c r="K1714" t="str">
        <x:f>IF(ROW()-ROW($K$2)&lt;=SUM($J$3:$J$168),COUNTIF($H$3:$H$168,"&lt;"&amp;(ROW()-ROW($K$2))),"")</x:f>
      </x:c>
      <x:c r="L1714" t="str">
        <x:f>IF(K1714="","",ROW()-ROW($L$2)-INDEX($H$3:$H$168,K1714))</x:f>
      </x:c>
      <x:c r="M1714" t="str">
        <x:f>IF(K1714="","",IF(L1714=1,1,FIND(CHAR(1),SUBSTITUTE(INDEX($B$3:$B$168,K1714),CHAR(10),CHAR(1),L1714-1))+1))</x:f>
      </x:c>
      <x:c r="N1714" t="str">
        <x:f>IF(K1714="","",IFERROR(FIND(CHAR(1),SUBSTITUTE(INDEX($B$3:$B$168,K1714),CHAR(10),CHAR(1),L1714)),LEN(INDEX($B$3:$B$168,K1714))+1))</x:f>
      </x:c>
    </x:row>
    <x:row r="1715">
      <x:c r="A1715"/>
      <x:c r="B1715"/>
      <x:c r="C1715"/>
      <x:c r="D1715" t="str">
        <x:f>IFERROR(IF(1713&lt;=$O$1,INDEX($A$3:$A$168,MATCH(1713,$I$3:$I$168,0)),IF(1713&lt;=$O$1+$O$2,INDEX($F$3:$F$1994,MATCH(1713-$O$1,$G$3:$G$1994,0)),"")),"")</x:f>
      </x:c>
      <x:c r="E1715" t="str">
        <x:f>IF(K1715="","",IF(N1715&lt;=M1715,"",TRIM(CLEAN(MID(INDEX($B$3:$B$168,K1715),M1715,N1715-M1715)))))</x:f>
      </x:c>
      <x:c r="F1715" t="str">
        <x:f>IF(E1715="","",IF(E1715=TRIM(INDEX($A$3:$A$168,K1715)),"",IF(RIGHT(TRIM(INDEX($A$3:$A$168,K1715)),1)="]",LEFT(TRIM(INDEX($A$3:$A$168,K1715)),LEN(TRIM(INDEX($A$3:$A$168,K1715)))-1)&amp;", "&amp;SUBSTITUTE(SUBSTITUTE(SUBSTITUTE(E1715," [",", "),"[",", "),"]","")&amp;"]",TRIM(INDEX($A$3:$A$168,K1715))&amp;" ["&amp;SUBSTITUTE(SUBSTITUTE(SUBSTITUTE(E1715," [",", "),"[",", "),"]","")&amp;"]")))</x:f>
      </x:c>
      <x:c r="G1715" t="str">
        <x:f>IF(F1715&lt;&gt;"",ROWS($F$3:F1715)-COUNTBLANK($F$3:F1715),"")</x:f>
      </x:c>
      <x:c r="H1715"/>
      <x:c r="I1715"/>
      <x:c r="J1715"/>
      <x:c r="K1715" t="str">
        <x:f>IF(ROW()-ROW($K$2)&lt;=SUM($J$3:$J$168),COUNTIF($H$3:$H$168,"&lt;"&amp;(ROW()-ROW($K$2))),"")</x:f>
      </x:c>
      <x:c r="L1715" t="str">
        <x:f>IF(K1715="","",ROW()-ROW($L$2)-INDEX($H$3:$H$168,K1715))</x:f>
      </x:c>
      <x:c r="M1715" t="str">
        <x:f>IF(K1715="","",IF(L1715=1,1,FIND(CHAR(1),SUBSTITUTE(INDEX($B$3:$B$168,K1715),CHAR(10),CHAR(1),L1715-1))+1))</x:f>
      </x:c>
      <x:c r="N1715" t="str">
        <x:f>IF(K1715="","",IFERROR(FIND(CHAR(1),SUBSTITUTE(INDEX($B$3:$B$168,K1715),CHAR(10),CHAR(1),L1715)),LEN(INDEX($B$3:$B$168,K1715))+1))</x:f>
      </x:c>
    </x:row>
    <x:row r="1716">
      <x:c r="A1716"/>
      <x:c r="B1716"/>
      <x:c r="C1716"/>
      <x:c r="D1716" t="str">
        <x:f>IFERROR(IF(1714&lt;=$O$1,INDEX($A$3:$A$168,MATCH(1714,$I$3:$I$168,0)),IF(1714&lt;=$O$1+$O$2,INDEX($F$3:$F$1994,MATCH(1714-$O$1,$G$3:$G$1994,0)),"")),"")</x:f>
      </x:c>
      <x:c r="E1716" t="str">
        <x:f>IF(K1716="","",IF(N1716&lt;=M1716,"",TRIM(CLEAN(MID(INDEX($B$3:$B$168,K1716),M1716,N1716-M1716)))))</x:f>
      </x:c>
      <x:c r="F1716" t="str">
        <x:f>IF(E1716="","",IF(E1716=TRIM(INDEX($A$3:$A$168,K1716)),"",IF(RIGHT(TRIM(INDEX($A$3:$A$168,K1716)),1)="]",LEFT(TRIM(INDEX($A$3:$A$168,K1716)),LEN(TRIM(INDEX($A$3:$A$168,K1716)))-1)&amp;", "&amp;SUBSTITUTE(SUBSTITUTE(SUBSTITUTE(E1716," [",", "),"[",", "),"]","")&amp;"]",TRIM(INDEX($A$3:$A$168,K1716))&amp;" ["&amp;SUBSTITUTE(SUBSTITUTE(SUBSTITUTE(E1716," [",", "),"[",", "),"]","")&amp;"]")))</x:f>
      </x:c>
      <x:c r="G1716" t="str">
        <x:f>IF(F1716&lt;&gt;"",ROWS($F$3:F1716)-COUNTBLANK($F$3:F1716),"")</x:f>
      </x:c>
      <x:c r="H1716"/>
      <x:c r="I1716"/>
      <x:c r="J1716"/>
      <x:c r="K1716" t="str">
        <x:f>IF(ROW()-ROW($K$2)&lt;=SUM($J$3:$J$168),COUNTIF($H$3:$H$168,"&lt;"&amp;(ROW()-ROW($K$2))),"")</x:f>
      </x:c>
      <x:c r="L1716" t="str">
        <x:f>IF(K1716="","",ROW()-ROW($L$2)-INDEX($H$3:$H$168,K1716))</x:f>
      </x:c>
      <x:c r="M1716" t="str">
        <x:f>IF(K1716="","",IF(L1716=1,1,FIND(CHAR(1),SUBSTITUTE(INDEX($B$3:$B$168,K1716),CHAR(10),CHAR(1),L1716-1))+1))</x:f>
      </x:c>
      <x:c r="N1716" t="str">
        <x:f>IF(K1716="","",IFERROR(FIND(CHAR(1),SUBSTITUTE(INDEX($B$3:$B$168,K1716),CHAR(10),CHAR(1),L1716)),LEN(INDEX($B$3:$B$168,K1716))+1))</x:f>
      </x:c>
    </x:row>
    <x:row r="1717">
      <x:c r="A1717"/>
      <x:c r="B1717"/>
      <x:c r="C1717"/>
      <x:c r="D1717" t="str">
        <x:f>IFERROR(IF(1715&lt;=$O$1,INDEX($A$3:$A$168,MATCH(1715,$I$3:$I$168,0)),IF(1715&lt;=$O$1+$O$2,INDEX($F$3:$F$1994,MATCH(1715-$O$1,$G$3:$G$1994,0)),"")),"")</x:f>
      </x:c>
      <x:c r="E1717" t="str">
        <x:f>IF(K1717="","",IF(N1717&lt;=M1717,"",TRIM(CLEAN(MID(INDEX($B$3:$B$168,K1717),M1717,N1717-M1717)))))</x:f>
      </x:c>
      <x:c r="F1717" t="str">
        <x:f>IF(E1717="","",IF(E1717=TRIM(INDEX($A$3:$A$168,K1717)),"",IF(RIGHT(TRIM(INDEX($A$3:$A$168,K1717)),1)="]",LEFT(TRIM(INDEX($A$3:$A$168,K1717)),LEN(TRIM(INDEX($A$3:$A$168,K1717)))-1)&amp;", "&amp;SUBSTITUTE(SUBSTITUTE(SUBSTITUTE(E1717," [",", "),"[",", "),"]","")&amp;"]",TRIM(INDEX($A$3:$A$168,K1717))&amp;" ["&amp;SUBSTITUTE(SUBSTITUTE(SUBSTITUTE(E1717," [",", "),"[",", "),"]","")&amp;"]")))</x:f>
      </x:c>
      <x:c r="G1717" t="str">
        <x:f>IF(F1717&lt;&gt;"",ROWS($F$3:F1717)-COUNTBLANK($F$3:F1717),"")</x:f>
      </x:c>
      <x:c r="H1717"/>
      <x:c r="I1717"/>
      <x:c r="J1717"/>
      <x:c r="K1717" t="str">
        <x:f>IF(ROW()-ROW($K$2)&lt;=SUM($J$3:$J$168),COUNTIF($H$3:$H$168,"&lt;"&amp;(ROW()-ROW($K$2))),"")</x:f>
      </x:c>
      <x:c r="L1717" t="str">
        <x:f>IF(K1717="","",ROW()-ROW($L$2)-INDEX($H$3:$H$168,K1717))</x:f>
      </x:c>
      <x:c r="M1717" t="str">
        <x:f>IF(K1717="","",IF(L1717=1,1,FIND(CHAR(1),SUBSTITUTE(INDEX($B$3:$B$168,K1717),CHAR(10),CHAR(1),L1717-1))+1))</x:f>
      </x:c>
      <x:c r="N1717" t="str">
        <x:f>IF(K1717="","",IFERROR(FIND(CHAR(1),SUBSTITUTE(INDEX($B$3:$B$168,K1717),CHAR(10),CHAR(1),L1717)),LEN(INDEX($B$3:$B$168,K1717))+1))</x:f>
      </x:c>
    </x:row>
    <x:row r="1718">
      <x:c r="A1718"/>
      <x:c r="B1718"/>
      <x:c r="C1718"/>
      <x:c r="D1718" t="str">
        <x:f>IFERROR(IF(1716&lt;=$O$1,INDEX($A$3:$A$168,MATCH(1716,$I$3:$I$168,0)),IF(1716&lt;=$O$1+$O$2,INDEX($F$3:$F$1994,MATCH(1716-$O$1,$G$3:$G$1994,0)),"")),"")</x:f>
      </x:c>
      <x:c r="E1718" t="str">
        <x:f>IF(K1718="","",IF(N1718&lt;=M1718,"",TRIM(CLEAN(MID(INDEX($B$3:$B$168,K1718),M1718,N1718-M1718)))))</x:f>
      </x:c>
      <x:c r="F1718" t="str">
        <x:f>IF(E1718="","",IF(E1718=TRIM(INDEX($A$3:$A$168,K1718)),"",IF(RIGHT(TRIM(INDEX($A$3:$A$168,K1718)),1)="]",LEFT(TRIM(INDEX($A$3:$A$168,K1718)),LEN(TRIM(INDEX($A$3:$A$168,K1718)))-1)&amp;", "&amp;SUBSTITUTE(SUBSTITUTE(SUBSTITUTE(E1718," [",", "),"[",", "),"]","")&amp;"]",TRIM(INDEX($A$3:$A$168,K1718))&amp;" ["&amp;SUBSTITUTE(SUBSTITUTE(SUBSTITUTE(E1718," [",", "),"[",", "),"]","")&amp;"]")))</x:f>
      </x:c>
      <x:c r="G1718" t="str">
        <x:f>IF(F1718&lt;&gt;"",ROWS($F$3:F1718)-COUNTBLANK($F$3:F1718),"")</x:f>
      </x:c>
      <x:c r="H1718"/>
      <x:c r="I1718"/>
      <x:c r="J1718"/>
      <x:c r="K1718" t="str">
        <x:f>IF(ROW()-ROW($K$2)&lt;=SUM($J$3:$J$168),COUNTIF($H$3:$H$168,"&lt;"&amp;(ROW()-ROW($K$2))),"")</x:f>
      </x:c>
      <x:c r="L1718" t="str">
        <x:f>IF(K1718="","",ROW()-ROW($L$2)-INDEX($H$3:$H$168,K1718))</x:f>
      </x:c>
      <x:c r="M1718" t="str">
        <x:f>IF(K1718="","",IF(L1718=1,1,FIND(CHAR(1),SUBSTITUTE(INDEX($B$3:$B$168,K1718),CHAR(10),CHAR(1),L1718-1))+1))</x:f>
      </x:c>
      <x:c r="N1718" t="str">
        <x:f>IF(K1718="","",IFERROR(FIND(CHAR(1),SUBSTITUTE(INDEX($B$3:$B$168,K1718),CHAR(10),CHAR(1),L1718)),LEN(INDEX($B$3:$B$168,K1718))+1))</x:f>
      </x:c>
    </x:row>
    <x:row r="1719">
      <x:c r="A1719"/>
      <x:c r="B1719"/>
      <x:c r="C1719"/>
      <x:c r="D1719" t="str">
        <x:f>IFERROR(IF(1717&lt;=$O$1,INDEX($A$3:$A$168,MATCH(1717,$I$3:$I$168,0)),IF(1717&lt;=$O$1+$O$2,INDEX($F$3:$F$1994,MATCH(1717-$O$1,$G$3:$G$1994,0)),"")),"")</x:f>
      </x:c>
      <x:c r="E1719" t="str">
        <x:f>IF(K1719="","",IF(N1719&lt;=M1719,"",TRIM(CLEAN(MID(INDEX($B$3:$B$168,K1719),M1719,N1719-M1719)))))</x:f>
      </x:c>
      <x:c r="F1719" t="str">
        <x:f>IF(E1719="","",IF(E1719=TRIM(INDEX($A$3:$A$168,K1719)),"",IF(RIGHT(TRIM(INDEX($A$3:$A$168,K1719)),1)="]",LEFT(TRIM(INDEX($A$3:$A$168,K1719)),LEN(TRIM(INDEX($A$3:$A$168,K1719)))-1)&amp;", "&amp;SUBSTITUTE(SUBSTITUTE(SUBSTITUTE(E1719," [",", "),"[",", "),"]","")&amp;"]",TRIM(INDEX($A$3:$A$168,K1719))&amp;" ["&amp;SUBSTITUTE(SUBSTITUTE(SUBSTITUTE(E1719," [",", "),"[",", "),"]","")&amp;"]")))</x:f>
      </x:c>
      <x:c r="G1719" t="str">
        <x:f>IF(F1719&lt;&gt;"",ROWS($F$3:F1719)-COUNTBLANK($F$3:F1719),"")</x:f>
      </x:c>
      <x:c r="H1719"/>
      <x:c r="I1719"/>
      <x:c r="J1719"/>
      <x:c r="K1719" t="str">
        <x:f>IF(ROW()-ROW($K$2)&lt;=SUM($J$3:$J$168),COUNTIF($H$3:$H$168,"&lt;"&amp;(ROW()-ROW($K$2))),"")</x:f>
      </x:c>
      <x:c r="L1719" t="str">
        <x:f>IF(K1719="","",ROW()-ROW($L$2)-INDEX($H$3:$H$168,K1719))</x:f>
      </x:c>
      <x:c r="M1719" t="str">
        <x:f>IF(K1719="","",IF(L1719=1,1,FIND(CHAR(1),SUBSTITUTE(INDEX($B$3:$B$168,K1719),CHAR(10),CHAR(1),L1719-1))+1))</x:f>
      </x:c>
      <x:c r="N1719" t="str">
        <x:f>IF(K1719="","",IFERROR(FIND(CHAR(1),SUBSTITUTE(INDEX($B$3:$B$168,K1719),CHAR(10),CHAR(1),L1719)),LEN(INDEX($B$3:$B$168,K1719))+1))</x:f>
      </x:c>
    </x:row>
    <x:row r="1720">
      <x:c r="A1720"/>
      <x:c r="B1720"/>
      <x:c r="C1720"/>
      <x:c r="D1720" t="str">
        <x:f>IFERROR(IF(1718&lt;=$O$1,INDEX($A$3:$A$168,MATCH(1718,$I$3:$I$168,0)),IF(1718&lt;=$O$1+$O$2,INDEX($F$3:$F$1994,MATCH(1718-$O$1,$G$3:$G$1994,0)),"")),"")</x:f>
      </x:c>
      <x:c r="E1720" t="str">
        <x:f>IF(K1720="","",IF(N1720&lt;=M1720,"",TRIM(CLEAN(MID(INDEX($B$3:$B$168,K1720),M1720,N1720-M1720)))))</x:f>
      </x:c>
      <x:c r="F1720" t="str">
        <x:f>IF(E1720="","",IF(E1720=TRIM(INDEX($A$3:$A$168,K1720)),"",IF(RIGHT(TRIM(INDEX($A$3:$A$168,K1720)),1)="]",LEFT(TRIM(INDEX($A$3:$A$168,K1720)),LEN(TRIM(INDEX($A$3:$A$168,K1720)))-1)&amp;", "&amp;SUBSTITUTE(SUBSTITUTE(SUBSTITUTE(E1720," [",", "),"[",", "),"]","")&amp;"]",TRIM(INDEX($A$3:$A$168,K1720))&amp;" ["&amp;SUBSTITUTE(SUBSTITUTE(SUBSTITUTE(E1720," [",", "),"[",", "),"]","")&amp;"]")))</x:f>
      </x:c>
      <x:c r="G1720" t="str">
        <x:f>IF(F1720&lt;&gt;"",ROWS($F$3:F1720)-COUNTBLANK($F$3:F1720),"")</x:f>
      </x:c>
      <x:c r="H1720"/>
      <x:c r="I1720"/>
      <x:c r="J1720"/>
      <x:c r="K1720" t="str">
        <x:f>IF(ROW()-ROW($K$2)&lt;=SUM($J$3:$J$168),COUNTIF($H$3:$H$168,"&lt;"&amp;(ROW()-ROW($K$2))),"")</x:f>
      </x:c>
      <x:c r="L1720" t="str">
        <x:f>IF(K1720="","",ROW()-ROW($L$2)-INDEX($H$3:$H$168,K1720))</x:f>
      </x:c>
      <x:c r="M1720" t="str">
        <x:f>IF(K1720="","",IF(L1720=1,1,FIND(CHAR(1),SUBSTITUTE(INDEX($B$3:$B$168,K1720),CHAR(10),CHAR(1),L1720-1))+1))</x:f>
      </x:c>
      <x:c r="N1720" t="str">
        <x:f>IF(K1720="","",IFERROR(FIND(CHAR(1),SUBSTITUTE(INDEX($B$3:$B$168,K1720),CHAR(10),CHAR(1),L1720)),LEN(INDEX($B$3:$B$168,K1720))+1))</x:f>
      </x:c>
    </x:row>
    <x:row r="1721">
      <x:c r="A1721"/>
      <x:c r="B1721"/>
      <x:c r="C1721"/>
      <x:c r="D1721" t="str">
        <x:f>IFERROR(IF(1719&lt;=$O$1,INDEX($A$3:$A$168,MATCH(1719,$I$3:$I$168,0)),IF(1719&lt;=$O$1+$O$2,INDEX($F$3:$F$1994,MATCH(1719-$O$1,$G$3:$G$1994,0)),"")),"")</x:f>
      </x:c>
      <x:c r="E1721" t="str">
        <x:f>IF(K1721="","",IF(N1721&lt;=M1721,"",TRIM(CLEAN(MID(INDEX($B$3:$B$168,K1721),M1721,N1721-M1721)))))</x:f>
      </x:c>
      <x:c r="F1721" t="str">
        <x:f>IF(E1721="","",IF(E1721=TRIM(INDEX($A$3:$A$168,K1721)),"",IF(RIGHT(TRIM(INDEX($A$3:$A$168,K1721)),1)="]",LEFT(TRIM(INDEX($A$3:$A$168,K1721)),LEN(TRIM(INDEX($A$3:$A$168,K1721)))-1)&amp;", "&amp;SUBSTITUTE(SUBSTITUTE(SUBSTITUTE(E1721," [",", "),"[",", "),"]","")&amp;"]",TRIM(INDEX($A$3:$A$168,K1721))&amp;" ["&amp;SUBSTITUTE(SUBSTITUTE(SUBSTITUTE(E1721," [",", "),"[",", "),"]","")&amp;"]")))</x:f>
      </x:c>
      <x:c r="G1721" t="str">
        <x:f>IF(F1721&lt;&gt;"",ROWS($F$3:F1721)-COUNTBLANK($F$3:F1721),"")</x:f>
      </x:c>
      <x:c r="H1721"/>
      <x:c r="I1721"/>
      <x:c r="J1721"/>
      <x:c r="K1721" t="str">
        <x:f>IF(ROW()-ROW($K$2)&lt;=SUM($J$3:$J$168),COUNTIF($H$3:$H$168,"&lt;"&amp;(ROW()-ROW($K$2))),"")</x:f>
      </x:c>
      <x:c r="L1721" t="str">
        <x:f>IF(K1721="","",ROW()-ROW($L$2)-INDEX($H$3:$H$168,K1721))</x:f>
      </x:c>
      <x:c r="M1721" t="str">
        <x:f>IF(K1721="","",IF(L1721=1,1,FIND(CHAR(1),SUBSTITUTE(INDEX($B$3:$B$168,K1721),CHAR(10),CHAR(1),L1721-1))+1))</x:f>
      </x:c>
      <x:c r="N1721" t="str">
        <x:f>IF(K1721="","",IFERROR(FIND(CHAR(1),SUBSTITUTE(INDEX($B$3:$B$168,K1721),CHAR(10),CHAR(1),L1721)),LEN(INDEX($B$3:$B$168,K1721))+1))</x:f>
      </x:c>
    </x:row>
    <x:row r="1722">
      <x:c r="A1722"/>
      <x:c r="B1722"/>
      <x:c r="C1722"/>
      <x:c r="D1722" t="str">
        <x:f>IFERROR(IF(1720&lt;=$O$1,INDEX($A$3:$A$168,MATCH(1720,$I$3:$I$168,0)),IF(1720&lt;=$O$1+$O$2,INDEX($F$3:$F$1994,MATCH(1720-$O$1,$G$3:$G$1994,0)),"")),"")</x:f>
      </x:c>
      <x:c r="E1722" t="str">
        <x:f>IF(K1722="","",IF(N1722&lt;=M1722,"",TRIM(CLEAN(MID(INDEX($B$3:$B$168,K1722),M1722,N1722-M1722)))))</x:f>
      </x:c>
      <x:c r="F1722" t="str">
        <x:f>IF(E1722="","",IF(E1722=TRIM(INDEX($A$3:$A$168,K1722)),"",IF(RIGHT(TRIM(INDEX($A$3:$A$168,K1722)),1)="]",LEFT(TRIM(INDEX($A$3:$A$168,K1722)),LEN(TRIM(INDEX($A$3:$A$168,K1722)))-1)&amp;", "&amp;SUBSTITUTE(SUBSTITUTE(SUBSTITUTE(E1722," [",", "),"[",", "),"]","")&amp;"]",TRIM(INDEX($A$3:$A$168,K1722))&amp;" ["&amp;SUBSTITUTE(SUBSTITUTE(SUBSTITUTE(E1722," [",", "),"[",", "),"]","")&amp;"]")))</x:f>
      </x:c>
      <x:c r="G1722" t="str">
        <x:f>IF(F1722&lt;&gt;"",ROWS($F$3:F1722)-COUNTBLANK($F$3:F1722),"")</x:f>
      </x:c>
      <x:c r="H1722"/>
      <x:c r="I1722"/>
      <x:c r="J1722"/>
      <x:c r="K1722" t="str">
        <x:f>IF(ROW()-ROW($K$2)&lt;=SUM($J$3:$J$168),COUNTIF($H$3:$H$168,"&lt;"&amp;(ROW()-ROW($K$2))),"")</x:f>
      </x:c>
      <x:c r="L1722" t="str">
        <x:f>IF(K1722="","",ROW()-ROW($L$2)-INDEX($H$3:$H$168,K1722))</x:f>
      </x:c>
      <x:c r="M1722" t="str">
        <x:f>IF(K1722="","",IF(L1722=1,1,FIND(CHAR(1),SUBSTITUTE(INDEX($B$3:$B$168,K1722),CHAR(10),CHAR(1),L1722-1))+1))</x:f>
      </x:c>
      <x:c r="N1722" t="str">
        <x:f>IF(K1722="","",IFERROR(FIND(CHAR(1),SUBSTITUTE(INDEX($B$3:$B$168,K1722),CHAR(10),CHAR(1),L1722)),LEN(INDEX($B$3:$B$168,K1722))+1))</x:f>
      </x:c>
    </x:row>
    <x:row r="1723">
      <x:c r="A1723"/>
      <x:c r="B1723"/>
      <x:c r="C1723"/>
      <x:c r="D1723" t="str">
        <x:f>IFERROR(IF(1721&lt;=$O$1,INDEX($A$3:$A$168,MATCH(1721,$I$3:$I$168,0)),IF(1721&lt;=$O$1+$O$2,INDEX($F$3:$F$1994,MATCH(1721-$O$1,$G$3:$G$1994,0)),"")),"")</x:f>
      </x:c>
      <x:c r="E1723" t="str">
        <x:f>IF(K1723="","",IF(N1723&lt;=M1723,"",TRIM(CLEAN(MID(INDEX($B$3:$B$168,K1723),M1723,N1723-M1723)))))</x:f>
      </x:c>
      <x:c r="F1723" t="str">
        <x:f>IF(E1723="","",IF(E1723=TRIM(INDEX($A$3:$A$168,K1723)),"",IF(RIGHT(TRIM(INDEX($A$3:$A$168,K1723)),1)="]",LEFT(TRIM(INDEX($A$3:$A$168,K1723)),LEN(TRIM(INDEX($A$3:$A$168,K1723)))-1)&amp;", "&amp;SUBSTITUTE(SUBSTITUTE(SUBSTITUTE(E1723," [",", "),"[",", "),"]","")&amp;"]",TRIM(INDEX($A$3:$A$168,K1723))&amp;" ["&amp;SUBSTITUTE(SUBSTITUTE(SUBSTITUTE(E1723," [",", "),"[",", "),"]","")&amp;"]")))</x:f>
      </x:c>
      <x:c r="G1723" t="str">
        <x:f>IF(F1723&lt;&gt;"",ROWS($F$3:F1723)-COUNTBLANK($F$3:F1723),"")</x:f>
      </x:c>
      <x:c r="H1723"/>
      <x:c r="I1723"/>
      <x:c r="J1723"/>
      <x:c r="K1723" t="str">
        <x:f>IF(ROW()-ROW($K$2)&lt;=SUM($J$3:$J$168),COUNTIF($H$3:$H$168,"&lt;"&amp;(ROW()-ROW($K$2))),"")</x:f>
      </x:c>
      <x:c r="L1723" t="str">
        <x:f>IF(K1723="","",ROW()-ROW($L$2)-INDEX($H$3:$H$168,K1723))</x:f>
      </x:c>
      <x:c r="M1723" t="str">
        <x:f>IF(K1723="","",IF(L1723=1,1,FIND(CHAR(1),SUBSTITUTE(INDEX($B$3:$B$168,K1723),CHAR(10),CHAR(1),L1723-1))+1))</x:f>
      </x:c>
      <x:c r="N1723" t="str">
        <x:f>IF(K1723="","",IFERROR(FIND(CHAR(1),SUBSTITUTE(INDEX($B$3:$B$168,K1723),CHAR(10),CHAR(1),L1723)),LEN(INDEX($B$3:$B$168,K1723))+1))</x:f>
      </x:c>
    </x:row>
    <x:row r="1724">
      <x:c r="A1724"/>
      <x:c r="B1724"/>
      <x:c r="C1724"/>
      <x:c r="D1724" t="str">
        <x:f>IFERROR(IF(1722&lt;=$O$1,INDEX($A$3:$A$168,MATCH(1722,$I$3:$I$168,0)),IF(1722&lt;=$O$1+$O$2,INDEX($F$3:$F$1994,MATCH(1722-$O$1,$G$3:$G$1994,0)),"")),"")</x:f>
      </x:c>
      <x:c r="E1724" t="str">
        <x:f>IF(K1724="","",IF(N1724&lt;=M1724,"",TRIM(CLEAN(MID(INDEX($B$3:$B$168,K1724),M1724,N1724-M1724)))))</x:f>
      </x:c>
      <x:c r="F1724" t="str">
        <x:f>IF(E1724="","",IF(E1724=TRIM(INDEX($A$3:$A$168,K1724)),"",IF(RIGHT(TRIM(INDEX($A$3:$A$168,K1724)),1)="]",LEFT(TRIM(INDEX($A$3:$A$168,K1724)),LEN(TRIM(INDEX($A$3:$A$168,K1724)))-1)&amp;", "&amp;SUBSTITUTE(SUBSTITUTE(SUBSTITUTE(E1724," [",", "),"[",", "),"]","")&amp;"]",TRIM(INDEX($A$3:$A$168,K1724))&amp;" ["&amp;SUBSTITUTE(SUBSTITUTE(SUBSTITUTE(E1724," [",", "),"[",", "),"]","")&amp;"]")))</x:f>
      </x:c>
      <x:c r="G1724" t="str">
        <x:f>IF(F1724&lt;&gt;"",ROWS($F$3:F1724)-COUNTBLANK($F$3:F1724),"")</x:f>
      </x:c>
      <x:c r="H1724"/>
      <x:c r="I1724"/>
      <x:c r="J1724"/>
      <x:c r="K1724" t="str">
        <x:f>IF(ROW()-ROW($K$2)&lt;=SUM($J$3:$J$168),COUNTIF($H$3:$H$168,"&lt;"&amp;(ROW()-ROW($K$2))),"")</x:f>
      </x:c>
      <x:c r="L1724" t="str">
        <x:f>IF(K1724="","",ROW()-ROW($L$2)-INDEX($H$3:$H$168,K1724))</x:f>
      </x:c>
      <x:c r="M1724" t="str">
        <x:f>IF(K1724="","",IF(L1724=1,1,FIND(CHAR(1),SUBSTITUTE(INDEX($B$3:$B$168,K1724),CHAR(10),CHAR(1),L1724-1))+1))</x:f>
      </x:c>
      <x:c r="N1724" t="str">
        <x:f>IF(K1724="","",IFERROR(FIND(CHAR(1),SUBSTITUTE(INDEX($B$3:$B$168,K1724),CHAR(10),CHAR(1),L1724)),LEN(INDEX($B$3:$B$168,K1724))+1))</x:f>
      </x:c>
    </x:row>
    <x:row r="1725">
      <x:c r="A1725"/>
      <x:c r="B1725"/>
      <x:c r="C1725"/>
      <x:c r="D1725" t="str">
        <x:f>IFERROR(IF(1723&lt;=$O$1,INDEX($A$3:$A$168,MATCH(1723,$I$3:$I$168,0)),IF(1723&lt;=$O$1+$O$2,INDEX($F$3:$F$1994,MATCH(1723-$O$1,$G$3:$G$1994,0)),"")),"")</x:f>
      </x:c>
      <x:c r="E1725" t="str">
        <x:f>IF(K1725="","",IF(N1725&lt;=M1725,"",TRIM(CLEAN(MID(INDEX($B$3:$B$168,K1725),M1725,N1725-M1725)))))</x:f>
      </x:c>
      <x:c r="F1725" t="str">
        <x:f>IF(E1725="","",IF(E1725=TRIM(INDEX($A$3:$A$168,K1725)),"",IF(RIGHT(TRIM(INDEX($A$3:$A$168,K1725)),1)="]",LEFT(TRIM(INDEX($A$3:$A$168,K1725)),LEN(TRIM(INDEX($A$3:$A$168,K1725)))-1)&amp;", "&amp;SUBSTITUTE(SUBSTITUTE(SUBSTITUTE(E1725," [",", "),"[",", "),"]","")&amp;"]",TRIM(INDEX($A$3:$A$168,K1725))&amp;" ["&amp;SUBSTITUTE(SUBSTITUTE(SUBSTITUTE(E1725," [",", "),"[",", "),"]","")&amp;"]")))</x:f>
      </x:c>
      <x:c r="G1725" t="str">
        <x:f>IF(F1725&lt;&gt;"",ROWS($F$3:F1725)-COUNTBLANK($F$3:F1725),"")</x:f>
      </x:c>
      <x:c r="H1725"/>
      <x:c r="I1725"/>
      <x:c r="J1725"/>
      <x:c r="K1725" t="str">
        <x:f>IF(ROW()-ROW($K$2)&lt;=SUM($J$3:$J$168),COUNTIF($H$3:$H$168,"&lt;"&amp;(ROW()-ROW($K$2))),"")</x:f>
      </x:c>
      <x:c r="L1725" t="str">
        <x:f>IF(K1725="","",ROW()-ROW($L$2)-INDEX($H$3:$H$168,K1725))</x:f>
      </x:c>
      <x:c r="M1725" t="str">
        <x:f>IF(K1725="","",IF(L1725=1,1,FIND(CHAR(1),SUBSTITUTE(INDEX($B$3:$B$168,K1725),CHAR(10),CHAR(1),L1725-1))+1))</x:f>
      </x:c>
      <x:c r="N1725" t="str">
        <x:f>IF(K1725="","",IFERROR(FIND(CHAR(1),SUBSTITUTE(INDEX($B$3:$B$168,K1725),CHAR(10),CHAR(1),L1725)),LEN(INDEX($B$3:$B$168,K1725))+1))</x:f>
      </x:c>
    </x:row>
    <x:row r="1726">
      <x:c r="A1726"/>
      <x:c r="B1726"/>
      <x:c r="C1726"/>
      <x:c r="D1726" t="str">
        <x:f>IFERROR(IF(1724&lt;=$O$1,INDEX($A$3:$A$168,MATCH(1724,$I$3:$I$168,0)),IF(1724&lt;=$O$1+$O$2,INDEX($F$3:$F$1994,MATCH(1724-$O$1,$G$3:$G$1994,0)),"")),"")</x:f>
      </x:c>
      <x:c r="E1726" t="str">
        <x:f>IF(K1726="","",IF(N1726&lt;=M1726,"",TRIM(CLEAN(MID(INDEX($B$3:$B$168,K1726),M1726,N1726-M1726)))))</x:f>
      </x:c>
      <x:c r="F1726" t="str">
        <x:f>IF(E1726="","",IF(E1726=TRIM(INDEX($A$3:$A$168,K1726)),"",IF(RIGHT(TRIM(INDEX($A$3:$A$168,K1726)),1)="]",LEFT(TRIM(INDEX($A$3:$A$168,K1726)),LEN(TRIM(INDEX($A$3:$A$168,K1726)))-1)&amp;", "&amp;SUBSTITUTE(SUBSTITUTE(SUBSTITUTE(E1726," [",", "),"[",", "),"]","")&amp;"]",TRIM(INDEX($A$3:$A$168,K1726))&amp;" ["&amp;SUBSTITUTE(SUBSTITUTE(SUBSTITUTE(E1726," [",", "),"[",", "),"]","")&amp;"]")))</x:f>
      </x:c>
      <x:c r="G1726" t="str">
        <x:f>IF(F1726&lt;&gt;"",ROWS($F$3:F1726)-COUNTBLANK($F$3:F1726),"")</x:f>
      </x:c>
      <x:c r="H1726"/>
      <x:c r="I1726"/>
      <x:c r="J1726"/>
      <x:c r="K1726" t="str">
        <x:f>IF(ROW()-ROW($K$2)&lt;=SUM($J$3:$J$168),COUNTIF($H$3:$H$168,"&lt;"&amp;(ROW()-ROW($K$2))),"")</x:f>
      </x:c>
      <x:c r="L1726" t="str">
        <x:f>IF(K1726="","",ROW()-ROW($L$2)-INDEX($H$3:$H$168,K1726))</x:f>
      </x:c>
      <x:c r="M1726" t="str">
        <x:f>IF(K1726="","",IF(L1726=1,1,FIND(CHAR(1),SUBSTITUTE(INDEX($B$3:$B$168,K1726),CHAR(10),CHAR(1),L1726-1))+1))</x:f>
      </x:c>
      <x:c r="N1726" t="str">
        <x:f>IF(K1726="","",IFERROR(FIND(CHAR(1),SUBSTITUTE(INDEX($B$3:$B$168,K1726),CHAR(10),CHAR(1),L1726)),LEN(INDEX($B$3:$B$168,K1726))+1))</x:f>
      </x:c>
    </x:row>
    <x:row r="1727">
      <x:c r="A1727"/>
      <x:c r="B1727"/>
      <x:c r="C1727"/>
      <x:c r="D1727" t="str">
        <x:f>IFERROR(IF(1725&lt;=$O$1,INDEX($A$3:$A$168,MATCH(1725,$I$3:$I$168,0)),IF(1725&lt;=$O$1+$O$2,INDEX($F$3:$F$1994,MATCH(1725-$O$1,$G$3:$G$1994,0)),"")),"")</x:f>
      </x:c>
      <x:c r="E1727" t="str">
        <x:f>IF(K1727="","",IF(N1727&lt;=M1727,"",TRIM(CLEAN(MID(INDEX($B$3:$B$168,K1727),M1727,N1727-M1727)))))</x:f>
      </x:c>
      <x:c r="F1727" t="str">
        <x:f>IF(E1727="","",IF(E1727=TRIM(INDEX($A$3:$A$168,K1727)),"",IF(RIGHT(TRIM(INDEX($A$3:$A$168,K1727)),1)="]",LEFT(TRIM(INDEX($A$3:$A$168,K1727)),LEN(TRIM(INDEX($A$3:$A$168,K1727)))-1)&amp;", "&amp;SUBSTITUTE(SUBSTITUTE(SUBSTITUTE(E1727," [",", "),"[",", "),"]","")&amp;"]",TRIM(INDEX($A$3:$A$168,K1727))&amp;" ["&amp;SUBSTITUTE(SUBSTITUTE(SUBSTITUTE(E1727," [",", "),"[",", "),"]","")&amp;"]")))</x:f>
      </x:c>
      <x:c r="G1727" t="str">
        <x:f>IF(F1727&lt;&gt;"",ROWS($F$3:F1727)-COUNTBLANK($F$3:F1727),"")</x:f>
      </x:c>
      <x:c r="H1727"/>
      <x:c r="I1727"/>
      <x:c r="J1727"/>
      <x:c r="K1727" t="str">
        <x:f>IF(ROW()-ROW($K$2)&lt;=SUM($J$3:$J$168),COUNTIF($H$3:$H$168,"&lt;"&amp;(ROW()-ROW($K$2))),"")</x:f>
      </x:c>
      <x:c r="L1727" t="str">
        <x:f>IF(K1727="","",ROW()-ROW($L$2)-INDEX($H$3:$H$168,K1727))</x:f>
      </x:c>
      <x:c r="M1727" t="str">
        <x:f>IF(K1727="","",IF(L1727=1,1,FIND(CHAR(1),SUBSTITUTE(INDEX($B$3:$B$168,K1727),CHAR(10),CHAR(1),L1727-1))+1))</x:f>
      </x:c>
      <x:c r="N1727" t="str">
        <x:f>IF(K1727="","",IFERROR(FIND(CHAR(1),SUBSTITUTE(INDEX($B$3:$B$168,K1727),CHAR(10),CHAR(1),L1727)),LEN(INDEX($B$3:$B$168,K1727))+1))</x:f>
      </x:c>
    </x:row>
    <x:row r="1728">
      <x:c r="A1728"/>
      <x:c r="B1728"/>
      <x:c r="C1728"/>
      <x:c r="D1728" t="str">
        <x:f>IFERROR(IF(1726&lt;=$O$1,INDEX($A$3:$A$168,MATCH(1726,$I$3:$I$168,0)),IF(1726&lt;=$O$1+$O$2,INDEX($F$3:$F$1994,MATCH(1726-$O$1,$G$3:$G$1994,0)),"")),"")</x:f>
      </x:c>
      <x:c r="E1728" t="str">
        <x:f>IF(K1728="","",IF(N1728&lt;=M1728,"",TRIM(CLEAN(MID(INDEX($B$3:$B$168,K1728),M1728,N1728-M1728)))))</x:f>
      </x:c>
      <x:c r="F1728" t="str">
        <x:f>IF(E1728="","",IF(E1728=TRIM(INDEX($A$3:$A$168,K1728)),"",IF(RIGHT(TRIM(INDEX($A$3:$A$168,K1728)),1)="]",LEFT(TRIM(INDEX($A$3:$A$168,K1728)),LEN(TRIM(INDEX($A$3:$A$168,K1728)))-1)&amp;", "&amp;SUBSTITUTE(SUBSTITUTE(SUBSTITUTE(E1728," [",", "),"[",", "),"]","")&amp;"]",TRIM(INDEX($A$3:$A$168,K1728))&amp;" ["&amp;SUBSTITUTE(SUBSTITUTE(SUBSTITUTE(E1728," [",", "),"[",", "),"]","")&amp;"]")))</x:f>
      </x:c>
      <x:c r="G1728" t="str">
        <x:f>IF(F1728&lt;&gt;"",ROWS($F$3:F1728)-COUNTBLANK($F$3:F1728),"")</x:f>
      </x:c>
      <x:c r="H1728"/>
      <x:c r="I1728"/>
      <x:c r="J1728"/>
      <x:c r="K1728" t="str">
        <x:f>IF(ROW()-ROW($K$2)&lt;=SUM($J$3:$J$168),COUNTIF($H$3:$H$168,"&lt;"&amp;(ROW()-ROW($K$2))),"")</x:f>
      </x:c>
      <x:c r="L1728" t="str">
        <x:f>IF(K1728="","",ROW()-ROW($L$2)-INDEX($H$3:$H$168,K1728))</x:f>
      </x:c>
      <x:c r="M1728" t="str">
        <x:f>IF(K1728="","",IF(L1728=1,1,FIND(CHAR(1),SUBSTITUTE(INDEX($B$3:$B$168,K1728),CHAR(10),CHAR(1),L1728-1))+1))</x:f>
      </x:c>
      <x:c r="N1728" t="str">
        <x:f>IF(K1728="","",IFERROR(FIND(CHAR(1),SUBSTITUTE(INDEX($B$3:$B$168,K1728),CHAR(10),CHAR(1),L1728)),LEN(INDEX($B$3:$B$168,K1728))+1))</x:f>
      </x:c>
    </x:row>
    <x:row r="1729">
      <x:c r="A1729"/>
      <x:c r="B1729"/>
      <x:c r="C1729"/>
      <x:c r="D1729" t="str">
        <x:f>IFERROR(IF(1727&lt;=$O$1,INDEX($A$3:$A$168,MATCH(1727,$I$3:$I$168,0)),IF(1727&lt;=$O$1+$O$2,INDEX($F$3:$F$1994,MATCH(1727-$O$1,$G$3:$G$1994,0)),"")),"")</x:f>
      </x:c>
      <x:c r="E1729" t="str">
        <x:f>IF(K1729="","",IF(N1729&lt;=M1729,"",TRIM(CLEAN(MID(INDEX($B$3:$B$168,K1729),M1729,N1729-M1729)))))</x:f>
      </x:c>
      <x:c r="F1729" t="str">
        <x:f>IF(E1729="","",IF(E1729=TRIM(INDEX($A$3:$A$168,K1729)),"",IF(RIGHT(TRIM(INDEX($A$3:$A$168,K1729)),1)="]",LEFT(TRIM(INDEX($A$3:$A$168,K1729)),LEN(TRIM(INDEX($A$3:$A$168,K1729)))-1)&amp;", "&amp;SUBSTITUTE(SUBSTITUTE(SUBSTITUTE(E1729," [",", "),"[",", "),"]","")&amp;"]",TRIM(INDEX($A$3:$A$168,K1729))&amp;" ["&amp;SUBSTITUTE(SUBSTITUTE(SUBSTITUTE(E1729," [",", "),"[",", "),"]","")&amp;"]")))</x:f>
      </x:c>
      <x:c r="G1729" t="str">
        <x:f>IF(F1729&lt;&gt;"",ROWS($F$3:F1729)-COUNTBLANK($F$3:F1729),"")</x:f>
      </x:c>
      <x:c r="H1729"/>
      <x:c r="I1729"/>
      <x:c r="J1729"/>
      <x:c r="K1729" t="str">
        <x:f>IF(ROW()-ROW($K$2)&lt;=SUM($J$3:$J$168),COUNTIF($H$3:$H$168,"&lt;"&amp;(ROW()-ROW($K$2))),"")</x:f>
      </x:c>
      <x:c r="L1729" t="str">
        <x:f>IF(K1729="","",ROW()-ROW($L$2)-INDEX($H$3:$H$168,K1729))</x:f>
      </x:c>
      <x:c r="M1729" t="str">
        <x:f>IF(K1729="","",IF(L1729=1,1,FIND(CHAR(1),SUBSTITUTE(INDEX($B$3:$B$168,K1729),CHAR(10),CHAR(1),L1729-1))+1))</x:f>
      </x:c>
      <x:c r="N1729" t="str">
        <x:f>IF(K1729="","",IFERROR(FIND(CHAR(1),SUBSTITUTE(INDEX($B$3:$B$168,K1729),CHAR(10),CHAR(1),L1729)),LEN(INDEX($B$3:$B$168,K1729))+1))</x:f>
      </x:c>
    </x:row>
    <x:row r="1730">
      <x:c r="A1730"/>
      <x:c r="B1730"/>
      <x:c r="C1730"/>
      <x:c r="D1730" t="str">
        <x:f>IFERROR(IF(1728&lt;=$O$1,INDEX($A$3:$A$168,MATCH(1728,$I$3:$I$168,0)),IF(1728&lt;=$O$1+$O$2,INDEX($F$3:$F$1994,MATCH(1728-$O$1,$G$3:$G$1994,0)),"")),"")</x:f>
      </x:c>
      <x:c r="E1730" t="str">
        <x:f>IF(K1730="","",IF(N1730&lt;=M1730,"",TRIM(CLEAN(MID(INDEX($B$3:$B$168,K1730),M1730,N1730-M1730)))))</x:f>
      </x:c>
      <x:c r="F1730" t="str">
        <x:f>IF(E1730="","",IF(E1730=TRIM(INDEX($A$3:$A$168,K1730)),"",IF(RIGHT(TRIM(INDEX($A$3:$A$168,K1730)),1)="]",LEFT(TRIM(INDEX($A$3:$A$168,K1730)),LEN(TRIM(INDEX($A$3:$A$168,K1730)))-1)&amp;", "&amp;SUBSTITUTE(SUBSTITUTE(SUBSTITUTE(E1730," [",", "),"[",", "),"]","")&amp;"]",TRIM(INDEX($A$3:$A$168,K1730))&amp;" ["&amp;SUBSTITUTE(SUBSTITUTE(SUBSTITUTE(E1730," [",", "),"[",", "),"]","")&amp;"]")))</x:f>
      </x:c>
      <x:c r="G1730" t="str">
        <x:f>IF(F1730&lt;&gt;"",ROWS($F$3:F1730)-COUNTBLANK($F$3:F1730),"")</x:f>
      </x:c>
      <x:c r="H1730"/>
      <x:c r="I1730"/>
      <x:c r="J1730"/>
      <x:c r="K1730" t="str">
        <x:f>IF(ROW()-ROW($K$2)&lt;=SUM($J$3:$J$168),COUNTIF($H$3:$H$168,"&lt;"&amp;(ROW()-ROW($K$2))),"")</x:f>
      </x:c>
      <x:c r="L1730" t="str">
        <x:f>IF(K1730="","",ROW()-ROW($L$2)-INDEX($H$3:$H$168,K1730))</x:f>
      </x:c>
      <x:c r="M1730" t="str">
        <x:f>IF(K1730="","",IF(L1730=1,1,FIND(CHAR(1),SUBSTITUTE(INDEX($B$3:$B$168,K1730),CHAR(10),CHAR(1),L1730-1))+1))</x:f>
      </x:c>
      <x:c r="N1730" t="str">
        <x:f>IF(K1730="","",IFERROR(FIND(CHAR(1),SUBSTITUTE(INDEX($B$3:$B$168,K1730),CHAR(10),CHAR(1),L1730)),LEN(INDEX($B$3:$B$168,K1730))+1))</x:f>
      </x:c>
    </x:row>
    <x:row r="1731">
      <x:c r="A1731"/>
      <x:c r="B1731"/>
      <x:c r="C1731"/>
      <x:c r="D1731" t="str">
        <x:f>IFERROR(IF(1729&lt;=$O$1,INDEX($A$3:$A$168,MATCH(1729,$I$3:$I$168,0)),IF(1729&lt;=$O$1+$O$2,INDEX($F$3:$F$1994,MATCH(1729-$O$1,$G$3:$G$1994,0)),"")),"")</x:f>
      </x:c>
      <x:c r="E1731" t="str">
        <x:f>IF(K1731="","",IF(N1731&lt;=M1731,"",TRIM(CLEAN(MID(INDEX($B$3:$B$168,K1731),M1731,N1731-M1731)))))</x:f>
      </x:c>
      <x:c r="F1731" t="str">
        <x:f>IF(E1731="","",IF(E1731=TRIM(INDEX($A$3:$A$168,K1731)),"",IF(RIGHT(TRIM(INDEX($A$3:$A$168,K1731)),1)="]",LEFT(TRIM(INDEX($A$3:$A$168,K1731)),LEN(TRIM(INDEX($A$3:$A$168,K1731)))-1)&amp;", "&amp;SUBSTITUTE(SUBSTITUTE(SUBSTITUTE(E1731," [",", "),"[",", "),"]","")&amp;"]",TRIM(INDEX($A$3:$A$168,K1731))&amp;" ["&amp;SUBSTITUTE(SUBSTITUTE(SUBSTITUTE(E1731," [",", "),"[",", "),"]","")&amp;"]")))</x:f>
      </x:c>
      <x:c r="G1731" t="str">
        <x:f>IF(F1731&lt;&gt;"",ROWS($F$3:F1731)-COUNTBLANK($F$3:F1731),"")</x:f>
      </x:c>
      <x:c r="H1731"/>
      <x:c r="I1731"/>
      <x:c r="J1731"/>
      <x:c r="K1731" t="str">
        <x:f>IF(ROW()-ROW($K$2)&lt;=SUM($J$3:$J$168),COUNTIF($H$3:$H$168,"&lt;"&amp;(ROW()-ROW($K$2))),"")</x:f>
      </x:c>
      <x:c r="L1731" t="str">
        <x:f>IF(K1731="","",ROW()-ROW($L$2)-INDEX($H$3:$H$168,K1731))</x:f>
      </x:c>
      <x:c r="M1731" t="str">
        <x:f>IF(K1731="","",IF(L1731=1,1,FIND(CHAR(1),SUBSTITUTE(INDEX($B$3:$B$168,K1731),CHAR(10),CHAR(1),L1731-1))+1))</x:f>
      </x:c>
      <x:c r="N1731" t="str">
        <x:f>IF(K1731="","",IFERROR(FIND(CHAR(1),SUBSTITUTE(INDEX($B$3:$B$168,K1731),CHAR(10),CHAR(1),L1731)),LEN(INDEX($B$3:$B$168,K1731))+1))</x:f>
      </x:c>
    </x:row>
    <x:row r="1732">
      <x:c r="A1732"/>
      <x:c r="B1732"/>
      <x:c r="C1732"/>
      <x:c r="D1732" t="str">
        <x:f>IFERROR(IF(1730&lt;=$O$1,INDEX($A$3:$A$168,MATCH(1730,$I$3:$I$168,0)),IF(1730&lt;=$O$1+$O$2,INDEX($F$3:$F$1994,MATCH(1730-$O$1,$G$3:$G$1994,0)),"")),"")</x:f>
      </x:c>
      <x:c r="E1732" t="str">
        <x:f>IF(K1732="","",IF(N1732&lt;=M1732,"",TRIM(CLEAN(MID(INDEX($B$3:$B$168,K1732),M1732,N1732-M1732)))))</x:f>
      </x:c>
      <x:c r="F1732" t="str">
        <x:f>IF(E1732="","",IF(E1732=TRIM(INDEX($A$3:$A$168,K1732)),"",IF(RIGHT(TRIM(INDEX($A$3:$A$168,K1732)),1)="]",LEFT(TRIM(INDEX($A$3:$A$168,K1732)),LEN(TRIM(INDEX($A$3:$A$168,K1732)))-1)&amp;", "&amp;SUBSTITUTE(SUBSTITUTE(SUBSTITUTE(E1732," [",", "),"[",", "),"]","")&amp;"]",TRIM(INDEX($A$3:$A$168,K1732))&amp;" ["&amp;SUBSTITUTE(SUBSTITUTE(SUBSTITUTE(E1732," [",", "),"[",", "),"]","")&amp;"]")))</x:f>
      </x:c>
      <x:c r="G1732" t="str">
        <x:f>IF(F1732&lt;&gt;"",ROWS($F$3:F1732)-COUNTBLANK($F$3:F1732),"")</x:f>
      </x:c>
      <x:c r="H1732"/>
      <x:c r="I1732"/>
      <x:c r="J1732"/>
      <x:c r="K1732" t="str">
        <x:f>IF(ROW()-ROW($K$2)&lt;=SUM($J$3:$J$168),COUNTIF($H$3:$H$168,"&lt;"&amp;(ROW()-ROW($K$2))),"")</x:f>
      </x:c>
      <x:c r="L1732" t="str">
        <x:f>IF(K1732="","",ROW()-ROW($L$2)-INDEX($H$3:$H$168,K1732))</x:f>
      </x:c>
      <x:c r="M1732" t="str">
        <x:f>IF(K1732="","",IF(L1732=1,1,FIND(CHAR(1),SUBSTITUTE(INDEX($B$3:$B$168,K1732),CHAR(10),CHAR(1),L1732-1))+1))</x:f>
      </x:c>
      <x:c r="N1732" t="str">
        <x:f>IF(K1732="","",IFERROR(FIND(CHAR(1),SUBSTITUTE(INDEX($B$3:$B$168,K1732),CHAR(10),CHAR(1),L1732)),LEN(INDEX($B$3:$B$168,K1732))+1))</x:f>
      </x:c>
    </x:row>
    <x:row r="1733">
      <x:c r="A1733"/>
      <x:c r="B1733"/>
      <x:c r="C1733"/>
      <x:c r="D1733" t="str">
        <x:f>IFERROR(IF(1731&lt;=$O$1,INDEX($A$3:$A$168,MATCH(1731,$I$3:$I$168,0)),IF(1731&lt;=$O$1+$O$2,INDEX($F$3:$F$1994,MATCH(1731-$O$1,$G$3:$G$1994,0)),"")),"")</x:f>
      </x:c>
      <x:c r="E1733" t="str">
        <x:f>IF(K1733="","",IF(N1733&lt;=M1733,"",TRIM(CLEAN(MID(INDEX($B$3:$B$168,K1733),M1733,N1733-M1733)))))</x:f>
      </x:c>
      <x:c r="F1733" t="str">
        <x:f>IF(E1733="","",IF(E1733=TRIM(INDEX($A$3:$A$168,K1733)),"",IF(RIGHT(TRIM(INDEX($A$3:$A$168,K1733)),1)="]",LEFT(TRIM(INDEX($A$3:$A$168,K1733)),LEN(TRIM(INDEX($A$3:$A$168,K1733)))-1)&amp;", "&amp;SUBSTITUTE(SUBSTITUTE(SUBSTITUTE(E1733," [",", "),"[",", "),"]","")&amp;"]",TRIM(INDEX($A$3:$A$168,K1733))&amp;" ["&amp;SUBSTITUTE(SUBSTITUTE(SUBSTITUTE(E1733," [",", "),"[",", "),"]","")&amp;"]")))</x:f>
      </x:c>
      <x:c r="G1733" t="str">
        <x:f>IF(F1733&lt;&gt;"",ROWS($F$3:F1733)-COUNTBLANK($F$3:F1733),"")</x:f>
      </x:c>
      <x:c r="H1733"/>
      <x:c r="I1733"/>
      <x:c r="J1733"/>
      <x:c r="K1733" t="str">
        <x:f>IF(ROW()-ROW($K$2)&lt;=SUM($J$3:$J$168),COUNTIF($H$3:$H$168,"&lt;"&amp;(ROW()-ROW($K$2))),"")</x:f>
      </x:c>
      <x:c r="L1733" t="str">
        <x:f>IF(K1733="","",ROW()-ROW($L$2)-INDEX($H$3:$H$168,K1733))</x:f>
      </x:c>
      <x:c r="M1733" t="str">
        <x:f>IF(K1733="","",IF(L1733=1,1,FIND(CHAR(1),SUBSTITUTE(INDEX($B$3:$B$168,K1733),CHAR(10),CHAR(1),L1733-1))+1))</x:f>
      </x:c>
      <x:c r="N1733" t="str">
        <x:f>IF(K1733="","",IFERROR(FIND(CHAR(1),SUBSTITUTE(INDEX($B$3:$B$168,K1733),CHAR(10),CHAR(1),L1733)),LEN(INDEX($B$3:$B$168,K1733))+1))</x:f>
      </x:c>
    </x:row>
    <x:row r="1734">
      <x:c r="A1734"/>
      <x:c r="B1734"/>
      <x:c r="C1734"/>
      <x:c r="D1734" t="str">
        <x:f>IFERROR(IF(1732&lt;=$O$1,INDEX($A$3:$A$168,MATCH(1732,$I$3:$I$168,0)),IF(1732&lt;=$O$1+$O$2,INDEX($F$3:$F$1994,MATCH(1732-$O$1,$G$3:$G$1994,0)),"")),"")</x:f>
      </x:c>
      <x:c r="E1734" t="str">
        <x:f>IF(K1734="","",IF(N1734&lt;=M1734,"",TRIM(CLEAN(MID(INDEX($B$3:$B$168,K1734),M1734,N1734-M1734)))))</x:f>
      </x:c>
      <x:c r="F1734" t="str">
        <x:f>IF(E1734="","",IF(E1734=TRIM(INDEX($A$3:$A$168,K1734)),"",IF(RIGHT(TRIM(INDEX($A$3:$A$168,K1734)),1)="]",LEFT(TRIM(INDEX($A$3:$A$168,K1734)),LEN(TRIM(INDEX($A$3:$A$168,K1734)))-1)&amp;", "&amp;SUBSTITUTE(SUBSTITUTE(SUBSTITUTE(E1734," [",", "),"[",", "),"]","")&amp;"]",TRIM(INDEX($A$3:$A$168,K1734))&amp;" ["&amp;SUBSTITUTE(SUBSTITUTE(SUBSTITUTE(E1734," [",", "),"[",", "),"]","")&amp;"]")))</x:f>
      </x:c>
      <x:c r="G1734" t="str">
        <x:f>IF(F1734&lt;&gt;"",ROWS($F$3:F1734)-COUNTBLANK($F$3:F1734),"")</x:f>
      </x:c>
      <x:c r="H1734"/>
      <x:c r="I1734"/>
      <x:c r="J1734"/>
      <x:c r="K1734" t="str">
        <x:f>IF(ROW()-ROW($K$2)&lt;=SUM($J$3:$J$168),COUNTIF($H$3:$H$168,"&lt;"&amp;(ROW()-ROW($K$2))),"")</x:f>
      </x:c>
      <x:c r="L1734" t="str">
        <x:f>IF(K1734="","",ROW()-ROW($L$2)-INDEX($H$3:$H$168,K1734))</x:f>
      </x:c>
      <x:c r="M1734" t="str">
        <x:f>IF(K1734="","",IF(L1734=1,1,FIND(CHAR(1),SUBSTITUTE(INDEX($B$3:$B$168,K1734),CHAR(10),CHAR(1),L1734-1))+1))</x:f>
      </x:c>
      <x:c r="N1734" t="str">
        <x:f>IF(K1734="","",IFERROR(FIND(CHAR(1),SUBSTITUTE(INDEX($B$3:$B$168,K1734),CHAR(10),CHAR(1),L1734)),LEN(INDEX($B$3:$B$168,K1734))+1))</x:f>
      </x:c>
    </x:row>
    <x:row r="1735">
      <x:c r="A1735"/>
      <x:c r="B1735"/>
      <x:c r="C1735"/>
      <x:c r="D1735" t="str">
        <x:f>IFERROR(IF(1733&lt;=$O$1,INDEX($A$3:$A$168,MATCH(1733,$I$3:$I$168,0)),IF(1733&lt;=$O$1+$O$2,INDEX($F$3:$F$1994,MATCH(1733-$O$1,$G$3:$G$1994,0)),"")),"")</x:f>
      </x:c>
      <x:c r="E1735" t="str">
        <x:f>IF(K1735="","",IF(N1735&lt;=M1735,"",TRIM(CLEAN(MID(INDEX($B$3:$B$168,K1735),M1735,N1735-M1735)))))</x:f>
      </x:c>
      <x:c r="F1735" t="str">
        <x:f>IF(E1735="","",IF(E1735=TRIM(INDEX($A$3:$A$168,K1735)),"",IF(RIGHT(TRIM(INDEX($A$3:$A$168,K1735)),1)="]",LEFT(TRIM(INDEX($A$3:$A$168,K1735)),LEN(TRIM(INDEX($A$3:$A$168,K1735)))-1)&amp;", "&amp;SUBSTITUTE(SUBSTITUTE(SUBSTITUTE(E1735," [",", "),"[",", "),"]","")&amp;"]",TRIM(INDEX($A$3:$A$168,K1735))&amp;" ["&amp;SUBSTITUTE(SUBSTITUTE(SUBSTITUTE(E1735," [",", "),"[",", "),"]","")&amp;"]")))</x:f>
      </x:c>
      <x:c r="G1735" t="str">
        <x:f>IF(F1735&lt;&gt;"",ROWS($F$3:F1735)-COUNTBLANK($F$3:F1735),"")</x:f>
      </x:c>
      <x:c r="H1735"/>
      <x:c r="I1735"/>
      <x:c r="J1735"/>
      <x:c r="K1735" t="str">
        <x:f>IF(ROW()-ROW($K$2)&lt;=SUM($J$3:$J$168),COUNTIF($H$3:$H$168,"&lt;"&amp;(ROW()-ROW($K$2))),"")</x:f>
      </x:c>
      <x:c r="L1735" t="str">
        <x:f>IF(K1735="","",ROW()-ROW($L$2)-INDEX($H$3:$H$168,K1735))</x:f>
      </x:c>
      <x:c r="M1735" t="str">
        <x:f>IF(K1735="","",IF(L1735=1,1,FIND(CHAR(1),SUBSTITUTE(INDEX($B$3:$B$168,K1735),CHAR(10),CHAR(1),L1735-1))+1))</x:f>
      </x:c>
      <x:c r="N1735" t="str">
        <x:f>IF(K1735="","",IFERROR(FIND(CHAR(1),SUBSTITUTE(INDEX($B$3:$B$168,K1735),CHAR(10),CHAR(1),L1735)),LEN(INDEX($B$3:$B$168,K1735))+1))</x:f>
      </x:c>
    </x:row>
    <x:row r="1736">
      <x:c r="A1736"/>
      <x:c r="B1736"/>
      <x:c r="C1736"/>
      <x:c r="D1736" t="str">
        <x:f>IFERROR(IF(1734&lt;=$O$1,INDEX($A$3:$A$168,MATCH(1734,$I$3:$I$168,0)),IF(1734&lt;=$O$1+$O$2,INDEX($F$3:$F$1994,MATCH(1734-$O$1,$G$3:$G$1994,0)),"")),"")</x:f>
      </x:c>
      <x:c r="E1736" t="str">
        <x:f>IF(K1736="","",IF(N1736&lt;=M1736,"",TRIM(CLEAN(MID(INDEX($B$3:$B$168,K1736),M1736,N1736-M1736)))))</x:f>
      </x:c>
      <x:c r="F1736" t="str">
        <x:f>IF(E1736="","",IF(E1736=TRIM(INDEX($A$3:$A$168,K1736)),"",IF(RIGHT(TRIM(INDEX($A$3:$A$168,K1736)),1)="]",LEFT(TRIM(INDEX($A$3:$A$168,K1736)),LEN(TRIM(INDEX($A$3:$A$168,K1736)))-1)&amp;", "&amp;SUBSTITUTE(SUBSTITUTE(SUBSTITUTE(E1736," [",", "),"[",", "),"]","")&amp;"]",TRIM(INDEX($A$3:$A$168,K1736))&amp;" ["&amp;SUBSTITUTE(SUBSTITUTE(SUBSTITUTE(E1736," [",", "),"[",", "),"]","")&amp;"]")))</x:f>
      </x:c>
      <x:c r="G1736" t="str">
        <x:f>IF(F1736&lt;&gt;"",ROWS($F$3:F1736)-COUNTBLANK($F$3:F1736),"")</x:f>
      </x:c>
      <x:c r="H1736"/>
      <x:c r="I1736"/>
      <x:c r="J1736"/>
      <x:c r="K1736" t="str">
        <x:f>IF(ROW()-ROW($K$2)&lt;=SUM($J$3:$J$168),COUNTIF($H$3:$H$168,"&lt;"&amp;(ROW()-ROW($K$2))),"")</x:f>
      </x:c>
      <x:c r="L1736" t="str">
        <x:f>IF(K1736="","",ROW()-ROW($L$2)-INDEX($H$3:$H$168,K1736))</x:f>
      </x:c>
      <x:c r="M1736" t="str">
        <x:f>IF(K1736="","",IF(L1736=1,1,FIND(CHAR(1),SUBSTITUTE(INDEX($B$3:$B$168,K1736),CHAR(10),CHAR(1),L1736-1))+1))</x:f>
      </x:c>
      <x:c r="N1736" t="str">
        <x:f>IF(K1736="","",IFERROR(FIND(CHAR(1),SUBSTITUTE(INDEX($B$3:$B$168,K1736),CHAR(10),CHAR(1),L1736)),LEN(INDEX($B$3:$B$168,K1736))+1))</x:f>
      </x:c>
    </x:row>
    <x:row r="1737">
      <x:c r="A1737"/>
      <x:c r="B1737"/>
      <x:c r="C1737"/>
      <x:c r="D1737" t="str">
        <x:f>IFERROR(IF(1735&lt;=$O$1,INDEX($A$3:$A$168,MATCH(1735,$I$3:$I$168,0)),IF(1735&lt;=$O$1+$O$2,INDEX($F$3:$F$1994,MATCH(1735-$O$1,$G$3:$G$1994,0)),"")),"")</x:f>
      </x:c>
      <x:c r="E1737" t="str">
        <x:f>IF(K1737="","",IF(N1737&lt;=M1737,"",TRIM(CLEAN(MID(INDEX($B$3:$B$168,K1737),M1737,N1737-M1737)))))</x:f>
      </x:c>
      <x:c r="F1737" t="str">
        <x:f>IF(E1737="","",IF(E1737=TRIM(INDEX($A$3:$A$168,K1737)),"",IF(RIGHT(TRIM(INDEX($A$3:$A$168,K1737)),1)="]",LEFT(TRIM(INDEX($A$3:$A$168,K1737)),LEN(TRIM(INDEX($A$3:$A$168,K1737)))-1)&amp;", "&amp;SUBSTITUTE(SUBSTITUTE(SUBSTITUTE(E1737," [",", "),"[",", "),"]","")&amp;"]",TRIM(INDEX($A$3:$A$168,K1737))&amp;" ["&amp;SUBSTITUTE(SUBSTITUTE(SUBSTITUTE(E1737," [",", "),"[",", "),"]","")&amp;"]")))</x:f>
      </x:c>
      <x:c r="G1737" t="str">
        <x:f>IF(F1737&lt;&gt;"",ROWS($F$3:F1737)-COUNTBLANK($F$3:F1737),"")</x:f>
      </x:c>
      <x:c r="H1737"/>
      <x:c r="I1737"/>
      <x:c r="J1737"/>
      <x:c r="K1737" t="str">
        <x:f>IF(ROW()-ROW($K$2)&lt;=SUM($J$3:$J$168),COUNTIF($H$3:$H$168,"&lt;"&amp;(ROW()-ROW($K$2))),"")</x:f>
      </x:c>
      <x:c r="L1737" t="str">
        <x:f>IF(K1737="","",ROW()-ROW($L$2)-INDEX($H$3:$H$168,K1737))</x:f>
      </x:c>
      <x:c r="M1737" t="str">
        <x:f>IF(K1737="","",IF(L1737=1,1,FIND(CHAR(1),SUBSTITUTE(INDEX($B$3:$B$168,K1737),CHAR(10),CHAR(1),L1737-1))+1))</x:f>
      </x:c>
      <x:c r="N1737" t="str">
        <x:f>IF(K1737="","",IFERROR(FIND(CHAR(1),SUBSTITUTE(INDEX($B$3:$B$168,K1737),CHAR(10),CHAR(1),L1737)),LEN(INDEX($B$3:$B$168,K1737))+1))</x:f>
      </x:c>
    </x:row>
    <x:row r="1738">
      <x:c r="A1738"/>
      <x:c r="B1738"/>
      <x:c r="C1738"/>
      <x:c r="D1738" t="str">
        <x:f>IFERROR(IF(1736&lt;=$O$1,INDEX($A$3:$A$168,MATCH(1736,$I$3:$I$168,0)),IF(1736&lt;=$O$1+$O$2,INDEX($F$3:$F$1994,MATCH(1736-$O$1,$G$3:$G$1994,0)),"")),"")</x:f>
      </x:c>
      <x:c r="E1738" t="str">
        <x:f>IF(K1738="","",IF(N1738&lt;=M1738,"",TRIM(CLEAN(MID(INDEX($B$3:$B$168,K1738),M1738,N1738-M1738)))))</x:f>
      </x:c>
      <x:c r="F1738" t="str">
        <x:f>IF(E1738="","",IF(E1738=TRIM(INDEX($A$3:$A$168,K1738)),"",IF(RIGHT(TRIM(INDEX($A$3:$A$168,K1738)),1)="]",LEFT(TRIM(INDEX($A$3:$A$168,K1738)),LEN(TRIM(INDEX($A$3:$A$168,K1738)))-1)&amp;", "&amp;SUBSTITUTE(SUBSTITUTE(SUBSTITUTE(E1738," [",", "),"[",", "),"]","")&amp;"]",TRIM(INDEX($A$3:$A$168,K1738))&amp;" ["&amp;SUBSTITUTE(SUBSTITUTE(SUBSTITUTE(E1738," [",", "),"[",", "),"]","")&amp;"]")))</x:f>
      </x:c>
      <x:c r="G1738" t="str">
        <x:f>IF(F1738&lt;&gt;"",ROWS($F$3:F1738)-COUNTBLANK($F$3:F1738),"")</x:f>
      </x:c>
      <x:c r="H1738"/>
      <x:c r="I1738"/>
      <x:c r="J1738"/>
      <x:c r="K1738" t="str">
        <x:f>IF(ROW()-ROW($K$2)&lt;=SUM($J$3:$J$168),COUNTIF($H$3:$H$168,"&lt;"&amp;(ROW()-ROW($K$2))),"")</x:f>
      </x:c>
      <x:c r="L1738" t="str">
        <x:f>IF(K1738="","",ROW()-ROW($L$2)-INDEX($H$3:$H$168,K1738))</x:f>
      </x:c>
      <x:c r="M1738" t="str">
        <x:f>IF(K1738="","",IF(L1738=1,1,FIND(CHAR(1),SUBSTITUTE(INDEX($B$3:$B$168,K1738),CHAR(10),CHAR(1),L1738-1))+1))</x:f>
      </x:c>
      <x:c r="N1738" t="str">
        <x:f>IF(K1738="","",IFERROR(FIND(CHAR(1),SUBSTITUTE(INDEX($B$3:$B$168,K1738),CHAR(10),CHAR(1),L1738)),LEN(INDEX($B$3:$B$168,K1738))+1))</x:f>
      </x:c>
    </x:row>
    <x:row r="1739">
      <x:c r="A1739"/>
      <x:c r="B1739"/>
      <x:c r="C1739"/>
      <x:c r="D1739" t="str">
        <x:f>IFERROR(IF(1737&lt;=$O$1,INDEX($A$3:$A$168,MATCH(1737,$I$3:$I$168,0)),IF(1737&lt;=$O$1+$O$2,INDEX($F$3:$F$1994,MATCH(1737-$O$1,$G$3:$G$1994,0)),"")),"")</x:f>
      </x:c>
      <x:c r="E1739" t="str">
        <x:f>IF(K1739="","",IF(N1739&lt;=M1739,"",TRIM(CLEAN(MID(INDEX($B$3:$B$168,K1739),M1739,N1739-M1739)))))</x:f>
      </x:c>
      <x:c r="F1739" t="str">
        <x:f>IF(E1739="","",IF(E1739=TRIM(INDEX($A$3:$A$168,K1739)),"",IF(RIGHT(TRIM(INDEX($A$3:$A$168,K1739)),1)="]",LEFT(TRIM(INDEX($A$3:$A$168,K1739)),LEN(TRIM(INDEX($A$3:$A$168,K1739)))-1)&amp;", "&amp;SUBSTITUTE(SUBSTITUTE(SUBSTITUTE(E1739," [",", "),"[",", "),"]","")&amp;"]",TRIM(INDEX($A$3:$A$168,K1739))&amp;" ["&amp;SUBSTITUTE(SUBSTITUTE(SUBSTITUTE(E1739," [",", "),"[",", "),"]","")&amp;"]")))</x:f>
      </x:c>
      <x:c r="G1739" t="str">
        <x:f>IF(F1739&lt;&gt;"",ROWS($F$3:F1739)-COUNTBLANK($F$3:F1739),"")</x:f>
      </x:c>
      <x:c r="H1739"/>
      <x:c r="I1739"/>
      <x:c r="J1739"/>
      <x:c r="K1739" t="str">
        <x:f>IF(ROW()-ROW($K$2)&lt;=SUM($J$3:$J$168),COUNTIF($H$3:$H$168,"&lt;"&amp;(ROW()-ROW($K$2))),"")</x:f>
      </x:c>
      <x:c r="L1739" t="str">
        <x:f>IF(K1739="","",ROW()-ROW($L$2)-INDEX($H$3:$H$168,K1739))</x:f>
      </x:c>
      <x:c r="M1739" t="str">
        <x:f>IF(K1739="","",IF(L1739=1,1,FIND(CHAR(1),SUBSTITUTE(INDEX($B$3:$B$168,K1739),CHAR(10),CHAR(1),L1739-1))+1))</x:f>
      </x:c>
      <x:c r="N1739" t="str">
        <x:f>IF(K1739="","",IFERROR(FIND(CHAR(1),SUBSTITUTE(INDEX($B$3:$B$168,K1739),CHAR(10),CHAR(1),L1739)),LEN(INDEX($B$3:$B$168,K1739))+1))</x:f>
      </x:c>
    </x:row>
    <x:row r="1740">
      <x:c r="A1740"/>
      <x:c r="B1740"/>
      <x:c r="C1740"/>
      <x:c r="D1740" t="str">
        <x:f>IFERROR(IF(1738&lt;=$O$1,INDEX($A$3:$A$168,MATCH(1738,$I$3:$I$168,0)),IF(1738&lt;=$O$1+$O$2,INDEX($F$3:$F$1994,MATCH(1738-$O$1,$G$3:$G$1994,0)),"")),"")</x:f>
      </x:c>
      <x:c r="E1740" t="str">
        <x:f>IF(K1740="","",IF(N1740&lt;=M1740,"",TRIM(CLEAN(MID(INDEX($B$3:$B$168,K1740),M1740,N1740-M1740)))))</x:f>
      </x:c>
      <x:c r="F1740" t="str">
        <x:f>IF(E1740="","",IF(E1740=TRIM(INDEX($A$3:$A$168,K1740)),"",IF(RIGHT(TRIM(INDEX($A$3:$A$168,K1740)),1)="]",LEFT(TRIM(INDEX($A$3:$A$168,K1740)),LEN(TRIM(INDEX($A$3:$A$168,K1740)))-1)&amp;", "&amp;SUBSTITUTE(SUBSTITUTE(SUBSTITUTE(E1740," [",", "),"[",", "),"]","")&amp;"]",TRIM(INDEX($A$3:$A$168,K1740))&amp;" ["&amp;SUBSTITUTE(SUBSTITUTE(SUBSTITUTE(E1740," [",", "),"[",", "),"]","")&amp;"]")))</x:f>
      </x:c>
      <x:c r="G1740" t="str">
        <x:f>IF(F1740&lt;&gt;"",ROWS($F$3:F1740)-COUNTBLANK($F$3:F1740),"")</x:f>
      </x:c>
      <x:c r="H1740"/>
      <x:c r="I1740"/>
      <x:c r="J1740"/>
      <x:c r="K1740" t="str">
        <x:f>IF(ROW()-ROW($K$2)&lt;=SUM($J$3:$J$168),COUNTIF($H$3:$H$168,"&lt;"&amp;(ROW()-ROW($K$2))),"")</x:f>
      </x:c>
      <x:c r="L1740" t="str">
        <x:f>IF(K1740="","",ROW()-ROW($L$2)-INDEX($H$3:$H$168,K1740))</x:f>
      </x:c>
      <x:c r="M1740" t="str">
        <x:f>IF(K1740="","",IF(L1740=1,1,FIND(CHAR(1),SUBSTITUTE(INDEX($B$3:$B$168,K1740),CHAR(10),CHAR(1),L1740-1))+1))</x:f>
      </x:c>
      <x:c r="N1740" t="str">
        <x:f>IF(K1740="","",IFERROR(FIND(CHAR(1),SUBSTITUTE(INDEX($B$3:$B$168,K1740),CHAR(10),CHAR(1),L1740)),LEN(INDEX($B$3:$B$168,K1740))+1))</x:f>
      </x:c>
    </x:row>
    <x:row r="1741">
      <x:c r="A1741"/>
      <x:c r="B1741"/>
      <x:c r="C1741"/>
      <x:c r="D1741" t="str">
        <x:f>IFERROR(IF(1739&lt;=$O$1,INDEX($A$3:$A$168,MATCH(1739,$I$3:$I$168,0)),IF(1739&lt;=$O$1+$O$2,INDEX($F$3:$F$1994,MATCH(1739-$O$1,$G$3:$G$1994,0)),"")),"")</x:f>
      </x:c>
      <x:c r="E1741" t="str">
        <x:f>IF(K1741="","",IF(N1741&lt;=M1741,"",TRIM(CLEAN(MID(INDEX($B$3:$B$168,K1741),M1741,N1741-M1741)))))</x:f>
      </x:c>
      <x:c r="F1741" t="str">
        <x:f>IF(E1741="","",IF(E1741=TRIM(INDEX($A$3:$A$168,K1741)),"",IF(RIGHT(TRIM(INDEX($A$3:$A$168,K1741)),1)="]",LEFT(TRIM(INDEX($A$3:$A$168,K1741)),LEN(TRIM(INDEX($A$3:$A$168,K1741)))-1)&amp;", "&amp;SUBSTITUTE(SUBSTITUTE(SUBSTITUTE(E1741," [",", "),"[",", "),"]","")&amp;"]",TRIM(INDEX($A$3:$A$168,K1741))&amp;" ["&amp;SUBSTITUTE(SUBSTITUTE(SUBSTITUTE(E1741," [",", "),"[",", "),"]","")&amp;"]")))</x:f>
      </x:c>
      <x:c r="G1741" t="str">
        <x:f>IF(F1741&lt;&gt;"",ROWS($F$3:F1741)-COUNTBLANK($F$3:F1741),"")</x:f>
      </x:c>
      <x:c r="H1741"/>
      <x:c r="I1741"/>
      <x:c r="J1741"/>
      <x:c r="K1741" t="str">
        <x:f>IF(ROW()-ROW($K$2)&lt;=SUM($J$3:$J$168),COUNTIF($H$3:$H$168,"&lt;"&amp;(ROW()-ROW($K$2))),"")</x:f>
      </x:c>
      <x:c r="L1741" t="str">
        <x:f>IF(K1741="","",ROW()-ROW($L$2)-INDEX($H$3:$H$168,K1741))</x:f>
      </x:c>
      <x:c r="M1741" t="str">
        <x:f>IF(K1741="","",IF(L1741=1,1,FIND(CHAR(1),SUBSTITUTE(INDEX($B$3:$B$168,K1741),CHAR(10),CHAR(1),L1741-1))+1))</x:f>
      </x:c>
      <x:c r="N1741" t="str">
        <x:f>IF(K1741="","",IFERROR(FIND(CHAR(1),SUBSTITUTE(INDEX($B$3:$B$168,K1741),CHAR(10),CHAR(1),L1741)),LEN(INDEX($B$3:$B$168,K1741))+1))</x:f>
      </x:c>
    </x:row>
    <x:row r="1742">
      <x:c r="A1742"/>
      <x:c r="B1742"/>
      <x:c r="C1742"/>
      <x:c r="D1742" t="str">
        <x:f>IFERROR(IF(1740&lt;=$O$1,INDEX($A$3:$A$168,MATCH(1740,$I$3:$I$168,0)),IF(1740&lt;=$O$1+$O$2,INDEX($F$3:$F$1994,MATCH(1740-$O$1,$G$3:$G$1994,0)),"")),"")</x:f>
      </x:c>
      <x:c r="E1742" t="str">
        <x:f>IF(K1742="","",IF(N1742&lt;=M1742,"",TRIM(CLEAN(MID(INDEX($B$3:$B$168,K1742),M1742,N1742-M1742)))))</x:f>
      </x:c>
      <x:c r="F1742" t="str">
        <x:f>IF(E1742="","",IF(E1742=TRIM(INDEX($A$3:$A$168,K1742)),"",IF(RIGHT(TRIM(INDEX($A$3:$A$168,K1742)),1)="]",LEFT(TRIM(INDEX($A$3:$A$168,K1742)),LEN(TRIM(INDEX($A$3:$A$168,K1742)))-1)&amp;", "&amp;SUBSTITUTE(SUBSTITUTE(SUBSTITUTE(E1742," [",", "),"[",", "),"]","")&amp;"]",TRIM(INDEX($A$3:$A$168,K1742))&amp;" ["&amp;SUBSTITUTE(SUBSTITUTE(SUBSTITUTE(E1742," [",", "),"[",", "),"]","")&amp;"]")))</x:f>
      </x:c>
      <x:c r="G1742" t="str">
        <x:f>IF(F1742&lt;&gt;"",ROWS($F$3:F1742)-COUNTBLANK($F$3:F1742),"")</x:f>
      </x:c>
      <x:c r="H1742"/>
      <x:c r="I1742"/>
      <x:c r="J1742"/>
      <x:c r="K1742" t="str">
        <x:f>IF(ROW()-ROW($K$2)&lt;=SUM($J$3:$J$168),COUNTIF($H$3:$H$168,"&lt;"&amp;(ROW()-ROW($K$2))),"")</x:f>
      </x:c>
      <x:c r="L1742" t="str">
        <x:f>IF(K1742="","",ROW()-ROW($L$2)-INDEX($H$3:$H$168,K1742))</x:f>
      </x:c>
      <x:c r="M1742" t="str">
        <x:f>IF(K1742="","",IF(L1742=1,1,FIND(CHAR(1),SUBSTITUTE(INDEX($B$3:$B$168,K1742),CHAR(10),CHAR(1),L1742-1))+1))</x:f>
      </x:c>
      <x:c r="N1742" t="str">
        <x:f>IF(K1742="","",IFERROR(FIND(CHAR(1),SUBSTITUTE(INDEX($B$3:$B$168,K1742),CHAR(10),CHAR(1),L1742)),LEN(INDEX($B$3:$B$168,K1742))+1))</x:f>
      </x:c>
    </x:row>
    <x:row r="1743">
      <x:c r="A1743"/>
      <x:c r="B1743"/>
      <x:c r="C1743"/>
      <x:c r="D1743" t="str">
        <x:f>IFERROR(IF(1741&lt;=$O$1,INDEX($A$3:$A$168,MATCH(1741,$I$3:$I$168,0)),IF(1741&lt;=$O$1+$O$2,INDEX($F$3:$F$1994,MATCH(1741-$O$1,$G$3:$G$1994,0)),"")),"")</x:f>
      </x:c>
      <x:c r="E1743" t="str">
        <x:f>IF(K1743="","",IF(N1743&lt;=M1743,"",TRIM(CLEAN(MID(INDEX($B$3:$B$168,K1743),M1743,N1743-M1743)))))</x:f>
      </x:c>
      <x:c r="F1743" t="str">
        <x:f>IF(E1743="","",IF(E1743=TRIM(INDEX($A$3:$A$168,K1743)),"",IF(RIGHT(TRIM(INDEX($A$3:$A$168,K1743)),1)="]",LEFT(TRIM(INDEX($A$3:$A$168,K1743)),LEN(TRIM(INDEX($A$3:$A$168,K1743)))-1)&amp;", "&amp;SUBSTITUTE(SUBSTITUTE(SUBSTITUTE(E1743," [",", "),"[",", "),"]","")&amp;"]",TRIM(INDEX($A$3:$A$168,K1743))&amp;" ["&amp;SUBSTITUTE(SUBSTITUTE(SUBSTITUTE(E1743," [",", "),"[",", "),"]","")&amp;"]")))</x:f>
      </x:c>
      <x:c r="G1743" t="str">
        <x:f>IF(F1743&lt;&gt;"",ROWS($F$3:F1743)-COUNTBLANK($F$3:F1743),"")</x:f>
      </x:c>
      <x:c r="H1743"/>
      <x:c r="I1743"/>
      <x:c r="J1743"/>
      <x:c r="K1743" t="str">
        <x:f>IF(ROW()-ROW($K$2)&lt;=SUM($J$3:$J$168),COUNTIF($H$3:$H$168,"&lt;"&amp;(ROW()-ROW($K$2))),"")</x:f>
      </x:c>
      <x:c r="L1743" t="str">
        <x:f>IF(K1743="","",ROW()-ROW($L$2)-INDEX($H$3:$H$168,K1743))</x:f>
      </x:c>
      <x:c r="M1743" t="str">
        <x:f>IF(K1743="","",IF(L1743=1,1,FIND(CHAR(1),SUBSTITUTE(INDEX($B$3:$B$168,K1743),CHAR(10),CHAR(1),L1743-1))+1))</x:f>
      </x:c>
      <x:c r="N1743" t="str">
        <x:f>IF(K1743="","",IFERROR(FIND(CHAR(1),SUBSTITUTE(INDEX($B$3:$B$168,K1743),CHAR(10),CHAR(1),L1743)),LEN(INDEX($B$3:$B$168,K1743))+1))</x:f>
      </x:c>
    </x:row>
    <x:row r="1744">
      <x:c r="A1744"/>
      <x:c r="B1744"/>
      <x:c r="C1744"/>
      <x:c r="D1744" t="str">
        <x:f>IFERROR(IF(1742&lt;=$O$1,INDEX($A$3:$A$168,MATCH(1742,$I$3:$I$168,0)),IF(1742&lt;=$O$1+$O$2,INDEX($F$3:$F$1994,MATCH(1742-$O$1,$G$3:$G$1994,0)),"")),"")</x:f>
      </x:c>
      <x:c r="E1744" t="str">
        <x:f>IF(K1744="","",IF(N1744&lt;=M1744,"",TRIM(CLEAN(MID(INDEX($B$3:$B$168,K1744),M1744,N1744-M1744)))))</x:f>
      </x:c>
      <x:c r="F1744" t="str">
        <x:f>IF(E1744="","",IF(E1744=TRIM(INDEX($A$3:$A$168,K1744)),"",IF(RIGHT(TRIM(INDEX($A$3:$A$168,K1744)),1)="]",LEFT(TRIM(INDEX($A$3:$A$168,K1744)),LEN(TRIM(INDEX($A$3:$A$168,K1744)))-1)&amp;", "&amp;SUBSTITUTE(SUBSTITUTE(SUBSTITUTE(E1744," [",", "),"[",", "),"]","")&amp;"]",TRIM(INDEX($A$3:$A$168,K1744))&amp;" ["&amp;SUBSTITUTE(SUBSTITUTE(SUBSTITUTE(E1744," [",", "),"[",", "),"]","")&amp;"]")))</x:f>
      </x:c>
      <x:c r="G1744" t="str">
        <x:f>IF(F1744&lt;&gt;"",ROWS($F$3:F1744)-COUNTBLANK($F$3:F1744),"")</x:f>
      </x:c>
      <x:c r="H1744"/>
      <x:c r="I1744"/>
      <x:c r="J1744"/>
      <x:c r="K1744" t="str">
        <x:f>IF(ROW()-ROW($K$2)&lt;=SUM($J$3:$J$168),COUNTIF($H$3:$H$168,"&lt;"&amp;(ROW()-ROW($K$2))),"")</x:f>
      </x:c>
      <x:c r="L1744" t="str">
        <x:f>IF(K1744="","",ROW()-ROW($L$2)-INDEX($H$3:$H$168,K1744))</x:f>
      </x:c>
      <x:c r="M1744" t="str">
        <x:f>IF(K1744="","",IF(L1744=1,1,FIND(CHAR(1),SUBSTITUTE(INDEX($B$3:$B$168,K1744),CHAR(10),CHAR(1),L1744-1))+1))</x:f>
      </x:c>
      <x:c r="N1744" t="str">
        <x:f>IF(K1744="","",IFERROR(FIND(CHAR(1),SUBSTITUTE(INDEX($B$3:$B$168,K1744),CHAR(10),CHAR(1),L1744)),LEN(INDEX($B$3:$B$168,K1744))+1))</x:f>
      </x:c>
    </x:row>
    <x:row r="1745">
      <x:c r="A1745"/>
      <x:c r="B1745"/>
      <x:c r="C1745"/>
      <x:c r="D1745" t="str">
        <x:f>IFERROR(IF(1743&lt;=$O$1,INDEX($A$3:$A$168,MATCH(1743,$I$3:$I$168,0)),IF(1743&lt;=$O$1+$O$2,INDEX($F$3:$F$1994,MATCH(1743-$O$1,$G$3:$G$1994,0)),"")),"")</x:f>
      </x:c>
      <x:c r="E1745" t="str">
        <x:f>IF(K1745="","",IF(N1745&lt;=M1745,"",TRIM(CLEAN(MID(INDEX($B$3:$B$168,K1745),M1745,N1745-M1745)))))</x:f>
      </x:c>
      <x:c r="F1745" t="str">
        <x:f>IF(E1745="","",IF(E1745=TRIM(INDEX($A$3:$A$168,K1745)),"",IF(RIGHT(TRIM(INDEX($A$3:$A$168,K1745)),1)="]",LEFT(TRIM(INDEX($A$3:$A$168,K1745)),LEN(TRIM(INDEX($A$3:$A$168,K1745)))-1)&amp;", "&amp;SUBSTITUTE(SUBSTITUTE(SUBSTITUTE(E1745," [",", "),"[",", "),"]","")&amp;"]",TRIM(INDEX($A$3:$A$168,K1745))&amp;" ["&amp;SUBSTITUTE(SUBSTITUTE(SUBSTITUTE(E1745," [",", "),"[",", "),"]","")&amp;"]")))</x:f>
      </x:c>
      <x:c r="G1745" t="str">
        <x:f>IF(F1745&lt;&gt;"",ROWS($F$3:F1745)-COUNTBLANK($F$3:F1745),"")</x:f>
      </x:c>
      <x:c r="H1745"/>
      <x:c r="I1745"/>
      <x:c r="J1745"/>
      <x:c r="K1745" t="str">
        <x:f>IF(ROW()-ROW($K$2)&lt;=SUM($J$3:$J$168),COUNTIF($H$3:$H$168,"&lt;"&amp;(ROW()-ROW($K$2))),"")</x:f>
      </x:c>
      <x:c r="L1745" t="str">
        <x:f>IF(K1745="","",ROW()-ROW($L$2)-INDEX($H$3:$H$168,K1745))</x:f>
      </x:c>
      <x:c r="M1745" t="str">
        <x:f>IF(K1745="","",IF(L1745=1,1,FIND(CHAR(1),SUBSTITUTE(INDEX($B$3:$B$168,K1745),CHAR(10),CHAR(1),L1745-1))+1))</x:f>
      </x:c>
      <x:c r="N1745" t="str">
        <x:f>IF(K1745="","",IFERROR(FIND(CHAR(1),SUBSTITUTE(INDEX($B$3:$B$168,K1745),CHAR(10),CHAR(1),L1745)),LEN(INDEX($B$3:$B$168,K1745))+1))</x:f>
      </x:c>
    </x:row>
    <x:row r="1746">
      <x:c r="A1746"/>
      <x:c r="B1746"/>
      <x:c r="C1746"/>
      <x:c r="D1746" t="str">
        <x:f>IFERROR(IF(1744&lt;=$O$1,INDEX($A$3:$A$168,MATCH(1744,$I$3:$I$168,0)),IF(1744&lt;=$O$1+$O$2,INDEX($F$3:$F$1994,MATCH(1744-$O$1,$G$3:$G$1994,0)),"")),"")</x:f>
      </x:c>
      <x:c r="E1746" t="str">
        <x:f>IF(K1746="","",IF(N1746&lt;=M1746,"",TRIM(CLEAN(MID(INDEX($B$3:$B$168,K1746),M1746,N1746-M1746)))))</x:f>
      </x:c>
      <x:c r="F1746" t="str">
        <x:f>IF(E1746="","",IF(E1746=TRIM(INDEX($A$3:$A$168,K1746)),"",IF(RIGHT(TRIM(INDEX($A$3:$A$168,K1746)),1)="]",LEFT(TRIM(INDEX($A$3:$A$168,K1746)),LEN(TRIM(INDEX($A$3:$A$168,K1746)))-1)&amp;", "&amp;SUBSTITUTE(SUBSTITUTE(SUBSTITUTE(E1746," [",", "),"[",", "),"]","")&amp;"]",TRIM(INDEX($A$3:$A$168,K1746))&amp;" ["&amp;SUBSTITUTE(SUBSTITUTE(SUBSTITUTE(E1746," [",", "),"[",", "),"]","")&amp;"]")))</x:f>
      </x:c>
      <x:c r="G1746" t="str">
        <x:f>IF(F1746&lt;&gt;"",ROWS($F$3:F1746)-COUNTBLANK($F$3:F1746),"")</x:f>
      </x:c>
      <x:c r="H1746"/>
      <x:c r="I1746"/>
      <x:c r="J1746"/>
      <x:c r="K1746" t="str">
        <x:f>IF(ROW()-ROW($K$2)&lt;=SUM($J$3:$J$168),COUNTIF($H$3:$H$168,"&lt;"&amp;(ROW()-ROW($K$2))),"")</x:f>
      </x:c>
      <x:c r="L1746" t="str">
        <x:f>IF(K1746="","",ROW()-ROW($L$2)-INDEX($H$3:$H$168,K1746))</x:f>
      </x:c>
      <x:c r="M1746" t="str">
        <x:f>IF(K1746="","",IF(L1746=1,1,FIND(CHAR(1),SUBSTITUTE(INDEX($B$3:$B$168,K1746),CHAR(10),CHAR(1),L1746-1))+1))</x:f>
      </x:c>
      <x:c r="N1746" t="str">
        <x:f>IF(K1746="","",IFERROR(FIND(CHAR(1),SUBSTITUTE(INDEX($B$3:$B$168,K1746),CHAR(10),CHAR(1),L1746)),LEN(INDEX($B$3:$B$168,K1746))+1))</x:f>
      </x:c>
    </x:row>
    <x:row r="1747">
      <x:c r="A1747"/>
      <x:c r="B1747"/>
      <x:c r="C1747"/>
      <x:c r="D1747" t="str">
        <x:f>IFERROR(IF(1745&lt;=$O$1,INDEX($A$3:$A$168,MATCH(1745,$I$3:$I$168,0)),IF(1745&lt;=$O$1+$O$2,INDEX($F$3:$F$1994,MATCH(1745-$O$1,$G$3:$G$1994,0)),"")),"")</x:f>
      </x:c>
      <x:c r="E1747" t="str">
        <x:f>IF(K1747="","",IF(N1747&lt;=M1747,"",TRIM(CLEAN(MID(INDEX($B$3:$B$168,K1747),M1747,N1747-M1747)))))</x:f>
      </x:c>
      <x:c r="F1747" t="str">
        <x:f>IF(E1747="","",IF(E1747=TRIM(INDEX($A$3:$A$168,K1747)),"",IF(RIGHT(TRIM(INDEX($A$3:$A$168,K1747)),1)="]",LEFT(TRIM(INDEX($A$3:$A$168,K1747)),LEN(TRIM(INDEX($A$3:$A$168,K1747)))-1)&amp;", "&amp;SUBSTITUTE(SUBSTITUTE(SUBSTITUTE(E1747," [",", "),"[",", "),"]","")&amp;"]",TRIM(INDEX($A$3:$A$168,K1747))&amp;" ["&amp;SUBSTITUTE(SUBSTITUTE(SUBSTITUTE(E1747," [",", "),"[",", "),"]","")&amp;"]")))</x:f>
      </x:c>
      <x:c r="G1747" t="str">
        <x:f>IF(F1747&lt;&gt;"",ROWS($F$3:F1747)-COUNTBLANK($F$3:F1747),"")</x:f>
      </x:c>
      <x:c r="H1747"/>
      <x:c r="I1747"/>
      <x:c r="J1747"/>
      <x:c r="K1747" t="str">
        <x:f>IF(ROW()-ROW($K$2)&lt;=SUM($J$3:$J$168),COUNTIF($H$3:$H$168,"&lt;"&amp;(ROW()-ROW($K$2))),"")</x:f>
      </x:c>
      <x:c r="L1747" t="str">
        <x:f>IF(K1747="","",ROW()-ROW($L$2)-INDEX($H$3:$H$168,K1747))</x:f>
      </x:c>
      <x:c r="M1747" t="str">
        <x:f>IF(K1747="","",IF(L1747=1,1,FIND(CHAR(1),SUBSTITUTE(INDEX($B$3:$B$168,K1747),CHAR(10),CHAR(1),L1747-1))+1))</x:f>
      </x:c>
      <x:c r="N1747" t="str">
        <x:f>IF(K1747="","",IFERROR(FIND(CHAR(1),SUBSTITUTE(INDEX($B$3:$B$168,K1747),CHAR(10),CHAR(1),L1747)),LEN(INDEX($B$3:$B$168,K1747))+1))</x:f>
      </x:c>
    </x:row>
    <x:row r="1748">
      <x:c r="A1748"/>
      <x:c r="B1748"/>
      <x:c r="C1748"/>
      <x:c r="D1748" t="str">
        <x:f>IFERROR(IF(1746&lt;=$O$1,INDEX($A$3:$A$168,MATCH(1746,$I$3:$I$168,0)),IF(1746&lt;=$O$1+$O$2,INDEX($F$3:$F$1994,MATCH(1746-$O$1,$G$3:$G$1994,0)),"")),"")</x:f>
      </x:c>
      <x:c r="E1748" t="str">
        <x:f>IF(K1748="","",IF(N1748&lt;=M1748,"",TRIM(CLEAN(MID(INDEX($B$3:$B$168,K1748),M1748,N1748-M1748)))))</x:f>
      </x:c>
      <x:c r="F1748" t="str">
        <x:f>IF(E1748="","",IF(E1748=TRIM(INDEX($A$3:$A$168,K1748)),"",IF(RIGHT(TRIM(INDEX($A$3:$A$168,K1748)),1)="]",LEFT(TRIM(INDEX($A$3:$A$168,K1748)),LEN(TRIM(INDEX($A$3:$A$168,K1748)))-1)&amp;", "&amp;SUBSTITUTE(SUBSTITUTE(SUBSTITUTE(E1748," [",", "),"[",", "),"]","")&amp;"]",TRIM(INDEX($A$3:$A$168,K1748))&amp;" ["&amp;SUBSTITUTE(SUBSTITUTE(SUBSTITUTE(E1748," [",", "),"[",", "),"]","")&amp;"]")))</x:f>
      </x:c>
      <x:c r="G1748" t="str">
        <x:f>IF(F1748&lt;&gt;"",ROWS($F$3:F1748)-COUNTBLANK($F$3:F1748),"")</x:f>
      </x:c>
      <x:c r="H1748"/>
      <x:c r="I1748"/>
      <x:c r="J1748"/>
      <x:c r="K1748" t="str">
        <x:f>IF(ROW()-ROW($K$2)&lt;=SUM($J$3:$J$168),COUNTIF($H$3:$H$168,"&lt;"&amp;(ROW()-ROW($K$2))),"")</x:f>
      </x:c>
      <x:c r="L1748" t="str">
        <x:f>IF(K1748="","",ROW()-ROW($L$2)-INDEX($H$3:$H$168,K1748))</x:f>
      </x:c>
      <x:c r="M1748" t="str">
        <x:f>IF(K1748="","",IF(L1748=1,1,FIND(CHAR(1),SUBSTITUTE(INDEX($B$3:$B$168,K1748),CHAR(10),CHAR(1),L1748-1))+1))</x:f>
      </x:c>
      <x:c r="N1748" t="str">
        <x:f>IF(K1748="","",IFERROR(FIND(CHAR(1),SUBSTITUTE(INDEX($B$3:$B$168,K1748),CHAR(10),CHAR(1),L1748)),LEN(INDEX($B$3:$B$168,K1748))+1))</x:f>
      </x:c>
    </x:row>
    <x:row r="1749">
      <x:c r="A1749"/>
      <x:c r="B1749"/>
      <x:c r="C1749"/>
      <x:c r="D1749" t="str">
        <x:f>IFERROR(IF(1747&lt;=$O$1,INDEX($A$3:$A$168,MATCH(1747,$I$3:$I$168,0)),IF(1747&lt;=$O$1+$O$2,INDEX($F$3:$F$1994,MATCH(1747-$O$1,$G$3:$G$1994,0)),"")),"")</x:f>
      </x:c>
      <x:c r="E1749" t="str">
        <x:f>IF(K1749="","",IF(N1749&lt;=M1749,"",TRIM(CLEAN(MID(INDEX($B$3:$B$168,K1749),M1749,N1749-M1749)))))</x:f>
      </x:c>
      <x:c r="F1749" t="str">
        <x:f>IF(E1749="","",IF(E1749=TRIM(INDEX($A$3:$A$168,K1749)),"",IF(RIGHT(TRIM(INDEX($A$3:$A$168,K1749)),1)="]",LEFT(TRIM(INDEX($A$3:$A$168,K1749)),LEN(TRIM(INDEX($A$3:$A$168,K1749)))-1)&amp;", "&amp;SUBSTITUTE(SUBSTITUTE(SUBSTITUTE(E1749," [",", "),"[",", "),"]","")&amp;"]",TRIM(INDEX($A$3:$A$168,K1749))&amp;" ["&amp;SUBSTITUTE(SUBSTITUTE(SUBSTITUTE(E1749," [",", "),"[",", "),"]","")&amp;"]")))</x:f>
      </x:c>
      <x:c r="G1749" t="str">
        <x:f>IF(F1749&lt;&gt;"",ROWS($F$3:F1749)-COUNTBLANK($F$3:F1749),"")</x:f>
      </x:c>
      <x:c r="H1749"/>
      <x:c r="I1749"/>
      <x:c r="J1749"/>
      <x:c r="K1749" t="str">
        <x:f>IF(ROW()-ROW($K$2)&lt;=SUM($J$3:$J$168),COUNTIF($H$3:$H$168,"&lt;"&amp;(ROW()-ROW($K$2))),"")</x:f>
      </x:c>
      <x:c r="L1749" t="str">
        <x:f>IF(K1749="","",ROW()-ROW($L$2)-INDEX($H$3:$H$168,K1749))</x:f>
      </x:c>
      <x:c r="M1749" t="str">
        <x:f>IF(K1749="","",IF(L1749=1,1,FIND(CHAR(1),SUBSTITUTE(INDEX($B$3:$B$168,K1749),CHAR(10),CHAR(1),L1749-1))+1))</x:f>
      </x:c>
      <x:c r="N1749" t="str">
        <x:f>IF(K1749="","",IFERROR(FIND(CHAR(1),SUBSTITUTE(INDEX($B$3:$B$168,K1749),CHAR(10),CHAR(1),L1749)),LEN(INDEX($B$3:$B$168,K1749))+1))</x:f>
      </x:c>
    </x:row>
    <x:row r="1750">
      <x:c r="A1750"/>
      <x:c r="B1750"/>
      <x:c r="C1750"/>
      <x:c r="D1750" t="str">
        <x:f>IFERROR(IF(1748&lt;=$O$1,INDEX($A$3:$A$168,MATCH(1748,$I$3:$I$168,0)),IF(1748&lt;=$O$1+$O$2,INDEX($F$3:$F$1994,MATCH(1748-$O$1,$G$3:$G$1994,0)),"")),"")</x:f>
      </x:c>
      <x:c r="E1750" t="str">
        <x:f>IF(K1750="","",IF(N1750&lt;=M1750,"",TRIM(CLEAN(MID(INDEX($B$3:$B$168,K1750),M1750,N1750-M1750)))))</x:f>
      </x:c>
      <x:c r="F1750" t="str">
        <x:f>IF(E1750="","",IF(E1750=TRIM(INDEX($A$3:$A$168,K1750)),"",IF(RIGHT(TRIM(INDEX($A$3:$A$168,K1750)),1)="]",LEFT(TRIM(INDEX($A$3:$A$168,K1750)),LEN(TRIM(INDEX($A$3:$A$168,K1750)))-1)&amp;", "&amp;SUBSTITUTE(SUBSTITUTE(SUBSTITUTE(E1750," [",", "),"[",", "),"]","")&amp;"]",TRIM(INDEX($A$3:$A$168,K1750))&amp;" ["&amp;SUBSTITUTE(SUBSTITUTE(SUBSTITUTE(E1750," [",", "),"[",", "),"]","")&amp;"]")))</x:f>
      </x:c>
      <x:c r="G1750" t="str">
        <x:f>IF(F1750&lt;&gt;"",ROWS($F$3:F1750)-COUNTBLANK($F$3:F1750),"")</x:f>
      </x:c>
      <x:c r="H1750"/>
      <x:c r="I1750"/>
      <x:c r="J1750"/>
      <x:c r="K1750" t="str">
        <x:f>IF(ROW()-ROW($K$2)&lt;=SUM($J$3:$J$168),COUNTIF($H$3:$H$168,"&lt;"&amp;(ROW()-ROW($K$2))),"")</x:f>
      </x:c>
      <x:c r="L1750" t="str">
        <x:f>IF(K1750="","",ROW()-ROW($L$2)-INDEX($H$3:$H$168,K1750))</x:f>
      </x:c>
      <x:c r="M1750" t="str">
        <x:f>IF(K1750="","",IF(L1750=1,1,FIND(CHAR(1),SUBSTITUTE(INDEX($B$3:$B$168,K1750),CHAR(10),CHAR(1),L1750-1))+1))</x:f>
      </x:c>
      <x:c r="N1750" t="str">
        <x:f>IF(K1750="","",IFERROR(FIND(CHAR(1),SUBSTITUTE(INDEX($B$3:$B$168,K1750),CHAR(10),CHAR(1),L1750)),LEN(INDEX($B$3:$B$168,K1750))+1))</x:f>
      </x:c>
    </x:row>
    <x:row r="1751">
      <x:c r="A1751"/>
      <x:c r="B1751"/>
      <x:c r="C1751"/>
      <x:c r="D1751" t="str">
        <x:f>IFERROR(IF(1749&lt;=$O$1,INDEX($A$3:$A$168,MATCH(1749,$I$3:$I$168,0)),IF(1749&lt;=$O$1+$O$2,INDEX($F$3:$F$1994,MATCH(1749-$O$1,$G$3:$G$1994,0)),"")),"")</x:f>
      </x:c>
      <x:c r="E1751" t="str">
        <x:f>IF(K1751="","",IF(N1751&lt;=M1751,"",TRIM(CLEAN(MID(INDEX($B$3:$B$168,K1751),M1751,N1751-M1751)))))</x:f>
      </x:c>
      <x:c r="F1751" t="str">
        <x:f>IF(E1751="","",IF(E1751=TRIM(INDEX($A$3:$A$168,K1751)),"",IF(RIGHT(TRIM(INDEX($A$3:$A$168,K1751)),1)="]",LEFT(TRIM(INDEX($A$3:$A$168,K1751)),LEN(TRIM(INDEX($A$3:$A$168,K1751)))-1)&amp;", "&amp;SUBSTITUTE(SUBSTITUTE(SUBSTITUTE(E1751," [",", "),"[",", "),"]","")&amp;"]",TRIM(INDEX($A$3:$A$168,K1751))&amp;" ["&amp;SUBSTITUTE(SUBSTITUTE(SUBSTITUTE(E1751," [",", "),"[",", "),"]","")&amp;"]")))</x:f>
      </x:c>
      <x:c r="G1751" t="str">
        <x:f>IF(F1751&lt;&gt;"",ROWS($F$3:F1751)-COUNTBLANK($F$3:F1751),"")</x:f>
      </x:c>
      <x:c r="H1751"/>
      <x:c r="I1751"/>
      <x:c r="J1751"/>
      <x:c r="K1751" t="str">
        <x:f>IF(ROW()-ROW($K$2)&lt;=SUM($J$3:$J$168),COUNTIF($H$3:$H$168,"&lt;"&amp;(ROW()-ROW($K$2))),"")</x:f>
      </x:c>
      <x:c r="L1751" t="str">
        <x:f>IF(K1751="","",ROW()-ROW($L$2)-INDEX($H$3:$H$168,K1751))</x:f>
      </x:c>
      <x:c r="M1751" t="str">
        <x:f>IF(K1751="","",IF(L1751=1,1,FIND(CHAR(1),SUBSTITUTE(INDEX($B$3:$B$168,K1751),CHAR(10),CHAR(1),L1751-1))+1))</x:f>
      </x:c>
      <x:c r="N1751" t="str">
        <x:f>IF(K1751="","",IFERROR(FIND(CHAR(1),SUBSTITUTE(INDEX($B$3:$B$168,K1751),CHAR(10),CHAR(1),L1751)),LEN(INDEX($B$3:$B$168,K1751))+1))</x:f>
      </x:c>
    </x:row>
    <x:row r="1752">
      <x:c r="A1752"/>
      <x:c r="B1752"/>
      <x:c r="C1752"/>
      <x:c r="D1752" t="str">
        <x:f>IFERROR(IF(1750&lt;=$O$1,INDEX($A$3:$A$168,MATCH(1750,$I$3:$I$168,0)),IF(1750&lt;=$O$1+$O$2,INDEX($F$3:$F$1994,MATCH(1750-$O$1,$G$3:$G$1994,0)),"")),"")</x:f>
      </x:c>
      <x:c r="E1752" t="str">
        <x:f>IF(K1752="","",IF(N1752&lt;=M1752,"",TRIM(CLEAN(MID(INDEX($B$3:$B$168,K1752),M1752,N1752-M1752)))))</x:f>
      </x:c>
      <x:c r="F1752" t="str">
        <x:f>IF(E1752="","",IF(E1752=TRIM(INDEX($A$3:$A$168,K1752)),"",IF(RIGHT(TRIM(INDEX($A$3:$A$168,K1752)),1)="]",LEFT(TRIM(INDEX($A$3:$A$168,K1752)),LEN(TRIM(INDEX($A$3:$A$168,K1752)))-1)&amp;", "&amp;SUBSTITUTE(SUBSTITUTE(SUBSTITUTE(E1752," [",", "),"[",", "),"]","")&amp;"]",TRIM(INDEX($A$3:$A$168,K1752))&amp;" ["&amp;SUBSTITUTE(SUBSTITUTE(SUBSTITUTE(E1752," [",", "),"[",", "),"]","")&amp;"]")))</x:f>
      </x:c>
      <x:c r="G1752" t="str">
        <x:f>IF(F1752&lt;&gt;"",ROWS($F$3:F1752)-COUNTBLANK($F$3:F1752),"")</x:f>
      </x:c>
      <x:c r="H1752"/>
      <x:c r="I1752"/>
      <x:c r="J1752"/>
      <x:c r="K1752" t="str">
        <x:f>IF(ROW()-ROW($K$2)&lt;=SUM($J$3:$J$168),COUNTIF($H$3:$H$168,"&lt;"&amp;(ROW()-ROW($K$2))),"")</x:f>
      </x:c>
      <x:c r="L1752" t="str">
        <x:f>IF(K1752="","",ROW()-ROW($L$2)-INDEX($H$3:$H$168,K1752))</x:f>
      </x:c>
      <x:c r="M1752" t="str">
        <x:f>IF(K1752="","",IF(L1752=1,1,FIND(CHAR(1),SUBSTITUTE(INDEX($B$3:$B$168,K1752),CHAR(10),CHAR(1),L1752-1))+1))</x:f>
      </x:c>
      <x:c r="N1752" t="str">
        <x:f>IF(K1752="","",IFERROR(FIND(CHAR(1),SUBSTITUTE(INDEX($B$3:$B$168,K1752),CHAR(10),CHAR(1),L1752)),LEN(INDEX($B$3:$B$168,K1752))+1))</x:f>
      </x:c>
    </x:row>
    <x:row r="1753">
      <x:c r="A1753"/>
      <x:c r="B1753"/>
      <x:c r="C1753"/>
      <x:c r="D1753" t="str">
        <x:f>IFERROR(IF(1751&lt;=$O$1,INDEX($A$3:$A$168,MATCH(1751,$I$3:$I$168,0)),IF(1751&lt;=$O$1+$O$2,INDEX($F$3:$F$1994,MATCH(1751-$O$1,$G$3:$G$1994,0)),"")),"")</x:f>
      </x:c>
      <x:c r="E1753" t="str">
        <x:f>IF(K1753="","",IF(N1753&lt;=M1753,"",TRIM(CLEAN(MID(INDEX($B$3:$B$168,K1753),M1753,N1753-M1753)))))</x:f>
      </x:c>
      <x:c r="F1753" t="str">
        <x:f>IF(E1753="","",IF(E1753=TRIM(INDEX($A$3:$A$168,K1753)),"",IF(RIGHT(TRIM(INDEX($A$3:$A$168,K1753)),1)="]",LEFT(TRIM(INDEX($A$3:$A$168,K1753)),LEN(TRIM(INDEX($A$3:$A$168,K1753)))-1)&amp;", "&amp;SUBSTITUTE(SUBSTITUTE(SUBSTITUTE(E1753," [",", "),"[",", "),"]","")&amp;"]",TRIM(INDEX($A$3:$A$168,K1753))&amp;" ["&amp;SUBSTITUTE(SUBSTITUTE(SUBSTITUTE(E1753," [",", "),"[",", "),"]","")&amp;"]")))</x:f>
      </x:c>
      <x:c r="G1753" t="str">
        <x:f>IF(F1753&lt;&gt;"",ROWS($F$3:F1753)-COUNTBLANK($F$3:F1753),"")</x:f>
      </x:c>
      <x:c r="H1753"/>
      <x:c r="I1753"/>
      <x:c r="J1753"/>
      <x:c r="K1753" t="str">
        <x:f>IF(ROW()-ROW($K$2)&lt;=SUM($J$3:$J$168),COUNTIF($H$3:$H$168,"&lt;"&amp;(ROW()-ROW($K$2))),"")</x:f>
      </x:c>
      <x:c r="L1753" t="str">
        <x:f>IF(K1753="","",ROW()-ROW($L$2)-INDEX($H$3:$H$168,K1753))</x:f>
      </x:c>
      <x:c r="M1753" t="str">
        <x:f>IF(K1753="","",IF(L1753=1,1,FIND(CHAR(1),SUBSTITUTE(INDEX($B$3:$B$168,K1753),CHAR(10),CHAR(1),L1753-1))+1))</x:f>
      </x:c>
      <x:c r="N1753" t="str">
        <x:f>IF(K1753="","",IFERROR(FIND(CHAR(1),SUBSTITUTE(INDEX($B$3:$B$168,K1753),CHAR(10),CHAR(1),L1753)),LEN(INDEX($B$3:$B$168,K1753))+1))</x:f>
      </x:c>
    </x:row>
    <x:row r="1754">
      <x:c r="A1754"/>
      <x:c r="B1754"/>
      <x:c r="C1754"/>
      <x:c r="D1754" t="str">
        <x:f>IFERROR(IF(1752&lt;=$O$1,INDEX($A$3:$A$168,MATCH(1752,$I$3:$I$168,0)),IF(1752&lt;=$O$1+$O$2,INDEX($F$3:$F$1994,MATCH(1752-$O$1,$G$3:$G$1994,0)),"")),"")</x:f>
      </x:c>
      <x:c r="E1754" t="str">
        <x:f>IF(K1754="","",IF(N1754&lt;=M1754,"",TRIM(CLEAN(MID(INDEX($B$3:$B$168,K1754),M1754,N1754-M1754)))))</x:f>
      </x:c>
      <x:c r="F1754" t="str">
        <x:f>IF(E1754="","",IF(E1754=TRIM(INDEX($A$3:$A$168,K1754)),"",IF(RIGHT(TRIM(INDEX($A$3:$A$168,K1754)),1)="]",LEFT(TRIM(INDEX($A$3:$A$168,K1754)),LEN(TRIM(INDEX($A$3:$A$168,K1754)))-1)&amp;", "&amp;SUBSTITUTE(SUBSTITUTE(SUBSTITUTE(E1754," [",", "),"[",", "),"]","")&amp;"]",TRIM(INDEX($A$3:$A$168,K1754))&amp;" ["&amp;SUBSTITUTE(SUBSTITUTE(SUBSTITUTE(E1754," [",", "),"[",", "),"]","")&amp;"]")))</x:f>
      </x:c>
      <x:c r="G1754" t="str">
        <x:f>IF(F1754&lt;&gt;"",ROWS($F$3:F1754)-COUNTBLANK($F$3:F1754),"")</x:f>
      </x:c>
      <x:c r="H1754"/>
      <x:c r="I1754"/>
      <x:c r="J1754"/>
      <x:c r="K1754" t="str">
        <x:f>IF(ROW()-ROW($K$2)&lt;=SUM($J$3:$J$168),COUNTIF($H$3:$H$168,"&lt;"&amp;(ROW()-ROW($K$2))),"")</x:f>
      </x:c>
      <x:c r="L1754" t="str">
        <x:f>IF(K1754="","",ROW()-ROW($L$2)-INDEX($H$3:$H$168,K1754))</x:f>
      </x:c>
      <x:c r="M1754" t="str">
        <x:f>IF(K1754="","",IF(L1754=1,1,FIND(CHAR(1),SUBSTITUTE(INDEX($B$3:$B$168,K1754),CHAR(10),CHAR(1),L1754-1))+1))</x:f>
      </x:c>
      <x:c r="N1754" t="str">
        <x:f>IF(K1754="","",IFERROR(FIND(CHAR(1),SUBSTITUTE(INDEX($B$3:$B$168,K1754),CHAR(10),CHAR(1),L1754)),LEN(INDEX($B$3:$B$168,K1754))+1))</x:f>
      </x:c>
    </x:row>
    <x:row r="1755">
      <x:c r="A1755"/>
      <x:c r="B1755"/>
      <x:c r="C1755"/>
      <x:c r="D1755" t="str">
        <x:f>IFERROR(IF(1753&lt;=$O$1,INDEX($A$3:$A$168,MATCH(1753,$I$3:$I$168,0)),IF(1753&lt;=$O$1+$O$2,INDEX($F$3:$F$1994,MATCH(1753-$O$1,$G$3:$G$1994,0)),"")),"")</x:f>
      </x:c>
      <x:c r="E1755" t="str">
        <x:f>IF(K1755="","",IF(N1755&lt;=M1755,"",TRIM(CLEAN(MID(INDEX($B$3:$B$168,K1755),M1755,N1755-M1755)))))</x:f>
      </x:c>
      <x:c r="F1755" t="str">
        <x:f>IF(E1755="","",IF(E1755=TRIM(INDEX($A$3:$A$168,K1755)),"",IF(RIGHT(TRIM(INDEX($A$3:$A$168,K1755)),1)="]",LEFT(TRIM(INDEX($A$3:$A$168,K1755)),LEN(TRIM(INDEX($A$3:$A$168,K1755)))-1)&amp;", "&amp;SUBSTITUTE(SUBSTITUTE(SUBSTITUTE(E1755," [",", "),"[",", "),"]","")&amp;"]",TRIM(INDEX($A$3:$A$168,K1755))&amp;" ["&amp;SUBSTITUTE(SUBSTITUTE(SUBSTITUTE(E1755," [",", "),"[",", "),"]","")&amp;"]")))</x:f>
      </x:c>
      <x:c r="G1755" t="str">
        <x:f>IF(F1755&lt;&gt;"",ROWS($F$3:F1755)-COUNTBLANK($F$3:F1755),"")</x:f>
      </x:c>
      <x:c r="H1755"/>
      <x:c r="I1755"/>
      <x:c r="J1755"/>
      <x:c r="K1755" t="str">
        <x:f>IF(ROW()-ROW($K$2)&lt;=SUM($J$3:$J$168),COUNTIF($H$3:$H$168,"&lt;"&amp;(ROW()-ROW($K$2))),"")</x:f>
      </x:c>
      <x:c r="L1755" t="str">
        <x:f>IF(K1755="","",ROW()-ROW($L$2)-INDEX($H$3:$H$168,K1755))</x:f>
      </x:c>
      <x:c r="M1755" t="str">
        <x:f>IF(K1755="","",IF(L1755=1,1,FIND(CHAR(1),SUBSTITUTE(INDEX($B$3:$B$168,K1755),CHAR(10),CHAR(1),L1755-1))+1))</x:f>
      </x:c>
      <x:c r="N1755" t="str">
        <x:f>IF(K1755="","",IFERROR(FIND(CHAR(1),SUBSTITUTE(INDEX($B$3:$B$168,K1755),CHAR(10),CHAR(1),L1755)),LEN(INDEX($B$3:$B$168,K1755))+1))</x:f>
      </x:c>
    </x:row>
    <x:row r="1756">
      <x:c r="A1756"/>
      <x:c r="B1756"/>
      <x:c r="C1756"/>
      <x:c r="D1756" t="str">
        <x:f>IFERROR(IF(1754&lt;=$O$1,INDEX($A$3:$A$168,MATCH(1754,$I$3:$I$168,0)),IF(1754&lt;=$O$1+$O$2,INDEX($F$3:$F$1994,MATCH(1754-$O$1,$G$3:$G$1994,0)),"")),"")</x:f>
      </x:c>
      <x:c r="E1756" t="str">
        <x:f>IF(K1756="","",IF(N1756&lt;=M1756,"",TRIM(CLEAN(MID(INDEX($B$3:$B$168,K1756),M1756,N1756-M1756)))))</x:f>
      </x:c>
      <x:c r="F1756" t="str">
        <x:f>IF(E1756="","",IF(E1756=TRIM(INDEX($A$3:$A$168,K1756)),"",IF(RIGHT(TRIM(INDEX($A$3:$A$168,K1756)),1)="]",LEFT(TRIM(INDEX($A$3:$A$168,K1756)),LEN(TRIM(INDEX($A$3:$A$168,K1756)))-1)&amp;", "&amp;SUBSTITUTE(SUBSTITUTE(SUBSTITUTE(E1756," [",", "),"[",", "),"]","")&amp;"]",TRIM(INDEX($A$3:$A$168,K1756))&amp;" ["&amp;SUBSTITUTE(SUBSTITUTE(SUBSTITUTE(E1756," [",", "),"[",", "),"]","")&amp;"]")))</x:f>
      </x:c>
      <x:c r="G1756" t="str">
        <x:f>IF(F1756&lt;&gt;"",ROWS($F$3:F1756)-COUNTBLANK($F$3:F1756),"")</x:f>
      </x:c>
      <x:c r="H1756"/>
      <x:c r="I1756"/>
      <x:c r="J1756"/>
      <x:c r="K1756" t="str">
        <x:f>IF(ROW()-ROW($K$2)&lt;=SUM($J$3:$J$168),COUNTIF($H$3:$H$168,"&lt;"&amp;(ROW()-ROW($K$2))),"")</x:f>
      </x:c>
      <x:c r="L1756" t="str">
        <x:f>IF(K1756="","",ROW()-ROW($L$2)-INDEX($H$3:$H$168,K1756))</x:f>
      </x:c>
      <x:c r="M1756" t="str">
        <x:f>IF(K1756="","",IF(L1756=1,1,FIND(CHAR(1),SUBSTITUTE(INDEX($B$3:$B$168,K1756),CHAR(10),CHAR(1),L1756-1))+1))</x:f>
      </x:c>
      <x:c r="N1756" t="str">
        <x:f>IF(K1756="","",IFERROR(FIND(CHAR(1),SUBSTITUTE(INDEX($B$3:$B$168,K1756),CHAR(10),CHAR(1),L1756)),LEN(INDEX($B$3:$B$168,K1756))+1))</x:f>
      </x:c>
    </x:row>
    <x:row r="1757">
      <x:c r="A1757"/>
      <x:c r="B1757"/>
      <x:c r="C1757"/>
      <x:c r="D1757" t="str">
        <x:f>IFERROR(IF(1755&lt;=$O$1,INDEX($A$3:$A$168,MATCH(1755,$I$3:$I$168,0)),IF(1755&lt;=$O$1+$O$2,INDEX($F$3:$F$1994,MATCH(1755-$O$1,$G$3:$G$1994,0)),"")),"")</x:f>
      </x:c>
      <x:c r="E1757" t="str">
        <x:f>IF(K1757="","",IF(N1757&lt;=M1757,"",TRIM(CLEAN(MID(INDEX($B$3:$B$168,K1757),M1757,N1757-M1757)))))</x:f>
      </x:c>
      <x:c r="F1757" t="str">
        <x:f>IF(E1757="","",IF(E1757=TRIM(INDEX($A$3:$A$168,K1757)),"",IF(RIGHT(TRIM(INDEX($A$3:$A$168,K1757)),1)="]",LEFT(TRIM(INDEX($A$3:$A$168,K1757)),LEN(TRIM(INDEX($A$3:$A$168,K1757)))-1)&amp;", "&amp;SUBSTITUTE(SUBSTITUTE(SUBSTITUTE(E1757," [",", "),"[",", "),"]","")&amp;"]",TRIM(INDEX($A$3:$A$168,K1757))&amp;" ["&amp;SUBSTITUTE(SUBSTITUTE(SUBSTITUTE(E1757," [",", "),"[",", "),"]","")&amp;"]")))</x:f>
      </x:c>
      <x:c r="G1757" t="str">
        <x:f>IF(F1757&lt;&gt;"",ROWS($F$3:F1757)-COUNTBLANK($F$3:F1757),"")</x:f>
      </x:c>
      <x:c r="H1757"/>
      <x:c r="I1757"/>
      <x:c r="J1757"/>
      <x:c r="K1757" t="str">
        <x:f>IF(ROW()-ROW($K$2)&lt;=SUM($J$3:$J$168),COUNTIF($H$3:$H$168,"&lt;"&amp;(ROW()-ROW($K$2))),"")</x:f>
      </x:c>
      <x:c r="L1757" t="str">
        <x:f>IF(K1757="","",ROW()-ROW($L$2)-INDEX($H$3:$H$168,K1757))</x:f>
      </x:c>
      <x:c r="M1757" t="str">
        <x:f>IF(K1757="","",IF(L1757=1,1,FIND(CHAR(1),SUBSTITUTE(INDEX($B$3:$B$168,K1757),CHAR(10),CHAR(1),L1757-1))+1))</x:f>
      </x:c>
      <x:c r="N1757" t="str">
        <x:f>IF(K1757="","",IFERROR(FIND(CHAR(1),SUBSTITUTE(INDEX($B$3:$B$168,K1757),CHAR(10),CHAR(1),L1757)),LEN(INDEX($B$3:$B$168,K1757))+1))</x:f>
      </x:c>
    </x:row>
    <x:row r="1758">
      <x:c r="A1758"/>
      <x:c r="B1758"/>
      <x:c r="C1758"/>
      <x:c r="D1758" t="str">
        <x:f>IFERROR(IF(1756&lt;=$O$1,INDEX($A$3:$A$168,MATCH(1756,$I$3:$I$168,0)),IF(1756&lt;=$O$1+$O$2,INDEX($F$3:$F$1994,MATCH(1756-$O$1,$G$3:$G$1994,0)),"")),"")</x:f>
      </x:c>
      <x:c r="E1758" t="str">
        <x:f>IF(K1758="","",IF(N1758&lt;=M1758,"",TRIM(CLEAN(MID(INDEX($B$3:$B$168,K1758),M1758,N1758-M1758)))))</x:f>
      </x:c>
      <x:c r="F1758" t="str">
        <x:f>IF(E1758="","",IF(E1758=TRIM(INDEX($A$3:$A$168,K1758)),"",IF(RIGHT(TRIM(INDEX($A$3:$A$168,K1758)),1)="]",LEFT(TRIM(INDEX($A$3:$A$168,K1758)),LEN(TRIM(INDEX($A$3:$A$168,K1758)))-1)&amp;", "&amp;SUBSTITUTE(SUBSTITUTE(SUBSTITUTE(E1758," [",", "),"[",", "),"]","")&amp;"]",TRIM(INDEX($A$3:$A$168,K1758))&amp;" ["&amp;SUBSTITUTE(SUBSTITUTE(SUBSTITUTE(E1758," [",", "),"[",", "),"]","")&amp;"]")))</x:f>
      </x:c>
      <x:c r="G1758" t="str">
        <x:f>IF(F1758&lt;&gt;"",ROWS($F$3:F1758)-COUNTBLANK($F$3:F1758),"")</x:f>
      </x:c>
      <x:c r="H1758"/>
      <x:c r="I1758"/>
      <x:c r="J1758"/>
      <x:c r="K1758" t="str">
        <x:f>IF(ROW()-ROW($K$2)&lt;=SUM($J$3:$J$168),COUNTIF($H$3:$H$168,"&lt;"&amp;(ROW()-ROW($K$2))),"")</x:f>
      </x:c>
      <x:c r="L1758" t="str">
        <x:f>IF(K1758="","",ROW()-ROW($L$2)-INDEX($H$3:$H$168,K1758))</x:f>
      </x:c>
      <x:c r="M1758" t="str">
        <x:f>IF(K1758="","",IF(L1758=1,1,FIND(CHAR(1),SUBSTITUTE(INDEX($B$3:$B$168,K1758),CHAR(10),CHAR(1),L1758-1))+1))</x:f>
      </x:c>
      <x:c r="N1758" t="str">
        <x:f>IF(K1758="","",IFERROR(FIND(CHAR(1),SUBSTITUTE(INDEX($B$3:$B$168,K1758),CHAR(10),CHAR(1),L1758)),LEN(INDEX($B$3:$B$168,K1758))+1))</x:f>
      </x:c>
    </x:row>
    <x:row r="1759">
      <x:c r="A1759"/>
      <x:c r="B1759"/>
      <x:c r="C1759"/>
      <x:c r="D1759" t="str">
        <x:f>IFERROR(IF(1757&lt;=$O$1,INDEX($A$3:$A$168,MATCH(1757,$I$3:$I$168,0)),IF(1757&lt;=$O$1+$O$2,INDEX($F$3:$F$1994,MATCH(1757-$O$1,$G$3:$G$1994,0)),"")),"")</x:f>
      </x:c>
      <x:c r="E1759" t="str">
        <x:f>IF(K1759="","",IF(N1759&lt;=M1759,"",TRIM(CLEAN(MID(INDEX($B$3:$B$168,K1759),M1759,N1759-M1759)))))</x:f>
      </x:c>
      <x:c r="F1759" t="str">
        <x:f>IF(E1759="","",IF(E1759=TRIM(INDEX($A$3:$A$168,K1759)),"",IF(RIGHT(TRIM(INDEX($A$3:$A$168,K1759)),1)="]",LEFT(TRIM(INDEX($A$3:$A$168,K1759)),LEN(TRIM(INDEX($A$3:$A$168,K1759)))-1)&amp;", "&amp;SUBSTITUTE(SUBSTITUTE(SUBSTITUTE(E1759," [",", "),"[",", "),"]","")&amp;"]",TRIM(INDEX($A$3:$A$168,K1759))&amp;" ["&amp;SUBSTITUTE(SUBSTITUTE(SUBSTITUTE(E1759," [",", "),"[",", "),"]","")&amp;"]")))</x:f>
      </x:c>
      <x:c r="G1759" t="str">
        <x:f>IF(F1759&lt;&gt;"",ROWS($F$3:F1759)-COUNTBLANK($F$3:F1759),"")</x:f>
      </x:c>
      <x:c r="H1759"/>
      <x:c r="I1759"/>
      <x:c r="J1759"/>
      <x:c r="K1759" t="str">
        <x:f>IF(ROW()-ROW($K$2)&lt;=SUM($J$3:$J$168),COUNTIF($H$3:$H$168,"&lt;"&amp;(ROW()-ROW($K$2))),"")</x:f>
      </x:c>
      <x:c r="L1759" t="str">
        <x:f>IF(K1759="","",ROW()-ROW($L$2)-INDEX($H$3:$H$168,K1759))</x:f>
      </x:c>
      <x:c r="M1759" t="str">
        <x:f>IF(K1759="","",IF(L1759=1,1,FIND(CHAR(1),SUBSTITUTE(INDEX($B$3:$B$168,K1759),CHAR(10),CHAR(1),L1759-1))+1))</x:f>
      </x:c>
      <x:c r="N1759" t="str">
        <x:f>IF(K1759="","",IFERROR(FIND(CHAR(1),SUBSTITUTE(INDEX($B$3:$B$168,K1759),CHAR(10),CHAR(1),L1759)),LEN(INDEX($B$3:$B$168,K1759))+1))</x:f>
      </x:c>
    </x:row>
    <x:row r="1760">
      <x:c r="A1760"/>
      <x:c r="B1760"/>
      <x:c r="C1760"/>
      <x:c r="D1760" t="str">
        <x:f>IFERROR(IF(1758&lt;=$O$1,INDEX($A$3:$A$168,MATCH(1758,$I$3:$I$168,0)),IF(1758&lt;=$O$1+$O$2,INDEX($F$3:$F$1994,MATCH(1758-$O$1,$G$3:$G$1994,0)),"")),"")</x:f>
      </x:c>
      <x:c r="E1760" t="str">
        <x:f>IF(K1760="","",IF(N1760&lt;=M1760,"",TRIM(CLEAN(MID(INDEX($B$3:$B$168,K1760),M1760,N1760-M1760)))))</x:f>
      </x:c>
      <x:c r="F1760" t="str">
        <x:f>IF(E1760="","",IF(E1760=TRIM(INDEX($A$3:$A$168,K1760)),"",IF(RIGHT(TRIM(INDEX($A$3:$A$168,K1760)),1)="]",LEFT(TRIM(INDEX($A$3:$A$168,K1760)),LEN(TRIM(INDEX($A$3:$A$168,K1760)))-1)&amp;", "&amp;SUBSTITUTE(SUBSTITUTE(SUBSTITUTE(E1760," [",", "),"[",", "),"]","")&amp;"]",TRIM(INDEX($A$3:$A$168,K1760))&amp;" ["&amp;SUBSTITUTE(SUBSTITUTE(SUBSTITUTE(E1760," [",", "),"[",", "),"]","")&amp;"]")))</x:f>
      </x:c>
      <x:c r="G1760" t="str">
        <x:f>IF(F1760&lt;&gt;"",ROWS($F$3:F1760)-COUNTBLANK($F$3:F1760),"")</x:f>
      </x:c>
      <x:c r="H1760"/>
      <x:c r="I1760"/>
      <x:c r="J1760"/>
      <x:c r="K1760" t="str">
        <x:f>IF(ROW()-ROW($K$2)&lt;=SUM($J$3:$J$168),COUNTIF($H$3:$H$168,"&lt;"&amp;(ROW()-ROW($K$2))),"")</x:f>
      </x:c>
      <x:c r="L1760" t="str">
        <x:f>IF(K1760="","",ROW()-ROW($L$2)-INDEX($H$3:$H$168,K1760))</x:f>
      </x:c>
      <x:c r="M1760" t="str">
        <x:f>IF(K1760="","",IF(L1760=1,1,FIND(CHAR(1),SUBSTITUTE(INDEX($B$3:$B$168,K1760),CHAR(10),CHAR(1),L1760-1))+1))</x:f>
      </x:c>
      <x:c r="N1760" t="str">
        <x:f>IF(K1760="","",IFERROR(FIND(CHAR(1),SUBSTITUTE(INDEX($B$3:$B$168,K1760),CHAR(10),CHAR(1),L1760)),LEN(INDEX($B$3:$B$168,K1760))+1))</x:f>
      </x:c>
    </x:row>
    <x:row r="1761">
      <x:c r="A1761"/>
      <x:c r="B1761"/>
      <x:c r="C1761"/>
      <x:c r="D1761" t="str">
        <x:f>IFERROR(IF(1759&lt;=$O$1,INDEX($A$3:$A$168,MATCH(1759,$I$3:$I$168,0)),IF(1759&lt;=$O$1+$O$2,INDEX($F$3:$F$1994,MATCH(1759-$O$1,$G$3:$G$1994,0)),"")),"")</x:f>
      </x:c>
      <x:c r="E1761" t="str">
        <x:f>IF(K1761="","",IF(N1761&lt;=M1761,"",TRIM(CLEAN(MID(INDEX($B$3:$B$168,K1761),M1761,N1761-M1761)))))</x:f>
      </x:c>
      <x:c r="F1761" t="str">
        <x:f>IF(E1761="","",IF(E1761=TRIM(INDEX($A$3:$A$168,K1761)),"",IF(RIGHT(TRIM(INDEX($A$3:$A$168,K1761)),1)="]",LEFT(TRIM(INDEX($A$3:$A$168,K1761)),LEN(TRIM(INDEX($A$3:$A$168,K1761)))-1)&amp;", "&amp;SUBSTITUTE(SUBSTITUTE(SUBSTITUTE(E1761," [",", "),"[",", "),"]","")&amp;"]",TRIM(INDEX($A$3:$A$168,K1761))&amp;" ["&amp;SUBSTITUTE(SUBSTITUTE(SUBSTITUTE(E1761," [",", "),"[",", "),"]","")&amp;"]")))</x:f>
      </x:c>
      <x:c r="G1761" t="str">
        <x:f>IF(F1761&lt;&gt;"",ROWS($F$3:F1761)-COUNTBLANK($F$3:F1761),"")</x:f>
      </x:c>
      <x:c r="H1761"/>
      <x:c r="I1761"/>
      <x:c r="J1761"/>
      <x:c r="K1761" t="str">
        <x:f>IF(ROW()-ROW($K$2)&lt;=SUM($J$3:$J$168),COUNTIF($H$3:$H$168,"&lt;"&amp;(ROW()-ROW($K$2))),"")</x:f>
      </x:c>
      <x:c r="L1761" t="str">
        <x:f>IF(K1761="","",ROW()-ROW($L$2)-INDEX($H$3:$H$168,K1761))</x:f>
      </x:c>
      <x:c r="M1761" t="str">
        <x:f>IF(K1761="","",IF(L1761=1,1,FIND(CHAR(1),SUBSTITUTE(INDEX($B$3:$B$168,K1761),CHAR(10),CHAR(1),L1761-1))+1))</x:f>
      </x:c>
      <x:c r="N1761" t="str">
        <x:f>IF(K1761="","",IFERROR(FIND(CHAR(1),SUBSTITUTE(INDEX($B$3:$B$168,K1761),CHAR(10),CHAR(1),L1761)),LEN(INDEX($B$3:$B$168,K1761))+1))</x:f>
      </x:c>
    </x:row>
    <x:row r="1762">
      <x:c r="A1762"/>
      <x:c r="B1762"/>
      <x:c r="C1762"/>
      <x:c r="D1762" t="str">
        <x:f>IFERROR(IF(1760&lt;=$O$1,INDEX($A$3:$A$168,MATCH(1760,$I$3:$I$168,0)),IF(1760&lt;=$O$1+$O$2,INDEX($F$3:$F$1994,MATCH(1760-$O$1,$G$3:$G$1994,0)),"")),"")</x:f>
      </x:c>
      <x:c r="E1762" t="str">
        <x:f>IF(K1762="","",IF(N1762&lt;=M1762,"",TRIM(CLEAN(MID(INDEX($B$3:$B$168,K1762),M1762,N1762-M1762)))))</x:f>
      </x:c>
      <x:c r="F1762" t="str">
        <x:f>IF(E1762="","",IF(E1762=TRIM(INDEX($A$3:$A$168,K1762)),"",IF(RIGHT(TRIM(INDEX($A$3:$A$168,K1762)),1)="]",LEFT(TRIM(INDEX($A$3:$A$168,K1762)),LEN(TRIM(INDEX($A$3:$A$168,K1762)))-1)&amp;", "&amp;SUBSTITUTE(SUBSTITUTE(SUBSTITUTE(E1762," [",", "),"[",", "),"]","")&amp;"]",TRIM(INDEX($A$3:$A$168,K1762))&amp;" ["&amp;SUBSTITUTE(SUBSTITUTE(SUBSTITUTE(E1762," [",", "),"[",", "),"]","")&amp;"]")))</x:f>
      </x:c>
      <x:c r="G1762" t="str">
        <x:f>IF(F1762&lt;&gt;"",ROWS($F$3:F1762)-COUNTBLANK($F$3:F1762),"")</x:f>
      </x:c>
      <x:c r="H1762"/>
      <x:c r="I1762"/>
      <x:c r="J1762"/>
      <x:c r="K1762" t="str">
        <x:f>IF(ROW()-ROW($K$2)&lt;=SUM($J$3:$J$168),COUNTIF($H$3:$H$168,"&lt;"&amp;(ROW()-ROW($K$2))),"")</x:f>
      </x:c>
      <x:c r="L1762" t="str">
        <x:f>IF(K1762="","",ROW()-ROW($L$2)-INDEX($H$3:$H$168,K1762))</x:f>
      </x:c>
      <x:c r="M1762" t="str">
        <x:f>IF(K1762="","",IF(L1762=1,1,FIND(CHAR(1),SUBSTITUTE(INDEX($B$3:$B$168,K1762),CHAR(10),CHAR(1),L1762-1))+1))</x:f>
      </x:c>
      <x:c r="N1762" t="str">
        <x:f>IF(K1762="","",IFERROR(FIND(CHAR(1),SUBSTITUTE(INDEX($B$3:$B$168,K1762),CHAR(10),CHAR(1),L1762)),LEN(INDEX($B$3:$B$168,K1762))+1))</x:f>
      </x:c>
    </x:row>
    <x:row r="1763">
      <x:c r="A1763"/>
      <x:c r="B1763"/>
      <x:c r="C1763"/>
      <x:c r="D1763" t="str">
        <x:f>IFERROR(IF(1761&lt;=$O$1,INDEX($A$3:$A$168,MATCH(1761,$I$3:$I$168,0)),IF(1761&lt;=$O$1+$O$2,INDEX($F$3:$F$1994,MATCH(1761-$O$1,$G$3:$G$1994,0)),"")),"")</x:f>
      </x:c>
      <x:c r="E1763" t="str">
        <x:f>IF(K1763="","",IF(N1763&lt;=M1763,"",TRIM(CLEAN(MID(INDEX($B$3:$B$168,K1763),M1763,N1763-M1763)))))</x:f>
      </x:c>
      <x:c r="F1763" t="str">
        <x:f>IF(E1763="","",IF(E1763=TRIM(INDEX($A$3:$A$168,K1763)),"",IF(RIGHT(TRIM(INDEX($A$3:$A$168,K1763)),1)="]",LEFT(TRIM(INDEX($A$3:$A$168,K1763)),LEN(TRIM(INDEX($A$3:$A$168,K1763)))-1)&amp;", "&amp;SUBSTITUTE(SUBSTITUTE(SUBSTITUTE(E1763," [",", "),"[",", "),"]","")&amp;"]",TRIM(INDEX($A$3:$A$168,K1763))&amp;" ["&amp;SUBSTITUTE(SUBSTITUTE(SUBSTITUTE(E1763," [",", "),"[",", "),"]","")&amp;"]")))</x:f>
      </x:c>
      <x:c r="G1763" t="str">
        <x:f>IF(F1763&lt;&gt;"",ROWS($F$3:F1763)-COUNTBLANK($F$3:F1763),"")</x:f>
      </x:c>
      <x:c r="H1763"/>
      <x:c r="I1763"/>
      <x:c r="J1763"/>
      <x:c r="K1763" t="str">
        <x:f>IF(ROW()-ROW($K$2)&lt;=SUM($J$3:$J$168),COUNTIF($H$3:$H$168,"&lt;"&amp;(ROW()-ROW($K$2))),"")</x:f>
      </x:c>
      <x:c r="L1763" t="str">
        <x:f>IF(K1763="","",ROW()-ROW($L$2)-INDEX($H$3:$H$168,K1763))</x:f>
      </x:c>
      <x:c r="M1763" t="str">
        <x:f>IF(K1763="","",IF(L1763=1,1,FIND(CHAR(1),SUBSTITUTE(INDEX($B$3:$B$168,K1763),CHAR(10),CHAR(1),L1763-1))+1))</x:f>
      </x:c>
      <x:c r="N1763" t="str">
        <x:f>IF(K1763="","",IFERROR(FIND(CHAR(1),SUBSTITUTE(INDEX($B$3:$B$168,K1763),CHAR(10),CHAR(1),L1763)),LEN(INDEX($B$3:$B$168,K1763))+1))</x:f>
      </x:c>
    </x:row>
    <x:row r="1764">
      <x:c r="A1764"/>
      <x:c r="B1764"/>
      <x:c r="C1764"/>
      <x:c r="D1764" t="str">
        <x:f>IFERROR(IF(1762&lt;=$O$1,INDEX($A$3:$A$168,MATCH(1762,$I$3:$I$168,0)),IF(1762&lt;=$O$1+$O$2,INDEX($F$3:$F$1994,MATCH(1762-$O$1,$G$3:$G$1994,0)),"")),"")</x:f>
      </x:c>
      <x:c r="E1764" t="str">
        <x:f>IF(K1764="","",IF(N1764&lt;=M1764,"",TRIM(CLEAN(MID(INDEX($B$3:$B$168,K1764),M1764,N1764-M1764)))))</x:f>
      </x:c>
      <x:c r="F1764" t="str">
        <x:f>IF(E1764="","",IF(E1764=TRIM(INDEX($A$3:$A$168,K1764)),"",IF(RIGHT(TRIM(INDEX($A$3:$A$168,K1764)),1)="]",LEFT(TRIM(INDEX($A$3:$A$168,K1764)),LEN(TRIM(INDEX($A$3:$A$168,K1764)))-1)&amp;", "&amp;SUBSTITUTE(SUBSTITUTE(SUBSTITUTE(E1764," [",", "),"[",", "),"]","")&amp;"]",TRIM(INDEX($A$3:$A$168,K1764))&amp;" ["&amp;SUBSTITUTE(SUBSTITUTE(SUBSTITUTE(E1764," [",", "),"[",", "),"]","")&amp;"]")))</x:f>
      </x:c>
      <x:c r="G1764" t="str">
        <x:f>IF(F1764&lt;&gt;"",ROWS($F$3:F1764)-COUNTBLANK($F$3:F1764),"")</x:f>
      </x:c>
      <x:c r="H1764"/>
      <x:c r="I1764"/>
      <x:c r="J1764"/>
      <x:c r="K1764" t="str">
        <x:f>IF(ROW()-ROW($K$2)&lt;=SUM($J$3:$J$168),COUNTIF($H$3:$H$168,"&lt;"&amp;(ROW()-ROW($K$2))),"")</x:f>
      </x:c>
      <x:c r="L1764" t="str">
        <x:f>IF(K1764="","",ROW()-ROW($L$2)-INDEX($H$3:$H$168,K1764))</x:f>
      </x:c>
      <x:c r="M1764" t="str">
        <x:f>IF(K1764="","",IF(L1764=1,1,FIND(CHAR(1),SUBSTITUTE(INDEX($B$3:$B$168,K1764),CHAR(10),CHAR(1),L1764-1))+1))</x:f>
      </x:c>
      <x:c r="N1764" t="str">
        <x:f>IF(K1764="","",IFERROR(FIND(CHAR(1),SUBSTITUTE(INDEX($B$3:$B$168,K1764),CHAR(10),CHAR(1),L1764)),LEN(INDEX($B$3:$B$168,K1764))+1))</x:f>
      </x:c>
    </x:row>
    <x:row r="1765">
      <x:c r="A1765"/>
      <x:c r="B1765"/>
      <x:c r="C1765"/>
      <x:c r="D1765" t="str">
        <x:f>IFERROR(IF(1763&lt;=$O$1,INDEX($A$3:$A$168,MATCH(1763,$I$3:$I$168,0)),IF(1763&lt;=$O$1+$O$2,INDEX($F$3:$F$1994,MATCH(1763-$O$1,$G$3:$G$1994,0)),"")),"")</x:f>
      </x:c>
      <x:c r="E1765" t="str">
        <x:f>IF(K1765="","",IF(N1765&lt;=M1765,"",TRIM(CLEAN(MID(INDEX($B$3:$B$168,K1765),M1765,N1765-M1765)))))</x:f>
      </x:c>
      <x:c r="F1765" t="str">
        <x:f>IF(E1765="","",IF(E1765=TRIM(INDEX($A$3:$A$168,K1765)),"",IF(RIGHT(TRIM(INDEX($A$3:$A$168,K1765)),1)="]",LEFT(TRIM(INDEX($A$3:$A$168,K1765)),LEN(TRIM(INDEX($A$3:$A$168,K1765)))-1)&amp;", "&amp;SUBSTITUTE(SUBSTITUTE(SUBSTITUTE(E1765," [",", "),"[",", "),"]","")&amp;"]",TRIM(INDEX($A$3:$A$168,K1765))&amp;" ["&amp;SUBSTITUTE(SUBSTITUTE(SUBSTITUTE(E1765," [",", "),"[",", "),"]","")&amp;"]")))</x:f>
      </x:c>
      <x:c r="G1765" t="str">
        <x:f>IF(F1765&lt;&gt;"",ROWS($F$3:F1765)-COUNTBLANK($F$3:F1765),"")</x:f>
      </x:c>
      <x:c r="H1765"/>
      <x:c r="I1765"/>
      <x:c r="J1765"/>
      <x:c r="K1765" t="str">
        <x:f>IF(ROW()-ROW($K$2)&lt;=SUM($J$3:$J$168),COUNTIF($H$3:$H$168,"&lt;"&amp;(ROW()-ROW($K$2))),"")</x:f>
      </x:c>
      <x:c r="L1765" t="str">
        <x:f>IF(K1765="","",ROW()-ROW($L$2)-INDEX($H$3:$H$168,K1765))</x:f>
      </x:c>
      <x:c r="M1765" t="str">
        <x:f>IF(K1765="","",IF(L1765=1,1,FIND(CHAR(1),SUBSTITUTE(INDEX($B$3:$B$168,K1765),CHAR(10),CHAR(1),L1765-1))+1))</x:f>
      </x:c>
      <x:c r="N1765" t="str">
        <x:f>IF(K1765="","",IFERROR(FIND(CHAR(1),SUBSTITUTE(INDEX($B$3:$B$168,K1765),CHAR(10),CHAR(1),L1765)),LEN(INDEX($B$3:$B$168,K1765))+1))</x:f>
      </x:c>
    </x:row>
    <x:row r="1766">
      <x:c r="A1766"/>
      <x:c r="B1766"/>
      <x:c r="C1766"/>
      <x:c r="D1766" t="str">
        <x:f>IFERROR(IF(1764&lt;=$O$1,INDEX($A$3:$A$168,MATCH(1764,$I$3:$I$168,0)),IF(1764&lt;=$O$1+$O$2,INDEX($F$3:$F$1994,MATCH(1764-$O$1,$G$3:$G$1994,0)),"")),"")</x:f>
      </x:c>
      <x:c r="E1766" t="str">
        <x:f>IF(K1766="","",IF(N1766&lt;=M1766,"",TRIM(CLEAN(MID(INDEX($B$3:$B$168,K1766),M1766,N1766-M1766)))))</x:f>
      </x:c>
      <x:c r="F1766" t="str">
        <x:f>IF(E1766="","",IF(E1766=TRIM(INDEX($A$3:$A$168,K1766)),"",IF(RIGHT(TRIM(INDEX($A$3:$A$168,K1766)),1)="]",LEFT(TRIM(INDEX($A$3:$A$168,K1766)),LEN(TRIM(INDEX($A$3:$A$168,K1766)))-1)&amp;", "&amp;SUBSTITUTE(SUBSTITUTE(SUBSTITUTE(E1766," [",", "),"[",", "),"]","")&amp;"]",TRIM(INDEX($A$3:$A$168,K1766))&amp;" ["&amp;SUBSTITUTE(SUBSTITUTE(SUBSTITUTE(E1766," [",", "),"[",", "),"]","")&amp;"]")))</x:f>
      </x:c>
      <x:c r="G1766" t="str">
        <x:f>IF(F1766&lt;&gt;"",ROWS($F$3:F1766)-COUNTBLANK($F$3:F1766),"")</x:f>
      </x:c>
      <x:c r="H1766"/>
      <x:c r="I1766"/>
      <x:c r="J1766"/>
      <x:c r="K1766" t="str">
        <x:f>IF(ROW()-ROW($K$2)&lt;=SUM($J$3:$J$168),COUNTIF($H$3:$H$168,"&lt;"&amp;(ROW()-ROW($K$2))),"")</x:f>
      </x:c>
      <x:c r="L1766" t="str">
        <x:f>IF(K1766="","",ROW()-ROW($L$2)-INDEX($H$3:$H$168,K1766))</x:f>
      </x:c>
      <x:c r="M1766" t="str">
        <x:f>IF(K1766="","",IF(L1766=1,1,FIND(CHAR(1),SUBSTITUTE(INDEX($B$3:$B$168,K1766),CHAR(10),CHAR(1),L1766-1))+1))</x:f>
      </x:c>
      <x:c r="N1766" t="str">
        <x:f>IF(K1766="","",IFERROR(FIND(CHAR(1),SUBSTITUTE(INDEX($B$3:$B$168,K1766),CHAR(10),CHAR(1),L1766)),LEN(INDEX($B$3:$B$168,K1766))+1))</x:f>
      </x:c>
    </x:row>
    <x:row r="1767">
      <x:c r="A1767"/>
      <x:c r="B1767"/>
      <x:c r="C1767"/>
      <x:c r="D1767" t="str">
        <x:f>IFERROR(IF(1765&lt;=$O$1,INDEX($A$3:$A$168,MATCH(1765,$I$3:$I$168,0)),IF(1765&lt;=$O$1+$O$2,INDEX($F$3:$F$1994,MATCH(1765-$O$1,$G$3:$G$1994,0)),"")),"")</x:f>
      </x:c>
      <x:c r="E1767" t="str">
        <x:f>IF(K1767="","",IF(N1767&lt;=M1767,"",TRIM(CLEAN(MID(INDEX($B$3:$B$168,K1767),M1767,N1767-M1767)))))</x:f>
      </x:c>
      <x:c r="F1767" t="str">
        <x:f>IF(E1767="","",IF(E1767=TRIM(INDEX($A$3:$A$168,K1767)),"",IF(RIGHT(TRIM(INDEX($A$3:$A$168,K1767)),1)="]",LEFT(TRIM(INDEX($A$3:$A$168,K1767)),LEN(TRIM(INDEX($A$3:$A$168,K1767)))-1)&amp;", "&amp;SUBSTITUTE(SUBSTITUTE(SUBSTITUTE(E1767," [",", "),"[",", "),"]","")&amp;"]",TRIM(INDEX($A$3:$A$168,K1767))&amp;" ["&amp;SUBSTITUTE(SUBSTITUTE(SUBSTITUTE(E1767," [",", "),"[",", "),"]","")&amp;"]")))</x:f>
      </x:c>
      <x:c r="G1767" t="str">
        <x:f>IF(F1767&lt;&gt;"",ROWS($F$3:F1767)-COUNTBLANK($F$3:F1767),"")</x:f>
      </x:c>
      <x:c r="H1767"/>
      <x:c r="I1767"/>
      <x:c r="J1767"/>
      <x:c r="K1767" t="str">
        <x:f>IF(ROW()-ROW($K$2)&lt;=SUM($J$3:$J$168),COUNTIF($H$3:$H$168,"&lt;"&amp;(ROW()-ROW($K$2))),"")</x:f>
      </x:c>
      <x:c r="L1767" t="str">
        <x:f>IF(K1767="","",ROW()-ROW($L$2)-INDEX($H$3:$H$168,K1767))</x:f>
      </x:c>
      <x:c r="M1767" t="str">
        <x:f>IF(K1767="","",IF(L1767=1,1,FIND(CHAR(1),SUBSTITUTE(INDEX($B$3:$B$168,K1767),CHAR(10),CHAR(1),L1767-1))+1))</x:f>
      </x:c>
      <x:c r="N1767" t="str">
        <x:f>IF(K1767="","",IFERROR(FIND(CHAR(1),SUBSTITUTE(INDEX($B$3:$B$168,K1767),CHAR(10),CHAR(1),L1767)),LEN(INDEX($B$3:$B$168,K1767))+1))</x:f>
      </x:c>
    </x:row>
    <x:row r="1768">
      <x:c r="A1768"/>
      <x:c r="B1768"/>
      <x:c r="C1768"/>
      <x:c r="D1768" t="str">
        <x:f>IFERROR(IF(1766&lt;=$O$1,INDEX($A$3:$A$168,MATCH(1766,$I$3:$I$168,0)),IF(1766&lt;=$O$1+$O$2,INDEX($F$3:$F$1994,MATCH(1766-$O$1,$G$3:$G$1994,0)),"")),"")</x:f>
      </x:c>
      <x:c r="E1768" t="str">
        <x:f>IF(K1768="","",IF(N1768&lt;=M1768,"",TRIM(CLEAN(MID(INDEX($B$3:$B$168,K1768),M1768,N1768-M1768)))))</x:f>
      </x:c>
      <x:c r="F1768" t="str">
        <x:f>IF(E1768="","",IF(E1768=TRIM(INDEX($A$3:$A$168,K1768)),"",IF(RIGHT(TRIM(INDEX($A$3:$A$168,K1768)),1)="]",LEFT(TRIM(INDEX($A$3:$A$168,K1768)),LEN(TRIM(INDEX($A$3:$A$168,K1768)))-1)&amp;", "&amp;SUBSTITUTE(SUBSTITUTE(SUBSTITUTE(E1768," [",", "),"[",", "),"]","")&amp;"]",TRIM(INDEX($A$3:$A$168,K1768))&amp;" ["&amp;SUBSTITUTE(SUBSTITUTE(SUBSTITUTE(E1768," [",", "),"[",", "),"]","")&amp;"]")))</x:f>
      </x:c>
      <x:c r="G1768" t="str">
        <x:f>IF(F1768&lt;&gt;"",ROWS($F$3:F1768)-COUNTBLANK($F$3:F1768),"")</x:f>
      </x:c>
      <x:c r="H1768"/>
      <x:c r="I1768"/>
      <x:c r="J1768"/>
      <x:c r="K1768" t="str">
        <x:f>IF(ROW()-ROW($K$2)&lt;=SUM($J$3:$J$168),COUNTIF($H$3:$H$168,"&lt;"&amp;(ROW()-ROW($K$2))),"")</x:f>
      </x:c>
      <x:c r="L1768" t="str">
        <x:f>IF(K1768="","",ROW()-ROW($L$2)-INDEX($H$3:$H$168,K1768))</x:f>
      </x:c>
      <x:c r="M1768" t="str">
        <x:f>IF(K1768="","",IF(L1768=1,1,FIND(CHAR(1),SUBSTITUTE(INDEX($B$3:$B$168,K1768),CHAR(10),CHAR(1),L1768-1))+1))</x:f>
      </x:c>
      <x:c r="N1768" t="str">
        <x:f>IF(K1768="","",IFERROR(FIND(CHAR(1),SUBSTITUTE(INDEX($B$3:$B$168,K1768),CHAR(10),CHAR(1),L1768)),LEN(INDEX($B$3:$B$168,K1768))+1))</x:f>
      </x:c>
    </x:row>
    <x:row r="1769">
      <x:c r="A1769"/>
      <x:c r="B1769"/>
      <x:c r="C1769"/>
      <x:c r="D1769" t="str">
        <x:f>IFERROR(IF(1767&lt;=$O$1,INDEX($A$3:$A$168,MATCH(1767,$I$3:$I$168,0)),IF(1767&lt;=$O$1+$O$2,INDEX($F$3:$F$1994,MATCH(1767-$O$1,$G$3:$G$1994,0)),"")),"")</x:f>
      </x:c>
      <x:c r="E1769" t="str">
        <x:f>IF(K1769="","",IF(N1769&lt;=M1769,"",TRIM(CLEAN(MID(INDEX($B$3:$B$168,K1769),M1769,N1769-M1769)))))</x:f>
      </x:c>
      <x:c r="F1769" t="str">
        <x:f>IF(E1769="","",IF(E1769=TRIM(INDEX($A$3:$A$168,K1769)),"",IF(RIGHT(TRIM(INDEX($A$3:$A$168,K1769)),1)="]",LEFT(TRIM(INDEX($A$3:$A$168,K1769)),LEN(TRIM(INDEX($A$3:$A$168,K1769)))-1)&amp;", "&amp;SUBSTITUTE(SUBSTITUTE(SUBSTITUTE(E1769," [",", "),"[",", "),"]","")&amp;"]",TRIM(INDEX($A$3:$A$168,K1769))&amp;" ["&amp;SUBSTITUTE(SUBSTITUTE(SUBSTITUTE(E1769," [",", "),"[",", "),"]","")&amp;"]")))</x:f>
      </x:c>
      <x:c r="G1769" t="str">
        <x:f>IF(F1769&lt;&gt;"",ROWS($F$3:F1769)-COUNTBLANK($F$3:F1769),"")</x:f>
      </x:c>
      <x:c r="H1769"/>
      <x:c r="I1769"/>
      <x:c r="J1769"/>
      <x:c r="K1769" t="str">
        <x:f>IF(ROW()-ROW($K$2)&lt;=SUM($J$3:$J$168),COUNTIF($H$3:$H$168,"&lt;"&amp;(ROW()-ROW($K$2))),"")</x:f>
      </x:c>
      <x:c r="L1769" t="str">
        <x:f>IF(K1769="","",ROW()-ROW($L$2)-INDEX($H$3:$H$168,K1769))</x:f>
      </x:c>
      <x:c r="M1769" t="str">
        <x:f>IF(K1769="","",IF(L1769=1,1,FIND(CHAR(1),SUBSTITUTE(INDEX($B$3:$B$168,K1769),CHAR(10),CHAR(1),L1769-1))+1))</x:f>
      </x:c>
      <x:c r="N1769" t="str">
        <x:f>IF(K1769="","",IFERROR(FIND(CHAR(1),SUBSTITUTE(INDEX($B$3:$B$168,K1769),CHAR(10),CHAR(1),L1769)),LEN(INDEX($B$3:$B$168,K1769))+1))</x:f>
      </x:c>
    </x:row>
    <x:row r="1770">
      <x:c r="A1770"/>
      <x:c r="B1770"/>
      <x:c r="C1770"/>
      <x:c r="D1770" t="str">
        <x:f>IFERROR(IF(1768&lt;=$O$1,INDEX($A$3:$A$168,MATCH(1768,$I$3:$I$168,0)),IF(1768&lt;=$O$1+$O$2,INDEX($F$3:$F$1994,MATCH(1768-$O$1,$G$3:$G$1994,0)),"")),"")</x:f>
      </x:c>
      <x:c r="E1770" t="str">
        <x:f>IF(K1770="","",IF(N1770&lt;=M1770,"",TRIM(CLEAN(MID(INDEX($B$3:$B$168,K1770),M1770,N1770-M1770)))))</x:f>
      </x:c>
      <x:c r="F1770" t="str">
        <x:f>IF(E1770="","",IF(E1770=TRIM(INDEX($A$3:$A$168,K1770)),"",IF(RIGHT(TRIM(INDEX($A$3:$A$168,K1770)),1)="]",LEFT(TRIM(INDEX($A$3:$A$168,K1770)),LEN(TRIM(INDEX($A$3:$A$168,K1770)))-1)&amp;", "&amp;SUBSTITUTE(SUBSTITUTE(SUBSTITUTE(E1770," [",", "),"[",", "),"]","")&amp;"]",TRIM(INDEX($A$3:$A$168,K1770))&amp;" ["&amp;SUBSTITUTE(SUBSTITUTE(SUBSTITUTE(E1770," [",", "),"[",", "),"]","")&amp;"]")))</x:f>
      </x:c>
      <x:c r="G1770" t="str">
        <x:f>IF(F1770&lt;&gt;"",ROWS($F$3:F1770)-COUNTBLANK($F$3:F1770),"")</x:f>
      </x:c>
      <x:c r="H1770"/>
      <x:c r="I1770"/>
      <x:c r="J1770"/>
      <x:c r="K1770" t="str">
        <x:f>IF(ROW()-ROW($K$2)&lt;=SUM($J$3:$J$168),COUNTIF($H$3:$H$168,"&lt;"&amp;(ROW()-ROW($K$2))),"")</x:f>
      </x:c>
      <x:c r="L1770" t="str">
        <x:f>IF(K1770="","",ROW()-ROW($L$2)-INDEX($H$3:$H$168,K1770))</x:f>
      </x:c>
      <x:c r="M1770" t="str">
        <x:f>IF(K1770="","",IF(L1770=1,1,FIND(CHAR(1),SUBSTITUTE(INDEX($B$3:$B$168,K1770),CHAR(10),CHAR(1),L1770-1))+1))</x:f>
      </x:c>
      <x:c r="N1770" t="str">
        <x:f>IF(K1770="","",IFERROR(FIND(CHAR(1),SUBSTITUTE(INDEX($B$3:$B$168,K1770),CHAR(10),CHAR(1),L1770)),LEN(INDEX($B$3:$B$168,K1770))+1))</x:f>
      </x:c>
    </x:row>
    <x:row r="1771">
      <x:c r="A1771"/>
      <x:c r="B1771"/>
      <x:c r="C1771"/>
      <x:c r="D1771" t="str">
        <x:f>IFERROR(IF(1769&lt;=$O$1,INDEX($A$3:$A$168,MATCH(1769,$I$3:$I$168,0)),IF(1769&lt;=$O$1+$O$2,INDEX($F$3:$F$1994,MATCH(1769-$O$1,$G$3:$G$1994,0)),"")),"")</x:f>
      </x:c>
      <x:c r="E1771" t="str">
        <x:f>IF(K1771="","",IF(N1771&lt;=M1771,"",TRIM(CLEAN(MID(INDEX($B$3:$B$168,K1771),M1771,N1771-M1771)))))</x:f>
      </x:c>
      <x:c r="F1771" t="str">
        <x:f>IF(E1771="","",IF(E1771=TRIM(INDEX($A$3:$A$168,K1771)),"",IF(RIGHT(TRIM(INDEX($A$3:$A$168,K1771)),1)="]",LEFT(TRIM(INDEX($A$3:$A$168,K1771)),LEN(TRIM(INDEX($A$3:$A$168,K1771)))-1)&amp;", "&amp;SUBSTITUTE(SUBSTITUTE(SUBSTITUTE(E1771," [",", "),"[",", "),"]","")&amp;"]",TRIM(INDEX($A$3:$A$168,K1771))&amp;" ["&amp;SUBSTITUTE(SUBSTITUTE(SUBSTITUTE(E1771," [",", "),"[",", "),"]","")&amp;"]")))</x:f>
      </x:c>
      <x:c r="G1771" t="str">
        <x:f>IF(F1771&lt;&gt;"",ROWS($F$3:F1771)-COUNTBLANK($F$3:F1771),"")</x:f>
      </x:c>
      <x:c r="H1771"/>
      <x:c r="I1771"/>
      <x:c r="J1771"/>
      <x:c r="K1771" t="str">
        <x:f>IF(ROW()-ROW($K$2)&lt;=SUM($J$3:$J$168),COUNTIF($H$3:$H$168,"&lt;"&amp;(ROW()-ROW($K$2))),"")</x:f>
      </x:c>
      <x:c r="L1771" t="str">
        <x:f>IF(K1771="","",ROW()-ROW($L$2)-INDEX($H$3:$H$168,K1771))</x:f>
      </x:c>
      <x:c r="M1771" t="str">
        <x:f>IF(K1771="","",IF(L1771=1,1,FIND(CHAR(1),SUBSTITUTE(INDEX($B$3:$B$168,K1771),CHAR(10),CHAR(1),L1771-1))+1))</x:f>
      </x:c>
      <x:c r="N1771" t="str">
        <x:f>IF(K1771="","",IFERROR(FIND(CHAR(1),SUBSTITUTE(INDEX($B$3:$B$168,K1771),CHAR(10),CHAR(1),L1771)),LEN(INDEX($B$3:$B$168,K1771))+1))</x:f>
      </x:c>
    </x:row>
    <x:row r="1772">
      <x:c r="A1772"/>
      <x:c r="B1772"/>
      <x:c r="C1772"/>
      <x:c r="D1772" t="str">
        <x:f>IFERROR(IF(1770&lt;=$O$1,INDEX($A$3:$A$168,MATCH(1770,$I$3:$I$168,0)),IF(1770&lt;=$O$1+$O$2,INDEX($F$3:$F$1994,MATCH(1770-$O$1,$G$3:$G$1994,0)),"")),"")</x:f>
      </x:c>
      <x:c r="E1772" t="str">
        <x:f>IF(K1772="","",IF(N1772&lt;=M1772,"",TRIM(CLEAN(MID(INDEX($B$3:$B$168,K1772),M1772,N1772-M1772)))))</x:f>
      </x:c>
      <x:c r="F1772" t="str">
        <x:f>IF(E1772="","",IF(E1772=TRIM(INDEX($A$3:$A$168,K1772)),"",IF(RIGHT(TRIM(INDEX($A$3:$A$168,K1772)),1)="]",LEFT(TRIM(INDEX($A$3:$A$168,K1772)),LEN(TRIM(INDEX($A$3:$A$168,K1772)))-1)&amp;", "&amp;SUBSTITUTE(SUBSTITUTE(SUBSTITUTE(E1772," [",", "),"[",", "),"]","")&amp;"]",TRIM(INDEX($A$3:$A$168,K1772))&amp;" ["&amp;SUBSTITUTE(SUBSTITUTE(SUBSTITUTE(E1772," [",", "),"[",", "),"]","")&amp;"]")))</x:f>
      </x:c>
      <x:c r="G1772" t="str">
        <x:f>IF(F1772&lt;&gt;"",ROWS($F$3:F1772)-COUNTBLANK($F$3:F1772),"")</x:f>
      </x:c>
      <x:c r="H1772"/>
      <x:c r="I1772"/>
      <x:c r="J1772"/>
      <x:c r="K1772" t="str">
        <x:f>IF(ROW()-ROW($K$2)&lt;=SUM($J$3:$J$168),COUNTIF($H$3:$H$168,"&lt;"&amp;(ROW()-ROW($K$2))),"")</x:f>
      </x:c>
      <x:c r="L1772" t="str">
        <x:f>IF(K1772="","",ROW()-ROW($L$2)-INDEX($H$3:$H$168,K1772))</x:f>
      </x:c>
      <x:c r="M1772" t="str">
        <x:f>IF(K1772="","",IF(L1772=1,1,FIND(CHAR(1),SUBSTITUTE(INDEX($B$3:$B$168,K1772),CHAR(10),CHAR(1),L1772-1))+1))</x:f>
      </x:c>
      <x:c r="N1772" t="str">
        <x:f>IF(K1772="","",IFERROR(FIND(CHAR(1),SUBSTITUTE(INDEX($B$3:$B$168,K1772),CHAR(10),CHAR(1),L1772)),LEN(INDEX($B$3:$B$168,K1772))+1))</x:f>
      </x:c>
    </x:row>
    <x:row r="1773">
      <x:c r="A1773"/>
      <x:c r="B1773"/>
      <x:c r="C1773"/>
      <x:c r="D1773" t="str">
        <x:f>IFERROR(IF(1771&lt;=$O$1,INDEX($A$3:$A$168,MATCH(1771,$I$3:$I$168,0)),IF(1771&lt;=$O$1+$O$2,INDEX($F$3:$F$1994,MATCH(1771-$O$1,$G$3:$G$1994,0)),"")),"")</x:f>
      </x:c>
      <x:c r="E1773" t="str">
        <x:f>IF(K1773="","",IF(N1773&lt;=M1773,"",TRIM(CLEAN(MID(INDEX($B$3:$B$168,K1773),M1773,N1773-M1773)))))</x:f>
      </x:c>
      <x:c r="F1773" t="str">
        <x:f>IF(E1773="","",IF(E1773=TRIM(INDEX($A$3:$A$168,K1773)),"",IF(RIGHT(TRIM(INDEX($A$3:$A$168,K1773)),1)="]",LEFT(TRIM(INDEX($A$3:$A$168,K1773)),LEN(TRIM(INDEX($A$3:$A$168,K1773)))-1)&amp;", "&amp;SUBSTITUTE(SUBSTITUTE(SUBSTITUTE(E1773," [",", "),"[",", "),"]","")&amp;"]",TRIM(INDEX($A$3:$A$168,K1773))&amp;" ["&amp;SUBSTITUTE(SUBSTITUTE(SUBSTITUTE(E1773," [",", "),"[",", "),"]","")&amp;"]")))</x:f>
      </x:c>
      <x:c r="G1773" t="str">
        <x:f>IF(F1773&lt;&gt;"",ROWS($F$3:F1773)-COUNTBLANK($F$3:F1773),"")</x:f>
      </x:c>
      <x:c r="H1773"/>
      <x:c r="I1773"/>
      <x:c r="J1773"/>
      <x:c r="K1773" t="str">
        <x:f>IF(ROW()-ROW($K$2)&lt;=SUM($J$3:$J$168),COUNTIF($H$3:$H$168,"&lt;"&amp;(ROW()-ROW($K$2))),"")</x:f>
      </x:c>
      <x:c r="L1773" t="str">
        <x:f>IF(K1773="","",ROW()-ROW($L$2)-INDEX($H$3:$H$168,K1773))</x:f>
      </x:c>
      <x:c r="M1773" t="str">
        <x:f>IF(K1773="","",IF(L1773=1,1,FIND(CHAR(1),SUBSTITUTE(INDEX($B$3:$B$168,K1773),CHAR(10),CHAR(1),L1773-1))+1))</x:f>
      </x:c>
      <x:c r="N1773" t="str">
        <x:f>IF(K1773="","",IFERROR(FIND(CHAR(1),SUBSTITUTE(INDEX($B$3:$B$168,K1773),CHAR(10),CHAR(1),L1773)),LEN(INDEX($B$3:$B$168,K1773))+1))</x:f>
      </x:c>
    </x:row>
    <x:row r="1774">
      <x:c r="A1774"/>
      <x:c r="B1774"/>
      <x:c r="C1774"/>
      <x:c r="D1774" t="str">
        <x:f>IFERROR(IF(1772&lt;=$O$1,INDEX($A$3:$A$168,MATCH(1772,$I$3:$I$168,0)),IF(1772&lt;=$O$1+$O$2,INDEX($F$3:$F$1994,MATCH(1772-$O$1,$G$3:$G$1994,0)),"")),"")</x:f>
      </x:c>
      <x:c r="E1774" t="str">
        <x:f>IF(K1774="","",IF(N1774&lt;=M1774,"",TRIM(CLEAN(MID(INDEX($B$3:$B$168,K1774),M1774,N1774-M1774)))))</x:f>
      </x:c>
      <x:c r="F1774" t="str">
        <x:f>IF(E1774="","",IF(E1774=TRIM(INDEX($A$3:$A$168,K1774)),"",IF(RIGHT(TRIM(INDEX($A$3:$A$168,K1774)),1)="]",LEFT(TRIM(INDEX($A$3:$A$168,K1774)),LEN(TRIM(INDEX($A$3:$A$168,K1774)))-1)&amp;", "&amp;SUBSTITUTE(SUBSTITUTE(SUBSTITUTE(E1774," [",", "),"[",", "),"]","")&amp;"]",TRIM(INDEX($A$3:$A$168,K1774))&amp;" ["&amp;SUBSTITUTE(SUBSTITUTE(SUBSTITUTE(E1774," [",", "),"[",", "),"]","")&amp;"]")))</x:f>
      </x:c>
      <x:c r="G1774" t="str">
        <x:f>IF(F1774&lt;&gt;"",ROWS($F$3:F1774)-COUNTBLANK($F$3:F1774),"")</x:f>
      </x:c>
      <x:c r="H1774"/>
      <x:c r="I1774"/>
      <x:c r="J1774"/>
      <x:c r="K1774" t="str">
        <x:f>IF(ROW()-ROW($K$2)&lt;=SUM($J$3:$J$168),COUNTIF($H$3:$H$168,"&lt;"&amp;(ROW()-ROW($K$2))),"")</x:f>
      </x:c>
      <x:c r="L1774" t="str">
        <x:f>IF(K1774="","",ROW()-ROW($L$2)-INDEX($H$3:$H$168,K1774))</x:f>
      </x:c>
      <x:c r="M1774" t="str">
        <x:f>IF(K1774="","",IF(L1774=1,1,FIND(CHAR(1),SUBSTITUTE(INDEX($B$3:$B$168,K1774),CHAR(10),CHAR(1),L1774-1))+1))</x:f>
      </x:c>
      <x:c r="N1774" t="str">
        <x:f>IF(K1774="","",IFERROR(FIND(CHAR(1),SUBSTITUTE(INDEX($B$3:$B$168,K1774),CHAR(10),CHAR(1),L1774)),LEN(INDEX($B$3:$B$168,K1774))+1))</x:f>
      </x:c>
    </x:row>
    <x:row r="1775">
      <x:c r="A1775"/>
      <x:c r="B1775"/>
      <x:c r="C1775"/>
      <x:c r="D1775" t="str">
        <x:f>IFERROR(IF(1773&lt;=$O$1,INDEX($A$3:$A$168,MATCH(1773,$I$3:$I$168,0)),IF(1773&lt;=$O$1+$O$2,INDEX($F$3:$F$1994,MATCH(1773-$O$1,$G$3:$G$1994,0)),"")),"")</x:f>
      </x:c>
      <x:c r="E1775" t="str">
        <x:f>IF(K1775="","",IF(N1775&lt;=M1775,"",TRIM(CLEAN(MID(INDEX($B$3:$B$168,K1775),M1775,N1775-M1775)))))</x:f>
      </x:c>
      <x:c r="F1775" t="str">
        <x:f>IF(E1775="","",IF(E1775=TRIM(INDEX($A$3:$A$168,K1775)),"",IF(RIGHT(TRIM(INDEX($A$3:$A$168,K1775)),1)="]",LEFT(TRIM(INDEX($A$3:$A$168,K1775)),LEN(TRIM(INDEX($A$3:$A$168,K1775)))-1)&amp;", "&amp;SUBSTITUTE(SUBSTITUTE(SUBSTITUTE(E1775," [",", "),"[",", "),"]","")&amp;"]",TRIM(INDEX($A$3:$A$168,K1775))&amp;" ["&amp;SUBSTITUTE(SUBSTITUTE(SUBSTITUTE(E1775," [",", "),"[",", "),"]","")&amp;"]")))</x:f>
      </x:c>
      <x:c r="G1775" t="str">
        <x:f>IF(F1775&lt;&gt;"",ROWS($F$3:F1775)-COUNTBLANK($F$3:F1775),"")</x:f>
      </x:c>
      <x:c r="H1775"/>
      <x:c r="I1775"/>
      <x:c r="J1775"/>
      <x:c r="K1775" t="str">
        <x:f>IF(ROW()-ROW($K$2)&lt;=SUM($J$3:$J$168),COUNTIF($H$3:$H$168,"&lt;"&amp;(ROW()-ROW($K$2))),"")</x:f>
      </x:c>
      <x:c r="L1775" t="str">
        <x:f>IF(K1775="","",ROW()-ROW($L$2)-INDEX($H$3:$H$168,K1775))</x:f>
      </x:c>
      <x:c r="M1775" t="str">
        <x:f>IF(K1775="","",IF(L1775=1,1,FIND(CHAR(1),SUBSTITUTE(INDEX($B$3:$B$168,K1775),CHAR(10),CHAR(1),L1775-1))+1))</x:f>
      </x:c>
      <x:c r="N1775" t="str">
        <x:f>IF(K1775="","",IFERROR(FIND(CHAR(1),SUBSTITUTE(INDEX($B$3:$B$168,K1775),CHAR(10),CHAR(1),L1775)),LEN(INDEX($B$3:$B$168,K1775))+1))</x:f>
      </x:c>
    </x:row>
    <x:row r="1776">
      <x:c r="A1776"/>
      <x:c r="B1776"/>
      <x:c r="C1776"/>
      <x:c r="D1776" t="str">
        <x:f>IFERROR(IF(1774&lt;=$O$1,INDEX($A$3:$A$168,MATCH(1774,$I$3:$I$168,0)),IF(1774&lt;=$O$1+$O$2,INDEX($F$3:$F$1994,MATCH(1774-$O$1,$G$3:$G$1994,0)),"")),"")</x:f>
      </x:c>
      <x:c r="E1776" t="str">
        <x:f>IF(K1776="","",IF(N1776&lt;=M1776,"",TRIM(CLEAN(MID(INDEX($B$3:$B$168,K1776),M1776,N1776-M1776)))))</x:f>
      </x:c>
      <x:c r="F1776" t="str">
        <x:f>IF(E1776="","",IF(E1776=TRIM(INDEX($A$3:$A$168,K1776)),"",IF(RIGHT(TRIM(INDEX($A$3:$A$168,K1776)),1)="]",LEFT(TRIM(INDEX($A$3:$A$168,K1776)),LEN(TRIM(INDEX($A$3:$A$168,K1776)))-1)&amp;", "&amp;SUBSTITUTE(SUBSTITUTE(SUBSTITUTE(E1776," [",", "),"[",", "),"]","")&amp;"]",TRIM(INDEX($A$3:$A$168,K1776))&amp;" ["&amp;SUBSTITUTE(SUBSTITUTE(SUBSTITUTE(E1776," [",", "),"[",", "),"]","")&amp;"]")))</x:f>
      </x:c>
      <x:c r="G1776" t="str">
        <x:f>IF(F1776&lt;&gt;"",ROWS($F$3:F1776)-COUNTBLANK($F$3:F1776),"")</x:f>
      </x:c>
      <x:c r="H1776"/>
      <x:c r="I1776"/>
      <x:c r="J1776"/>
      <x:c r="K1776" t="str">
        <x:f>IF(ROW()-ROW($K$2)&lt;=SUM($J$3:$J$168),COUNTIF($H$3:$H$168,"&lt;"&amp;(ROW()-ROW($K$2))),"")</x:f>
      </x:c>
      <x:c r="L1776" t="str">
        <x:f>IF(K1776="","",ROW()-ROW($L$2)-INDEX($H$3:$H$168,K1776))</x:f>
      </x:c>
      <x:c r="M1776" t="str">
        <x:f>IF(K1776="","",IF(L1776=1,1,FIND(CHAR(1),SUBSTITUTE(INDEX($B$3:$B$168,K1776),CHAR(10),CHAR(1),L1776-1))+1))</x:f>
      </x:c>
      <x:c r="N1776" t="str">
        <x:f>IF(K1776="","",IFERROR(FIND(CHAR(1),SUBSTITUTE(INDEX($B$3:$B$168,K1776),CHAR(10),CHAR(1),L1776)),LEN(INDEX($B$3:$B$168,K1776))+1))</x:f>
      </x:c>
    </x:row>
    <x:row r="1777">
      <x:c r="A1777"/>
      <x:c r="B1777"/>
      <x:c r="C1777"/>
      <x:c r="D1777" t="str">
        <x:f>IFERROR(IF(1775&lt;=$O$1,INDEX($A$3:$A$168,MATCH(1775,$I$3:$I$168,0)),IF(1775&lt;=$O$1+$O$2,INDEX($F$3:$F$1994,MATCH(1775-$O$1,$G$3:$G$1994,0)),"")),"")</x:f>
      </x:c>
      <x:c r="E1777" t="str">
        <x:f>IF(K1777="","",IF(N1777&lt;=M1777,"",TRIM(CLEAN(MID(INDEX($B$3:$B$168,K1777),M1777,N1777-M1777)))))</x:f>
      </x:c>
      <x:c r="F1777" t="str">
        <x:f>IF(E1777="","",IF(E1777=TRIM(INDEX($A$3:$A$168,K1777)),"",IF(RIGHT(TRIM(INDEX($A$3:$A$168,K1777)),1)="]",LEFT(TRIM(INDEX($A$3:$A$168,K1777)),LEN(TRIM(INDEX($A$3:$A$168,K1777)))-1)&amp;", "&amp;SUBSTITUTE(SUBSTITUTE(SUBSTITUTE(E1777," [",", "),"[",", "),"]","")&amp;"]",TRIM(INDEX($A$3:$A$168,K1777))&amp;" ["&amp;SUBSTITUTE(SUBSTITUTE(SUBSTITUTE(E1777," [",", "),"[",", "),"]","")&amp;"]")))</x:f>
      </x:c>
      <x:c r="G1777" t="str">
        <x:f>IF(F1777&lt;&gt;"",ROWS($F$3:F1777)-COUNTBLANK($F$3:F1777),"")</x:f>
      </x:c>
      <x:c r="H1777"/>
      <x:c r="I1777"/>
      <x:c r="J1777"/>
      <x:c r="K1777" t="str">
        <x:f>IF(ROW()-ROW($K$2)&lt;=SUM($J$3:$J$168),COUNTIF($H$3:$H$168,"&lt;"&amp;(ROW()-ROW($K$2))),"")</x:f>
      </x:c>
      <x:c r="L1777" t="str">
        <x:f>IF(K1777="","",ROW()-ROW($L$2)-INDEX($H$3:$H$168,K1777))</x:f>
      </x:c>
      <x:c r="M1777" t="str">
        <x:f>IF(K1777="","",IF(L1777=1,1,FIND(CHAR(1),SUBSTITUTE(INDEX($B$3:$B$168,K1777),CHAR(10),CHAR(1),L1777-1))+1))</x:f>
      </x:c>
      <x:c r="N1777" t="str">
        <x:f>IF(K1777="","",IFERROR(FIND(CHAR(1),SUBSTITUTE(INDEX($B$3:$B$168,K1777),CHAR(10),CHAR(1),L1777)),LEN(INDEX($B$3:$B$168,K1777))+1))</x:f>
      </x:c>
    </x:row>
    <x:row r="1778">
      <x:c r="A1778"/>
      <x:c r="B1778"/>
      <x:c r="C1778"/>
      <x:c r="D1778" t="str">
        <x:f>IFERROR(IF(1776&lt;=$O$1,INDEX($A$3:$A$168,MATCH(1776,$I$3:$I$168,0)),IF(1776&lt;=$O$1+$O$2,INDEX($F$3:$F$1994,MATCH(1776-$O$1,$G$3:$G$1994,0)),"")),"")</x:f>
      </x:c>
      <x:c r="E1778" t="str">
        <x:f>IF(K1778="","",IF(N1778&lt;=M1778,"",TRIM(CLEAN(MID(INDEX($B$3:$B$168,K1778),M1778,N1778-M1778)))))</x:f>
      </x:c>
      <x:c r="F1778" t="str">
        <x:f>IF(E1778="","",IF(E1778=TRIM(INDEX($A$3:$A$168,K1778)),"",IF(RIGHT(TRIM(INDEX($A$3:$A$168,K1778)),1)="]",LEFT(TRIM(INDEX($A$3:$A$168,K1778)),LEN(TRIM(INDEX($A$3:$A$168,K1778)))-1)&amp;", "&amp;SUBSTITUTE(SUBSTITUTE(SUBSTITUTE(E1778," [",", "),"[",", "),"]","")&amp;"]",TRIM(INDEX($A$3:$A$168,K1778))&amp;" ["&amp;SUBSTITUTE(SUBSTITUTE(SUBSTITUTE(E1778," [",", "),"[",", "),"]","")&amp;"]")))</x:f>
      </x:c>
      <x:c r="G1778" t="str">
        <x:f>IF(F1778&lt;&gt;"",ROWS($F$3:F1778)-COUNTBLANK($F$3:F1778),"")</x:f>
      </x:c>
      <x:c r="H1778"/>
      <x:c r="I1778"/>
      <x:c r="J1778"/>
      <x:c r="K1778" t="str">
        <x:f>IF(ROW()-ROW($K$2)&lt;=SUM($J$3:$J$168),COUNTIF($H$3:$H$168,"&lt;"&amp;(ROW()-ROW($K$2))),"")</x:f>
      </x:c>
      <x:c r="L1778" t="str">
        <x:f>IF(K1778="","",ROW()-ROW($L$2)-INDEX($H$3:$H$168,K1778))</x:f>
      </x:c>
      <x:c r="M1778" t="str">
        <x:f>IF(K1778="","",IF(L1778=1,1,FIND(CHAR(1),SUBSTITUTE(INDEX($B$3:$B$168,K1778),CHAR(10),CHAR(1),L1778-1))+1))</x:f>
      </x:c>
      <x:c r="N1778" t="str">
        <x:f>IF(K1778="","",IFERROR(FIND(CHAR(1),SUBSTITUTE(INDEX($B$3:$B$168,K1778),CHAR(10),CHAR(1),L1778)),LEN(INDEX($B$3:$B$168,K1778))+1))</x:f>
      </x:c>
    </x:row>
    <x:row r="1779">
      <x:c r="A1779"/>
      <x:c r="B1779"/>
      <x:c r="C1779"/>
      <x:c r="D1779" t="str">
        <x:f>IFERROR(IF(1777&lt;=$O$1,INDEX($A$3:$A$168,MATCH(1777,$I$3:$I$168,0)),IF(1777&lt;=$O$1+$O$2,INDEX($F$3:$F$1994,MATCH(1777-$O$1,$G$3:$G$1994,0)),"")),"")</x:f>
      </x:c>
      <x:c r="E1779" t="str">
        <x:f>IF(K1779="","",IF(N1779&lt;=M1779,"",TRIM(CLEAN(MID(INDEX($B$3:$B$168,K1779),M1779,N1779-M1779)))))</x:f>
      </x:c>
      <x:c r="F1779" t="str">
        <x:f>IF(E1779="","",IF(E1779=TRIM(INDEX($A$3:$A$168,K1779)),"",IF(RIGHT(TRIM(INDEX($A$3:$A$168,K1779)),1)="]",LEFT(TRIM(INDEX($A$3:$A$168,K1779)),LEN(TRIM(INDEX($A$3:$A$168,K1779)))-1)&amp;", "&amp;SUBSTITUTE(SUBSTITUTE(SUBSTITUTE(E1779," [",", "),"[",", "),"]","")&amp;"]",TRIM(INDEX($A$3:$A$168,K1779))&amp;" ["&amp;SUBSTITUTE(SUBSTITUTE(SUBSTITUTE(E1779," [",", "),"[",", "),"]","")&amp;"]")))</x:f>
      </x:c>
      <x:c r="G1779" t="str">
        <x:f>IF(F1779&lt;&gt;"",ROWS($F$3:F1779)-COUNTBLANK($F$3:F1779),"")</x:f>
      </x:c>
      <x:c r="H1779"/>
      <x:c r="I1779"/>
      <x:c r="J1779"/>
      <x:c r="K1779" t="str">
        <x:f>IF(ROW()-ROW($K$2)&lt;=SUM($J$3:$J$168),COUNTIF($H$3:$H$168,"&lt;"&amp;(ROW()-ROW($K$2))),"")</x:f>
      </x:c>
      <x:c r="L1779" t="str">
        <x:f>IF(K1779="","",ROW()-ROW($L$2)-INDEX($H$3:$H$168,K1779))</x:f>
      </x:c>
      <x:c r="M1779" t="str">
        <x:f>IF(K1779="","",IF(L1779=1,1,FIND(CHAR(1),SUBSTITUTE(INDEX($B$3:$B$168,K1779),CHAR(10),CHAR(1),L1779-1))+1))</x:f>
      </x:c>
      <x:c r="N1779" t="str">
        <x:f>IF(K1779="","",IFERROR(FIND(CHAR(1),SUBSTITUTE(INDEX($B$3:$B$168,K1779),CHAR(10),CHAR(1),L1779)),LEN(INDEX($B$3:$B$168,K1779))+1))</x:f>
      </x:c>
    </x:row>
    <x:row r="1780">
      <x:c r="A1780"/>
      <x:c r="B1780"/>
      <x:c r="C1780"/>
      <x:c r="D1780" t="str">
        <x:f>IFERROR(IF(1778&lt;=$O$1,INDEX($A$3:$A$168,MATCH(1778,$I$3:$I$168,0)),IF(1778&lt;=$O$1+$O$2,INDEX($F$3:$F$1994,MATCH(1778-$O$1,$G$3:$G$1994,0)),"")),"")</x:f>
      </x:c>
      <x:c r="E1780" t="str">
        <x:f>IF(K1780="","",IF(N1780&lt;=M1780,"",TRIM(CLEAN(MID(INDEX($B$3:$B$168,K1780),M1780,N1780-M1780)))))</x:f>
      </x:c>
      <x:c r="F1780" t="str">
        <x:f>IF(E1780="","",IF(E1780=TRIM(INDEX($A$3:$A$168,K1780)),"",IF(RIGHT(TRIM(INDEX($A$3:$A$168,K1780)),1)="]",LEFT(TRIM(INDEX($A$3:$A$168,K1780)),LEN(TRIM(INDEX($A$3:$A$168,K1780)))-1)&amp;", "&amp;SUBSTITUTE(SUBSTITUTE(SUBSTITUTE(E1780," [",", "),"[",", "),"]","")&amp;"]",TRIM(INDEX($A$3:$A$168,K1780))&amp;" ["&amp;SUBSTITUTE(SUBSTITUTE(SUBSTITUTE(E1780," [",", "),"[",", "),"]","")&amp;"]")))</x:f>
      </x:c>
      <x:c r="G1780" t="str">
        <x:f>IF(F1780&lt;&gt;"",ROWS($F$3:F1780)-COUNTBLANK($F$3:F1780),"")</x:f>
      </x:c>
      <x:c r="H1780"/>
      <x:c r="I1780"/>
      <x:c r="J1780"/>
      <x:c r="K1780" t="str">
        <x:f>IF(ROW()-ROW($K$2)&lt;=SUM($J$3:$J$168),COUNTIF($H$3:$H$168,"&lt;"&amp;(ROW()-ROW($K$2))),"")</x:f>
      </x:c>
      <x:c r="L1780" t="str">
        <x:f>IF(K1780="","",ROW()-ROW($L$2)-INDEX($H$3:$H$168,K1780))</x:f>
      </x:c>
      <x:c r="M1780" t="str">
        <x:f>IF(K1780="","",IF(L1780=1,1,FIND(CHAR(1),SUBSTITUTE(INDEX($B$3:$B$168,K1780),CHAR(10),CHAR(1),L1780-1))+1))</x:f>
      </x:c>
      <x:c r="N1780" t="str">
        <x:f>IF(K1780="","",IFERROR(FIND(CHAR(1),SUBSTITUTE(INDEX($B$3:$B$168,K1780),CHAR(10),CHAR(1),L1780)),LEN(INDEX($B$3:$B$168,K1780))+1))</x:f>
      </x:c>
    </x:row>
    <x:row r="1781">
      <x:c r="A1781"/>
      <x:c r="B1781"/>
      <x:c r="C1781"/>
      <x:c r="D1781" t="str">
        <x:f>IFERROR(IF(1779&lt;=$O$1,INDEX($A$3:$A$168,MATCH(1779,$I$3:$I$168,0)),IF(1779&lt;=$O$1+$O$2,INDEX($F$3:$F$1994,MATCH(1779-$O$1,$G$3:$G$1994,0)),"")),"")</x:f>
      </x:c>
      <x:c r="E1781" t="str">
        <x:f>IF(K1781="","",IF(N1781&lt;=M1781,"",TRIM(CLEAN(MID(INDEX($B$3:$B$168,K1781),M1781,N1781-M1781)))))</x:f>
      </x:c>
      <x:c r="F1781" t="str">
        <x:f>IF(E1781="","",IF(E1781=TRIM(INDEX($A$3:$A$168,K1781)),"",IF(RIGHT(TRIM(INDEX($A$3:$A$168,K1781)),1)="]",LEFT(TRIM(INDEX($A$3:$A$168,K1781)),LEN(TRIM(INDEX($A$3:$A$168,K1781)))-1)&amp;", "&amp;SUBSTITUTE(SUBSTITUTE(SUBSTITUTE(E1781," [",", "),"[",", "),"]","")&amp;"]",TRIM(INDEX($A$3:$A$168,K1781))&amp;" ["&amp;SUBSTITUTE(SUBSTITUTE(SUBSTITUTE(E1781," [",", "),"[",", "),"]","")&amp;"]")))</x:f>
      </x:c>
      <x:c r="G1781" t="str">
        <x:f>IF(F1781&lt;&gt;"",ROWS($F$3:F1781)-COUNTBLANK($F$3:F1781),"")</x:f>
      </x:c>
      <x:c r="H1781"/>
      <x:c r="I1781"/>
      <x:c r="J1781"/>
      <x:c r="K1781" t="str">
        <x:f>IF(ROW()-ROW($K$2)&lt;=SUM($J$3:$J$168),COUNTIF($H$3:$H$168,"&lt;"&amp;(ROW()-ROW($K$2))),"")</x:f>
      </x:c>
      <x:c r="L1781" t="str">
        <x:f>IF(K1781="","",ROW()-ROW($L$2)-INDEX($H$3:$H$168,K1781))</x:f>
      </x:c>
      <x:c r="M1781" t="str">
        <x:f>IF(K1781="","",IF(L1781=1,1,FIND(CHAR(1),SUBSTITUTE(INDEX($B$3:$B$168,K1781),CHAR(10),CHAR(1),L1781-1))+1))</x:f>
      </x:c>
      <x:c r="N1781" t="str">
        <x:f>IF(K1781="","",IFERROR(FIND(CHAR(1),SUBSTITUTE(INDEX($B$3:$B$168,K1781),CHAR(10),CHAR(1),L1781)),LEN(INDEX($B$3:$B$168,K1781))+1))</x:f>
      </x:c>
    </x:row>
    <x:row r="1782">
      <x:c r="A1782"/>
      <x:c r="B1782"/>
      <x:c r="C1782"/>
      <x:c r="D1782" t="str">
        <x:f>IFERROR(IF(1780&lt;=$O$1,INDEX($A$3:$A$168,MATCH(1780,$I$3:$I$168,0)),IF(1780&lt;=$O$1+$O$2,INDEX($F$3:$F$1994,MATCH(1780-$O$1,$G$3:$G$1994,0)),"")),"")</x:f>
      </x:c>
      <x:c r="E1782" t="str">
        <x:f>IF(K1782="","",IF(N1782&lt;=M1782,"",TRIM(CLEAN(MID(INDEX($B$3:$B$168,K1782),M1782,N1782-M1782)))))</x:f>
      </x:c>
      <x:c r="F1782" t="str">
        <x:f>IF(E1782="","",IF(E1782=TRIM(INDEX($A$3:$A$168,K1782)),"",IF(RIGHT(TRIM(INDEX($A$3:$A$168,K1782)),1)="]",LEFT(TRIM(INDEX($A$3:$A$168,K1782)),LEN(TRIM(INDEX($A$3:$A$168,K1782)))-1)&amp;", "&amp;SUBSTITUTE(SUBSTITUTE(SUBSTITUTE(E1782," [",", "),"[",", "),"]","")&amp;"]",TRIM(INDEX($A$3:$A$168,K1782))&amp;" ["&amp;SUBSTITUTE(SUBSTITUTE(SUBSTITUTE(E1782," [",", "),"[",", "),"]","")&amp;"]")))</x:f>
      </x:c>
      <x:c r="G1782" t="str">
        <x:f>IF(F1782&lt;&gt;"",ROWS($F$3:F1782)-COUNTBLANK($F$3:F1782),"")</x:f>
      </x:c>
      <x:c r="H1782"/>
      <x:c r="I1782"/>
      <x:c r="J1782"/>
      <x:c r="K1782" t="str">
        <x:f>IF(ROW()-ROW($K$2)&lt;=SUM($J$3:$J$168),COUNTIF($H$3:$H$168,"&lt;"&amp;(ROW()-ROW($K$2))),"")</x:f>
      </x:c>
      <x:c r="L1782" t="str">
        <x:f>IF(K1782="","",ROW()-ROW($L$2)-INDEX($H$3:$H$168,K1782))</x:f>
      </x:c>
      <x:c r="M1782" t="str">
        <x:f>IF(K1782="","",IF(L1782=1,1,FIND(CHAR(1),SUBSTITUTE(INDEX($B$3:$B$168,K1782),CHAR(10),CHAR(1),L1782-1))+1))</x:f>
      </x:c>
      <x:c r="N1782" t="str">
        <x:f>IF(K1782="","",IFERROR(FIND(CHAR(1),SUBSTITUTE(INDEX($B$3:$B$168,K1782),CHAR(10),CHAR(1),L1782)),LEN(INDEX($B$3:$B$168,K1782))+1))</x:f>
      </x:c>
    </x:row>
    <x:row r="1783">
      <x:c r="A1783"/>
      <x:c r="B1783"/>
      <x:c r="C1783"/>
      <x:c r="D1783" t="str">
        <x:f>IFERROR(IF(1781&lt;=$O$1,INDEX($A$3:$A$168,MATCH(1781,$I$3:$I$168,0)),IF(1781&lt;=$O$1+$O$2,INDEX($F$3:$F$1994,MATCH(1781-$O$1,$G$3:$G$1994,0)),"")),"")</x:f>
      </x:c>
      <x:c r="E1783" t="str">
        <x:f>IF(K1783="","",IF(N1783&lt;=M1783,"",TRIM(CLEAN(MID(INDEX($B$3:$B$168,K1783),M1783,N1783-M1783)))))</x:f>
      </x:c>
      <x:c r="F1783" t="str">
        <x:f>IF(E1783="","",IF(E1783=TRIM(INDEX($A$3:$A$168,K1783)),"",IF(RIGHT(TRIM(INDEX($A$3:$A$168,K1783)),1)="]",LEFT(TRIM(INDEX($A$3:$A$168,K1783)),LEN(TRIM(INDEX($A$3:$A$168,K1783)))-1)&amp;", "&amp;SUBSTITUTE(SUBSTITUTE(SUBSTITUTE(E1783," [",", "),"[",", "),"]","")&amp;"]",TRIM(INDEX($A$3:$A$168,K1783))&amp;" ["&amp;SUBSTITUTE(SUBSTITUTE(SUBSTITUTE(E1783," [",", "),"[",", "),"]","")&amp;"]")))</x:f>
      </x:c>
      <x:c r="G1783" t="str">
        <x:f>IF(F1783&lt;&gt;"",ROWS($F$3:F1783)-COUNTBLANK($F$3:F1783),"")</x:f>
      </x:c>
      <x:c r="H1783"/>
      <x:c r="I1783"/>
      <x:c r="J1783"/>
      <x:c r="K1783" t="str">
        <x:f>IF(ROW()-ROW($K$2)&lt;=SUM($J$3:$J$168),COUNTIF($H$3:$H$168,"&lt;"&amp;(ROW()-ROW($K$2))),"")</x:f>
      </x:c>
      <x:c r="L1783" t="str">
        <x:f>IF(K1783="","",ROW()-ROW($L$2)-INDEX($H$3:$H$168,K1783))</x:f>
      </x:c>
      <x:c r="M1783" t="str">
        <x:f>IF(K1783="","",IF(L1783=1,1,FIND(CHAR(1),SUBSTITUTE(INDEX($B$3:$B$168,K1783),CHAR(10),CHAR(1),L1783-1))+1))</x:f>
      </x:c>
      <x:c r="N1783" t="str">
        <x:f>IF(K1783="","",IFERROR(FIND(CHAR(1),SUBSTITUTE(INDEX($B$3:$B$168,K1783),CHAR(10),CHAR(1),L1783)),LEN(INDEX($B$3:$B$168,K1783))+1))</x:f>
      </x:c>
    </x:row>
    <x:row r="1784">
      <x:c r="A1784"/>
      <x:c r="B1784"/>
      <x:c r="C1784"/>
      <x:c r="D1784" t="str">
        <x:f>IFERROR(IF(1782&lt;=$O$1,INDEX($A$3:$A$168,MATCH(1782,$I$3:$I$168,0)),IF(1782&lt;=$O$1+$O$2,INDEX($F$3:$F$1994,MATCH(1782-$O$1,$G$3:$G$1994,0)),"")),"")</x:f>
      </x:c>
      <x:c r="E1784" t="str">
        <x:f>IF(K1784="","",IF(N1784&lt;=M1784,"",TRIM(CLEAN(MID(INDEX($B$3:$B$168,K1784),M1784,N1784-M1784)))))</x:f>
      </x:c>
      <x:c r="F1784" t="str">
        <x:f>IF(E1784="","",IF(E1784=TRIM(INDEX($A$3:$A$168,K1784)),"",IF(RIGHT(TRIM(INDEX($A$3:$A$168,K1784)),1)="]",LEFT(TRIM(INDEX($A$3:$A$168,K1784)),LEN(TRIM(INDEX($A$3:$A$168,K1784)))-1)&amp;", "&amp;SUBSTITUTE(SUBSTITUTE(SUBSTITUTE(E1784," [",", "),"[",", "),"]","")&amp;"]",TRIM(INDEX($A$3:$A$168,K1784))&amp;" ["&amp;SUBSTITUTE(SUBSTITUTE(SUBSTITUTE(E1784," [",", "),"[",", "),"]","")&amp;"]")))</x:f>
      </x:c>
      <x:c r="G1784" t="str">
        <x:f>IF(F1784&lt;&gt;"",ROWS($F$3:F1784)-COUNTBLANK($F$3:F1784),"")</x:f>
      </x:c>
      <x:c r="H1784"/>
      <x:c r="I1784"/>
      <x:c r="J1784"/>
      <x:c r="K1784" t="str">
        <x:f>IF(ROW()-ROW($K$2)&lt;=SUM($J$3:$J$168),COUNTIF($H$3:$H$168,"&lt;"&amp;(ROW()-ROW($K$2))),"")</x:f>
      </x:c>
      <x:c r="L1784" t="str">
        <x:f>IF(K1784="","",ROW()-ROW($L$2)-INDEX($H$3:$H$168,K1784))</x:f>
      </x:c>
      <x:c r="M1784" t="str">
        <x:f>IF(K1784="","",IF(L1784=1,1,FIND(CHAR(1),SUBSTITUTE(INDEX($B$3:$B$168,K1784),CHAR(10),CHAR(1),L1784-1))+1))</x:f>
      </x:c>
      <x:c r="N1784" t="str">
        <x:f>IF(K1784="","",IFERROR(FIND(CHAR(1),SUBSTITUTE(INDEX($B$3:$B$168,K1784),CHAR(10),CHAR(1),L1784)),LEN(INDEX($B$3:$B$168,K1784))+1))</x:f>
      </x:c>
    </x:row>
    <x:row r="1785">
      <x:c r="A1785"/>
      <x:c r="B1785"/>
      <x:c r="C1785"/>
      <x:c r="D1785" t="str">
        <x:f>IFERROR(IF(1783&lt;=$O$1,INDEX($A$3:$A$168,MATCH(1783,$I$3:$I$168,0)),IF(1783&lt;=$O$1+$O$2,INDEX($F$3:$F$1994,MATCH(1783-$O$1,$G$3:$G$1994,0)),"")),"")</x:f>
      </x:c>
      <x:c r="E1785" t="str">
        <x:f>IF(K1785="","",IF(N1785&lt;=M1785,"",TRIM(CLEAN(MID(INDEX($B$3:$B$168,K1785),M1785,N1785-M1785)))))</x:f>
      </x:c>
      <x:c r="F1785" t="str">
        <x:f>IF(E1785="","",IF(E1785=TRIM(INDEX($A$3:$A$168,K1785)),"",IF(RIGHT(TRIM(INDEX($A$3:$A$168,K1785)),1)="]",LEFT(TRIM(INDEX($A$3:$A$168,K1785)),LEN(TRIM(INDEX($A$3:$A$168,K1785)))-1)&amp;", "&amp;SUBSTITUTE(SUBSTITUTE(SUBSTITUTE(E1785," [",", "),"[",", "),"]","")&amp;"]",TRIM(INDEX($A$3:$A$168,K1785))&amp;" ["&amp;SUBSTITUTE(SUBSTITUTE(SUBSTITUTE(E1785," [",", "),"[",", "),"]","")&amp;"]")))</x:f>
      </x:c>
      <x:c r="G1785" t="str">
        <x:f>IF(F1785&lt;&gt;"",ROWS($F$3:F1785)-COUNTBLANK($F$3:F1785),"")</x:f>
      </x:c>
      <x:c r="H1785"/>
      <x:c r="I1785"/>
      <x:c r="J1785"/>
      <x:c r="K1785" t="str">
        <x:f>IF(ROW()-ROW($K$2)&lt;=SUM($J$3:$J$168),COUNTIF($H$3:$H$168,"&lt;"&amp;(ROW()-ROW($K$2))),"")</x:f>
      </x:c>
      <x:c r="L1785" t="str">
        <x:f>IF(K1785="","",ROW()-ROW($L$2)-INDEX($H$3:$H$168,K1785))</x:f>
      </x:c>
      <x:c r="M1785" t="str">
        <x:f>IF(K1785="","",IF(L1785=1,1,FIND(CHAR(1),SUBSTITUTE(INDEX($B$3:$B$168,K1785),CHAR(10),CHAR(1),L1785-1))+1))</x:f>
      </x:c>
      <x:c r="N1785" t="str">
        <x:f>IF(K1785="","",IFERROR(FIND(CHAR(1),SUBSTITUTE(INDEX($B$3:$B$168,K1785),CHAR(10),CHAR(1),L1785)),LEN(INDEX($B$3:$B$168,K1785))+1))</x:f>
      </x:c>
    </x:row>
    <x:row r="1786">
      <x:c r="A1786"/>
      <x:c r="B1786"/>
      <x:c r="C1786"/>
      <x:c r="D1786" t="str">
        <x:f>IFERROR(IF(1784&lt;=$O$1,INDEX($A$3:$A$168,MATCH(1784,$I$3:$I$168,0)),IF(1784&lt;=$O$1+$O$2,INDEX($F$3:$F$1994,MATCH(1784-$O$1,$G$3:$G$1994,0)),"")),"")</x:f>
      </x:c>
      <x:c r="E1786" t="str">
        <x:f>IF(K1786="","",IF(N1786&lt;=M1786,"",TRIM(CLEAN(MID(INDEX($B$3:$B$168,K1786),M1786,N1786-M1786)))))</x:f>
      </x:c>
      <x:c r="F1786" t="str">
        <x:f>IF(E1786="","",IF(E1786=TRIM(INDEX($A$3:$A$168,K1786)),"",IF(RIGHT(TRIM(INDEX($A$3:$A$168,K1786)),1)="]",LEFT(TRIM(INDEX($A$3:$A$168,K1786)),LEN(TRIM(INDEX($A$3:$A$168,K1786)))-1)&amp;", "&amp;SUBSTITUTE(SUBSTITUTE(SUBSTITUTE(E1786," [",", "),"[",", "),"]","")&amp;"]",TRIM(INDEX($A$3:$A$168,K1786))&amp;" ["&amp;SUBSTITUTE(SUBSTITUTE(SUBSTITUTE(E1786," [",", "),"[",", "),"]","")&amp;"]")))</x:f>
      </x:c>
      <x:c r="G1786" t="str">
        <x:f>IF(F1786&lt;&gt;"",ROWS($F$3:F1786)-COUNTBLANK($F$3:F1786),"")</x:f>
      </x:c>
      <x:c r="H1786"/>
      <x:c r="I1786"/>
      <x:c r="J1786"/>
      <x:c r="K1786" t="str">
        <x:f>IF(ROW()-ROW($K$2)&lt;=SUM($J$3:$J$168),COUNTIF($H$3:$H$168,"&lt;"&amp;(ROW()-ROW($K$2))),"")</x:f>
      </x:c>
      <x:c r="L1786" t="str">
        <x:f>IF(K1786="","",ROW()-ROW($L$2)-INDEX($H$3:$H$168,K1786))</x:f>
      </x:c>
      <x:c r="M1786" t="str">
        <x:f>IF(K1786="","",IF(L1786=1,1,FIND(CHAR(1),SUBSTITUTE(INDEX($B$3:$B$168,K1786),CHAR(10),CHAR(1),L1786-1))+1))</x:f>
      </x:c>
      <x:c r="N1786" t="str">
        <x:f>IF(K1786="","",IFERROR(FIND(CHAR(1),SUBSTITUTE(INDEX($B$3:$B$168,K1786),CHAR(10),CHAR(1),L1786)),LEN(INDEX($B$3:$B$168,K1786))+1))</x:f>
      </x:c>
    </x:row>
    <x:row r="1787">
      <x:c r="A1787"/>
      <x:c r="B1787"/>
      <x:c r="C1787"/>
      <x:c r="D1787" t="str">
        <x:f>IFERROR(IF(1785&lt;=$O$1,INDEX($A$3:$A$168,MATCH(1785,$I$3:$I$168,0)),IF(1785&lt;=$O$1+$O$2,INDEX($F$3:$F$1994,MATCH(1785-$O$1,$G$3:$G$1994,0)),"")),"")</x:f>
      </x:c>
      <x:c r="E1787" t="str">
        <x:f>IF(K1787="","",IF(N1787&lt;=M1787,"",TRIM(CLEAN(MID(INDEX($B$3:$B$168,K1787),M1787,N1787-M1787)))))</x:f>
      </x:c>
      <x:c r="F1787" t="str">
        <x:f>IF(E1787="","",IF(E1787=TRIM(INDEX($A$3:$A$168,K1787)),"",IF(RIGHT(TRIM(INDEX($A$3:$A$168,K1787)),1)="]",LEFT(TRIM(INDEX($A$3:$A$168,K1787)),LEN(TRIM(INDEX($A$3:$A$168,K1787)))-1)&amp;", "&amp;SUBSTITUTE(SUBSTITUTE(SUBSTITUTE(E1787," [",", "),"[",", "),"]","")&amp;"]",TRIM(INDEX($A$3:$A$168,K1787))&amp;" ["&amp;SUBSTITUTE(SUBSTITUTE(SUBSTITUTE(E1787," [",", "),"[",", "),"]","")&amp;"]")))</x:f>
      </x:c>
      <x:c r="G1787" t="str">
        <x:f>IF(F1787&lt;&gt;"",ROWS($F$3:F1787)-COUNTBLANK($F$3:F1787),"")</x:f>
      </x:c>
      <x:c r="H1787"/>
      <x:c r="I1787"/>
      <x:c r="J1787"/>
      <x:c r="K1787" t="str">
        <x:f>IF(ROW()-ROW($K$2)&lt;=SUM($J$3:$J$168),COUNTIF($H$3:$H$168,"&lt;"&amp;(ROW()-ROW($K$2))),"")</x:f>
      </x:c>
      <x:c r="L1787" t="str">
        <x:f>IF(K1787="","",ROW()-ROW($L$2)-INDEX($H$3:$H$168,K1787))</x:f>
      </x:c>
      <x:c r="M1787" t="str">
        <x:f>IF(K1787="","",IF(L1787=1,1,FIND(CHAR(1),SUBSTITUTE(INDEX($B$3:$B$168,K1787),CHAR(10),CHAR(1),L1787-1))+1))</x:f>
      </x:c>
      <x:c r="N1787" t="str">
        <x:f>IF(K1787="","",IFERROR(FIND(CHAR(1),SUBSTITUTE(INDEX($B$3:$B$168,K1787),CHAR(10),CHAR(1),L1787)),LEN(INDEX($B$3:$B$168,K1787))+1))</x:f>
      </x:c>
    </x:row>
    <x:row r="1788">
      <x:c r="A1788"/>
      <x:c r="B1788"/>
      <x:c r="C1788"/>
      <x:c r="D1788" t="str">
        <x:f>IFERROR(IF(1786&lt;=$O$1,INDEX($A$3:$A$168,MATCH(1786,$I$3:$I$168,0)),IF(1786&lt;=$O$1+$O$2,INDEX($F$3:$F$1994,MATCH(1786-$O$1,$G$3:$G$1994,0)),"")),"")</x:f>
      </x:c>
      <x:c r="E1788" t="str">
        <x:f>IF(K1788="","",IF(N1788&lt;=M1788,"",TRIM(CLEAN(MID(INDEX($B$3:$B$168,K1788),M1788,N1788-M1788)))))</x:f>
      </x:c>
      <x:c r="F1788" t="str">
        <x:f>IF(E1788="","",IF(E1788=TRIM(INDEX($A$3:$A$168,K1788)),"",IF(RIGHT(TRIM(INDEX($A$3:$A$168,K1788)),1)="]",LEFT(TRIM(INDEX($A$3:$A$168,K1788)),LEN(TRIM(INDEX($A$3:$A$168,K1788)))-1)&amp;", "&amp;SUBSTITUTE(SUBSTITUTE(SUBSTITUTE(E1788," [",", "),"[",", "),"]","")&amp;"]",TRIM(INDEX($A$3:$A$168,K1788))&amp;" ["&amp;SUBSTITUTE(SUBSTITUTE(SUBSTITUTE(E1788," [",", "),"[",", "),"]","")&amp;"]")))</x:f>
      </x:c>
      <x:c r="G1788" t="str">
        <x:f>IF(F1788&lt;&gt;"",ROWS($F$3:F1788)-COUNTBLANK($F$3:F1788),"")</x:f>
      </x:c>
      <x:c r="H1788"/>
      <x:c r="I1788"/>
      <x:c r="J1788"/>
      <x:c r="K1788" t="str">
        <x:f>IF(ROW()-ROW($K$2)&lt;=SUM($J$3:$J$168),COUNTIF($H$3:$H$168,"&lt;"&amp;(ROW()-ROW($K$2))),"")</x:f>
      </x:c>
      <x:c r="L1788" t="str">
        <x:f>IF(K1788="","",ROW()-ROW($L$2)-INDEX($H$3:$H$168,K1788))</x:f>
      </x:c>
      <x:c r="M1788" t="str">
        <x:f>IF(K1788="","",IF(L1788=1,1,FIND(CHAR(1),SUBSTITUTE(INDEX($B$3:$B$168,K1788),CHAR(10),CHAR(1),L1788-1))+1))</x:f>
      </x:c>
      <x:c r="N1788" t="str">
        <x:f>IF(K1788="","",IFERROR(FIND(CHAR(1),SUBSTITUTE(INDEX($B$3:$B$168,K1788),CHAR(10),CHAR(1),L1788)),LEN(INDEX($B$3:$B$168,K1788))+1))</x:f>
      </x:c>
    </x:row>
    <x:row r="1789">
      <x:c r="A1789"/>
      <x:c r="B1789"/>
      <x:c r="C1789"/>
      <x:c r="D1789" t="str">
        <x:f>IFERROR(IF(1787&lt;=$O$1,INDEX($A$3:$A$168,MATCH(1787,$I$3:$I$168,0)),IF(1787&lt;=$O$1+$O$2,INDEX($F$3:$F$1994,MATCH(1787-$O$1,$G$3:$G$1994,0)),"")),"")</x:f>
      </x:c>
      <x:c r="E1789" t="str">
        <x:f>IF(K1789="","",IF(N1789&lt;=M1789,"",TRIM(CLEAN(MID(INDEX($B$3:$B$168,K1789),M1789,N1789-M1789)))))</x:f>
      </x:c>
      <x:c r="F1789" t="str">
        <x:f>IF(E1789="","",IF(E1789=TRIM(INDEX($A$3:$A$168,K1789)),"",IF(RIGHT(TRIM(INDEX($A$3:$A$168,K1789)),1)="]",LEFT(TRIM(INDEX($A$3:$A$168,K1789)),LEN(TRIM(INDEX($A$3:$A$168,K1789)))-1)&amp;", "&amp;SUBSTITUTE(SUBSTITUTE(SUBSTITUTE(E1789," [",", "),"[",", "),"]","")&amp;"]",TRIM(INDEX($A$3:$A$168,K1789))&amp;" ["&amp;SUBSTITUTE(SUBSTITUTE(SUBSTITUTE(E1789," [",", "),"[",", "),"]","")&amp;"]")))</x:f>
      </x:c>
      <x:c r="G1789" t="str">
        <x:f>IF(F1789&lt;&gt;"",ROWS($F$3:F1789)-COUNTBLANK($F$3:F1789),"")</x:f>
      </x:c>
      <x:c r="H1789"/>
      <x:c r="I1789"/>
      <x:c r="J1789"/>
      <x:c r="K1789" t="str">
        <x:f>IF(ROW()-ROW($K$2)&lt;=SUM($J$3:$J$168),COUNTIF($H$3:$H$168,"&lt;"&amp;(ROW()-ROW($K$2))),"")</x:f>
      </x:c>
      <x:c r="L1789" t="str">
        <x:f>IF(K1789="","",ROW()-ROW($L$2)-INDEX($H$3:$H$168,K1789))</x:f>
      </x:c>
      <x:c r="M1789" t="str">
        <x:f>IF(K1789="","",IF(L1789=1,1,FIND(CHAR(1),SUBSTITUTE(INDEX($B$3:$B$168,K1789),CHAR(10),CHAR(1),L1789-1))+1))</x:f>
      </x:c>
      <x:c r="N1789" t="str">
        <x:f>IF(K1789="","",IFERROR(FIND(CHAR(1),SUBSTITUTE(INDEX($B$3:$B$168,K1789),CHAR(10),CHAR(1),L1789)),LEN(INDEX($B$3:$B$168,K1789))+1))</x:f>
      </x:c>
    </x:row>
    <x:row r="1790">
      <x:c r="A1790"/>
      <x:c r="B1790"/>
      <x:c r="C1790"/>
      <x:c r="D1790" t="str">
        <x:f>IFERROR(IF(1788&lt;=$O$1,INDEX($A$3:$A$168,MATCH(1788,$I$3:$I$168,0)),IF(1788&lt;=$O$1+$O$2,INDEX($F$3:$F$1994,MATCH(1788-$O$1,$G$3:$G$1994,0)),"")),"")</x:f>
      </x:c>
      <x:c r="E1790" t="str">
        <x:f>IF(K1790="","",IF(N1790&lt;=M1790,"",TRIM(CLEAN(MID(INDEX($B$3:$B$168,K1790),M1790,N1790-M1790)))))</x:f>
      </x:c>
      <x:c r="F1790" t="str">
        <x:f>IF(E1790="","",IF(E1790=TRIM(INDEX($A$3:$A$168,K1790)),"",IF(RIGHT(TRIM(INDEX($A$3:$A$168,K1790)),1)="]",LEFT(TRIM(INDEX($A$3:$A$168,K1790)),LEN(TRIM(INDEX($A$3:$A$168,K1790)))-1)&amp;", "&amp;SUBSTITUTE(SUBSTITUTE(SUBSTITUTE(E1790," [",", "),"[",", "),"]","")&amp;"]",TRIM(INDEX($A$3:$A$168,K1790))&amp;" ["&amp;SUBSTITUTE(SUBSTITUTE(SUBSTITUTE(E1790," [",", "),"[",", "),"]","")&amp;"]")))</x:f>
      </x:c>
      <x:c r="G1790" t="str">
        <x:f>IF(F1790&lt;&gt;"",ROWS($F$3:F1790)-COUNTBLANK($F$3:F1790),"")</x:f>
      </x:c>
      <x:c r="H1790"/>
      <x:c r="I1790"/>
      <x:c r="J1790"/>
      <x:c r="K1790" t="str">
        <x:f>IF(ROW()-ROW($K$2)&lt;=SUM($J$3:$J$168),COUNTIF($H$3:$H$168,"&lt;"&amp;(ROW()-ROW($K$2))),"")</x:f>
      </x:c>
      <x:c r="L1790" t="str">
        <x:f>IF(K1790="","",ROW()-ROW($L$2)-INDEX($H$3:$H$168,K1790))</x:f>
      </x:c>
      <x:c r="M1790" t="str">
        <x:f>IF(K1790="","",IF(L1790=1,1,FIND(CHAR(1),SUBSTITUTE(INDEX($B$3:$B$168,K1790),CHAR(10),CHAR(1),L1790-1))+1))</x:f>
      </x:c>
      <x:c r="N1790" t="str">
        <x:f>IF(K1790="","",IFERROR(FIND(CHAR(1),SUBSTITUTE(INDEX($B$3:$B$168,K1790),CHAR(10),CHAR(1),L1790)),LEN(INDEX($B$3:$B$168,K1790))+1))</x:f>
      </x:c>
    </x:row>
    <x:row r="1791">
      <x:c r="A1791"/>
      <x:c r="B1791"/>
      <x:c r="C1791"/>
      <x:c r="D1791" t="str">
        <x:f>IFERROR(IF(1789&lt;=$O$1,INDEX($A$3:$A$168,MATCH(1789,$I$3:$I$168,0)),IF(1789&lt;=$O$1+$O$2,INDEX($F$3:$F$1994,MATCH(1789-$O$1,$G$3:$G$1994,0)),"")),"")</x:f>
      </x:c>
      <x:c r="E1791" t="str">
        <x:f>IF(K1791="","",IF(N1791&lt;=M1791,"",TRIM(CLEAN(MID(INDEX($B$3:$B$168,K1791),M1791,N1791-M1791)))))</x:f>
      </x:c>
      <x:c r="F1791" t="str">
        <x:f>IF(E1791="","",IF(E1791=TRIM(INDEX($A$3:$A$168,K1791)),"",IF(RIGHT(TRIM(INDEX($A$3:$A$168,K1791)),1)="]",LEFT(TRIM(INDEX($A$3:$A$168,K1791)),LEN(TRIM(INDEX($A$3:$A$168,K1791)))-1)&amp;", "&amp;SUBSTITUTE(SUBSTITUTE(SUBSTITUTE(E1791," [",", "),"[",", "),"]","")&amp;"]",TRIM(INDEX($A$3:$A$168,K1791))&amp;" ["&amp;SUBSTITUTE(SUBSTITUTE(SUBSTITUTE(E1791," [",", "),"[",", "),"]","")&amp;"]")))</x:f>
      </x:c>
      <x:c r="G1791" t="str">
        <x:f>IF(F1791&lt;&gt;"",ROWS($F$3:F1791)-COUNTBLANK($F$3:F1791),"")</x:f>
      </x:c>
      <x:c r="H1791"/>
      <x:c r="I1791"/>
      <x:c r="J1791"/>
      <x:c r="K1791" t="str">
        <x:f>IF(ROW()-ROW($K$2)&lt;=SUM($J$3:$J$168),COUNTIF($H$3:$H$168,"&lt;"&amp;(ROW()-ROW($K$2))),"")</x:f>
      </x:c>
      <x:c r="L1791" t="str">
        <x:f>IF(K1791="","",ROW()-ROW($L$2)-INDEX($H$3:$H$168,K1791))</x:f>
      </x:c>
      <x:c r="M1791" t="str">
        <x:f>IF(K1791="","",IF(L1791=1,1,FIND(CHAR(1),SUBSTITUTE(INDEX($B$3:$B$168,K1791),CHAR(10),CHAR(1),L1791-1))+1))</x:f>
      </x:c>
      <x:c r="N1791" t="str">
        <x:f>IF(K1791="","",IFERROR(FIND(CHAR(1),SUBSTITUTE(INDEX($B$3:$B$168,K1791),CHAR(10),CHAR(1),L1791)),LEN(INDEX($B$3:$B$168,K1791))+1))</x:f>
      </x:c>
    </x:row>
    <x:row r="1792">
      <x:c r="A1792"/>
      <x:c r="B1792"/>
      <x:c r="C1792"/>
      <x:c r="D1792" t="str">
        <x:f>IFERROR(IF(1790&lt;=$O$1,INDEX($A$3:$A$168,MATCH(1790,$I$3:$I$168,0)),IF(1790&lt;=$O$1+$O$2,INDEX($F$3:$F$1994,MATCH(1790-$O$1,$G$3:$G$1994,0)),"")),"")</x:f>
      </x:c>
      <x:c r="E1792" t="str">
        <x:f>IF(K1792="","",IF(N1792&lt;=M1792,"",TRIM(CLEAN(MID(INDEX($B$3:$B$168,K1792),M1792,N1792-M1792)))))</x:f>
      </x:c>
      <x:c r="F1792" t="str">
        <x:f>IF(E1792="","",IF(E1792=TRIM(INDEX($A$3:$A$168,K1792)),"",IF(RIGHT(TRIM(INDEX($A$3:$A$168,K1792)),1)="]",LEFT(TRIM(INDEX($A$3:$A$168,K1792)),LEN(TRIM(INDEX($A$3:$A$168,K1792)))-1)&amp;", "&amp;SUBSTITUTE(SUBSTITUTE(SUBSTITUTE(E1792," [",", "),"[",", "),"]","")&amp;"]",TRIM(INDEX($A$3:$A$168,K1792))&amp;" ["&amp;SUBSTITUTE(SUBSTITUTE(SUBSTITUTE(E1792," [",", "),"[",", "),"]","")&amp;"]")))</x:f>
      </x:c>
      <x:c r="G1792" t="str">
        <x:f>IF(F1792&lt;&gt;"",ROWS($F$3:F1792)-COUNTBLANK($F$3:F1792),"")</x:f>
      </x:c>
      <x:c r="H1792"/>
      <x:c r="I1792"/>
      <x:c r="J1792"/>
      <x:c r="K1792" t="str">
        <x:f>IF(ROW()-ROW($K$2)&lt;=SUM($J$3:$J$168),COUNTIF($H$3:$H$168,"&lt;"&amp;(ROW()-ROW($K$2))),"")</x:f>
      </x:c>
      <x:c r="L1792" t="str">
        <x:f>IF(K1792="","",ROW()-ROW($L$2)-INDEX($H$3:$H$168,K1792))</x:f>
      </x:c>
      <x:c r="M1792" t="str">
        <x:f>IF(K1792="","",IF(L1792=1,1,FIND(CHAR(1),SUBSTITUTE(INDEX($B$3:$B$168,K1792),CHAR(10),CHAR(1),L1792-1))+1))</x:f>
      </x:c>
      <x:c r="N1792" t="str">
        <x:f>IF(K1792="","",IFERROR(FIND(CHAR(1),SUBSTITUTE(INDEX($B$3:$B$168,K1792),CHAR(10),CHAR(1),L1792)),LEN(INDEX($B$3:$B$168,K1792))+1))</x:f>
      </x:c>
    </x:row>
    <x:row r="1793">
      <x:c r="A1793"/>
      <x:c r="B1793"/>
      <x:c r="C1793"/>
      <x:c r="D1793" t="str">
        <x:f>IFERROR(IF(1791&lt;=$O$1,INDEX($A$3:$A$168,MATCH(1791,$I$3:$I$168,0)),IF(1791&lt;=$O$1+$O$2,INDEX($F$3:$F$1994,MATCH(1791-$O$1,$G$3:$G$1994,0)),"")),"")</x:f>
      </x:c>
      <x:c r="E1793" t="str">
        <x:f>IF(K1793="","",IF(N1793&lt;=M1793,"",TRIM(CLEAN(MID(INDEX($B$3:$B$168,K1793),M1793,N1793-M1793)))))</x:f>
      </x:c>
      <x:c r="F1793" t="str">
        <x:f>IF(E1793="","",IF(E1793=TRIM(INDEX($A$3:$A$168,K1793)),"",IF(RIGHT(TRIM(INDEX($A$3:$A$168,K1793)),1)="]",LEFT(TRIM(INDEX($A$3:$A$168,K1793)),LEN(TRIM(INDEX($A$3:$A$168,K1793)))-1)&amp;", "&amp;SUBSTITUTE(SUBSTITUTE(SUBSTITUTE(E1793," [",", "),"[",", "),"]","")&amp;"]",TRIM(INDEX($A$3:$A$168,K1793))&amp;" ["&amp;SUBSTITUTE(SUBSTITUTE(SUBSTITUTE(E1793," [",", "),"[",", "),"]","")&amp;"]")))</x:f>
      </x:c>
      <x:c r="G1793" t="str">
        <x:f>IF(F1793&lt;&gt;"",ROWS($F$3:F1793)-COUNTBLANK($F$3:F1793),"")</x:f>
      </x:c>
      <x:c r="H1793"/>
      <x:c r="I1793"/>
      <x:c r="J1793"/>
      <x:c r="K1793" t="str">
        <x:f>IF(ROW()-ROW($K$2)&lt;=SUM($J$3:$J$168),COUNTIF($H$3:$H$168,"&lt;"&amp;(ROW()-ROW($K$2))),"")</x:f>
      </x:c>
      <x:c r="L1793" t="str">
        <x:f>IF(K1793="","",ROW()-ROW($L$2)-INDEX($H$3:$H$168,K1793))</x:f>
      </x:c>
      <x:c r="M1793" t="str">
        <x:f>IF(K1793="","",IF(L1793=1,1,FIND(CHAR(1),SUBSTITUTE(INDEX($B$3:$B$168,K1793),CHAR(10),CHAR(1),L1793-1))+1))</x:f>
      </x:c>
      <x:c r="N1793" t="str">
        <x:f>IF(K1793="","",IFERROR(FIND(CHAR(1),SUBSTITUTE(INDEX($B$3:$B$168,K1793),CHAR(10),CHAR(1),L1793)),LEN(INDEX($B$3:$B$168,K1793))+1))</x:f>
      </x:c>
    </x:row>
    <x:row r="1794">
      <x:c r="A1794"/>
      <x:c r="B1794"/>
      <x:c r="C1794"/>
      <x:c r="D1794" t="str">
        <x:f>IFERROR(IF(1792&lt;=$O$1,INDEX($A$3:$A$168,MATCH(1792,$I$3:$I$168,0)),IF(1792&lt;=$O$1+$O$2,INDEX($F$3:$F$1994,MATCH(1792-$O$1,$G$3:$G$1994,0)),"")),"")</x:f>
      </x:c>
      <x:c r="E1794" t="str">
        <x:f>IF(K1794="","",IF(N1794&lt;=M1794,"",TRIM(CLEAN(MID(INDEX($B$3:$B$168,K1794),M1794,N1794-M1794)))))</x:f>
      </x:c>
      <x:c r="F1794" t="str">
        <x:f>IF(E1794="","",IF(E1794=TRIM(INDEX($A$3:$A$168,K1794)),"",IF(RIGHT(TRIM(INDEX($A$3:$A$168,K1794)),1)="]",LEFT(TRIM(INDEX($A$3:$A$168,K1794)),LEN(TRIM(INDEX($A$3:$A$168,K1794)))-1)&amp;", "&amp;SUBSTITUTE(SUBSTITUTE(SUBSTITUTE(E1794," [",", "),"[",", "),"]","")&amp;"]",TRIM(INDEX($A$3:$A$168,K1794))&amp;" ["&amp;SUBSTITUTE(SUBSTITUTE(SUBSTITUTE(E1794," [",", "),"[",", "),"]","")&amp;"]")))</x:f>
      </x:c>
      <x:c r="G1794" t="str">
        <x:f>IF(F1794&lt;&gt;"",ROWS($F$3:F1794)-COUNTBLANK($F$3:F1794),"")</x:f>
      </x:c>
      <x:c r="H1794"/>
      <x:c r="I1794"/>
      <x:c r="J1794"/>
      <x:c r="K1794" t="str">
        <x:f>IF(ROW()-ROW($K$2)&lt;=SUM($J$3:$J$168),COUNTIF($H$3:$H$168,"&lt;"&amp;(ROW()-ROW($K$2))),"")</x:f>
      </x:c>
      <x:c r="L1794" t="str">
        <x:f>IF(K1794="","",ROW()-ROW($L$2)-INDEX($H$3:$H$168,K1794))</x:f>
      </x:c>
      <x:c r="M1794" t="str">
        <x:f>IF(K1794="","",IF(L1794=1,1,FIND(CHAR(1),SUBSTITUTE(INDEX($B$3:$B$168,K1794),CHAR(10),CHAR(1),L1794-1))+1))</x:f>
      </x:c>
      <x:c r="N1794" t="str">
        <x:f>IF(K1794="","",IFERROR(FIND(CHAR(1),SUBSTITUTE(INDEX($B$3:$B$168,K1794),CHAR(10),CHAR(1),L1794)),LEN(INDEX($B$3:$B$168,K1794))+1))</x:f>
      </x:c>
    </x:row>
    <x:row r="1795">
      <x:c r="A1795"/>
      <x:c r="B1795"/>
      <x:c r="C1795"/>
      <x:c r="D1795" t="str">
        <x:f>IFERROR(IF(1793&lt;=$O$1,INDEX($A$3:$A$168,MATCH(1793,$I$3:$I$168,0)),IF(1793&lt;=$O$1+$O$2,INDEX($F$3:$F$1994,MATCH(1793-$O$1,$G$3:$G$1994,0)),"")),"")</x:f>
      </x:c>
      <x:c r="E1795" t="str">
        <x:f>IF(K1795="","",IF(N1795&lt;=M1795,"",TRIM(CLEAN(MID(INDEX($B$3:$B$168,K1795),M1795,N1795-M1795)))))</x:f>
      </x:c>
      <x:c r="F1795" t="str">
        <x:f>IF(E1795="","",IF(E1795=TRIM(INDEX($A$3:$A$168,K1795)),"",IF(RIGHT(TRIM(INDEX($A$3:$A$168,K1795)),1)="]",LEFT(TRIM(INDEX($A$3:$A$168,K1795)),LEN(TRIM(INDEX($A$3:$A$168,K1795)))-1)&amp;", "&amp;SUBSTITUTE(SUBSTITUTE(SUBSTITUTE(E1795," [",", "),"[",", "),"]","")&amp;"]",TRIM(INDEX($A$3:$A$168,K1795))&amp;" ["&amp;SUBSTITUTE(SUBSTITUTE(SUBSTITUTE(E1795," [",", "),"[",", "),"]","")&amp;"]")))</x:f>
      </x:c>
      <x:c r="G1795" t="str">
        <x:f>IF(F1795&lt;&gt;"",ROWS($F$3:F1795)-COUNTBLANK($F$3:F1795),"")</x:f>
      </x:c>
      <x:c r="H1795"/>
      <x:c r="I1795"/>
      <x:c r="J1795"/>
      <x:c r="K1795" t="str">
        <x:f>IF(ROW()-ROW($K$2)&lt;=SUM($J$3:$J$168),COUNTIF($H$3:$H$168,"&lt;"&amp;(ROW()-ROW($K$2))),"")</x:f>
      </x:c>
      <x:c r="L1795" t="str">
        <x:f>IF(K1795="","",ROW()-ROW($L$2)-INDEX($H$3:$H$168,K1795))</x:f>
      </x:c>
      <x:c r="M1795" t="str">
        <x:f>IF(K1795="","",IF(L1795=1,1,FIND(CHAR(1),SUBSTITUTE(INDEX($B$3:$B$168,K1795),CHAR(10),CHAR(1),L1795-1))+1))</x:f>
      </x:c>
      <x:c r="N1795" t="str">
        <x:f>IF(K1795="","",IFERROR(FIND(CHAR(1),SUBSTITUTE(INDEX($B$3:$B$168,K1795),CHAR(10),CHAR(1),L1795)),LEN(INDEX($B$3:$B$168,K1795))+1))</x:f>
      </x:c>
    </x:row>
    <x:row r="1796">
      <x:c r="A1796"/>
      <x:c r="B1796"/>
      <x:c r="C1796"/>
      <x:c r="D1796" t="str">
        <x:f>IFERROR(IF(1794&lt;=$O$1,INDEX($A$3:$A$168,MATCH(1794,$I$3:$I$168,0)),IF(1794&lt;=$O$1+$O$2,INDEX($F$3:$F$1994,MATCH(1794-$O$1,$G$3:$G$1994,0)),"")),"")</x:f>
      </x:c>
      <x:c r="E1796" t="str">
        <x:f>IF(K1796="","",IF(N1796&lt;=M1796,"",TRIM(CLEAN(MID(INDEX($B$3:$B$168,K1796),M1796,N1796-M1796)))))</x:f>
      </x:c>
      <x:c r="F1796" t="str">
        <x:f>IF(E1796="","",IF(E1796=TRIM(INDEX($A$3:$A$168,K1796)),"",IF(RIGHT(TRIM(INDEX($A$3:$A$168,K1796)),1)="]",LEFT(TRIM(INDEX($A$3:$A$168,K1796)),LEN(TRIM(INDEX($A$3:$A$168,K1796)))-1)&amp;", "&amp;SUBSTITUTE(SUBSTITUTE(SUBSTITUTE(E1796," [",", "),"[",", "),"]","")&amp;"]",TRIM(INDEX($A$3:$A$168,K1796))&amp;" ["&amp;SUBSTITUTE(SUBSTITUTE(SUBSTITUTE(E1796," [",", "),"[",", "),"]","")&amp;"]")))</x:f>
      </x:c>
      <x:c r="G1796" t="str">
        <x:f>IF(F1796&lt;&gt;"",ROWS($F$3:F1796)-COUNTBLANK($F$3:F1796),"")</x:f>
      </x:c>
      <x:c r="H1796"/>
      <x:c r="I1796"/>
      <x:c r="J1796"/>
      <x:c r="K1796" t="str">
        <x:f>IF(ROW()-ROW($K$2)&lt;=SUM($J$3:$J$168),COUNTIF($H$3:$H$168,"&lt;"&amp;(ROW()-ROW($K$2))),"")</x:f>
      </x:c>
      <x:c r="L1796" t="str">
        <x:f>IF(K1796="","",ROW()-ROW($L$2)-INDEX($H$3:$H$168,K1796))</x:f>
      </x:c>
      <x:c r="M1796" t="str">
        <x:f>IF(K1796="","",IF(L1796=1,1,FIND(CHAR(1),SUBSTITUTE(INDEX($B$3:$B$168,K1796),CHAR(10),CHAR(1),L1796-1))+1))</x:f>
      </x:c>
      <x:c r="N1796" t="str">
        <x:f>IF(K1796="","",IFERROR(FIND(CHAR(1),SUBSTITUTE(INDEX($B$3:$B$168,K1796),CHAR(10),CHAR(1),L1796)),LEN(INDEX($B$3:$B$168,K1796))+1))</x:f>
      </x:c>
    </x:row>
    <x:row r="1797">
      <x:c r="A1797"/>
      <x:c r="B1797"/>
      <x:c r="C1797"/>
      <x:c r="D1797" t="str">
        <x:f>IFERROR(IF(1795&lt;=$O$1,INDEX($A$3:$A$168,MATCH(1795,$I$3:$I$168,0)),IF(1795&lt;=$O$1+$O$2,INDEX($F$3:$F$1994,MATCH(1795-$O$1,$G$3:$G$1994,0)),"")),"")</x:f>
      </x:c>
      <x:c r="E1797" t="str">
        <x:f>IF(K1797="","",IF(N1797&lt;=M1797,"",TRIM(CLEAN(MID(INDEX($B$3:$B$168,K1797),M1797,N1797-M1797)))))</x:f>
      </x:c>
      <x:c r="F1797" t="str">
        <x:f>IF(E1797="","",IF(E1797=TRIM(INDEX($A$3:$A$168,K1797)),"",IF(RIGHT(TRIM(INDEX($A$3:$A$168,K1797)),1)="]",LEFT(TRIM(INDEX($A$3:$A$168,K1797)),LEN(TRIM(INDEX($A$3:$A$168,K1797)))-1)&amp;", "&amp;SUBSTITUTE(SUBSTITUTE(SUBSTITUTE(E1797," [",", "),"[",", "),"]","")&amp;"]",TRIM(INDEX($A$3:$A$168,K1797))&amp;" ["&amp;SUBSTITUTE(SUBSTITUTE(SUBSTITUTE(E1797," [",", "),"[",", "),"]","")&amp;"]")))</x:f>
      </x:c>
      <x:c r="G1797" t="str">
        <x:f>IF(F1797&lt;&gt;"",ROWS($F$3:F1797)-COUNTBLANK($F$3:F1797),"")</x:f>
      </x:c>
      <x:c r="H1797"/>
      <x:c r="I1797"/>
      <x:c r="J1797"/>
      <x:c r="K1797" t="str">
        <x:f>IF(ROW()-ROW($K$2)&lt;=SUM($J$3:$J$168),COUNTIF($H$3:$H$168,"&lt;"&amp;(ROW()-ROW($K$2))),"")</x:f>
      </x:c>
      <x:c r="L1797" t="str">
        <x:f>IF(K1797="","",ROW()-ROW($L$2)-INDEX($H$3:$H$168,K1797))</x:f>
      </x:c>
      <x:c r="M1797" t="str">
        <x:f>IF(K1797="","",IF(L1797=1,1,FIND(CHAR(1),SUBSTITUTE(INDEX($B$3:$B$168,K1797),CHAR(10),CHAR(1),L1797-1))+1))</x:f>
      </x:c>
      <x:c r="N1797" t="str">
        <x:f>IF(K1797="","",IFERROR(FIND(CHAR(1),SUBSTITUTE(INDEX($B$3:$B$168,K1797),CHAR(10),CHAR(1),L1797)),LEN(INDEX($B$3:$B$168,K1797))+1))</x:f>
      </x:c>
    </x:row>
    <x:row r="1798">
      <x:c r="A1798"/>
      <x:c r="B1798"/>
      <x:c r="C1798"/>
      <x:c r="D1798" t="str">
        <x:f>IFERROR(IF(1796&lt;=$O$1,INDEX($A$3:$A$168,MATCH(1796,$I$3:$I$168,0)),IF(1796&lt;=$O$1+$O$2,INDEX($F$3:$F$1994,MATCH(1796-$O$1,$G$3:$G$1994,0)),"")),"")</x:f>
      </x:c>
      <x:c r="E1798" t="str">
        <x:f>IF(K1798="","",IF(N1798&lt;=M1798,"",TRIM(CLEAN(MID(INDEX($B$3:$B$168,K1798),M1798,N1798-M1798)))))</x:f>
      </x:c>
      <x:c r="F1798" t="str">
        <x:f>IF(E1798="","",IF(E1798=TRIM(INDEX($A$3:$A$168,K1798)),"",IF(RIGHT(TRIM(INDEX($A$3:$A$168,K1798)),1)="]",LEFT(TRIM(INDEX($A$3:$A$168,K1798)),LEN(TRIM(INDEX($A$3:$A$168,K1798)))-1)&amp;", "&amp;SUBSTITUTE(SUBSTITUTE(SUBSTITUTE(E1798," [",", "),"[",", "),"]","")&amp;"]",TRIM(INDEX($A$3:$A$168,K1798))&amp;" ["&amp;SUBSTITUTE(SUBSTITUTE(SUBSTITUTE(E1798," [",", "),"[",", "),"]","")&amp;"]")))</x:f>
      </x:c>
      <x:c r="G1798" t="str">
        <x:f>IF(F1798&lt;&gt;"",ROWS($F$3:F1798)-COUNTBLANK($F$3:F1798),"")</x:f>
      </x:c>
      <x:c r="H1798"/>
      <x:c r="I1798"/>
      <x:c r="J1798"/>
      <x:c r="K1798" t="str">
        <x:f>IF(ROW()-ROW($K$2)&lt;=SUM($J$3:$J$168),COUNTIF($H$3:$H$168,"&lt;"&amp;(ROW()-ROW($K$2))),"")</x:f>
      </x:c>
      <x:c r="L1798" t="str">
        <x:f>IF(K1798="","",ROW()-ROW($L$2)-INDEX($H$3:$H$168,K1798))</x:f>
      </x:c>
      <x:c r="M1798" t="str">
        <x:f>IF(K1798="","",IF(L1798=1,1,FIND(CHAR(1),SUBSTITUTE(INDEX($B$3:$B$168,K1798),CHAR(10),CHAR(1),L1798-1))+1))</x:f>
      </x:c>
      <x:c r="N1798" t="str">
        <x:f>IF(K1798="","",IFERROR(FIND(CHAR(1),SUBSTITUTE(INDEX($B$3:$B$168,K1798),CHAR(10),CHAR(1),L1798)),LEN(INDEX($B$3:$B$168,K1798))+1))</x:f>
      </x:c>
    </x:row>
    <x:row r="1799">
      <x:c r="A1799"/>
      <x:c r="B1799"/>
      <x:c r="C1799"/>
      <x:c r="D1799" t="str">
        <x:f>IFERROR(IF(1797&lt;=$O$1,INDEX($A$3:$A$168,MATCH(1797,$I$3:$I$168,0)),IF(1797&lt;=$O$1+$O$2,INDEX($F$3:$F$1994,MATCH(1797-$O$1,$G$3:$G$1994,0)),"")),"")</x:f>
      </x:c>
      <x:c r="E1799" t="str">
        <x:f>IF(K1799="","",IF(N1799&lt;=M1799,"",TRIM(CLEAN(MID(INDEX($B$3:$B$168,K1799),M1799,N1799-M1799)))))</x:f>
      </x:c>
      <x:c r="F1799" t="str">
        <x:f>IF(E1799="","",IF(E1799=TRIM(INDEX($A$3:$A$168,K1799)),"",IF(RIGHT(TRIM(INDEX($A$3:$A$168,K1799)),1)="]",LEFT(TRIM(INDEX($A$3:$A$168,K1799)),LEN(TRIM(INDEX($A$3:$A$168,K1799)))-1)&amp;", "&amp;SUBSTITUTE(SUBSTITUTE(SUBSTITUTE(E1799," [",", "),"[",", "),"]","")&amp;"]",TRIM(INDEX($A$3:$A$168,K1799))&amp;" ["&amp;SUBSTITUTE(SUBSTITUTE(SUBSTITUTE(E1799," [",", "),"[",", "),"]","")&amp;"]")))</x:f>
      </x:c>
      <x:c r="G1799" t="str">
        <x:f>IF(F1799&lt;&gt;"",ROWS($F$3:F1799)-COUNTBLANK($F$3:F1799),"")</x:f>
      </x:c>
      <x:c r="H1799"/>
      <x:c r="I1799"/>
      <x:c r="J1799"/>
      <x:c r="K1799" t="str">
        <x:f>IF(ROW()-ROW($K$2)&lt;=SUM($J$3:$J$168),COUNTIF($H$3:$H$168,"&lt;"&amp;(ROW()-ROW($K$2))),"")</x:f>
      </x:c>
      <x:c r="L1799" t="str">
        <x:f>IF(K1799="","",ROW()-ROW($L$2)-INDEX($H$3:$H$168,K1799))</x:f>
      </x:c>
      <x:c r="M1799" t="str">
        <x:f>IF(K1799="","",IF(L1799=1,1,FIND(CHAR(1),SUBSTITUTE(INDEX($B$3:$B$168,K1799),CHAR(10),CHAR(1),L1799-1))+1))</x:f>
      </x:c>
      <x:c r="N1799" t="str">
        <x:f>IF(K1799="","",IFERROR(FIND(CHAR(1),SUBSTITUTE(INDEX($B$3:$B$168,K1799),CHAR(10),CHAR(1),L1799)),LEN(INDEX($B$3:$B$168,K1799))+1))</x:f>
      </x:c>
    </x:row>
    <x:row r="1800">
      <x:c r="A1800"/>
      <x:c r="B1800"/>
      <x:c r="C1800"/>
      <x:c r="D1800" t="str">
        <x:f>IFERROR(IF(1798&lt;=$O$1,INDEX($A$3:$A$168,MATCH(1798,$I$3:$I$168,0)),IF(1798&lt;=$O$1+$O$2,INDEX($F$3:$F$1994,MATCH(1798-$O$1,$G$3:$G$1994,0)),"")),"")</x:f>
      </x:c>
      <x:c r="E1800" t="str">
        <x:f>IF(K1800="","",IF(N1800&lt;=M1800,"",TRIM(CLEAN(MID(INDEX($B$3:$B$168,K1800),M1800,N1800-M1800)))))</x:f>
      </x:c>
      <x:c r="F1800" t="str">
        <x:f>IF(E1800="","",IF(E1800=TRIM(INDEX($A$3:$A$168,K1800)),"",IF(RIGHT(TRIM(INDEX($A$3:$A$168,K1800)),1)="]",LEFT(TRIM(INDEX($A$3:$A$168,K1800)),LEN(TRIM(INDEX($A$3:$A$168,K1800)))-1)&amp;", "&amp;SUBSTITUTE(SUBSTITUTE(SUBSTITUTE(E1800," [",", "),"[",", "),"]","")&amp;"]",TRIM(INDEX($A$3:$A$168,K1800))&amp;" ["&amp;SUBSTITUTE(SUBSTITUTE(SUBSTITUTE(E1800," [",", "),"[",", "),"]","")&amp;"]")))</x:f>
      </x:c>
      <x:c r="G1800" t="str">
        <x:f>IF(F1800&lt;&gt;"",ROWS($F$3:F1800)-COUNTBLANK($F$3:F1800),"")</x:f>
      </x:c>
      <x:c r="H1800"/>
      <x:c r="I1800"/>
      <x:c r="J1800"/>
      <x:c r="K1800" t="str">
        <x:f>IF(ROW()-ROW($K$2)&lt;=SUM($J$3:$J$168),COUNTIF($H$3:$H$168,"&lt;"&amp;(ROW()-ROW($K$2))),"")</x:f>
      </x:c>
      <x:c r="L1800" t="str">
        <x:f>IF(K1800="","",ROW()-ROW($L$2)-INDEX($H$3:$H$168,K1800))</x:f>
      </x:c>
      <x:c r="M1800" t="str">
        <x:f>IF(K1800="","",IF(L1800=1,1,FIND(CHAR(1),SUBSTITUTE(INDEX($B$3:$B$168,K1800),CHAR(10),CHAR(1),L1800-1))+1))</x:f>
      </x:c>
      <x:c r="N1800" t="str">
        <x:f>IF(K1800="","",IFERROR(FIND(CHAR(1),SUBSTITUTE(INDEX($B$3:$B$168,K1800),CHAR(10),CHAR(1),L1800)),LEN(INDEX($B$3:$B$168,K1800))+1))</x:f>
      </x:c>
    </x:row>
    <x:row r="1801">
      <x:c r="A1801"/>
      <x:c r="B1801"/>
      <x:c r="C1801"/>
      <x:c r="D1801" t="str">
        <x:f>IFERROR(IF(1799&lt;=$O$1,INDEX($A$3:$A$168,MATCH(1799,$I$3:$I$168,0)),IF(1799&lt;=$O$1+$O$2,INDEX($F$3:$F$1994,MATCH(1799-$O$1,$G$3:$G$1994,0)),"")),"")</x:f>
      </x:c>
      <x:c r="E1801" t="str">
        <x:f>IF(K1801="","",IF(N1801&lt;=M1801,"",TRIM(CLEAN(MID(INDEX($B$3:$B$168,K1801),M1801,N1801-M1801)))))</x:f>
      </x:c>
      <x:c r="F1801" t="str">
        <x:f>IF(E1801="","",IF(E1801=TRIM(INDEX($A$3:$A$168,K1801)),"",IF(RIGHT(TRIM(INDEX($A$3:$A$168,K1801)),1)="]",LEFT(TRIM(INDEX($A$3:$A$168,K1801)),LEN(TRIM(INDEX($A$3:$A$168,K1801)))-1)&amp;", "&amp;SUBSTITUTE(SUBSTITUTE(SUBSTITUTE(E1801," [",", "),"[",", "),"]","")&amp;"]",TRIM(INDEX($A$3:$A$168,K1801))&amp;" ["&amp;SUBSTITUTE(SUBSTITUTE(SUBSTITUTE(E1801," [",", "),"[",", "),"]","")&amp;"]")))</x:f>
      </x:c>
      <x:c r="G1801" t="str">
        <x:f>IF(F1801&lt;&gt;"",ROWS($F$3:F1801)-COUNTBLANK($F$3:F1801),"")</x:f>
      </x:c>
      <x:c r="H1801"/>
      <x:c r="I1801"/>
      <x:c r="J1801"/>
      <x:c r="K1801" t="str">
        <x:f>IF(ROW()-ROW($K$2)&lt;=SUM($J$3:$J$168),COUNTIF($H$3:$H$168,"&lt;"&amp;(ROW()-ROW($K$2))),"")</x:f>
      </x:c>
      <x:c r="L1801" t="str">
        <x:f>IF(K1801="","",ROW()-ROW($L$2)-INDEX($H$3:$H$168,K1801))</x:f>
      </x:c>
      <x:c r="M1801" t="str">
        <x:f>IF(K1801="","",IF(L1801=1,1,FIND(CHAR(1),SUBSTITUTE(INDEX($B$3:$B$168,K1801),CHAR(10),CHAR(1),L1801-1))+1))</x:f>
      </x:c>
      <x:c r="N1801" t="str">
        <x:f>IF(K1801="","",IFERROR(FIND(CHAR(1),SUBSTITUTE(INDEX($B$3:$B$168,K1801),CHAR(10),CHAR(1),L1801)),LEN(INDEX($B$3:$B$168,K1801))+1))</x:f>
      </x:c>
    </x:row>
    <x:row r="1802">
      <x:c r="A1802"/>
      <x:c r="B1802"/>
      <x:c r="C1802"/>
      <x:c r="D1802" t="str">
        <x:f>IFERROR(IF(1800&lt;=$O$1,INDEX($A$3:$A$168,MATCH(1800,$I$3:$I$168,0)),IF(1800&lt;=$O$1+$O$2,INDEX($F$3:$F$1994,MATCH(1800-$O$1,$G$3:$G$1994,0)),"")),"")</x:f>
      </x:c>
      <x:c r="E1802" t="str">
        <x:f>IF(K1802="","",IF(N1802&lt;=M1802,"",TRIM(CLEAN(MID(INDEX($B$3:$B$168,K1802),M1802,N1802-M1802)))))</x:f>
      </x:c>
      <x:c r="F1802" t="str">
        <x:f>IF(E1802="","",IF(E1802=TRIM(INDEX($A$3:$A$168,K1802)),"",IF(RIGHT(TRIM(INDEX($A$3:$A$168,K1802)),1)="]",LEFT(TRIM(INDEX($A$3:$A$168,K1802)),LEN(TRIM(INDEX($A$3:$A$168,K1802)))-1)&amp;", "&amp;SUBSTITUTE(SUBSTITUTE(SUBSTITUTE(E1802," [",", "),"[",", "),"]","")&amp;"]",TRIM(INDEX($A$3:$A$168,K1802))&amp;" ["&amp;SUBSTITUTE(SUBSTITUTE(SUBSTITUTE(E1802," [",", "),"[",", "),"]","")&amp;"]")))</x:f>
      </x:c>
      <x:c r="G1802" t="str">
        <x:f>IF(F1802&lt;&gt;"",ROWS($F$3:F1802)-COUNTBLANK($F$3:F1802),"")</x:f>
      </x:c>
      <x:c r="H1802"/>
      <x:c r="I1802"/>
      <x:c r="J1802"/>
      <x:c r="K1802" t="str">
        <x:f>IF(ROW()-ROW($K$2)&lt;=SUM($J$3:$J$168),COUNTIF($H$3:$H$168,"&lt;"&amp;(ROW()-ROW($K$2))),"")</x:f>
      </x:c>
      <x:c r="L1802" t="str">
        <x:f>IF(K1802="","",ROW()-ROW($L$2)-INDEX($H$3:$H$168,K1802))</x:f>
      </x:c>
      <x:c r="M1802" t="str">
        <x:f>IF(K1802="","",IF(L1802=1,1,FIND(CHAR(1),SUBSTITUTE(INDEX($B$3:$B$168,K1802),CHAR(10),CHAR(1),L1802-1))+1))</x:f>
      </x:c>
      <x:c r="N1802" t="str">
        <x:f>IF(K1802="","",IFERROR(FIND(CHAR(1),SUBSTITUTE(INDEX($B$3:$B$168,K1802),CHAR(10),CHAR(1),L1802)),LEN(INDEX($B$3:$B$168,K1802))+1))</x:f>
      </x:c>
    </x:row>
    <x:row r="1803">
      <x:c r="A1803"/>
      <x:c r="B1803"/>
      <x:c r="C1803"/>
      <x:c r="D1803" t="str">
        <x:f>IFERROR(IF(1801&lt;=$O$1,INDEX($A$3:$A$168,MATCH(1801,$I$3:$I$168,0)),IF(1801&lt;=$O$1+$O$2,INDEX($F$3:$F$1994,MATCH(1801-$O$1,$G$3:$G$1994,0)),"")),"")</x:f>
      </x:c>
      <x:c r="E1803" t="str">
        <x:f>IF(K1803="","",IF(N1803&lt;=M1803,"",TRIM(CLEAN(MID(INDEX($B$3:$B$168,K1803),M1803,N1803-M1803)))))</x:f>
      </x:c>
      <x:c r="F1803" t="str">
        <x:f>IF(E1803="","",IF(E1803=TRIM(INDEX($A$3:$A$168,K1803)),"",IF(RIGHT(TRIM(INDEX($A$3:$A$168,K1803)),1)="]",LEFT(TRIM(INDEX($A$3:$A$168,K1803)),LEN(TRIM(INDEX($A$3:$A$168,K1803)))-1)&amp;", "&amp;SUBSTITUTE(SUBSTITUTE(SUBSTITUTE(E1803," [",", "),"[",", "),"]","")&amp;"]",TRIM(INDEX($A$3:$A$168,K1803))&amp;" ["&amp;SUBSTITUTE(SUBSTITUTE(SUBSTITUTE(E1803," [",", "),"[",", "),"]","")&amp;"]")))</x:f>
      </x:c>
      <x:c r="G1803" t="str">
        <x:f>IF(F1803&lt;&gt;"",ROWS($F$3:F1803)-COUNTBLANK($F$3:F1803),"")</x:f>
      </x:c>
      <x:c r="H1803"/>
      <x:c r="I1803"/>
      <x:c r="J1803"/>
      <x:c r="K1803" t="str">
        <x:f>IF(ROW()-ROW($K$2)&lt;=SUM($J$3:$J$168),COUNTIF($H$3:$H$168,"&lt;"&amp;(ROW()-ROW($K$2))),"")</x:f>
      </x:c>
      <x:c r="L1803" t="str">
        <x:f>IF(K1803="","",ROW()-ROW($L$2)-INDEX($H$3:$H$168,K1803))</x:f>
      </x:c>
      <x:c r="M1803" t="str">
        <x:f>IF(K1803="","",IF(L1803=1,1,FIND(CHAR(1),SUBSTITUTE(INDEX($B$3:$B$168,K1803),CHAR(10),CHAR(1),L1803-1))+1))</x:f>
      </x:c>
      <x:c r="N1803" t="str">
        <x:f>IF(K1803="","",IFERROR(FIND(CHAR(1),SUBSTITUTE(INDEX($B$3:$B$168,K1803),CHAR(10),CHAR(1),L1803)),LEN(INDEX($B$3:$B$168,K1803))+1))</x:f>
      </x:c>
    </x:row>
    <x:row r="1804">
      <x:c r="A1804"/>
      <x:c r="B1804"/>
      <x:c r="C1804"/>
      <x:c r="D1804" t="str">
        <x:f>IFERROR(IF(1802&lt;=$O$1,INDEX($A$3:$A$168,MATCH(1802,$I$3:$I$168,0)),IF(1802&lt;=$O$1+$O$2,INDEX($F$3:$F$1994,MATCH(1802-$O$1,$G$3:$G$1994,0)),"")),"")</x:f>
      </x:c>
      <x:c r="E1804" t="str">
        <x:f>IF(K1804="","",IF(N1804&lt;=M1804,"",TRIM(CLEAN(MID(INDEX($B$3:$B$168,K1804),M1804,N1804-M1804)))))</x:f>
      </x:c>
      <x:c r="F1804" t="str">
        <x:f>IF(E1804="","",IF(E1804=TRIM(INDEX($A$3:$A$168,K1804)),"",IF(RIGHT(TRIM(INDEX($A$3:$A$168,K1804)),1)="]",LEFT(TRIM(INDEX($A$3:$A$168,K1804)),LEN(TRIM(INDEX($A$3:$A$168,K1804)))-1)&amp;", "&amp;SUBSTITUTE(SUBSTITUTE(SUBSTITUTE(E1804," [",", "),"[",", "),"]","")&amp;"]",TRIM(INDEX($A$3:$A$168,K1804))&amp;" ["&amp;SUBSTITUTE(SUBSTITUTE(SUBSTITUTE(E1804," [",", "),"[",", "),"]","")&amp;"]")))</x:f>
      </x:c>
      <x:c r="G1804" t="str">
        <x:f>IF(F1804&lt;&gt;"",ROWS($F$3:F1804)-COUNTBLANK($F$3:F1804),"")</x:f>
      </x:c>
      <x:c r="H1804"/>
      <x:c r="I1804"/>
      <x:c r="J1804"/>
      <x:c r="K1804" t="str">
        <x:f>IF(ROW()-ROW($K$2)&lt;=SUM($J$3:$J$168),COUNTIF($H$3:$H$168,"&lt;"&amp;(ROW()-ROW($K$2))),"")</x:f>
      </x:c>
      <x:c r="L1804" t="str">
        <x:f>IF(K1804="","",ROW()-ROW($L$2)-INDEX($H$3:$H$168,K1804))</x:f>
      </x:c>
      <x:c r="M1804" t="str">
        <x:f>IF(K1804="","",IF(L1804=1,1,FIND(CHAR(1),SUBSTITUTE(INDEX($B$3:$B$168,K1804),CHAR(10),CHAR(1),L1804-1))+1))</x:f>
      </x:c>
      <x:c r="N1804" t="str">
        <x:f>IF(K1804="","",IFERROR(FIND(CHAR(1),SUBSTITUTE(INDEX($B$3:$B$168,K1804),CHAR(10),CHAR(1),L1804)),LEN(INDEX($B$3:$B$168,K1804))+1))</x:f>
      </x:c>
    </x:row>
    <x:row r="1805">
      <x:c r="A1805"/>
      <x:c r="B1805"/>
      <x:c r="C1805"/>
      <x:c r="D1805" t="str">
        <x:f>IFERROR(IF(1803&lt;=$O$1,INDEX($A$3:$A$168,MATCH(1803,$I$3:$I$168,0)),IF(1803&lt;=$O$1+$O$2,INDEX($F$3:$F$1994,MATCH(1803-$O$1,$G$3:$G$1994,0)),"")),"")</x:f>
      </x:c>
      <x:c r="E1805" t="str">
        <x:f>IF(K1805="","",IF(N1805&lt;=M1805,"",TRIM(CLEAN(MID(INDEX($B$3:$B$168,K1805),M1805,N1805-M1805)))))</x:f>
      </x:c>
      <x:c r="F1805" t="str">
        <x:f>IF(E1805="","",IF(E1805=TRIM(INDEX($A$3:$A$168,K1805)),"",IF(RIGHT(TRIM(INDEX($A$3:$A$168,K1805)),1)="]",LEFT(TRIM(INDEX($A$3:$A$168,K1805)),LEN(TRIM(INDEX($A$3:$A$168,K1805)))-1)&amp;", "&amp;SUBSTITUTE(SUBSTITUTE(SUBSTITUTE(E1805," [",", "),"[",", "),"]","")&amp;"]",TRIM(INDEX($A$3:$A$168,K1805))&amp;" ["&amp;SUBSTITUTE(SUBSTITUTE(SUBSTITUTE(E1805," [",", "),"[",", "),"]","")&amp;"]")))</x:f>
      </x:c>
      <x:c r="G1805" t="str">
        <x:f>IF(F1805&lt;&gt;"",ROWS($F$3:F1805)-COUNTBLANK($F$3:F1805),"")</x:f>
      </x:c>
      <x:c r="H1805"/>
      <x:c r="I1805"/>
      <x:c r="J1805"/>
      <x:c r="K1805" t="str">
        <x:f>IF(ROW()-ROW($K$2)&lt;=SUM($J$3:$J$168),COUNTIF($H$3:$H$168,"&lt;"&amp;(ROW()-ROW($K$2))),"")</x:f>
      </x:c>
      <x:c r="L1805" t="str">
        <x:f>IF(K1805="","",ROW()-ROW($L$2)-INDEX($H$3:$H$168,K1805))</x:f>
      </x:c>
      <x:c r="M1805" t="str">
        <x:f>IF(K1805="","",IF(L1805=1,1,FIND(CHAR(1),SUBSTITUTE(INDEX($B$3:$B$168,K1805),CHAR(10),CHAR(1),L1805-1))+1))</x:f>
      </x:c>
      <x:c r="N1805" t="str">
        <x:f>IF(K1805="","",IFERROR(FIND(CHAR(1),SUBSTITUTE(INDEX($B$3:$B$168,K1805),CHAR(10),CHAR(1),L1805)),LEN(INDEX($B$3:$B$168,K1805))+1))</x:f>
      </x:c>
    </x:row>
    <x:row r="1806">
      <x:c r="A1806"/>
      <x:c r="B1806"/>
      <x:c r="C1806"/>
      <x:c r="D1806" t="str">
        <x:f>IFERROR(IF(1804&lt;=$O$1,INDEX($A$3:$A$168,MATCH(1804,$I$3:$I$168,0)),IF(1804&lt;=$O$1+$O$2,INDEX($F$3:$F$1994,MATCH(1804-$O$1,$G$3:$G$1994,0)),"")),"")</x:f>
      </x:c>
      <x:c r="E1806" t="str">
        <x:f>IF(K1806="","",IF(N1806&lt;=M1806,"",TRIM(CLEAN(MID(INDEX($B$3:$B$168,K1806),M1806,N1806-M1806)))))</x:f>
      </x:c>
      <x:c r="F1806" t="str">
        <x:f>IF(E1806="","",IF(E1806=TRIM(INDEX($A$3:$A$168,K1806)),"",IF(RIGHT(TRIM(INDEX($A$3:$A$168,K1806)),1)="]",LEFT(TRIM(INDEX($A$3:$A$168,K1806)),LEN(TRIM(INDEX($A$3:$A$168,K1806)))-1)&amp;", "&amp;SUBSTITUTE(SUBSTITUTE(SUBSTITUTE(E1806," [",", "),"[",", "),"]","")&amp;"]",TRIM(INDEX($A$3:$A$168,K1806))&amp;" ["&amp;SUBSTITUTE(SUBSTITUTE(SUBSTITUTE(E1806," [",", "),"[",", "),"]","")&amp;"]")))</x:f>
      </x:c>
      <x:c r="G1806" t="str">
        <x:f>IF(F1806&lt;&gt;"",ROWS($F$3:F1806)-COUNTBLANK($F$3:F1806),"")</x:f>
      </x:c>
      <x:c r="H1806"/>
      <x:c r="I1806"/>
      <x:c r="J1806"/>
      <x:c r="K1806" t="str">
        <x:f>IF(ROW()-ROW($K$2)&lt;=SUM($J$3:$J$168),COUNTIF($H$3:$H$168,"&lt;"&amp;(ROW()-ROW($K$2))),"")</x:f>
      </x:c>
      <x:c r="L1806" t="str">
        <x:f>IF(K1806="","",ROW()-ROW($L$2)-INDEX($H$3:$H$168,K1806))</x:f>
      </x:c>
      <x:c r="M1806" t="str">
        <x:f>IF(K1806="","",IF(L1806=1,1,FIND(CHAR(1),SUBSTITUTE(INDEX($B$3:$B$168,K1806),CHAR(10),CHAR(1),L1806-1))+1))</x:f>
      </x:c>
      <x:c r="N1806" t="str">
        <x:f>IF(K1806="","",IFERROR(FIND(CHAR(1),SUBSTITUTE(INDEX($B$3:$B$168,K1806),CHAR(10),CHAR(1),L1806)),LEN(INDEX($B$3:$B$168,K1806))+1))</x:f>
      </x:c>
    </x:row>
    <x:row r="1807">
      <x:c r="A1807"/>
      <x:c r="B1807"/>
      <x:c r="C1807"/>
      <x:c r="D1807" t="str">
        <x:f>IFERROR(IF(1805&lt;=$O$1,INDEX($A$3:$A$168,MATCH(1805,$I$3:$I$168,0)),IF(1805&lt;=$O$1+$O$2,INDEX($F$3:$F$1994,MATCH(1805-$O$1,$G$3:$G$1994,0)),"")),"")</x:f>
      </x:c>
      <x:c r="E1807" t="str">
        <x:f>IF(K1807="","",IF(N1807&lt;=M1807,"",TRIM(CLEAN(MID(INDEX($B$3:$B$168,K1807),M1807,N1807-M1807)))))</x:f>
      </x:c>
      <x:c r="F1807" t="str">
        <x:f>IF(E1807="","",IF(E1807=TRIM(INDEX($A$3:$A$168,K1807)),"",IF(RIGHT(TRIM(INDEX($A$3:$A$168,K1807)),1)="]",LEFT(TRIM(INDEX($A$3:$A$168,K1807)),LEN(TRIM(INDEX($A$3:$A$168,K1807)))-1)&amp;", "&amp;SUBSTITUTE(SUBSTITUTE(SUBSTITUTE(E1807," [",", "),"[",", "),"]","")&amp;"]",TRIM(INDEX($A$3:$A$168,K1807))&amp;" ["&amp;SUBSTITUTE(SUBSTITUTE(SUBSTITUTE(E1807," [",", "),"[",", "),"]","")&amp;"]")))</x:f>
      </x:c>
      <x:c r="G1807" t="str">
        <x:f>IF(F1807&lt;&gt;"",ROWS($F$3:F1807)-COUNTBLANK($F$3:F1807),"")</x:f>
      </x:c>
      <x:c r="H1807"/>
      <x:c r="I1807"/>
      <x:c r="J1807"/>
      <x:c r="K1807" t="str">
        <x:f>IF(ROW()-ROW($K$2)&lt;=SUM($J$3:$J$168),COUNTIF($H$3:$H$168,"&lt;"&amp;(ROW()-ROW($K$2))),"")</x:f>
      </x:c>
      <x:c r="L1807" t="str">
        <x:f>IF(K1807="","",ROW()-ROW($L$2)-INDEX($H$3:$H$168,K1807))</x:f>
      </x:c>
      <x:c r="M1807" t="str">
        <x:f>IF(K1807="","",IF(L1807=1,1,FIND(CHAR(1),SUBSTITUTE(INDEX($B$3:$B$168,K1807),CHAR(10),CHAR(1),L1807-1))+1))</x:f>
      </x:c>
      <x:c r="N1807" t="str">
        <x:f>IF(K1807="","",IFERROR(FIND(CHAR(1),SUBSTITUTE(INDEX($B$3:$B$168,K1807),CHAR(10),CHAR(1),L1807)),LEN(INDEX($B$3:$B$168,K1807))+1))</x:f>
      </x:c>
    </x:row>
    <x:row r="1808">
      <x:c r="A1808"/>
      <x:c r="B1808"/>
      <x:c r="C1808"/>
      <x:c r="D1808" t="str">
        <x:f>IFERROR(IF(1806&lt;=$O$1,INDEX($A$3:$A$168,MATCH(1806,$I$3:$I$168,0)),IF(1806&lt;=$O$1+$O$2,INDEX($F$3:$F$1994,MATCH(1806-$O$1,$G$3:$G$1994,0)),"")),"")</x:f>
      </x:c>
      <x:c r="E1808" t="str">
        <x:f>IF(K1808="","",IF(N1808&lt;=M1808,"",TRIM(CLEAN(MID(INDEX($B$3:$B$168,K1808),M1808,N1808-M1808)))))</x:f>
      </x:c>
      <x:c r="F1808" t="str">
        <x:f>IF(E1808="","",IF(E1808=TRIM(INDEX($A$3:$A$168,K1808)),"",IF(RIGHT(TRIM(INDEX($A$3:$A$168,K1808)),1)="]",LEFT(TRIM(INDEX($A$3:$A$168,K1808)),LEN(TRIM(INDEX($A$3:$A$168,K1808)))-1)&amp;", "&amp;SUBSTITUTE(SUBSTITUTE(SUBSTITUTE(E1808," [",", "),"[",", "),"]","")&amp;"]",TRIM(INDEX($A$3:$A$168,K1808))&amp;" ["&amp;SUBSTITUTE(SUBSTITUTE(SUBSTITUTE(E1808," [",", "),"[",", "),"]","")&amp;"]")))</x:f>
      </x:c>
      <x:c r="G1808" t="str">
        <x:f>IF(F1808&lt;&gt;"",ROWS($F$3:F1808)-COUNTBLANK($F$3:F1808),"")</x:f>
      </x:c>
      <x:c r="H1808"/>
      <x:c r="I1808"/>
      <x:c r="J1808"/>
      <x:c r="K1808" t="str">
        <x:f>IF(ROW()-ROW($K$2)&lt;=SUM($J$3:$J$168),COUNTIF($H$3:$H$168,"&lt;"&amp;(ROW()-ROW($K$2))),"")</x:f>
      </x:c>
      <x:c r="L1808" t="str">
        <x:f>IF(K1808="","",ROW()-ROW($L$2)-INDEX($H$3:$H$168,K1808))</x:f>
      </x:c>
      <x:c r="M1808" t="str">
        <x:f>IF(K1808="","",IF(L1808=1,1,FIND(CHAR(1),SUBSTITUTE(INDEX($B$3:$B$168,K1808),CHAR(10),CHAR(1),L1808-1))+1))</x:f>
      </x:c>
      <x:c r="N1808" t="str">
        <x:f>IF(K1808="","",IFERROR(FIND(CHAR(1),SUBSTITUTE(INDEX($B$3:$B$168,K1808),CHAR(10),CHAR(1),L1808)),LEN(INDEX($B$3:$B$168,K1808))+1))</x:f>
      </x:c>
    </x:row>
    <x:row r="1809">
      <x:c r="A1809"/>
      <x:c r="B1809"/>
      <x:c r="C1809"/>
      <x:c r="D1809" t="str">
        <x:f>IFERROR(IF(1807&lt;=$O$1,INDEX($A$3:$A$168,MATCH(1807,$I$3:$I$168,0)),IF(1807&lt;=$O$1+$O$2,INDEX($F$3:$F$1994,MATCH(1807-$O$1,$G$3:$G$1994,0)),"")),"")</x:f>
      </x:c>
      <x:c r="E1809" t="str">
        <x:f>IF(K1809="","",IF(N1809&lt;=M1809,"",TRIM(CLEAN(MID(INDEX($B$3:$B$168,K1809),M1809,N1809-M1809)))))</x:f>
      </x:c>
      <x:c r="F1809" t="str">
        <x:f>IF(E1809="","",IF(E1809=TRIM(INDEX($A$3:$A$168,K1809)),"",IF(RIGHT(TRIM(INDEX($A$3:$A$168,K1809)),1)="]",LEFT(TRIM(INDEX($A$3:$A$168,K1809)),LEN(TRIM(INDEX($A$3:$A$168,K1809)))-1)&amp;", "&amp;SUBSTITUTE(SUBSTITUTE(SUBSTITUTE(E1809," [",", "),"[",", "),"]","")&amp;"]",TRIM(INDEX($A$3:$A$168,K1809))&amp;" ["&amp;SUBSTITUTE(SUBSTITUTE(SUBSTITUTE(E1809," [",", "),"[",", "),"]","")&amp;"]")))</x:f>
      </x:c>
      <x:c r="G1809" t="str">
        <x:f>IF(F1809&lt;&gt;"",ROWS($F$3:F1809)-COUNTBLANK($F$3:F1809),"")</x:f>
      </x:c>
      <x:c r="H1809"/>
      <x:c r="I1809"/>
      <x:c r="J1809"/>
      <x:c r="K1809" t="str">
        <x:f>IF(ROW()-ROW($K$2)&lt;=SUM($J$3:$J$168),COUNTIF($H$3:$H$168,"&lt;"&amp;(ROW()-ROW($K$2))),"")</x:f>
      </x:c>
      <x:c r="L1809" t="str">
        <x:f>IF(K1809="","",ROW()-ROW($L$2)-INDEX($H$3:$H$168,K1809))</x:f>
      </x:c>
      <x:c r="M1809" t="str">
        <x:f>IF(K1809="","",IF(L1809=1,1,FIND(CHAR(1),SUBSTITUTE(INDEX($B$3:$B$168,K1809),CHAR(10),CHAR(1),L1809-1))+1))</x:f>
      </x:c>
      <x:c r="N1809" t="str">
        <x:f>IF(K1809="","",IFERROR(FIND(CHAR(1),SUBSTITUTE(INDEX($B$3:$B$168,K1809),CHAR(10),CHAR(1),L1809)),LEN(INDEX($B$3:$B$168,K1809))+1))</x:f>
      </x:c>
    </x:row>
    <x:row r="1810">
      <x:c r="A1810"/>
      <x:c r="B1810"/>
      <x:c r="C1810"/>
      <x:c r="D1810" t="str">
        <x:f>IFERROR(IF(1808&lt;=$O$1,INDEX($A$3:$A$168,MATCH(1808,$I$3:$I$168,0)),IF(1808&lt;=$O$1+$O$2,INDEX($F$3:$F$1994,MATCH(1808-$O$1,$G$3:$G$1994,0)),"")),"")</x:f>
      </x:c>
      <x:c r="E1810" t="str">
        <x:f>IF(K1810="","",IF(N1810&lt;=M1810,"",TRIM(CLEAN(MID(INDEX($B$3:$B$168,K1810),M1810,N1810-M1810)))))</x:f>
      </x:c>
      <x:c r="F1810" t="str">
        <x:f>IF(E1810="","",IF(E1810=TRIM(INDEX($A$3:$A$168,K1810)),"",IF(RIGHT(TRIM(INDEX($A$3:$A$168,K1810)),1)="]",LEFT(TRIM(INDEX($A$3:$A$168,K1810)),LEN(TRIM(INDEX($A$3:$A$168,K1810)))-1)&amp;", "&amp;SUBSTITUTE(SUBSTITUTE(SUBSTITUTE(E1810," [",", "),"[",", "),"]","")&amp;"]",TRIM(INDEX($A$3:$A$168,K1810))&amp;" ["&amp;SUBSTITUTE(SUBSTITUTE(SUBSTITUTE(E1810," [",", "),"[",", "),"]","")&amp;"]")))</x:f>
      </x:c>
      <x:c r="G1810" t="str">
        <x:f>IF(F1810&lt;&gt;"",ROWS($F$3:F1810)-COUNTBLANK($F$3:F1810),"")</x:f>
      </x:c>
      <x:c r="H1810"/>
      <x:c r="I1810"/>
      <x:c r="J1810"/>
      <x:c r="K1810" t="str">
        <x:f>IF(ROW()-ROW($K$2)&lt;=SUM($J$3:$J$168),COUNTIF($H$3:$H$168,"&lt;"&amp;(ROW()-ROW($K$2))),"")</x:f>
      </x:c>
      <x:c r="L1810" t="str">
        <x:f>IF(K1810="","",ROW()-ROW($L$2)-INDEX($H$3:$H$168,K1810))</x:f>
      </x:c>
      <x:c r="M1810" t="str">
        <x:f>IF(K1810="","",IF(L1810=1,1,FIND(CHAR(1),SUBSTITUTE(INDEX($B$3:$B$168,K1810),CHAR(10),CHAR(1),L1810-1))+1))</x:f>
      </x:c>
      <x:c r="N1810" t="str">
        <x:f>IF(K1810="","",IFERROR(FIND(CHAR(1),SUBSTITUTE(INDEX($B$3:$B$168,K1810),CHAR(10),CHAR(1),L1810)),LEN(INDEX($B$3:$B$168,K1810))+1))</x:f>
      </x:c>
    </x:row>
    <x:row r="1811">
      <x:c r="A1811"/>
      <x:c r="B1811"/>
      <x:c r="C1811"/>
      <x:c r="D1811" t="str">
        <x:f>IFERROR(IF(1809&lt;=$O$1,INDEX($A$3:$A$168,MATCH(1809,$I$3:$I$168,0)),IF(1809&lt;=$O$1+$O$2,INDEX($F$3:$F$1994,MATCH(1809-$O$1,$G$3:$G$1994,0)),"")),"")</x:f>
      </x:c>
      <x:c r="E1811" t="str">
        <x:f>IF(K1811="","",IF(N1811&lt;=M1811,"",TRIM(CLEAN(MID(INDEX($B$3:$B$168,K1811),M1811,N1811-M1811)))))</x:f>
      </x:c>
      <x:c r="F1811" t="str">
        <x:f>IF(E1811="","",IF(E1811=TRIM(INDEX($A$3:$A$168,K1811)),"",IF(RIGHT(TRIM(INDEX($A$3:$A$168,K1811)),1)="]",LEFT(TRIM(INDEX($A$3:$A$168,K1811)),LEN(TRIM(INDEX($A$3:$A$168,K1811)))-1)&amp;", "&amp;SUBSTITUTE(SUBSTITUTE(SUBSTITUTE(E1811," [",", "),"[",", "),"]","")&amp;"]",TRIM(INDEX($A$3:$A$168,K1811))&amp;" ["&amp;SUBSTITUTE(SUBSTITUTE(SUBSTITUTE(E1811," [",", "),"[",", "),"]","")&amp;"]")))</x:f>
      </x:c>
      <x:c r="G1811" t="str">
        <x:f>IF(F1811&lt;&gt;"",ROWS($F$3:F1811)-COUNTBLANK($F$3:F1811),"")</x:f>
      </x:c>
      <x:c r="H1811"/>
      <x:c r="I1811"/>
      <x:c r="J1811"/>
      <x:c r="K1811" t="str">
        <x:f>IF(ROW()-ROW($K$2)&lt;=SUM($J$3:$J$168),COUNTIF($H$3:$H$168,"&lt;"&amp;(ROW()-ROW($K$2))),"")</x:f>
      </x:c>
      <x:c r="L1811" t="str">
        <x:f>IF(K1811="","",ROW()-ROW($L$2)-INDEX($H$3:$H$168,K1811))</x:f>
      </x:c>
      <x:c r="M1811" t="str">
        <x:f>IF(K1811="","",IF(L1811=1,1,FIND(CHAR(1),SUBSTITUTE(INDEX($B$3:$B$168,K1811),CHAR(10),CHAR(1),L1811-1))+1))</x:f>
      </x:c>
      <x:c r="N1811" t="str">
        <x:f>IF(K1811="","",IFERROR(FIND(CHAR(1),SUBSTITUTE(INDEX($B$3:$B$168,K1811),CHAR(10),CHAR(1),L1811)),LEN(INDEX($B$3:$B$168,K1811))+1))</x:f>
      </x:c>
    </x:row>
    <x:row r="1812">
      <x:c r="A1812"/>
      <x:c r="B1812"/>
      <x:c r="C1812"/>
      <x:c r="D1812" t="str">
        <x:f>IFERROR(IF(1810&lt;=$O$1,INDEX($A$3:$A$168,MATCH(1810,$I$3:$I$168,0)),IF(1810&lt;=$O$1+$O$2,INDEX($F$3:$F$1994,MATCH(1810-$O$1,$G$3:$G$1994,0)),"")),"")</x:f>
      </x:c>
      <x:c r="E1812" t="str">
        <x:f>IF(K1812="","",IF(N1812&lt;=M1812,"",TRIM(CLEAN(MID(INDEX($B$3:$B$168,K1812),M1812,N1812-M1812)))))</x:f>
      </x:c>
      <x:c r="F1812" t="str">
        <x:f>IF(E1812="","",IF(E1812=TRIM(INDEX($A$3:$A$168,K1812)),"",IF(RIGHT(TRIM(INDEX($A$3:$A$168,K1812)),1)="]",LEFT(TRIM(INDEX($A$3:$A$168,K1812)),LEN(TRIM(INDEX($A$3:$A$168,K1812)))-1)&amp;", "&amp;SUBSTITUTE(SUBSTITUTE(SUBSTITUTE(E1812," [",", "),"[",", "),"]","")&amp;"]",TRIM(INDEX($A$3:$A$168,K1812))&amp;" ["&amp;SUBSTITUTE(SUBSTITUTE(SUBSTITUTE(E1812," [",", "),"[",", "),"]","")&amp;"]")))</x:f>
      </x:c>
      <x:c r="G1812" t="str">
        <x:f>IF(F1812&lt;&gt;"",ROWS($F$3:F1812)-COUNTBLANK($F$3:F1812),"")</x:f>
      </x:c>
      <x:c r="H1812"/>
      <x:c r="I1812"/>
      <x:c r="J1812"/>
      <x:c r="K1812" t="str">
        <x:f>IF(ROW()-ROW($K$2)&lt;=SUM($J$3:$J$168),COUNTIF($H$3:$H$168,"&lt;"&amp;(ROW()-ROW($K$2))),"")</x:f>
      </x:c>
      <x:c r="L1812" t="str">
        <x:f>IF(K1812="","",ROW()-ROW($L$2)-INDEX($H$3:$H$168,K1812))</x:f>
      </x:c>
      <x:c r="M1812" t="str">
        <x:f>IF(K1812="","",IF(L1812=1,1,FIND(CHAR(1),SUBSTITUTE(INDEX($B$3:$B$168,K1812),CHAR(10),CHAR(1),L1812-1))+1))</x:f>
      </x:c>
      <x:c r="N1812" t="str">
        <x:f>IF(K1812="","",IFERROR(FIND(CHAR(1),SUBSTITUTE(INDEX($B$3:$B$168,K1812),CHAR(10),CHAR(1),L1812)),LEN(INDEX($B$3:$B$168,K1812))+1))</x:f>
      </x:c>
    </x:row>
    <x:row r="1813">
      <x:c r="A1813"/>
      <x:c r="B1813"/>
      <x:c r="C1813"/>
      <x:c r="D1813" t="str">
        <x:f>IFERROR(IF(1811&lt;=$O$1,INDEX($A$3:$A$168,MATCH(1811,$I$3:$I$168,0)),IF(1811&lt;=$O$1+$O$2,INDEX($F$3:$F$1994,MATCH(1811-$O$1,$G$3:$G$1994,0)),"")),"")</x:f>
      </x:c>
      <x:c r="E1813" t="str">
        <x:f>IF(K1813="","",IF(N1813&lt;=M1813,"",TRIM(CLEAN(MID(INDEX($B$3:$B$168,K1813),M1813,N1813-M1813)))))</x:f>
      </x:c>
      <x:c r="F1813" t="str">
        <x:f>IF(E1813="","",IF(E1813=TRIM(INDEX($A$3:$A$168,K1813)),"",IF(RIGHT(TRIM(INDEX($A$3:$A$168,K1813)),1)="]",LEFT(TRIM(INDEX($A$3:$A$168,K1813)),LEN(TRIM(INDEX($A$3:$A$168,K1813)))-1)&amp;", "&amp;SUBSTITUTE(SUBSTITUTE(SUBSTITUTE(E1813," [",", "),"[",", "),"]","")&amp;"]",TRIM(INDEX($A$3:$A$168,K1813))&amp;" ["&amp;SUBSTITUTE(SUBSTITUTE(SUBSTITUTE(E1813," [",", "),"[",", "),"]","")&amp;"]")))</x:f>
      </x:c>
      <x:c r="G1813" t="str">
        <x:f>IF(F1813&lt;&gt;"",ROWS($F$3:F1813)-COUNTBLANK($F$3:F1813),"")</x:f>
      </x:c>
      <x:c r="H1813"/>
      <x:c r="I1813"/>
      <x:c r="J1813"/>
      <x:c r="K1813" t="str">
        <x:f>IF(ROW()-ROW($K$2)&lt;=SUM($J$3:$J$168),COUNTIF($H$3:$H$168,"&lt;"&amp;(ROW()-ROW($K$2))),"")</x:f>
      </x:c>
      <x:c r="L1813" t="str">
        <x:f>IF(K1813="","",ROW()-ROW($L$2)-INDEX($H$3:$H$168,K1813))</x:f>
      </x:c>
      <x:c r="M1813" t="str">
        <x:f>IF(K1813="","",IF(L1813=1,1,FIND(CHAR(1),SUBSTITUTE(INDEX($B$3:$B$168,K1813),CHAR(10),CHAR(1),L1813-1))+1))</x:f>
      </x:c>
      <x:c r="N1813" t="str">
        <x:f>IF(K1813="","",IFERROR(FIND(CHAR(1),SUBSTITUTE(INDEX($B$3:$B$168,K1813),CHAR(10),CHAR(1),L1813)),LEN(INDEX($B$3:$B$168,K1813))+1))</x:f>
      </x:c>
    </x:row>
    <x:row r="1814">
      <x:c r="A1814"/>
      <x:c r="B1814"/>
      <x:c r="C1814"/>
      <x:c r="D1814" t="str">
        <x:f>IFERROR(IF(1812&lt;=$O$1,INDEX($A$3:$A$168,MATCH(1812,$I$3:$I$168,0)),IF(1812&lt;=$O$1+$O$2,INDEX($F$3:$F$1994,MATCH(1812-$O$1,$G$3:$G$1994,0)),"")),"")</x:f>
      </x:c>
      <x:c r="E1814" t="str">
        <x:f>IF(K1814="","",IF(N1814&lt;=M1814,"",TRIM(CLEAN(MID(INDEX($B$3:$B$168,K1814),M1814,N1814-M1814)))))</x:f>
      </x:c>
      <x:c r="F1814" t="str">
        <x:f>IF(E1814="","",IF(E1814=TRIM(INDEX($A$3:$A$168,K1814)),"",IF(RIGHT(TRIM(INDEX($A$3:$A$168,K1814)),1)="]",LEFT(TRIM(INDEX($A$3:$A$168,K1814)),LEN(TRIM(INDEX($A$3:$A$168,K1814)))-1)&amp;", "&amp;SUBSTITUTE(SUBSTITUTE(SUBSTITUTE(E1814," [",", "),"[",", "),"]","")&amp;"]",TRIM(INDEX($A$3:$A$168,K1814))&amp;" ["&amp;SUBSTITUTE(SUBSTITUTE(SUBSTITUTE(E1814," [",", "),"[",", "),"]","")&amp;"]")))</x:f>
      </x:c>
      <x:c r="G1814" t="str">
        <x:f>IF(F1814&lt;&gt;"",ROWS($F$3:F1814)-COUNTBLANK($F$3:F1814),"")</x:f>
      </x:c>
      <x:c r="H1814"/>
      <x:c r="I1814"/>
      <x:c r="J1814"/>
      <x:c r="K1814" t="str">
        <x:f>IF(ROW()-ROW($K$2)&lt;=SUM($J$3:$J$168),COUNTIF($H$3:$H$168,"&lt;"&amp;(ROW()-ROW($K$2))),"")</x:f>
      </x:c>
      <x:c r="L1814" t="str">
        <x:f>IF(K1814="","",ROW()-ROW($L$2)-INDEX($H$3:$H$168,K1814))</x:f>
      </x:c>
      <x:c r="M1814" t="str">
        <x:f>IF(K1814="","",IF(L1814=1,1,FIND(CHAR(1),SUBSTITUTE(INDEX($B$3:$B$168,K1814),CHAR(10),CHAR(1),L1814-1))+1))</x:f>
      </x:c>
      <x:c r="N1814" t="str">
        <x:f>IF(K1814="","",IFERROR(FIND(CHAR(1),SUBSTITUTE(INDEX($B$3:$B$168,K1814),CHAR(10),CHAR(1),L1814)),LEN(INDEX($B$3:$B$168,K1814))+1))</x:f>
      </x:c>
    </x:row>
    <x:row r="1815">
      <x:c r="A1815"/>
      <x:c r="B1815"/>
      <x:c r="C1815"/>
      <x:c r="D1815" t="str">
        <x:f>IFERROR(IF(1813&lt;=$O$1,INDEX($A$3:$A$168,MATCH(1813,$I$3:$I$168,0)),IF(1813&lt;=$O$1+$O$2,INDEX($F$3:$F$1994,MATCH(1813-$O$1,$G$3:$G$1994,0)),"")),"")</x:f>
      </x:c>
      <x:c r="E1815" t="str">
        <x:f>IF(K1815="","",IF(N1815&lt;=M1815,"",TRIM(CLEAN(MID(INDEX($B$3:$B$168,K1815),M1815,N1815-M1815)))))</x:f>
      </x:c>
      <x:c r="F1815" t="str">
        <x:f>IF(E1815="","",IF(E1815=TRIM(INDEX($A$3:$A$168,K1815)),"",IF(RIGHT(TRIM(INDEX($A$3:$A$168,K1815)),1)="]",LEFT(TRIM(INDEX($A$3:$A$168,K1815)),LEN(TRIM(INDEX($A$3:$A$168,K1815)))-1)&amp;", "&amp;SUBSTITUTE(SUBSTITUTE(SUBSTITUTE(E1815," [",", "),"[",", "),"]","")&amp;"]",TRIM(INDEX($A$3:$A$168,K1815))&amp;" ["&amp;SUBSTITUTE(SUBSTITUTE(SUBSTITUTE(E1815," [",", "),"[",", "),"]","")&amp;"]")))</x:f>
      </x:c>
      <x:c r="G1815" t="str">
        <x:f>IF(F1815&lt;&gt;"",ROWS($F$3:F1815)-COUNTBLANK($F$3:F1815),"")</x:f>
      </x:c>
      <x:c r="H1815"/>
      <x:c r="I1815"/>
      <x:c r="J1815"/>
      <x:c r="K1815" t="str">
        <x:f>IF(ROW()-ROW($K$2)&lt;=SUM($J$3:$J$168),COUNTIF($H$3:$H$168,"&lt;"&amp;(ROW()-ROW($K$2))),"")</x:f>
      </x:c>
      <x:c r="L1815" t="str">
        <x:f>IF(K1815="","",ROW()-ROW($L$2)-INDEX($H$3:$H$168,K1815))</x:f>
      </x:c>
      <x:c r="M1815" t="str">
        <x:f>IF(K1815="","",IF(L1815=1,1,FIND(CHAR(1),SUBSTITUTE(INDEX($B$3:$B$168,K1815),CHAR(10),CHAR(1),L1815-1))+1))</x:f>
      </x:c>
      <x:c r="N1815" t="str">
        <x:f>IF(K1815="","",IFERROR(FIND(CHAR(1),SUBSTITUTE(INDEX($B$3:$B$168,K1815),CHAR(10),CHAR(1),L1815)),LEN(INDEX($B$3:$B$168,K1815))+1))</x:f>
      </x:c>
    </x:row>
    <x:row r="1816">
      <x:c r="A1816"/>
      <x:c r="B1816"/>
      <x:c r="C1816"/>
      <x:c r="D1816" t="str">
        <x:f>IFERROR(IF(1814&lt;=$O$1,INDEX($A$3:$A$168,MATCH(1814,$I$3:$I$168,0)),IF(1814&lt;=$O$1+$O$2,INDEX($F$3:$F$1994,MATCH(1814-$O$1,$G$3:$G$1994,0)),"")),"")</x:f>
      </x:c>
      <x:c r="E1816" t="str">
        <x:f>IF(K1816="","",IF(N1816&lt;=M1816,"",TRIM(CLEAN(MID(INDEX($B$3:$B$168,K1816),M1816,N1816-M1816)))))</x:f>
      </x:c>
      <x:c r="F1816" t="str">
        <x:f>IF(E1816="","",IF(E1816=TRIM(INDEX($A$3:$A$168,K1816)),"",IF(RIGHT(TRIM(INDEX($A$3:$A$168,K1816)),1)="]",LEFT(TRIM(INDEX($A$3:$A$168,K1816)),LEN(TRIM(INDEX($A$3:$A$168,K1816)))-1)&amp;", "&amp;SUBSTITUTE(SUBSTITUTE(SUBSTITUTE(E1816," [",", "),"[",", "),"]","")&amp;"]",TRIM(INDEX($A$3:$A$168,K1816))&amp;" ["&amp;SUBSTITUTE(SUBSTITUTE(SUBSTITUTE(E1816," [",", "),"[",", "),"]","")&amp;"]")))</x:f>
      </x:c>
      <x:c r="G1816" t="str">
        <x:f>IF(F1816&lt;&gt;"",ROWS($F$3:F1816)-COUNTBLANK($F$3:F1816),"")</x:f>
      </x:c>
      <x:c r="H1816"/>
      <x:c r="I1816"/>
      <x:c r="J1816"/>
      <x:c r="K1816" t="str">
        <x:f>IF(ROW()-ROW($K$2)&lt;=SUM($J$3:$J$168),COUNTIF($H$3:$H$168,"&lt;"&amp;(ROW()-ROW($K$2))),"")</x:f>
      </x:c>
      <x:c r="L1816" t="str">
        <x:f>IF(K1816="","",ROW()-ROW($L$2)-INDEX($H$3:$H$168,K1816))</x:f>
      </x:c>
      <x:c r="M1816" t="str">
        <x:f>IF(K1816="","",IF(L1816=1,1,FIND(CHAR(1),SUBSTITUTE(INDEX($B$3:$B$168,K1816),CHAR(10),CHAR(1),L1816-1))+1))</x:f>
      </x:c>
      <x:c r="N1816" t="str">
        <x:f>IF(K1816="","",IFERROR(FIND(CHAR(1),SUBSTITUTE(INDEX($B$3:$B$168,K1816),CHAR(10),CHAR(1),L1816)),LEN(INDEX($B$3:$B$168,K1816))+1))</x:f>
      </x:c>
    </x:row>
    <x:row r="1817">
      <x:c r="A1817"/>
      <x:c r="B1817"/>
      <x:c r="C1817"/>
      <x:c r="D1817" t="str">
        <x:f>IFERROR(IF(1815&lt;=$O$1,INDEX($A$3:$A$168,MATCH(1815,$I$3:$I$168,0)),IF(1815&lt;=$O$1+$O$2,INDEX($F$3:$F$1994,MATCH(1815-$O$1,$G$3:$G$1994,0)),"")),"")</x:f>
      </x:c>
      <x:c r="E1817" t="str">
        <x:f>IF(K1817="","",IF(N1817&lt;=M1817,"",TRIM(CLEAN(MID(INDEX($B$3:$B$168,K1817),M1817,N1817-M1817)))))</x:f>
      </x:c>
      <x:c r="F1817" t="str">
        <x:f>IF(E1817="","",IF(E1817=TRIM(INDEX($A$3:$A$168,K1817)),"",IF(RIGHT(TRIM(INDEX($A$3:$A$168,K1817)),1)="]",LEFT(TRIM(INDEX($A$3:$A$168,K1817)),LEN(TRIM(INDEX($A$3:$A$168,K1817)))-1)&amp;", "&amp;SUBSTITUTE(SUBSTITUTE(SUBSTITUTE(E1817," [",", "),"[",", "),"]","")&amp;"]",TRIM(INDEX($A$3:$A$168,K1817))&amp;" ["&amp;SUBSTITUTE(SUBSTITUTE(SUBSTITUTE(E1817," [",", "),"[",", "),"]","")&amp;"]")))</x:f>
      </x:c>
      <x:c r="G1817" t="str">
        <x:f>IF(F1817&lt;&gt;"",ROWS($F$3:F1817)-COUNTBLANK($F$3:F1817),"")</x:f>
      </x:c>
      <x:c r="H1817"/>
      <x:c r="I1817"/>
      <x:c r="J1817"/>
      <x:c r="K1817" t="str">
        <x:f>IF(ROW()-ROW($K$2)&lt;=SUM($J$3:$J$168),COUNTIF($H$3:$H$168,"&lt;"&amp;(ROW()-ROW($K$2))),"")</x:f>
      </x:c>
      <x:c r="L1817" t="str">
        <x:f>IF(K1817="","",ROW()-ROW($L$2)-INDEX($H$3:$H$168,K1817))</x:f>
      </x:c>
      <x:c r="M1817" t="str">
        <x:f>IF(K1817="","",IF(L1817=1,1,FIND(CHAR(1),SUBSTITUTE(INDEX($B$3:$B$168,K1817),CHAR(10),CHAR(1),L1817-1))+1))</x:f>
      </x:c>
      <x:c r="N1817" t="str">
        <x:f>IF(K1817="","",IFERROR(FIND(CHAR(1),SUBSTITUTE(INDEX($B$3:$B$168,K1817),CHAR(10),CHAR(1),L1817)),LEN(INDEX($B$3:$B$168,K1817))+1))</x:f>
      </x:c>
    </x:row>
    <x:row r="1818">
      <x:c r="A1818"/>
      <x:c r="B1818"/>
      <x:c r="C1818"/>
      <x:c r="D1818" t="str">
        <x:f>IFERROR(IF(1816&lt;=$O$1,INDEX($A$3:$A$168,MATCH(1816,$I$3:$I$168,0)),IF(1816&lt;=$O$1+$O$2,INDEX($F$3:$F$1994,MATCH(1816-$O$1,$G$3:$G$1994,0)),"")),"")</x:f>
      </x:c>
      <x:c r="E1818" t="str">
        <x:f>IF(K1818="","",IF(N1818&lt;=M1818,"",TRIM(CLEAN(MID(INDEX($B$3:$B$168,K1818),M1818,N1818-M1818)))))</x:f>
      </x:c>
      <x:c r="F1818" t="str">
        <x:f>IF(E1818="","",IF(E1818=TRIM(INDEX($A$3:$A$168,K1818)),"",IF(RIGHT(TRIM(INDEX($A$3:$A$168,K1818)),1)="]",LEFT(TRIM(INDEX($A$3:$A$168,K1818)),LEN(TRIM(INDEX($A$3:$A$168,K1818)))-1)&amp;", "&amp;SUBSTITUTE(SUBSTITUTE(SUBSTITUTE(E1818," [",", "),"[",", "),"]","")&amp;"]",TRIM(INDEX($A$3:$A$168,K1818))&amp;" ["&amp;SUBSTITUTE(SUBSTITUTE(SUBSTITUTE(E1818," [",", "),"[",", "),"]","")&amp;"]")))</x:f>
      </x:c>
      <x:c r="G1818" t="str">
        <x:f>IF(F1818&lt;&gt;"",ROWS($F$3:F1818)-COUNTBLANK($F$3:F1818),"")</x:f>
      </x:c>
      <x:c r="H1818"/>
      <x:c r="I1818"/>
      <x:c r="J1818"/>
      <x:c r="K1818" t="str">
        <x:f>IF(ROW()-ROW($K$2)&lt;=SUM($J$3:$J$168),COUNTIF($H$3:$H$168,"&lt;"&amp;(ROW()-ROW($K$2))),"")</x:f>
      </x:c>
      <x:c r="L1818" t="str">
        <x:f>IF(K1818="","",ROW()-ROW($L$2)-INDEX($H$3:$H$168,K1818))</x:f>
      </x:c>
      <x:c r="M1818" t="str">
        <x:f>IF(K1818="","",IF(L1818=1,1,FIND(CHAR(1),SUBSTITUTE(INDEX($B$3:$B$168,K1818),CHAR(10),CHAR(1),L1818-1))+1))</x:f>
      </x:c>
      <x:c r="N1818" t="str">
        <x:f>IF(K1818="","",IFERROR(FIND(CHAR(1),SUBSTITUTE(INDEX($B$3:$B$168,K1818),CHAR(10),CHAR(1),L1818)),LEN(INDEX($B$3:$B$168,K1818))+1))</x:f>
      </x:c>
    </x:row>
    <x:row r="1819">
      <x:c r="A1819"/>
      <x:c r="B1819"/>
      <x:c r="C1819"/>
      <x:c r="D1819" t="str">
        <x:f>IFERROR(IF(1817&lt;=$O$1,INDEX($A$3:$A$168,MATCH(1817,$I$3:$I$168,0)),IF(1817&lt;=$O$1+$O$2,INDEX($F$3:$F$1994,MATCH(1817-$O$1,$G$3:$G$1994,0)),"")),"")</x:f>
      </x:c>
      <x:c r="E1819" t="str">
        <x:f>IF(K1819="","",IF(N1819&lt;=M1819,"",TRIM(CLEAN(MID(INDEX($B$3:$B$168,K1819),M1819,N1819-M1819)))))</x:f>
      </x:c>
      <x:c r="F1819" t="str">
        <x:f>IF(E1819="","",IF(E1819=TRIM(INDEX($A$3:$A$168,K1819)),"",IF(RIGHT(TRIM(INDEX($A$3:$A$168,K1819)),1)="]",LEFT(TRIM(INDEX($A$3:$A$168,K1819)),LEN(TRIM(INDEX($A$3:$A$168,K1819)))-1)&amp;", "&amp;SUBSTITUTE(SUBSTITUTE(SUBSTITUTE(E1819," [",", "),"[",", "),"]","")&amp;"]",TRIM(INDEX($A$3:$A$168,K1819))&amp;" ["&amp;SUBSTITUTE(SUBSTITUTE(SUBSTITUTE(E1819," [",", "),"[",", "),"]","")&amp;"]")))</x:f>
      </x:c>
      <x:c r="G1819" t="str">
        <x:f>IF(F1819&lt;&gt;"",ROWS($F$3:F1819)-COUNTBLANK($F$3:F1819),"")</x:f>
      </x:c>
      <x:c r="H1819"/>
      <x:c r="I1819"/>
      <x:c r="J1819"/>
      <x:c r="K1819" t="str">
        <x:f>IF(ROW()-ROW($K$2)&lt;=SUM($J$3:$J$168),COUNTIF($H$3:$H$168,"&lt;"&amp;(ROW()-ROW($K$2))),"")</x:f>
      </x:c>
      <x:c r="L1819" t="str">
        <x:f>IF(K1819="","",ROW()-ROW($L$2)-INDEX($H$3:$H$168,K1819))</x:f>
      </x:c>
      <x:c r="M1819" t="str">
        <x:f>IF(K1819="","",IF(L1819=1,1,FIND(CHAR(1),SUBSTITUTE(INDEX($B$3:$B$168,K1819),CHAR(10),CHAR(1),L1819-1))+1))</x:f>
      </x:c>
      <x:c r="N1819" t="str">
        <x:f>IF(K1819="","",IFERROR(FIND(CHAR(1),SUBSTITUTE(INDEX($B$3:$B$168,K1819),CHAR(10),CHAR(1),L1819)),LEN(INDEX($B$3:$B$168,K1819))+1))</x:f>
      </x:c>
    </x:row>
    <x:row r="1820">
      <x:c r="A1820"/>
      <x:c r="B1820"/>
      <x:c r="C1820"/>
      <x:c r="D1820" t="str">
        <x:f>IFERROR(IF(1818&lt;=$O$1,INDEX($A$3:$A$168,MATCH(1818,$I$3:$I$168,0)),IF(1818&lt;=$O$1+$O$2,INDEX($F$3:$F$1994,MATCH(1818-$O$1,$G$3:$G$1994,0)),"")),"")</x:f>
      </x:c>
      <x:c r="E1820" t="str">
        <x:f>IF(K1820="","",IF(N1820&lt;=M1820,"",TRIM(CLEAN(MID(INDEX($B$3:$B$168,K1820),M1820,N1820-M1820)))))</x:f>
      </x:c>
      <x:c r="F1820" t="str">
        <x:f>IF(E1820="","",IF(E1820=TRIM(INDEX($A$3:$A$168,K1820)),"",IF(RIGHT(TRIM(INDEX($A$3:$A$168,K1820)),1)="]",LEFT(TRIM(INDEX($A$3:$A$168,K1820)),LEN(TRIM(INDEX($A$3:$A$168,K1820)))-1)&amp;", "&amp;SUBSTITUTE(SUBSTITUTE(SUBSTITUTE(E1820," [",", "),"[",", "),"]","")&amp;"]",TRIM(INDEX($A$3:$A$168,K1820))&amp;" ["&amp;SUBSTITUTE(SUBSTITUTE(SUBSTITUTE(E1820," [",", "),"[",", "),"]","")&amp;"]")))</x:f>
      </x:c>
      <x:c r="G1820" t="str">
        <x:f>IF(F1820&lt;&gt;"",ROWS($F$3:F1820)-COUNTBLANK($F$3:F1820),"")</x:f>
      </x:c>
      <x:c r="H1820"/>
      <x:c r="I1820"/>
      <x:c r="J1820"/>
      <x:c r="K1820" t="str">
        <x:f>IF(ROW()-ROW($K$2)&lt;=SUM($J$3:$J$168),COUNTIF($H$3:$H$168,"&lt;"&amp;(ROW()-ROW($K$2))),"")</x:f>
      </x:c>
      <x:c r="L1820" t="str">
        <x:f>IF(K1820="","",ROW()-ROW($L$2)-INDEX($H$3:$H$168,K1820))</x:f>
      </x:c>
      <x:c r="M1820" t="str">
        <x:f>IF(K1820="","",IF(L1820=1,1,FIND(CHAR(1),SUBSTITUTE(INDEX($B$3:$B$168,K1820),CHAR(10),CHAR(1),L1820-1))+1))</x:f>
      </x:c>
      <x:c r="N1820" t="str">
        <x:f>IF(K1820="","",IFERROR(FIND(CHAR(1),SUBSTITUTE(INDEX($B$3:$B$168,K1820),CHAR(10),CHAR(1),L1820)),LEN(INDEX($B$3:$B$168,K1820))+1))</x:f>
      </x:c>
    </x:row>
    <x:row r="1821">
      <x:c r="A1821"/>
      <x:c r="B1821"/>
      <x:c r="C1821"/>
      <x:c r="D1821" t="str">
        <x:f>IFERROR(IF(1819&lt;=$O$1,INDEX($A$3:$A$168,MATCH(1819,$I$3:$I$168,0)),IF(1819&lt;=$O$1+$O$2,INDEX($F$3:$F$1994,MATCH(1819-$O$1,$G$3:$G$1994,0)),"")),"")</x:f>
      </x:c>
      <x:c r="E1821" t="str">
        <x:f>IF(K1821="","",IF(N1821&lt;=M1821,"",TRIM(CLEAN(MID(INDEX($B$3:$B$168,K1821),M1821,N1821-M1821)))))</x:f>
      </x:c>
      <x:c r="F1821" t="str">
        <x:f>IF(E1821="","",IF(E1821=TRIM(INDEX($A$3:$A$168,K1821)),"",IF(RIGHT(TRIM(INDEX($A$3:$A$168,K1821)),1)="]",LEFT(TRIM(INDEX($A$3:$A$168,K1821)),LEN(TRIM(INDEX($A$3:$A$168,K1821)))-1)&amp;", "&amp;SUBSTITUTE(SUBSTITUTE(SUBSTITUTE(E1821," [",", "),"[",", "),"]","")&amp;"]",TRIM(INDEX($A$3:$A$168,K1821))&amp;" ["&amp;SUBSTITUTE(SUBSTITUTE(SUBSTITUTE(E1821," [",", "),"[",", "),"]","")&amp;"]")))</x:f>
      </x:c>
      <x:c r="G1821" t="str">
        <x:f>IF(F1821&lt;&gt;"",ROWS($F$3:F1821)-COUNTBLANK($F$3:F1821),"")</x:f>
      </x:c>
      <x:c r="H1821"/>
      <x:c r="I1821"/>
      <x:c r="J1821"/>
      <x:c r="K1821" t="str">
        <x:f>IF(ROW()-ROW($K$2)&lt;=SUM($J$3:$J$168),COUNTIF($H$3:$H$168,"&lt;"&amp;(ROW()-ROW($K$2))),"")</x:f>
      </x:c>
      <x:c r="L1821" t="str">
        <x:f>IF(K1821="","",ROW()-ROW($L$2)-INDEX($H$3:$H$168,K1821))</x:f>
      </x:c>
      <x:c r="M1821" t="str">
        <x:f>IF(K1821="","",IF(L1821=1,1,FIND(CHAR(1),SUBSTITUTE(INDEX($B$3:$B$168,K1821),CHAR(10),CHAR(1),L1821-1))+1))</x:f>
      </x:c>
      <x:c r="N1821" t="str">
        <x:f>IF(K1821="","",IFERROR(FIND(CHAR(1),SUBSTITUTE(INDEX($B$3:$B$168,K1821),CHAR(10),CHAR(1),L1821)),LEN(INDEX($B$3:$B$168,K1821))+1))</x:f>
      </x:c>
    </x:row>
    <x:row r="1822">
      <x:c r="A1822"/>
      <x:c r="B1822"/>
      <x:c r="C1822"/>
      <x:c r="D1822" t="str">
        <x:f>IFERROR(IF(1820&lt;=$O$1,INDEX($A$3:$A$168,MATCH(1820,$I$3:$I$168,0)),IF(1820&lt;=$O$1+$O$2,INDEX($F$3:$F$1994,MATCH(1820-$O$1,$G$3:$G$1994,0)),"")),"")</x:f>
      </x:c>
      <x:c r="E1822" t="str">
        <x:f>IF(K1822="","",IF(N1822&lt;=M1822,"",TRIM(CLEAN(MID(INDEX($B$3:$B$168,K1822),M1822,N1822-M1822)))))</x:f>
      </x:c>
      <x:c r="F1822" t="str">
        <x:f>IF(E1822="","",IF(E1822=TRIM(INDEX($A$3:$A$168,K1822)),"",IF(RIGHT(TRIM(INDEX($A$3:$A$168,K1822)),1)="]",LEFT(TRIM(INDEX($A$3:$A$168,K1822)),LEN(TRIM(INDEX($A$3:$A$168,K1822)))-1)&amp;", "&amp;SUBSTITUTE(SUBSTITUTE(SUBSTITUTE(E1822," [",", "),"[",", "),"]","")&amp;"]",TRIM(INDEX($A$3:$A$168,K1822))&amp;" ["&amp;SUBSTITUTE(SUBSTITUTE(SUBSTITUTE(E1822," [",", "),"[",", "),"]","")&amp;"]")))</x:f>
      </x:c>
      <x:c r="G1822" t="str">
        <x:f>IF(F1822&lt;&gt;"",ROWS($F$3:F1822)-COUNTBLANK($F$3:F1822),"")</x:f>
      </x:c>
      <x:c r="H1822"/>
      <x:c r="I1822"/>
      <x:c r="J1822"/>
      <x:c r="K1822" t="str">
        <x:f>IF(ROW()-ROW($K$2)&lt;=SUM($J$3:$J$168),COUNTIF($H$3:$H$168,"&lt;"&amp;(ROW()-ROW($K$2))),"")</x:f>
      </x:c>
      <x:c r="L1822" t="str">
        <x:f>IF(K1822="","",ROW()-ROW($L$2)-INDEX($H$3:$H$168,K1822))</x:f>
      </x:c>
      <x:c r="M1822" t="str">
        <x:f>IF(K1822="","",IF(L1822=1,1,FIND(CHAR(1),SUBSTITUTE(INDEX($B$3:$B$168,K1822),CHAR(10),CHAR(1),L1822-1))+1))</x:f>
      </x:c>
      <x:c r="N1822" t="str">
        <x:f>IF(K1822="","",IFERROR(FIND(CHAR(1),SUBSTITUTE(INDEX($B$3:$B$168,K1822),CHAR(10),CHAR(1),L1822)),LEN(INDEX($B$3:$B$168,K1822))+1))</x:f>
      </x:c>
    </x:row>
    <x:row r="1823">
      <x:c r="A1823"/>
      <x:c r="B1823"/>
      <x:c r="C1823"/>
      <x:c r="D1823" t="str">
        <x:f>IFERROR(IF(1821&lt;=$O$1,INDEX($A$3:$A$168,MATCH(1821,$I$3:$I$168,0)),IF(1821&lt;=$O$1+$O$2,INDEX($F$3:$F$1994,MATCH(1821-$O$1,$G$3:$G$1994,0)),"")),"")</x:f>
      </x:c>
      <x:c r="E1823" t="str">
        <x:f>IF(K1823="","",IF(N1823&lt;=M1823,"",TRIM(CLEAN(MID(INDEX($B$3:$B$168,K1823),M1823,N1823-M1823)))))</x:f>
      </x:c>
      <x:c r="F1823" t="str">
        <x:f>IF(E1823="","",IF(E1823=TRIM(INDEX($A$3:$A$168,K1823)),"",IF(RIGHT(TRIM(INDEX($A$3:$A$168,K1823)),1)="]",LEFT(TRIM(INDEX($A$3:$A$168,K1823)),LEN(TRIM(INDEX($A$3:$A$168,K1823)))-1)&amp;", "&amp;SUBSTITUTE(SUBSTITUTE(SUBSTITUTE(E1823," [",", "),"[",", "),"]","")&amp;"]",TRIM(INDEX($A$3:$A$168,K1823))&amp;" ["&amp;SUBSTITUTE(SUBSTITUTE(SUBSTITUTE(E1823," [",", "),"[",", "),"]","")&amp;"]")))</x:f>
      </x:c>
      <x:c r="G1823" t="str">
        <x:f>IF(F1823&lt;&gt;"",ROWS($F$3:F1823)-COUNTBLANK($F$3:F1823),"")</x:f>
      </x:c>
      <x:c r="H1823"/>
      <x:c r="I1823"/>
      <x:c r="J1823"/>
      <x:c r="K1823" t="str">
        <x:f>IF(ROW()-ROW($K$2)&lt;=SUM($J$3:$J$168),COUNTIF($H$3:$H$168,"&lt;"&amp;(ROW()-ROW($K$2))),"")</x:f>
      </x:c>
      <x:c r="L1823" t="str">
        <x:f>IF(K1823="","",ROW()-ROW($L$2)-INDEX($H$3:$H$168,K1823))</x:f>
      </x:c>
      <x:c r="M1823" t="str">
        <x:f>IF(K1823="","",IF(L1823=1,1,FIND(CHAR(1),SUBSTITUTE(INDEX($B$3:$B$168,K1823),CHAR(10),CHAR(1),L1823-1))+1))</x:f>
      </x:c>
      <x:c r="N1823" t="str">
        <x:f>IF(K1823="","",IFERROR(FIND(CHAR(1),SUBSTITUTE(INDEX($B$3:$B$168,K1823),CHAR(10),CHAR(1),L1823)),LEN(INDEX($B$3:$B$168,K1823))+1))</x:f>
      </x:c>
    </x:row>
    <x:row r="1824">
      <x:c r="A1824"/>
      <x:c r="B1824"/>
      <x:c r="C1824"/>
      <x:c r="D1824" t="str">
        <x:f>IFERROR(IF(1822&lt;=$O$1,INDEX($A$3:$A$168,MATCH(1822,$I$3:$I$168,0)),IF(1822&lt;=$O$1+$O$2,INDEX($F$3:$F$1994,MATCH(1822-$O$1,$G$3:$G$1994,0)),"")),"")</x:f>
      </x:c>
      <x:c r="E1824" t="str">
        <x:f>IF(K1824="","",IF(N1824&lt;=M1824,"",TRIM(CLEAN(MID(INDEX($B$3:$B$168,K1824),M1824,N1824-M1824)))))</x:f>
      </x:c>
      <x:c r="F1824" t="str">
        <x:f>IF(E1824="","",IF(E1824=TRIM(INDEX($A$3:$A$168,K1824)),"",IF(RIGHT(TRIM(INDEX($A$3:$A$168,K1824)),1)="]",LEFT(TRIM(INDEX($A$3:$A$168,K1824)),LEN(TRIM(INDEX($A$3:$A$168,K1824)))-1)&amp;", "&amp;SUBSTITUTE(SUBSTITUTE(SUBSTITUTE(E1824," [",", "),"[",", "),"]","")&amp;"]",TRIM(INDEX($A$3:$A$168,K1824))&amp;" ["&amp;SUBSTITUTE(SUBSTITUTE(SUBSTITUTE(E1824," [",", "),"[",", "),"]","")&amp;"]")))</x:f>
      </x:c>
      <x:c r="G1824" t="str">
        <x:f>IF(F1824&lt;&gt;"",ROWS($F$3:F1824)-COUNTBLANK($F$3:F1824),"")</x:f>
      </x:c>
      <x:c r="H1824"/>
      <x:c r="I1824"/>
      <x:c r="J1824"/>
      <x:c r="K1824" t="str">
        <x:f>IF(ROW()-ROW($K$2)&lt;=SUM($J$3:$J$168),COUNTIF($H$3:$H$168,"&lt;"&amp;(ROW()-ROW($K$2))),"")</x:f>
      </x:c>
      <x:c r="L1824" t="str">
        <x:f>IF(K1824="","",ROW()-ROW($L$2)-INDEX($H$3:$H$168,K1824))</x:f>
      </x:c>
      <x:c r="M1824" t="str">
        <x:f>IF(K1824="","",IF(L1824=1,1,FIND(CHAR(1),SUBSTITUTE(INDEX($B$3:$B$168,K1824),CHAR(10),CHAR(1),L1824-1))+1))</x:f>
      </x:c>
      <x:c r="N1824" t="str">
        <x:f>IF(K1824="","",IFERROR(FIND(CHAR(1),SUBSTITUTE(INDEX($B$3:$B$168,K1824),CHAR(10),CHAR(1),L1824)),LEN(INDEX($B$3:$B$168,K1824))+1))</x:f>
      </x:c>
    </x:row>
    <x:row r="1825">
      <x:c r="A1825"/>
      <x:c r="B1825"/>
      <x:c r="C1825"/>
      <x:c r="D1825" t="str">
        <x:f>IFERROR(IF(1823&lt;=$O$1,INDEX($A$3:$A$168,MATCH(1823,$I$3:$I$168,0)),IF(1823&lt;=$O$1+$O$2,INDEX($F$3:$F$1994,MATCH(1823-$O$1,$G$3:$G$1994,0)),"")),"")</x:f>
      </x:c>
      <x:c r="E1825" t="str">
        <x:f>IF(K1825="","",IF(N1825&lt;=M1825,"",TRIM(CLEAN(MID(INDEX($B$3:$B$168,K1825),M1825,N1825-M1825)))))</x:f>
      </x:c>
      <x:c r="F1825" t="str">
        <x:f>IF(E1825="","",IF(E1825=TRIM(INDEX($A$3:$A$168,K1825)),"",IF(RIGHT(TRIM(INDEX($A$3:$A$168,K1825)),1)="]",LEFT(TRIM(INDEX($A$3:$A$168,K1825)),LEN(TRIM(INDEX($A$3:$A$168,K1825)))-1)&amp;", "&amp;SUBSTITUTE(SUBSTITUTE(SUBSTITUTE(E1825," [",", "),"[",", "),"]","")&amp;"]",TRIM(INDEX($A$3:$A$168,K1825))&amp;" ["&amp;SUBSTITUTE(SUBSTITUTE(SUBSTITUTE(E1825," [",", "),"[",", "),"]","")&amp;"]")))</x:f>
      </x:c>
      <x:c r="G1825" t="str">
        <x:f>IF(F1825&lt;&gt;"",ROWS($F$3:F1825)-COUNTBLANK($F$3:F1825),"")</x:f>
      </x:c>
      <x:c r="H1825"/>
      <x:c r="I1825"/>
      <x:c r="J1825"/>
      <x:c r="K1825" t="str">
        <x:f>IF(ROW()-ROW($K$2)&lt;=SUM($J$3:$J$168),COUNTIF($H$3:$H$168,"&lt;"&amp;(ROW()-ROW($K$2))),"")</x:f>
      </x:c>
      <x:c r="L1825" t="str">
        <x:f>IF(K1825="","",ROW()-ROW($L$2)-INDEX($H$3:$H$168,K1825))</x:f>
      </x:c>
      <x:c r="M1825" t="str">
        <x:f>IF(K1825="","",IF(L1825=1,1,FIND(CHAR(1),SUBSTITUTE(INDEX($B$3:$B$168,K1825),CHAR(10),CHAR(1),L1825-1))+1))</x:f>
      </x:c>
      <x:c r="N1825" t="str">
        <x:f>IF(K1825="","",IFERROR(FIND(CHAR(1),SUBSTITUTE(INDEX($B$3:$B$168,K1825),CHAR(10),CHAR(1),L1825)),LEN(INDEX($B$3:$B$168,K1825))+1))</x:f>
      </x:c>
    </x:row>
    <x:row r="1826">
      <x:c r="A1826"/>
      <x:c r="B1826"/>
      <x:c r="C1826"/>
      <x:c r="D1826" t="str">
        <x:f>IFERROR(IF(1824&lt;=$O$1,INDEX($A$3:$A$168,MATCH(1824,$I$3:$I$168,0)),IF(1824&lt;=$O$1+$O$2,INDEX($F$3:$F$1994,MATCH(1824-$O$1,$G$3:$G$1994,0)),"")),"")</x:f>
      </x:c>
      <x:c r="E1826" t="str">
        <x:f>IF(K1826="","",IF(N1826&lt;=M1826,"",TRIM(CLEAN(MID(INDEX($B$3:$B$168,K1826),M1826,N1826-M1826)))))</x:f>
      </x:c>
      <x:c r="F1826" t="str">
        <x:f>IF(E1826="","",IF(E1826=TRIM(INDEX($A$3:$A$168,K1826)),"",IF(RIGHT(TRIM(INDEX($A$3:$A$168,K1826)),1)="]",LEFT(TRIM(INDEX($A$3:$A$168,K1826)),LEN(TRIM(INDEX($A$3:$A$168,K1826)))-1)&amp;", "&amp;SUBSTITUTE(SUBSTITUTE(SUBSTITUTE(E1826," [",", "),"[",", "),"]","")&amp;"]",TRIM(INDEX($A$3:$A$168,K1826))&amp;" ["&amp;SUBSTITUTE(SUBSTITUTE(SUBSTITUTE(E1826," [",", "),"[",", "),"]","")&amp;"]")))</x:f>
      </x:c>
      <x:c r="G1826" t="str">
        <x:f>IF(F1826&lt;&gt;"",ROWS($F$3:F1826)-COUNTBLANK($F$3:F1826),"")</x:f>
      </x:c>
      <x:c r="H1826"/>
      <x:c r="I1826"/>
      <x:c r="J1826"/>
      <x:c r="K1826" t="str">
        <x:f>IF(ROW()-ROW($K$2)&lt;=SUM($J$3:$J$168),COUNTIF($H$3:$H$168,"&lt;"&amp;(ROW()-ROW($K$2))),"")</x:f>
      </x:c>
      <x:c r="L1826" t="str">
        <x:f>IF(K1826="","",ROW()-ROW($L$2)-INDEX($H$3:$H$168,K1826))</x:f>
      </x:c>
      <x:c r="M1826" t="str">
        <x:f>IF(K1826="","",IF(L1826=1,1,FIND(CHAR(1),SUBSTITUTE(INDEX($B$3:$B$168,K1826),CHAR(10),CHAR(1),L1826-1))+1))</x:f>
      </x:c>
      <x:c r="N1826" t="str">
        <x:f>IF(K1826="","",IFERROR(FIND(CHAR(1),SUBSTITUTE(INDEX($B$3:$B$168,K1826),CHAR(10),CHAR(1),L1826)),LEN(INDEX($B$3:$B$168,K1826))+1))</x:f>
      </x:c>
    </x:row>
    <x:row r="1827">
      <x:c r="A1827"/>
      <x:c r="B1827"/>
      <x:c r="C1827"/>
      <x:c r="D1827" t="str">
        <x:f>IFERROR(IF(1825&lt;=$O$1,INDEX($A$3:$A$168,MATCH(1825,$I$3:$I$168,0)),IF(1825&lt;=$O$1+$O$2,INDEX($F$3:$F$1994,MATCH(1825-$O$1,$G$3:$G$1994,0)),"")),"")</x:f>
      </x:c>
      <x:c r="E1827" t="str">
        <x:f>IF(K1827="","",IF(N1827&lt;=M1827,"",TRIM(CLEAN(MID(INDEX($B$3:$B$168,K1827),M1827,N1827-M1827)))))</x:f>
      </x:c>
      <x:c r="F1827" t="str">
        <x:f>IF(E1827="","",IF(E1827=TRIM(INDEX($A$3:$A$168,K1827)),"",IF(RIGHT(TRIM(INDEX($A$3:$A$168,K1827)),1)="]",LEFT(TRIM(INDEX($A$3:$A$168,K1827)),LEN(TRIM(INDEX($A$3:$A$168,K1827)))-1)&amp;", "&amp;SUBSTITUTE(SUBSTITUTE(SUBSTITUTE(E1827," [",", "),"[",", "),"]","")&amp;"]",TRIM(INDEX($A$3:$A$168,K1827))&amp;" ["&amp;SUBSTITUTE(SUBSTITUTE(SUBSTITUTE(E1827," [",", "),"[",", "),"]","")&amp;"]")))</x:f>
      </x:c>
      <x:c r="G1827" t="str">
        <x:f>IF(F1827&lt;&gt;"",ROWS($F$3:F1827)-COUNTBLANK($F$3:F1827),"")</x:f>
      </x:c>
      <x:c r="H1827"/>
      <x:c r="I1827"/>
      <x:c r="J1827"/>
      <x:c r="K1827" t="str">
        <x:f>IF(ROW()-ROW($K$2)&lt;=SUM($J$3:$J$168),COUNTIF($H$3:$H$168,"&lt;"&amp;(ROW()-ROW($K$2))),"")</x:f>
      </x:c>
      <x:c r="L1827" t="str">
        <x:f>IF(K1827="","",ROW()-ROW($L$2)-INDEX($H$3:$H$168,K1827))</x:f>
      </x:c>
      <x:c r="M1827" t="str">
        <x:f>IF(K1827="","",IF(L1827=1,1,FIND(CHAR(1),SUBSTITUTE(INDEX($B$3:$B$168,K1827),CHAR(10),CHAR(1),L1827-1))+1))</x:f>
      </x:c>
      <x:c r="N1827" t="str">
        <x:f>IF(K1827="","",IFERROR(FIND(CHAR(1),SUBSTITUTE(INDEX($B$3:$B$168,K1827),CHAR(10),CHAR(1),L1827)),LEN(INDEX($B$3:$B$168,K1827))+1))</x:f>
      </x:c>
    </x:row>
    <x:row r="1828">
      <x:c r="A1828"/>
      <x:c r="B1828"/>
      <x:c r="C1828"/>
      <x:c r="D1828" t="str">
        <x:f>IFERROR(IF(1826&lt;=$O$1,INDEX($A$3:$A$168,MATCH(1826,$I$3:$I$168,0)),IF(1826&lt;=$O$1+$O$2,INDEX($F$3:$F$1994,MATCH(1826-$O$1,$G$3:$G$1994,0)),"")),"")</x:f>
      </x:c>
      <x:c r="E1828" t="str">
        <x:f>IF(K1828="","",IF(N1828&lt;=M1828,"",TRIM(CLEAN(MID(INDEX($B$3:$B$168,K1828),M1828,N1828-M1828)))))</x:f>
      </x:c>
      <x:c r="F1828" t="str">
        <x:f>IF(E1828="","",IF(E1828=TRIM(INDEX($A$3:$A$168,K1828)),"",IF(RIGHT(TRIM(INDEX($A$3:$A$168,K1828)),1)="]",LEFT(TRIM(INDEX($A$3:$A$168,K1828)),LEN(TRIM(INDEX($A$3:$A$168,K1828)))-1)&amp;", "&amp;SUBSTITUTE(SUBSTITUTE(SUBSTITUTE(E1828," [",", "),"[",", "),"]","")&amp;"]",TRIM(INDEX($A$3:$A$168,K1828))&amp;" ["&amp;SUBSTITUTE(SUBSTITUTE(SUBSTITUTE(E1828," [",", "),"[",", "),"]","")&amp;"]")))</x:f>
      </x:c>
      <x:c r="G1828" t="str">
        <x:f>IF(F1828&lt;&gt;"",ROWS($F$3:F1828)-COUNTBLANK($F$3:F1828),"")</x:f>
      </x:c>
      <x:c r="H1828"/>
      <x:c r="I1828"/>
      <x:c r="J1828"/>
      <x:c r="K1828" t="str">
        <x:f>IF(ROW()-ROW($K$2)&lt;=SUM($J$3:$J$168),COUNTIF($H$3:$H$168,"&lt;"&amp;(ROW()-ROW($K$2))),"")</x:f>
      </x:c>
      <x:c r="L1828" t="str">
        <x:f>IF(K1828="","",ROW()-ROW($L$2)-INDEX($H$3:$H$168,K1828))</x:f>
      </x:c>
      <x:c r="M1828" t="str">
        <x:f>IF(K1828="","",IF(L1828=1,1,FIND(CHAR(1),SUBSTITUTE(INDEX($B$3:$B$168,K1828),CHAR(10),CHAR(1),L1828-1))+1))</x:f>
      </x:c>
      <x:c r="N1828" t="str">
        <x:f>IF(K1828="","",IFERROR(FIND(CHAR(1),SUBSTITUTE(INDEX($B$3:$B$168,K1828),CHAR(10),CHAR(1),L1828)),LEN(INDEX($B$3:$B$168,K1828))+1))</x:f>
      </x:c>
    </x:row>
    <x:row r="1829">
      <x:c r="A1829"/>
      <x:c r="B1829"/>
      <x:c r="C1829"/>
      <x:c r="D1829" t="str">
        <x:f>IFERROR(IF(1827&lt;=$O$1,INDEX($A$3:$A$168,MATCH(1827,$I$3:$I$168,0)),IF(1827&lt;=$O$1+$O$2,INDEX($F$3:$F$1994,MATCH(1827-$O$1,$G$3:$G$1994,0)),"")),"")</x:f>
      </x:c>
      <x:c r="E1829" t="str">
        <x:f>IF(K1829="","",IF(N1829&lt;=M1829,"",TRIM(CLEAN(MID(INDEX($B$3:$B$168,K1829),M1829,N1829-M1829)))))</x:f>
      </x:c>
      <x:c r="F1829" t="str">
        <x:f>IF(E1829="","",IF(E1829=TRIM(INDEX($A$3:$A$168,K1829)),"",IF(RIGHT(TRIM(INDEX($A$3:$A$168,K1829)),1)="]",LEFT(TRIM(INDEX($A$3:$A$168,K1829)),LEN(TRIM(INDEX($A$3:$A$168,K1829)))-1)&amp;", "&amp;SUBSTITUTE(SUBSTITUTE(SUBSTITUTE(E1829," [",", "),"[",", "),"]","")&amp;"]",TRIM(INDEX($A$3:$A$168,K1829))&amp;" ["&amp;SUBSTITUTE(SUBSTITUTE(SUBSTITUTE(E1829," [",", "),"[",", "),"]","")&amp;"]")))</x:f>
      </x:c>
      <x:c r="G1829" t="str">
        <x:f>IF(F1829&lt;&gt;"",ROWS($F$3:F1829)-COUNTBLANK($F$3:F1829),"")</x:f>
      </x:c>
      <x:c r="H1829"/>
      <x:c r="I1829"/>
      <x:c r="J1829"/>
      <x:c r="K1829" t="str">
        <x:f>IF(ROW()-ROW($K$2)&lt;=SUM($J$3:$J$168),COUNTIF($H$3:$H$168,"&lt;"&amp;(ROW()-ROW($K$2))),"")</x:f>
      </x:c>
      <x:c r="L1829" t="str">
        <x:f>IF(K1829="","",ROW()-ROW($L$2)-INDEX($H$3:$H$168,K1829))</x:f>
      </x:c>
      <x:c r="M1829" t="str">
        <x:f>IF(K1829="","",IF(L1829=1,1,FIND(CHAR(1),SUBSTITUTE(INDEX($B$3:$B$168,K1829),CHAR(10),CHAR(1),L1829-1))+1))</x:f>
      </x:c>
      <x:c r="N1829" t="str">
        <x:f>IF(K1829="","",IFERROR(FIND(CHAR(1),SUBSTITUTE(INDEX($B$3:$B$168,K1829),CHAR(10),CHAR(1),L1829)),LEN(INDEX($B$3:$B$168,K1829))+1))</x:f>
      </x:c>
    </x:row>
    <x:row r="1830">
      <x:c r="A1830"/>
      <x:c r="B1830"/>
      <x:c r="C1830"/>
      <x:c r="D1830" t="str">
        <x:f>IFERROR(IF(1828&lt;=$O$1,INDEX($A$3:$A$168,MATCH(1828,$I$3:$I$168,0)),IF(1828&lt;=$O$1+$O$2,INDEX($F$3:$F$1994,MATCH(1828-$O$1,$G$3:$G$1994,0)),"")),"")</x:f>
      </x:c>
      <x:c r="E1830" t="str">
        <x:f>IF(K1830="","",IF(N1830&lt;=M1830,"",TRIM(CLEAN(MID(INDEX($B$3:$B$168,K1830),M1830,N1830-M1830)))))</x:f>
      </x:c>
      <x:c r="F1830" t="str">
        <x:f>IF(E1830="","",IF(E1830=TRIM(INDEX($A$3:$A$168,K1830)),"",IF(RIGHT(TRIM(INDEX($A$3:$A$168,K1830)),1)="]",LEFT(TRIM(INDEX($A$3:$A$168,K1830)),LEN(TRIM(INDEX($A$3:$A$168,K1830)))-1)&amp;", "&amp;SUBSTITUTE(SUBSTITUTE(SUBSTITUTE(E1830," [",", "),"[",", "),"]","")&amp;"]",TRIM(INDEX($A$3:$A$168,K1830))&amp;" ["&amp;SUBSTITUTE(SUBSTITUTE(SUBSTITUTE(E1830," [",", "),"[",", "),"]","")&amp;"]")))</x:f>
      </x:c>
      <x:c r="G1830" t="str">
        <x:f>IF(F1830&lt;&gt;"",ROWS($F$3:F1830)-COUNTBLANK($F$3:F1830),"")</x:f>
      </x:c>
      <x:c r="H1830"/>
      <x:c r="I1830"/>
      <x:c r="J1830"/>
      <x:c r="K1830" t="str">
        <x:f>IF(ROW()-ROW($K$2)&lt;=SUM($J$3:$J$168),COUNTIF($H$3:$H$168,"&lt;"&amp;(ROW()-ROW($K$2))),"")</x:f>
      </x:c>
      <x:c r="L1830" t="str">
        <x:f>IF(K1830="","",ROW()-ROW($L$2)-INDEX($H$3:$H$168,K1830))</x:f>
      </x:c>
      <x:c r="M1830" t="str">
        <x:f>IF(K1830="","",IF(L1830=1,1,FIND(CHAR(1),SUBSTITUTE(INDEX($B$3:$B$168,K1830),CHAR(10),CHAR(1),L1830-1))+1))</x:f>
      </x:c>
      <x:c r="N1830" t="str">
        <x:f>IF(K1830="","",IFERROR(FIND(CHAR(1),SUBSTITUTE(INDEX($B$3:$B$168,K1830),CHAR(10),CHAR(1),L1830)),LEN(INDEX($B$3:$B$168,K1830))+1))</x:f>
      </x:c>
    </x:row>
    <x:row r="1831">
      <x:c r="A1831"/>
      <x:c r="B1831"/>
      <x:c r="C1831"/>
      <x:c r="D1831" t="str">
        <x:f>IFERROR(IF(1829&lt;=$O$1,INDEX($A$3:$A$168,MATCH(1829,$I$3:$I$168,0)),IF(1829&lt;=$O$1+$O$2,INDEX($F$3:$F$1994,MATCH(1829-$O$1,$G$3:$G$1994,0)),"")),"")</x:f>
      </x:c>
      <x:c r="E1831" t="str">
        <x:f>IF(K1831="","",IF(N1831&lt;=M1831,"",TRIM(CLEAN(MID(INDEX($B$3:$B$168,K1831),M1831,N1831-M1831)))))</x:f>
      </x:c>
      <x:c r="F1831" t="str">
        <x:f>IF(E1831="","",IF(E1831=TRIM(INDEX($A$3:$A$168,K1831)),"",IF(RIGHT(TRIM(INDEX($A$3:$A$168,K1831)),1)="]",LEFT(TRIM(INDEX($A$3:$A$168,K1831)),LEN(TRIM(INDEX($A$3:$A$168,K1831)))-1)&amp;", "&amp;SUBSTITUTE(SUBSTITUTE(SUBSTITUTE(E1831," [",", "),"[",", "),"]","")&amp;"]",TRIM(INDEX($A$3:$A$168,K1831))&amp;" ["&amp;SUBSTITUTE(SUBSTITUTE(SUBSTITUTE(E1831," [",", "),"[",", "),"]","")&amp;"]")))</x:f>
      </x:c>
      <x:c r="G1831" t="str">
        <x:f>IF(F1831&lt;&gt;"",ROWS($F$3:F1831)-COUNTBLANK($F$3:F1831),"")</x:f>
      </x:c>
      <x:c r="H1831"/>
      <x:c r="I1831"/>
      <x:c r="J1831"/>
      <x:c r="K1831" t="str">
        <x:f>IF(ROW()-ROW($K$2)&lt;=SUM($J$3:$J$168),COUNTIF($H$3:$H$168,"&lt;"&amp;(ROW()-ROW($K$2))),"")</x:f>
      </x:c>
      <x:c r="L1831" t="str">
        <x:f>IF(K1831="","",ROW()-ROW($L$2)-INDEX($H$3:$H$168,K1831))</x:f>
      </x:c>
      <x:c r="M1831" t="str">
        <x:f>IF(K1831="","",IF(L1831=1,1,FIND(CHAR(1),SUBSTITUTE(INDEX($B$3:$B$168,K1831),CHAR(10),CHAR(1),L1831-1))+1))</x:f>
      </x:c>
      <x:c r="N1831" t="str">
        <x:f>IF(K1831="","",IFERROR(FIND(CHAR(1),SUBSTITUTE(INDEX($B$3:$B$168,K1831),CHAR(10),CHAR(1),L1831)),LEN(INDEX($B$3:$B$168,K1831))+1))</x:f>
      </x:c>
    </x:row>
    <x:row r="1832">
      <x:c r="A1832"/>
      <x:c r="B1832"/>
      <x:c r="C1832"/>
      <x:c r="D1832" t="str">
        <x:f>IFERROR(IF(1830&lt;=$O$1,INDEX($A$3:$A$168,MATCH(1830,$I$3:$I$168,0)),IF(1830&lt;=$O$1+$O$2,INDEX($F$3:$F$1994,MATCH(1830-$O$1,$G$3:$G$1994,0)),"")),"")</x:f>
      </x:c>
      <x:c r="E1832" t="str">
        <x:f>IF(K1832="","",IF(N1832&lt;=M1832,"",TRIM(CLEAN(MID(INDEX($B$3:$B$168,K1832),M1832,N1832-M1832)))))</x:f>
      </x:c>
      <x:c r="F1832" t="str">
        <x:f>IF(E1832="","",IF(E1832=TRIM(INDEX($A$3:$A$168,K1832)),"",IF(RIGHT(TRIM(INDEX($A$3:$A$168,K1832)),1)="]",LEFT(TRIM(INDEX($A$3:$A$168,K1832)),LEN(TRIM(INDEX($A$3:$A$168,K1832)))-1)&amp;", "&amp;SUBSTITUTE(SUBSTITUTE(SUBSTITUTE(E1832," [",", "),"[",", "),"]","")&amp;"]",TRIM(INDEX($A$3:$A$168,K1832))&amp;" ["&amp;SUBSTITUTE(SUBSTITUTE(SUBSTITUTE(E1832," [",", "),"[",", "),"]","")&amp;"]")))</x:f>
      </x:c>
      <x:c r="G1832" t="str">
        <x:f>IF(F1832&lt;&gt;"",ROWS($F$3:F1832)-COUNTBLANK($F$3:F1832),"")</x:f>
      </x:c>
      <x:c r="H1832"/>
      <x:c r="I1832"/>
      <x:c r="J1832"/>
      <x:c r="K1832" t="str">
        <x:f>IF(ROW()-ROW($K$2)&lt;=SUM($J$3:$J$168),COUNTIF($H$3:$H$168,"&lt;"&amp;(ROW()-ROW($K$2))),"")</x:f>
      </x:c>
      <x:c r="L1832" t="str">
        <x:f>IF(K1832="","",ROW()-ROW($L$2)-INDEX($H$3:$H$168,K1832))</x:f>
      </x:c>
      <x:c r="M1832" t="str">
        <x:f>IF(K1832="","",IF(L1832=1,1,FIND(CHAR(1),SUBSTITUTE(INDEX($B$3:$B$168,K1832),CHAR(10),CHAR(1),L1832-1))+1))</x:f>
      </x:c>
      <x:c r="N1832" t="str">
        <x:f>IF(K1832="","",IFERROR(FIND(CHAR(1),SUBSTITUTE(INDEX($B$3:$B$168,K1832),CHAR(10),CHAR(1),L1832)),LEN(INDEX($B$3:$B$168,K1832))+1))</x:f>
      </x:c>
    </x:row>
    <x:row r="1833">
      <x:c r="A1833"/>
      <x:c r="B1833"/>
      <x:c r="C1833"/>
      <x:c r="D1833" t="str">
        <x:f>IFERROR(IF(1831&lt;=$O$1,INDEX($A$3:$A$168,MATCH(1831,$I$3:$I$168,0)),IF(1831&lt;=$O$1+$O$2,INDEX($F$3:$F$1994,MATCH(1831-$O$1,$G$3:$G$1994,0)),"")),"")</x:f>
      </x:c>
      <x:c r="E1833" t="str">
        <x:f>IF(K1833="","",IF(N1833&lt;=M1833,"",TRIM(CLEAN(MID(INDEX($B$3:$B$168,K1833),M1833,N1833-M1833)))))</x:f>
      </x:c>
      <x:c r="F1833" t="str">
        <x:f>IF(E1833="","",IF(E1833=TRIM(INDEX($A$3:$A$168,K1833)),"",IF(RIGHT(TRIM(INDEX($A$3:$A$168,K1833)),1)="]",LEFT(TRIM(INDEX($A$3:$A$168,K1833)),LEN(TRIM(INDEX($A$3:$A$168,K1833)))-1)&amp;", "&amp;SUBSTITUTE(SUBSTITUTE(SUBSTITUTE(E1833," [",", "),"[",", "),"]","")&amp;"]",TRIM(INDEX($A$3:$A$168,K1833))&amp;" ["&amp;SUBSTITUTE(SUBSTITUTE(SUBSTITUTE(E1833," [",", "),"[",", "),"]","")&amp;"]")))</x:f>
      </x:c>
      <x:c r="G1833" t="str">
        <x:f>IF(F1833&lt;&gt;"",ROWS($F$3:F1833)-COUNTBLANK($F$3:F1833),"")</x:f>
      </x:c>
      <x:c r="H1833"/>
      <x:c r="I1833"/>
      <x:c r="J1833"/>
      <x:c r="K1833" t="str">
        <x:f>IF(ROW()-ROW($K$2)&lt;=SUM($J$3:$J$168),COUNTIF($H$3:$H$168,"&lt;"&amp;(ROW()-ROW($K$2))),"")</x:f>
      </x:c>
      <x:c r="L1833" t="str">
        <x:f>IF(K1833="","",ROW()-ROW($L$2)-INDEX($H$3:$H$168,K1833))</x:f>
      </x:c>
      <x:c r="M1833" t="str">
        <x:f>IF(K1833="","",IF(L1833=1,1,FIND(CHAR(1),SUBSTITUTE(INDEX($B$3:$B$168,K1833),CHAR(10),CHAR(1),L1833-1))+1))</x:f>
      </x:c>
      <x:c r="N1833" t="str">
        <x:f>IF(K1833="","",IFERROR(FIND(CHAR(1),SUBSTITUTE(INDEX($B$3:$B$168,K1833),CHAR(10),CHAR(1),L1833)),LEN(INDEX($B$3:$B$168,K1833))+1))</x:f>
      </x:c>
    </x:row>
    <x:row r="1834">
      <x:c r="A1834"/>
      <x:c r="B1834"/>
      <x:c r="C1834"/>
      <x:c r="D1834" t="str">
        <x:f>IFERROR(IF(1832&lt;=$O$1,INDEX($A$3:$A$168,MATCH(1832,$I$3:$I$168,0)),IF(1832&lt;=$O$1+$O$2,INDEX($F$3:$F$1994,MATCH(1832-$O$1,$G$3:$G$1994,0)),"")),"")</x:f>
      </x:c>
      <x:c r="E1834" t="str">
        <x:f>IF(K1834="","",IF(N1834&lt;=M1834,"",TRIM(CLEAN(MID(INDEX($B$3:$B$168,K1834),M1834,N1834-M1834)))))</x:f>
      </x:c>
      <x:c r="F1834" t="str">
        <x:f>IF(E1834="","",IF(E1834=TRIM(INDEX($A$3:$A$168,K1834)),"",IF(RIGHT(TRIM(INDEX($A$3:$A$168,K1834)),1)="]",LEFT(TRIM(INDEX($A$3:$A$168,K1834)),LEN(TRIM(INDEX($A$3:$A$168,K1834)))-1)&amp;", "&amp;SUBSTITUTE(SUBSTITUTE(SUBSTITUTE(E1834," [",", "),"[",", "),"]","")&amp;"]",TRIM(INDEX($A$3:$A$168,K1834))&amp;" ["&amp;SUBSTITUTE(SUBSTITUTE(SUBSTITUTE(E1834," [",", "),"[",", "),"]","")&amp;"]")))</x:f>
      </x:c>
      <x:c r="G1834" t="str">
        <x:f>IF(F1834&lt;&gt;"",ROWS($F$3:F1834)-COUNTBLANK($F$3:F1834),"")</x:f>
      </x:c>
      <x:c r="H1834"/>
      <x:c r="I1834"/>
      <x:c r="J1834"/>
      <x:c r="K1834" t="str">
        <x:f>IF(ROW()-ROW($K$2)&lt;=SUM($J$3:$J$168),COUNTIF($H$3:$H$168,"&lt;"&amp;(ROW()-ROW($K$2))),"")</x:f>
      </x:c>
      <x:c r="L1834" t="str">
        <x:f>IF(K1834="","",ROW()-ROW($L$2)-INDEX($H$3:$H$168,K1834))</x:f>
      </x:c>
      <x:c r="M1834" t="str">
        <x:f>IF(K1834="","",IF(L1834=1,1,FIND(CHAR(1),SUBSTITUTE(INDEX($B$3:$B$168,K1834),CHAR(10),CHAR(1),L1834-1))+1))</x:f>
      </x:c>
      <x:c r="N1834" t="str">
        <x:f>IF(K1834="","",IFERROR(FIND(CHAR(1),SUBSTITUTE(INDEX($B$3:$B$168,K1834),CHAR(10),CHAR(1),L1834)),LEN(INDEX($B$3:$B$168,K1834))+1))</x:f>
      </x:c>
    </x:row>
    <x:row r="1835">
      <x:c r="A1835"/>
      <x:c r="B1835"/>
      <x:c r="C1835"/>
      <x:c r="D1835" t="str">
        <x:f>IFERROR(IF(1833&lt;=$O$1,INDEX($A$3:$A$168,MATCH(1833,$I$3:$I$168,0)),IF(1833&lt;=$O$1+$O$2,INDEX($F$3:$F$1994,MATCH(1833-$O$1,$G$3:$G$1994,0)),"")),"")</x:f>
      </x:c>
      <x:c r="E1835" t="str">
        <x:f>IF(K1835="","",IF(N1835&lt;=M1835,"",TRIM(CLEAN(MID(INDEX($B$3:$B$168,K1835),M1835,N1835-M1835)))))</x:f>
      </x:c>
      <x:c r="F1835" t="str">
        <x:f>IF(E1835="","",IF(E1835=TRIM(INDEX($A$3:$A$168,K1835)),"",IF(RIGHT(TRIM(INDEX($A$3:$A$168,K1835)),1)="]",LEFT(TRIM(INDEX($A$3:$A$168,K1835)),LEN(TRIM(INDEX($A$3:$A$168,K1835)))-1)&amp;", "&amp;SUBSTITUTE(SUBSTITUTE(SUBSTITUTE(E1835," [",", "),"[",", "),"]","")&amp;"]",TRIM(INDEX($A$3:$A$168,K1835))&amp;" ["&amp;SUBSTITUTE(SUBSTITUTE(SUBSTITUTE(E1835," [",", "),"[",", "),"]","")&amp;"]")))</x:f>
      </x:c>
      <x:c r="G1835" t="str">
        <x:f>IF(F1835&lt;&gt;"",ROWS($F$3:F1835)-COUNTBLANK($F$3:F1835),"")</x:f>
      </x:c>
      <x:c r="H1835"/>
      <x:c r="I1835"/>
      <x:c r="J1835"/>
      <x:c r="K1835" t="str">
        <x:f>IF(ROW()-ROW($K$2)&lt;=SUM($J$3:$J$168),COUNTIF($H$3:$H$168,"&lt;"&amp;(ROW()-ROW($K$2))),"")</x:f>
      </x:c>
      <x:c r="L1835" t="str">
        <x:f>IF(K1835="","",ROW()-ROW($L$2)-INDEX($H$3:$H$168,K1835))</x:f>
      </x:c>
      <x:c r="M1835" t="str">
        <x:f>IF(K1835="","",IF(L1835=1,1,FIND(CHAR(1),SUBSTITUTE(INDEX($B$3:$B$168,K1835),CHAR(10),CHAR(1),L1835-1))+1))</x:f>
      </x:c>
      <x:c r="N1835" t="str">
        <x:f>IF(K1835="","",IFERROR(FIND(CHAR(1),SUBSTITUTE(INDEX($B$3:$B$168,K1835),CHAR(10),CHAR(1),L1835)),LEN(INDEX($B$3:$B$168,K1835))+1))</x:f>
      </x:c>
    </x:row>
    <x:row r="1836">
      <x:c r="A1836"/>
      <x:c r="B1836"/>
      <x:c r="C1836"/>
      <x:c r="D1836" t="str">
        <x:f>IFERROR(IF(1834&lt;=$O$1,INDEX($A$3:$A$168,MATCH(1834,$I$3:$I$168,0)),IF(1834&lt;=$O$1+$O$2,INDEX($F$3:$F$1994,MATCH(1834-$O$1,$G$3:$G$1994,0)),"")),"")</x:f>
      </x:c>
      <x:c r="E1836" t="str">
        <x:f>IF(K1836="","",IF(N1836&lt;=M1836,"",TRIM(CLEAN(MID(INDEX($B$3:$B$168,K1836),M1836,N1836-M1836)))))</x:f>
      </x:c>
      <x:c r="F1836" t="str">
        <x:f>IF(E1836="","",IF(E1836=TRIM(INDEX($A$3:$A$168,K1836)),"",IF(RIGHT(TRIM(INDEX($A$3:$A$168,K1836)),1)="]",LEFT(TRIM(INDEX($A$3:$A$168,K1836)),LEN(TRIM(INDEX($A$3:$A$168,K1836)))-1)&amp;", "&amp;SUBSTITUTE(SUBSTITUTE(SUBSTITUTE(E1836," [",", "),"[",", "),"]","")&amp;"]",TRIM(INDEX($A$3:$A$168,K1836))&amp;" ["&amp;SUBSTITUTE(SUBSTITUTE(SUBSTITUTE(E1836," [",", "),"[",", "),"]","")&amp;"]")))</x:f>
      </x:c>
      <x:c r="G1836" t="str">
        <x:f>IF(F1836&lt;&gt;"",ROWS($F$3:F1836)-COUNTBLANK($F$3:F1836),"")</x:f>
      </x:c>
      <x:c r="H1836"/>
      <x:c r="I1836"/>
      <x:c r="J1836"/>
      <x:c r="K1836" t="str">
        <x:f>IF(ROW()-ROW($K$2)&lt;=SUM($J$3:$J$168),COUNTIF($H$3:$H$168,"&lt;"&amp;(ROW()-ROW($K$2))),"")</x:f>
      </x:c>
      <x:c r="L1836" t="str">
        <x:f>IF(K1836="","",ROW()-ROW($L$2)-INDEX($H$3:$H$168,K1836))</x:f>
      </x:c>
      <x:c r="M1836" t="str">
        <x:f>IF(K1836="","",IF(L1836=1,1,FIND(CHAR(1),SUBSTITUTE(INDEX($B$3:$B$168,K1836),CHAR(10),CHAR(1),L1836-1))+1))</x:f>
      </x:c>
      <x:c r="N1836" t="str">
        <x:f>IF(K1836="","",IFERROR(FIND(CHAR(1),SUBSTITUTE(INDEX($B$3:$B$168,K1836),CHAR(10),CHAR(1),L1836)),LEN(INDEX($B$3:$B$168,K1836))+1))</x:f>
      </x:c>
    </x:row>
    <x:row r="1837">
      <x:c r="A1837"/>
      <x:c r="B1837"/>
      <x:c r="C1837"/>
      <x:c r="D1837" t="str">
        <x:f>IFERROR(IF(1835&lt;=$O$1,INDEX($A$3:$A$168,MATCH(1835,$I$3:$I$168,0)),IF(1835&lt;=$O$1+$O$2,INDEX($F$3:$F$1994,MATCH(1835-$O$1,$G$3:$G$1994,0)),"")),"")</x:f>
      </x:c>
      <x:c r="E1837" t="str">
        <x:f>IF(K1837="","",IF(N1837&lt;=M1837,"",TRIM(CLEAN(MID(INDEX($B$3:$B$168,K1837),M1837,N1837-M1837)))))</x:f>
      </x:c>
      <x:c r="F1837" t="str">
        <x:f>IF(E1837="","",IF(E1837=TRIM(INDEX($A$3:$A$168,K1837)),"",IF(RIGHT(TRIM(INDEX($A$3:$A$168,K1837)),1)="]",LEFT(TRIM(INDEX($A$3:$A$168,K1837)),LEN(TRIM(INDEX($A$3:$A$168,K1837)))-1)&amp;", "&amp;SUBSTITUTE(SUBSTITUTE(SUBSTITUTE(E1837," [",", "),"[",", "),"]","")&amp;"]",TRIM(INDEX($A$3:$A$168,K1837))&amp;" ["&amp;SUBSTITUTE(SUBSTITUTE(SUBSTITUTE(E1837," [",", "),"[",", "),"]","")&amp;"]")))</x:f>
      </x:c>
      <x:c r="G1837" t="str">
        <x:f>IF(F1837&lt;&gt;"",ROWS($F$3:F1837)-COUNTBLANK($F$3:F1837),"")</x:f>
      </x:c>
      <x:c r="H1837"/>
      <x:c r="I1837"/>
      <x:c r="J1837"/>
      <x:c r="K1837" t="str">
        <x:f>IF(ROW()-ROW($K$2)&lt;=SUM($J$3:$J$168),COUNTIF($H$3:$H$168,"&lt;"&amp;(ROW()-ROW($K$2))),"")</x:f>
      </x:c>
      <x:c r="L1837" t="str">
        <x:f>IF(K1837="","",ROW()-ROW($L$2)-INDEX($H$3:$H$168,K1837))</x:f>
      </x:c>
      <x:c r="M1837" t="str">
        <x:f>IF(K1837="","",IF(L1837=1,1,FIND(CHAR(1),SUBSTITUTE(INDEX($B$3:$B$168,K1837),CHAR(10),CHAR(1),L1837-1))+1))</x:f>
      </x:c>
      <x:c r="N1837" t="str">
        <x:f>IF(K1837="","",IFERROR(FIND(CHAR(1),SUBSTITUTE(INDEX($B$3:$B$168,K1837),CHAR(10),CHAR(1),L1837)),LEN(INDEX($B$3:$B$168,K1837))+1))</x:f>
      </x:c>
    </x:row>
    <x:row r="1838">
      <x:c r="A1838"/>
      <x:c r="B1838"/>
      <x:c r="C1838"/>
      <x:c r="D1838" t="str">
        <x:f>IFERROR(IF(1836&lt;=$O$1,INDEX($A$3:$A$168,MATCH(1836,$I$3:$I$168,0)),IF(1836&lt;=$O$1+$O$2,INDEX($F$3:$F$1994,MATCH(1836-$O$1,$G$3:$G$1994,0)),"")),"")</x:f>
      </x:c>
      <x:c r="E1838" t="str">
        <x:f>IF(K1838="","",IF(N1838&lt;=M1838,"",TRIM(CLEAN(MID(INDEX($B$3:$B$168,K1838),M1838,N1838-M1838)))))</x:f>
      </x:c>
      <x:c r="F1838" t="str">
        <x:f>IF(E1838="","",IF(E1838=TRIM(INDEX($A$3:$A$168,K1838)),"",IF(RIGHT(TRIM(INDEX($A$3:$A$168,K1838)),1)="]",LEFT(TRIM(INDEX($A$3:$A$168,K1838)),LEN(TRIM(INDEX($A$3:$A$168,K1838)))-1)&amp;", "&amp;SUBSTITUTE(SUBSTITUTE(SUBSTITUTE(E1838," [",", "),"[",", "),"]","")&amp;"]",TRIM(INDEX($A$3:$A$168,K1838))&amp;" ["&amp;SUBSTITUTE(SUBSTITUTE(SUBSTITUTE(E1838," [",", "),"[",", "),"]","")&amp;"]")))</x:f>
      </x:c>
      <x:c r="G1838" t="str">
        <x:f>IF(F1838&lt;&gt;"",ROWS($F$3:F1838)-COUNTBLANK($F$3:F1838),"")</x:f>
      </x:c>
      <x:c r="H1838"/>
      <x:c r="I1838"/>
      <x:c r="J1838"/>
      <x:c r="K1838" t="str">
        <x:f>IF(ROW()-ROW($K$2)&lt;=SUM($J$3:$J$168),COUNTIF($H$3:$H$168,"&lt;"&amp;(ROW()-ROW($K$2))),"")</x:f>
      </x:c>
      <x:c r="L1838" t="str">
        <x:f>IF(K1838="","",ROW()-ROW($L$2)-INDEX($H$3:$H$168,K1838))</x:f>
      </x:c>
      <x:c r="M1838" t="str">
        <x:f>IF(K1838="","",IF(L1838=1,1,FIND(CHAR(1),SUBSTITUTE(INDEX($B$3:$B$168,K1838),CHAR(10),CHAR(1),L1838-1))+1))</x:f>
      </x:c>
      <x:c r="N1838" t="str">
        <x:f>IF(K1838="","",IFERROR(FIND(CHAR(1),SUBSTITUTE(INDEX($B$3:$B$168,K1838),CHAR(10),CHAR(1),L1838)),LEN(INDEX($B$3:$B$168,K1838))+1))</x:f>
      </x:c>
    </x:row>
    <x:row r="1839">
      <x:c r="A1839"/>
      <x:c r="B1839"/>
      <x:c r="C1839"/>
      <x:c r="D1839" t="str">
        <x:f>IFERROR(IF(1837&lt;=$O$1,INDEX($A$3:$A$168,MATCH(1837,$I$3:$I$168,0)),IF(1837&lt;=$O$1+$O$2,INDEX($F$3:$F$1994,MATCH(1837-$O$1,$G$3:$G$1994,0)),"")),"")</x:f>
      </x:c>
      <x:c r="E1839" t="str">
        <x:f>IF(K1839="","",IF(N1839&lt;=M1839,"",TRIM(CLEAN(MID(INDEX($B$3:$B$168,K1839),M1839,N1839-M1839)))))</x:f>
      </x:c>
      <x:c r="F1839" t="str">
        <x:f>IF(E1839="","",IF(E1839=TRIM(INDEX($A$3:$A$168,K1839)),"",IF(RIGHT(TRIM(INDEX($A$3:$A$168,K1839)),1)="]",LEFT(TRIM(INDEX($A$3:$A$168,K1839)),LEN(TRIM(INDEX($A$3:$A$168,K1839)))-1)&amp;", "&amp;SUBSTITUTE(SUBSTITUTE(SUBSTITUTE(E1839," [",", "),"[",", "),"]","")&amp;"]",TRIM(INDEX($A$3:$A$168,K1839))&amp;" ["&amp;SUBSTITUTE(SUBSTITUTE(SUBSTITUTE(E1839," [",", "),"[",", "),"]","")&amp;"]")))</x:f>
      </x:c>
      <x:c r="G1839" t="str">
        <x:f>IF(F1839&lt;&gt;"",ROWS($F$3:F1839)-COUNTBLANK($F$3:F1839),"")</x:f>
      </x:c>
      <x:c r="H1839"/>
      <x:c r="I1839"/>
      <x:c r="J1839"/>
      <x:c r="K1839" t="str">
        <x:f>IF(ROW()-ROW($K$2)&lt;=SUM($J$3:$J$168),COUNTIF($H$3:$H$168,"&lt;"&amp;(ROW()-ROW($K$2))),"")</x:f>
      </x:c>
      <x:c r="L1839" t="str">
        <x:f>IF(K1839="","",ROW()-ROW($L$2)-INDEX($H$3:$H$168,K1839))</x:f>
      </x:c>
      <x:c r="M1839" t="str">
        <x:f>IF(K1839="","",IF(L1839=1,1,FIND(CHAR(1),SUBSTITUTE(INDEX($B$3:$B$168,K1839),CHAR(10),CHAR(1),L1839-1))+1))</x:f>
      </x:c>
      <x:c r="N1839" t="str">
        <x:f>IF(K1839="","",IFERROR(FIND(CHAR(1),SUBSTITUTE(INDEX($B$3:$B$168,K1839),CHAR(10),CHAR(1),L1839)),LEN(INDEX($B$3:$B$168,K1839))+1))</x:f>
      </x:c>
    </x:row>
    <x:row r="1840">
      <x:c r="A1840"/>
      <x:c r="B1840"/>
      <x:c r="C1840"/>
      <x:c r="D1840" t="str">
        <x:f>IFERROR(IF(1838&lt;=$O$1,INDEX($A$3:$A$168,MATCH(1838,$I$3:$I$168,0)),IF(1838&lt;=$O$1+$O$2,INDEX($F$3:$F$1994,MATCH(1838-$O$1,$G$3:$G$1994,0)),"")),"")</x:f>
      </x:c>
      <x:c r="E1840" t="str">
        <x:f>IF(K1840="","",IF(N1840&lt;=M1840,"",TRIM(CLEAN(MID(INDEX($B$3:$B$168,K1840),M1840,N1840-M1840)))))</x:f>
      </x:c>
      <x:c r="F1840" t="str">
        <x:f>IF(E1840="","",IF(E1840=TRIM(INDEX($A$3:$A$168,K1840)),"",IF(RIGHT(TRIM(INDEX($A$3:$A$168,K1840)),1)="]",LEFT(TRIM(INDEX($A$3:$A$168,K1840)),LEN(TRIM(INDEX($A$3:$A$168,K1840)))-1)&amp;", "&amp;SUBSTITUTE(SUBSTITUTE(SUBSTITUTE(E1840," [",", "),"[",", "),"]","")&amp;"]",TRIM(INDEX($A$3:$A$168,K1840))&amp;" ["&amp;SUBSTITUTE(SUBSTITUTE(SUBSTITUTE(E1840," [",", "),"[",", "),"]","")&amp;"]")))</x:f>
      </x:c>
      <x:c r="G1840" t="str">
        <x:f>IF(F1840&lt;&gt;"",ROWS($F$3:F1840)-COUNTBLANK($F$3:F1840),"")</x:f>
      </x:c>
      <x:c r="H1840"/>
      <x:c r="I1840"/>
      <x:c r="J1840"/>
      <x:c r="K1840" t="str">
        <x:f>IF(ROW()-ROW($K$2)&lt;=SUM($J$3:$J$168),COUNTIF($H$3:$H$168,"&lt;"&amp;(ROW()-ROW($K$2))),"")</x:f>
      </x:c>
      <x:c r="L1840" t="str">
        <x:f>IF(K1840="","",ROW()-ROW($L$2)-INDEX($H$3:$H$168,K1840))</x:f>
      </x:c>
      <x:c r="M1840" t="str">
        <x:f>IF(K1840="","",IF(L1840=1,1,FIND(CHAR(1),SUBSTITUTE(INDEX($B$3:$B$168,K1840),CHAR(10),CHAR(1),L1840-1))+1))</x:f>
      </x:c>
      <x:c r="N1840" t="str">
        <x:f>IF(K1840="","",IFERROR(FIND(CHAR(1),SUBSTITUTE(INDEX($B$3:$B$168,K1840),CHAR(10),CHAR(1),L1840)),LEN(INDEX($B$3:$B$168,K1840))+1))</x:f>
      </x:c>
    </x:row>
    <x:row r="1841">
      <x:c r="A1841"/>
      <x:c r="B1841"/>
      <x:c r="C1841"/>
      <x:c r="D1841" t="str">
        <x:f>IFERROR(IF(1839&lt;=$O$1,INDEX($A$3:$A$168,MATCH(1839,$I$3:$I$168,0)),IF(1839&lt;=$O$1+$O$2,INDEX($F$3:$F$1994,MATCH(1839-$O$1,$G$3:$G$1994,0)),"")),"")</x:f>
      </x:c>
      <x:c r="E1841" t="str">
        <x:f>IF(K1841="","",IF(N1841&lt;=M1841,"",TRIM(CLEAN(MID(INDEX($B$3:$B$168,K1841),M1841,N1841-M1841)))))</x:f>
      </x:c>
      <x:c r="F1841" t="str">
        <x:f>IF(E1841="","",IF(E1841=TRIM(INDEX($A$3:$A$168,K1841)),"",IF(RIGHT(TRIM(INDEX($A$3:$A$168,K1841)),1)="]",LEFT(TRIM(INDEX($A$3:$A$168,K1841)),LEN(TRIM(INDEX($A$3:$A$168,K1841)))-1)&amp;", "&amp;SUBSTITUTE(SUBSTITUTE(SUBSTITUTE(E1841," [",", "),"[",", "),"]","")&amp;"]",TRIM(INDEX($A$3:$A$168,K1841))&amp;" ["&amp;SUBSTITUTE(SUBSTITUTE(SUBSTITUTE(E1841," [",", "),"[",", "),"]","")&amp;"]")))</x:f>
      </x:c>
      <x:c r="G1841" t="str">
        <x:f>IF(F1841&lt;&gt;"",ROWS($F$3:F1841)-COUNTBLANK($F$3:F1841),"")</x:f>
      </x:c>
      <x:c r="H1841"/>
      <x:c r="I1841"/>
      <x:c r="J1841"/>
      <x:c r="K1841" t="str">
        <x:f>IF(ROW()-ROW($K$2)&lt;=SUM($J$3:$J$168),COUNTIF($H$3:$H$168,"&lt;"&amp;(ROW()-ROW($K$2))),"")</x:f>
      </x:c>
      <x:c r="L1841" t="str">
        <x:f>IF(K1841="","",ROW()-ROW($L$2)-INDEX($H$3:$H$168,K1841))</x:f>
      </x:c>
      <x:c r="M1841" t="str">
        <x:f>IF(K1841="","",IF(L1841=1,1,FIND(CHAR(1),SUBSTITUTE(INDEX($B$3:$B$168,K1841),CHAR(10),CHAR(1),L1841-1))+1))</x:f>
      </x:c>
      <x:c r="N1841" t="str">
        <x:f>IF(K1841="","",IFERROR(FIND(CHAR(1),SUBSTITUTE(INDEX($B$3:$B$168,K1841),CHAR(10),CHAR(1),L1841)),LEN(INDEX($B$3:$B$168,K1841))+1))</x:f>
      </x:c>
    </x:row>
    <x:row r="1842">
      <x:c r="A1842"/>
      <x:c r="B1842"/>
      <x:c r="C1842"/>
      <x:c r="D1842" t="str">
        <x:f>IFERROR(IF(1840&lt;=$O$1,INDEX($A$3:$A$168,MATCH(1840,$I$3:$I$168,0)),IF(1840&lt;=$O$1+$O$2,INDEX($F$3:$F$1994,MATCH(1840-$O$1,$G$3:$G$1994,0)),"")),"")</x:f>
      </x:c>
      <x:c r="E1842" t="str">
        <x:f>IF(K1842="","",IF(N1842&lt;=M1842,"",TRIM(CLEAN(MID(INDEX($B$3:$B$168,K1842),M1842,N1842-M1842)))))</x:f>
      </x:c>
      <x:c r="F1842" t="str">
        <x:f>IF(E1842="","",IF(E1842=TRIM(INDEX($A$3:$A$168,K1842)),"",IF(RIGHT(TRIM(INDEX($A$3:$A$168,K1842)),1)="]",LEFT(TRIM(INDEX($A$3:$A$168,K1842)),LEN(TRIM(INDEX($A$3:$A$168,K1842)))-1)&amp;", "&amp;SUBSTITUTE(SUBSTITUTE(SUBSTITUTE(E1842," [",", "),"[",", "),"]","")&amp;"]",TRIM(INDEX($A$3:$A$168,K1842))&amp;" ["&amp;SUBSTITUTE(SUBSTITUTE(SUBSTITUTE(E1842," [",", "),"[",", "),"]","")&amp;"]")))</x:f>
      </x:c>
      <x:c r="G1842" t="str">
        <x:f>IF(F1842&lt;&gt;"",ROWS($F$3:F1842)-COUNTBLANK($F$3:F1842),"")</x:f>
      </x:c>
      <x:c r="H1842"/>
      <x:c r="I1842"/>
      <x:c r="J1842"/>
      <x:c r="K1842" t="str">
        <x:f>IF(ROW()-ROW($K$2)&lt;=SUM($J$3:$J$168),COUNTIF($H$3:$H$168,"&lt;"&amp;(ROW()-ROW($K$2))),"")</x:f>
      </x:c>
      <x:c r="L1842" t="str">
        <x:f>IF(K1842="","",ROW()-ROW($L$2)-INDEX($H$3:$H$168,K1842))</x:f>
      </x:c>
      <x:c r="M1842" t="str">
        <x:f>IF(K1842="","",IF(L1842=1,1,FIND(CHAR(1),SUBSTITUTE(INDEX($B$3:$B$168,K1842),CHAR(10),CHAR(1),L1842-1))+1))</x:f>
      </x:c>
      <x:c r="N1842" t="str">
        <x:f>IF(K1842="","",IFERROR(FIND(CHAR(1),SUBSTITUTE(INDEX($B$3:$B$168,K1842),CHAR(10),CHAR(1),L1842)),LEN(INDEX($B$3:$B$168,K1842))+1))</x:f>
      </x:c>
    </x:row>
    <x:row r="1843">
      <x:c r="A1843"/>
      <x:c r="B1843"/>
      <x:c r="C1843"/>
      <x:c r="D1843" t="str">
        <x:f>IFERROR(IF(1841&lt;=$O$1,INDEX($A$3:$A$168,MATCH(1841,$I$3:$I$168,0)),IF(1841&lt;=$O$1+$O$2,INDEX($F$3:$F$1994,MATCH(1841-$O$1,$G$3:$G$1994,0)),"")),"")</x:f>
      </x:c>
      <x:c r="E1843" t="str">
        <x:f>IF(K1843="","",IF(N1843&lt;=M1843,"",TRIM(CLEAN(MID(INDEX($B$3:$B$168,K1843),M1843,N1843-M1843)))))</x:f>
      </x:c>
      <x:c r="F1843" t="str">
        <x:f>IF(E1843="","",IF(E1843=TRIM(INDEX($A$3:$A$168,K1843)),"",IF(RIGHT(TRIM(INDEX($A$3:$A$168,K1843)),1)="]",LEFT(TRIM(INDEX($A$3:$A$168,K1843)),LEN(TRIM(INDEX($A$3:$A$168,K1843)))-1)&amp;", "&amp;SUBSTITUTE(SUBSTITUTE(SUBSTITUTE(E1843," [",", "),"[",", "),"]","")&amp;"]",TRIM(INDEX($A$3:$A$168,K1843))&amp;" ["&amp;SUBSTITUTE(SUBSTITUTE(SUBSTITUTE(E1843," [",", "),"[",", "),"]","")&amp;"]")))</x:f>
      </x:c>
      <x:c r="G1843" t="str">
        <x:f>IF(F1843&lt;&gt;"",ROWS($F$3:F1843)-COUNTBLANK($F$3:F1843),"")</x:f>
      </x:c>
      <x:c r="H1843"/>
      <x:c r="I1843"/>
      <x:c r="J1843"/>
      <x:c r="K1843" t="str">
        <x:f>IF(ROW()-ROW($K$2)&lt;=SUM($J$3:$J$168),COUNTIF($H$3:$H$168,"&lt;"&amp;(ROW()-ROW($K$2))),"")</x:f>
      </x:c>
      <x:c r="L1843" t="str">
        <x:f>IF(K1843="","",ROW()-ROW($L$2)-INDEX($H$3:$H$168,K1843))</x:f>
      </x:c>
      <x:c r="M1843" t="str">
        <x:f>IF(K1843="","",IF(L1843=1,1,FIND(CHAR(1),SUBSTITUTE(INDEX($B$3:$B$168,K1843),CHAR(10),CHAR(1),L1843-1))+1))</x:f>
      </x:c>
      <x:c r="N1843" t="str">
        <x:f>IF(K1843="","",IFERROR(FIND(CHAR(1),SUBSTITUTE(INDEX($B$3:$B$168,K1843),CHAR(10),CHAR(1),L1843)),LEN(INDEX($B$3:$B$168,K1843))+1))</x:f>
      </x:c>
    </x:row>
    <x:row r="1844">
      <x:c r="A1844"/>
      <x:c r="B1844"/>
      <x:c r="C1844"/>
      <x:c r="D1844" t="str">
        <x:f>IFERROR(IF(1842&lt;=$O$1,INDEX($A$3:$A$168,MATCH(1842,$I$3:$I$168,0)),IF(1842&lt;=$O$1+$O$2,INDEX($F$3:$F$1994,MATCH(1842-$O$1,$G$3:$G$1994,0)),"")),"")</x:f>
      </x:c>
      <x:c r="E1844" t="str">
        <x:f>IF(K1844="","",IF(N1844&lt;=M1844,"",TRIM(CLEAN(MID(INDEX($B$3:$B$168,K1844),M1844,N1844-M1844)))))</x:f>
      </x:c>
      <x:c r="F1844" t="str">
        <x:f>IF(E1844="","",IF(E1844=TRIM(INDEX($A$3:$A$168,K1844)),"",IF(RIGHT(TRIM(INDEX($A$3:$A$168,K1844)),1)="]",LEFT(TRIM(INDEX($A$3:$A$168,K1844)),LEN(TRIM(INDEX($A$3:$A$168,K1844)))-1)&amp;", "&amp;SUBSTITUTE(SUBSTITUTE(SUBSTITUTE(E1844," [",", "),"[",", "),"]","")&amp;"]",TRIM(INDEX($A$3:$A$168,K1844))&amp;" ["&amp;SUBSTITUTE(SUBSTITUTE(SUBSTITUTE(E1844," [",", "),"[",", "),"]","")&amp;"]")))</x:f>
      </x:c>
      <x:c r="G1844" t="str">
        <x:f>IF(F1844&lt;&gt;"",ROWS($F$3:F1844)-COUNTBLANK($F$3:F1844),"")</x:f>
      </x:c>
      <x:c r="H1844"/>
      <x:c r="I1844"/>
      <x:c r="J1844"/>
      <x:c r="K1844" t="str">
        <x:f>IF(ROW()-ROW($K$2)&lt;=SUM($J$3:$J$168),COUNTIF($H$3:$H$168,"&lt;"&amp;(ROW()-ROW($K$2))),"")</x:f>
      </x:c>
      <x:c r="L1844" t="str">
        <x:f>IF(K1844="","",ROW()-ROW($L$2)-INDEX($H$3:$H$168,K1844))</x:f>
      </x:c>
      <x:c r="M1844" t="str">
        <x:f>IF(K1844="","",IF(L1844=1,1,FIND(CHAR(1),SUBSTITUTE(INDEX($B$3:$B$168,K1844),CHAR(10),CHAR(1),L1844-1))+1))</x:f>
      </x:c>
      <x:c r="N1844" t="str">
        <x:f>IF(K1844="","",IFERROR(FIND(CHAR(1),SUBSTITUTE(INDEX($B$3:$B$168,K1844),CHAR(10),CHAR(1),L1844)),LEN(INDEX($B$3:$B$168,K1844))+1))</x:f>
      </x:c>
    </x:row>
    <x:row r="1845">
      <x:c r="A1845"/>
      <x:c r="B1845"/>
      <x:c r="C1845"/>
      <x:c r="D1845" t="str">
        <x:f>IFERROR(IF(1843&lt;=$O$1,INDEX($A$3:$A$168,MATCH(1843,$I$3:$I$168,0)),IF(1843&lt;=$O$1+$O$2,INDEX($F$3:$F$1994,MATCH(1843-$O$1,$G$3:$G$1994,0)),"")),"")</x:f>
      </x:c>
      <x:c r="E1845" t="str">
        <x:f>IF(K1845="","",IF(N1845&lt;=M1845,"",TRIM(CLEAN(MID(INDEX($B$3:$B$168,K1845),M1845,N1845-M1845)))))</x:f>
      </x:c>
      <x:c r="F1845" t="str">
        <x:f>IF(E1845="","",IF(E1845=TRIM(INDEX($A$3:$A$168,K1845)),"",IF(RIGHT(TRIM(INDEX($A$3:$A$168,K1845)),1)="]",LEFT(TRIM(INDEX($A$3:$A$168,K1845)),LEN(TRIM(INDEX($A$3:$A$168,K1845)))-1)&amp;", "&amp;SUBSTITUTE(SUBSTITUTE(SUBSTITUTE(E1845," [",", "),"[",", "),"]","")&amp;"]",TRIM(INDEX($A$3:$A$168,K1845))&amp;" ["&amp;SUBSTITUTE(SUBSTITUTE(SUBSTITUTE(E1845," [",", "),"[",", "),"]","")&amp;"]")))</x:f>
      </x:c>
      <x:c r="G1845" t="str">
        <x:f>IF(F1845&lt;&gt;"",ROWS($F$3:F1845)-COUNTBLANK($F$3:F1845),"")</x:f>
      </x:c>
      <x:c r="H1845"/>
      <x:c r="I1845"/>
      <x:c r="J1845"/>
      <x:c r="K1845" t="str">
        <x:f>IF(ROW()-ROW($K$2)&lt;=SUM($J$3:$J$168),COUNTIF($H$3:$H$168,"&lt;"&amp;(ROW()-ROW($K$2))),"")</x:f>
      </x:c>
      <x:c r="L1845" t="str">
        <x:f>IF(K1845="","",ROW()-ROW($L$2)-INDEX($H$3:$H$168,K1845))</x:f>
      </x:c>
      <x:c r="M1845" t="str">
        <x:f>IF(K1845="","",IF(L1845=1,1,FIND(CHAR(1),SUBSTITUTE(INDEX($B$3:$B$168,K1845),CHAR(10),CHAR(1),L1845-1))+1))</x:f>
      </x:c>
      <x:c r="N1845" t="str">
        <x:f>IF(K1845="","",IFERROR(FIND(CHAR(1),SUBSTITUTE(INDEX($B$3:$B$168,K1845),CHAR(10),CHAR(1),L1845)),LEN(INDEX($B$3:$B$168,K1845))+1))</x:f>
      </x:c>
    </x:row>
    <x:row r="1846">
      <x:c r="A1846"/>
      <x:c r="B1846"/>
      <x:c r="C1846"/>
      <x:c r="D1846" t="str">
        <x:f>IFERROR(IF(1844&lt;=$O$1,INDEX($A$3:$A$168,MATCH(1844,$I$3:$I$168,0)),IF(1844&lt;=$O$1+$O$2,INDEX($F$3:$F$1994,MATCH(1844-$O$1,$G$3:$G$1994,0)),"")),"")</x:f>
      </x:c>
      <x:c r="E1846" t="str">
        <x:f>IF(K1846="","",IF(N1846&lt;=M1846,"",TRIM(CLEAN(MID(INDEX($B$3:$B$168,K1846),M1846,N1846-M1846)))))</x:f>
      </x:c>
      <x:c r="F1846" t="str">
        <x:f>IF(E1846="","",IF(E1846=TRIM(INDEX($A$3:$A$168,K1846)),"",IF(RIGHT(TRIM(INDEX($A$3:$A$168,K1846)),1)="]",LEFT(TRIM(INDEX($A$3:$A$168,K1846)),LEN(TRIM(INDEX($A$3:$A$168,K1846)))-1)&amp;", "&amp;SUBSTITUTE(SUBSTITUTE(SUBSTITUTE(E1846," [",", "),"[",", "),"]","")&amp;"]",TRIM(INDEX($A$3:$A$168,K1846))&amp;" ["&amp;SUBSTITUTE(SUBSTITUTE(SUBSTITUTE(E1846," [",", "),"[",", "),"]","")&amp;"]")))</x:f>
      </x:c>
      <x:c r="G1846" t="str">
        <x:f>IF(F1846&lt;&gt;"",ROWS($F$3:F1846)-COUNTBLANK($F$3:F1846),"")</x:f>
      </x:c>
      <x:c r="H1846"/>
      <x:c r="I1846"/>
      <x:c r="J1846"/>
      <x:c r="K1846" t="str">
        <x:f>IF(ROW()-ROW($K$2)&lt;=SUM($J$3:$J$168),COUNTIF($H$3:$H$168,"&lt;"&amp;(ROW()-ROW($K$2))),"")</x:f>
      </x:c>
      <x:c r="L1846" t="str">
        <x:f>IF(K1846="","",ROW()-ROW($L$2)-INDEX($H$3:$H$168,K1846))</x:f>
      </x:c>
      <x:c r="M1846" t="str">
        <x:f>IF(K1846="","",IF(L1846=1,1,FIND(CHAR(1),SUBSTITUTE(INDEX($B$3:$B$168,K1846),CHAR(10),CHAR(1),L1846-1))+1))</x:f>
      </x:c>
      <x:c r="N1846" t="str">
        <x:f>IF(K1846="","",IFERROR(FIND(CHAR(1),SUBSTITUTE(INDEX($B$3:$B$168,K1846),CHAR(10),CHAR(1),L1846)),LEN(INDEX($B$3:$B$168,K1846))+1))</x:f>
      </x:c>
    </x:row>
    <x:row r="1847">
      <x:c r="A1847"/>
      <x:c r="B1847"/>
      <x:c r="C1847"/>
      <x:c r="D1847" t="str">
        <x:f>IFERROR(IF(1845&lt;=$O$1,INDEX($A$3:$A$168,MATCH(1845,$I$3:$I$168,0)),IF(1845&lt;=$O$1+$O$2,INDEX($F$3:$F$1994,MATCH(1845-$O$1,$G$3:$G$1994,0)),"")),"")</x:f>
      </x:c>
      <x:c r="E1847" t="str">
        <x:f>IF(K1847="","",IF(N1847&lt;=M1847,"",TRIM(CLEAN(MID(INDEX($B$3:$B$168,K1847),M1847,N1847-M1847)))))</x:f>
      </x:c>
      <x:c r="F1847" t="str">
        <x:f>IF(E1847="","",IF(E1847=TRIM(INDEX($A$3:$A$168,K1847)),"",IF(RIGHT(TRIM(INDEX($A$3:$A$168,K1847)),1)="]",LEFT(TRIM(INDEX($A$3:$A$168,K1847)),LEN(TRIM(INDEX($A$3:$A$168,K1847)))-1)&amp;", "&amp;SUBSTITUTE(SUBSTITUTE(SUBSTITUTE(E1847," [",", "),"[",", "),"]","")&amp;"]",TRIM(INDEX($A$3:$A$168,K1847))&amp;" ["&amp;SUBSTITUTE(SUBSTITUTE(SUBSTITUTE(E1847," [",", "),"[",", "),"]","")&amp;"]")))</x:f>
      </x:c>
      <x:c r="G1847" t="str">
        <x:f>IF(F1847&lt;&gt;"",ROWS($F$3:F1847)-COUNTBLANK($F$3:F1847),"")</x:f>
      </x:c>
      <x:c r="H1847"/>
      <x:c r="I1847"/>
      <x:c r="J1847"/>
      <x:c r="K1847" t="str">
        <x:f>IF(ROW()-ROW($K$2)&lt;=SUM($J$3:$J$168),COUNTIF($H$3:$H$168,"&lt;"&amp;(ROW()-ROW($K$2))),"")</x:f>
      </x:c>
      <x:c r="L1847" t="str">
        <x:f>IF(K1847="","",ROW()-ROW($L$2)-INDEX($H$3:$H$168,K1847))</x:f>
      </x:c>
      <x:c r="M1847" t="str">
        <x:f>IF(K1847="","",IF(L1847=1,1,FIND(CHAR(1),SUBSTITUTE(INDEX($B$3:$B$168,K1847),CHAR(10),CHAR(1),L1847-1))+1))</x:f>
      </x:c>
      <x:c r="N1847" t="str">
        <x:f>IF(K1847="","",IFERROR(FIND(CHAR(1),SUBSTITUTE(INDEX($B$3:$B$168,K1847),CHAR(10),CHAR(1),L1847)),LEN(INDEX($B$3:$B$168,K1847))+1))</x:f>
      </x:c>
    </x:row>
    <x:row r="1848">
      <x:c r="A1848"/>
      <x:c r="B1848"/>
      <x:c r="C1848"/>
      <x:c r="D1848" t="str">
        <x:f>IFERROR(IF(1846&lt;=$O$1,INDEX($A$3:$A$168,MATCH(1846,$I$3:$I$168,0)),IF(1846&lt;=$O$1+$O$2,INDEX($F$3:$F$1994,MATCH(1846-$O$1,$G$3:$G$1994,0)),"")),"")</x:f>
      </x:c>
      <x:c r="E1848" t="str">
        <x:f>IF(K1848="","",IF(N1848&lt;=M1848,"",TRIM(CLEAN(MID(INDEX($B$3:$B$168,K1848),M1848,N1848-M1848)))))</x:f>
      </x:c>
      <x:c r="F1848" t="str">
        <x:f>IF(E1848="","",IF(E1848=TRIM(INDEX($A$3:$A$168,K1848)),"",IF(RIGHT(TRIM(INDEX($A$3:$A$168,K1848)),1)="]",LEFT(TRIM(INDEX($A$3:$A$168,K1848)),LEN(TRIM(INDEX($A$3:$A$168,K1848)))-1)&amp;", "&amp;SUBSTITUTE(SUBSTITUTE(SUBSTITUTE(E1848," [",", "),"[",", "),"]","")&amp;"]",TRIM(INDEX($A$3:$A$168,K1848))&amp;" ["&amp;SUBSTITUTE(SUBSTITUTE(SUBSTITUTE(E1848," [",", "),"[",", "),"]","")&amp;"]")))</x:f>
      </x:c>
      <x:c r="G1848" t="str">
        <x:f>IF(F1848&lt;&gt;"",ROWS($F$3:F1848)-COUNTBLANK($F$3:F1848),"")</x:f>
      </x:c>
      <x:c r="H1848"/>
      <x:c r="I1848"/>
      <x:c r="J1848"/>
      <x:c r="K1848" t="str">
        <x:f>IF(ROW()-ROW($K$2)&lt;=SUM($J$3:$J$168),COUNTIF($H$3:$H$168,"&lt;"&amp;(ROW()-ROW($K$2))),"")</x:f>
      </x:c>
      <x:c r="L1848" t="str">
        <x:f>IF(K1848="","",ROW()-ROW($L$2)-INDEX($H$3:$H$168,K1848))</x:f>
      </x:c>
      <x:c r="M1848" t="str">
        <x:f>IF(K1848="","",IF(L1848=1,1,FIND(CHAR(1),SUBSTITUTE(INDEX($B$3:$B$168,K1848),CHAR(10),CHAR(1),L1848-1))+1))</x:f>
      </x:c>
      <x:c r="N1848" t="str">
        <x:f>IF(K1848="","",IFERROR(FIND(CHAR(1),SUBSTITUTE(INDEX($B$3:$B$168,K1848),CHAR(10),CHAR(1),L1848)),LEN(INDEX($B$3:$B$168,K1848))+1))</x:f>
      </x:c>
    </x:row>
    <x:row r="1849">
      <x:c r="A1849"/>
      <x:c r="B1849"/>
      <x:c r="C1849"/>
      <x:c r="D1849" t="str">
        <x:f>IFERROR(IF(1847&lt;=$O$1,INDEX($A$3:$A$168,MATCH(1847,$I$3:$I$168,0)),IF(1847&lt;=$O$1+$O$2,INDEX($F$3:$F$1994,MATCH(1847-$O$1,$G$3:$G$1994,0)),"")),"")</x:f>
      </x:c>
      <x:c r="E1849" t="str">
        <x:f>IF(K1849="","",IF(N1849&lt;=M1849,"",TRIM(CLEAN(MID(INDEX($B$3:$B$168,K1849),M1849,N1849-M1849)))))</x:f>
      </x:c>
      <x:c r="F1849" t="str">
        <x:f>IF(E1849="","",IF(E1849=TRIM(INDEX($A$3:$A$168,K1849)),"",IF(RIGHT(TRIM(INDEX($A$3:$A$168,K1849)),1)="]",LEFT(TRIM(INDEX($A$3:$A$168,K1849)),LEN(TRIM(INDEX($A$3:$A$168,K1849)))-1)&amp;", "&amp;SUBSTITUTE(SUBSTITUTE(SUBSTITUTE(E1849," [",", "),"[",", "),"]","")&amp;"]",TRIM(INDEX($A$3:$A$168,K1849))&amp;" ["&amp;SUBSTITUTE(SUBSTITUTE(SUBSTITUTE(E1849," [",", "),"[",", "),"]","")&amp;"]")))</x:f>
      </x:c>
      <x:c r="G1849" t="str">
        <x:f>IF(F1849&lt;&gt;"",ROWS($F$3:F1849)-COUNTBLANK($F$3:F1849),"")</x:f>
      </x:c>
      <x:c r="H1849"/>
      <x:c r="I1849"/>
      <x:c r="J1849"/>
      <x:c r="K1849" t="str">
        <x:f>IF(ROW()-ROW($K$2)&lt;=SUM($J$3:$J$168),COUNTIF($H$3:$H$168,"&lt;"&amp;(ROW()-ROW($K$2))),"")</x:f>
      </x:c>
      <x:c r="L1849" t="str">
        <x:f>IF(K1849="","",ROW()-ROW($L$2)-INDEX($H$3:$H$168,K1849))</x:f>
      </x:c>
      <x:c r="M1849" t="str">
        <x:f>IF(K1849="","",IF(L1849=1,1,FIND(CHAR(1),SUBSTITUTE(INDEX($B$3:$B$168,K1849),CHAR(10),CHAR(1),L1849-1))+1))</x:f>
      </x:c>
      <x:c r="N1849" t="str">
        <x:f>IF(K1849="","",IFERROR(FIND(CHAR(1),SUBSTITUTE(INDEX($B$3:$B$168,K1849),CHAR(10),CHAR(1),L1849)),LEN(INDEX($B$3:$B$168,K1849))+1))</x:f>
      </x:c>
    </x:row>
    <x:row r="1850">
      <x:c r="A1850"/>
      <x:c r="B1850"/>
      <x:c r="C1850"/>
      <x:c r="D1850" t="str">
        <x:f>IFERROR(IF(1848&lt;=$O$1,INDEX($A$3:$A$168,MATCH(1848,$I$3:$I$168,0)),IF(1848&lt;=$O$1+$O$2,INDEX($F$3:$F$1994,MATCH(1848-$O$1,$G$3:$G$1994,0)),"")),"")</x:f>
      </x:c>
      <x:c r="E1850" t="str">
        <x:f>IF(K1850="","",IF(N1850&lt;=M1850,"",TRIM(CLEAN(MID(INDEX($B$3:$B$168,K1850),M1850,N1850-M1850)))))</x:f>
      </x:c>
      <x:c r="F1850" t="str">
        <x:f>IF(E1850="","",IF(E1850=TRIM(INDEX($A$3:$A$168,K1850)),"",IF(RIGHT(TRIM(INDEX($A$3:$A$168,K1850)),1)="]",LEFT(TRIM(INDEX($A$3:$A$168,K1850)),LEN(TRIM(INDEX($A$3:$A$168,K1850)))-1)&amp;", "&amp;SUBSTITUTE(SUBSTITUTE(SUBSTITUTE(E1850," [",", "),"[",", "),"]","")&amp;"]",TRIM(INDEX($A$3:$A$168,K1850))&amp;" ["&amp;SUBSTITUTE(SUBSTITUTE(SUBSTITUTE(E1850," [",", "),"[",", "),"]","")&amp;"]")))</x:f>
      </x:c>
      <x:c r="G1850" t="str">
        <x:f>IF(F1850&lt;&gt;"",ROWS($F$3:F1850)-COUNTBLANK($F$3:F1850),"")</x:f>
      </x:c>
      <x:c r="H1850"/>
      <x:c r="I1850"/>
      <x:c r="J1850"/>
      <x:c r="K1850" t="str">
        <x:f>IF(ROW()-ROW($K$2)&lt;=SUM($J$3:$J$168),COUNTIF($H$3:$H$168,"&lt;"&amp;(ROW()-ROW($K$2))),"")</x:f>
      </x:c>
      <x:c r="L1850" t="str">
        <x:f>IF(K1850="","",ROW()-ROW($L$2)-INDEX($H$3:$H$168,K1850))</x:f>
      </x:c>
      <x:c r="M1850" t="str">
        <x:f>IF(K1850="","",IF(L1850=1,1,FIND(CHAR(1),SUBSTITUTE(INDEX($B$3:$B$168,K1850),CHAR(10),CHAR(1),L1850-1))+1))</x:f>
      </x:c>
      <x:c r="N1850" t="str">
        <x:f>IF(K1850="","",IFERROR(FIND(CHAR(1),SUBSTITUTE(INDEX($B$3:$B$168,K1850),CHAR(10),CHAR(1),L1850)),LEN(INDEX($B$3:$B$168,K1850))+1))</x:f>
      </x:c>
    </x:row>
    <x:row r="1851">
      <x:c r="A1851"/>
      <x:c r="B1851"/>
      <x:c r="C1851"/>
      <x:c r="D1851" t="str">
        <x:f>IFERROR(IF(1849&lt;=$O$1,INDEX($A$3:$A$168,MATCH(1849,$I$3:$I$168,0)),IF(1849&lt;=$O$1+$O$2,INDEX($F$3:$F$1994,MATCH(1849-$O$1,$G$3:$G$1994,0)),"")),"")</x:f>
      </x:c>
      <x:c r="E1851" t="str">
        <x:f>IF(K1851="","",IF(N1851&lt;=M1851,"",TRIM(CLEAN(MID(INDEX($B$3:$B$168,K1851),M1851,N1851-M1851)))))</x:f>
      </x:c>
      <x:c r="F1851" t="str">
        <x:f>IF(E1851="","",IF(E1851=TRIM(INDEX($A$3:$A$168,K1851)),"",IF(RIGHT(TRIM(INDEX($A$3:$A$168,K1851)),1)="]",LEFT(TRIM(INDEX($A$3:$A$168,K1851)),LEN(TRIM(INDEX($A$3:$A$168,K1851)))-1)&amp;", "&amp;SUBSTITUTE(SUBSTITUTE(SUBSTITUTE(E1851," [",", "),"[",", "),"]","")&amp;"]",TRIM(INDEX($A$3:$A$168,K1851))&amp;" ["&amp;SUBSTITUTE(SUBSTITUTE(SUBSTITUTE(E1851," [",", "),"[",", "),"]","")&amp;"]")))</x:f>
      </x:c>
      <x:c r="G1851" t="str">
        <x:f>IF(F1851&lt;&gt;"",ROWS($F$3:F1851)-COUNTBLANK($F$3:F1851),"")</x:f>
      </x:c>
      <x:c r="H1851"/>
      <x:c r="I1851"/>
      <x:c r="J1851"/>
      <x:c r="K1851" t="str">
        <x:f>IF(ROW()-ROW($K$2)&lt;=SUM($J$3:$J$168),COUNTIF($H$3:$H$168,"&lt;"&amp;(ROW()-ROW($K$2))),"")</x:f>
      </x:c>
      <x:c r="L1851" t="str">
        <x:f>IF(K1851="","",ROW()-ROW($L$2)-INDEX($H$3:$H$168,K1851))</x:f>
      </x:c>
      <x:c r="M1851" t="str">
        <x:f>IF(K1851="","",IF(L1851=1,1,FIND(CHAR(1),SUBSTITUTE(INDEX($B$3:$B$168,K1851),CHAR(10),CHAR(1),L1851-1))+1))</x:f>
      </x:c>
      <x:c r="N1851" t="str">
        <x:f>IF(K1851="","",IFERROR(FIND(CHAR(1),SUBSTITUTE(INDEX($B$3:$B$168,K1851),CHAR(10),CHAR(1),L1851)),LEN(INDEX($B$3:$B$168,K1851))+1))</x:f>
      </x:c>
    </x:row>
    <x:row r="1852">
      <x:c r="A1852"/>
      <x:c r="B1852"/>
      <x:c r="C1852"/>
      <x:c r="D1852" t="str">
        <x:f>IFERROR(IF(1850&lt;=$O$1,INDEX($A$3:$A$168,MATCH(1850,$I$3:$I$168,0)),IF(1850&lt;=$O$1+$O$2,INDEX($F$3:$F$1994,MATCH(1850-$O$1,$G$3:$G$1994,0)),"")),"")</x:f>
      </x:c>
      <x:c r="E1852" t="str">
        <x:f>IF(K1852="","",IF(N1852&lt;=M1852,"",TRIM(CLEAN(MID(INDEX($B$3:$B$168,K1852),M1852,N1852-M1852)))))</x:f>
      </x:c>
      <x:c r="F1852" t="str">
        <x:f>IF(E1852="","",IF(E1852=TRIM(INDEX($A$3:$A$168,K1852)),"",IF(RIGHT(TRIM(INDEX($A$3:$A$168,K1852)),1)="]",LEFT(TRIM(INDEX($A$3:$A$168,K1852)),LEN(TRIM(INDEX($A$3:$A$168,K1852)))-1)&amp;", "&amp;SUBSTITUTE(SUBSTITUTE(SUBSTITUTE(E1852," [",", "),"[",", "),"]","")&amp;"]",TRIM(INDEX($A$3:$A$168,K1852))&amp;" ["&amp;SUBSTITUTE(SUBSTITUTE(SUBSTITUTE(E1852," [",", "),"[",", "),"]","")&amp;"]")))</x:f>
      </x:c>
      <x:c r="G1852" t="str">
        <x:f>IF(F1852&lt;&gt;"",ROWS($F$3:F1852)-COUNTBLANK($F$3:F1852),"")</x:f>
      </x:c>
      <x:c r="H1852"/>
      <x:c r="I1852"/>
      <x:c r="J1852"/>
      <x:c r="K1852" t="str">
        <x:f>IF(ROW()-ROW($K$2)&lt;=SUM($J$3:$J$168),COUNTIF($H$3:$H$168,"&lt;"&amp;(ROW()-ROW($K$2))),"")</x:f>
      </x:c>
      <x:c r="L1852" t="str">
        <x:f>IF(K1852="","",ROW()-ROW($L$2)-INDEX($H$3:$H$168,K1852))</x:f>
      </x:c>
      <x:c r="M1852" t="str">
        <x:f>IF(K1852="","",IF(L1852=1,1,FIND(CHAR(1),SUBSTITUTE(INDEX($B$3:$B$168,K1852),CHAR(10),CHAR(1),L1852-1))+1))</x:f>
      </x:c>
      <x:c r="N1852" t="str">
        <x:f>IF(K1852="","",IFERROR(FIND(CHAR(1),SUBSTITUTE(INDEX($B$3:$B$168,K1852),CHAR(10),CHAR(1),L1852)),LEN(INDEX($B$3:$B$168,K1852))+1))</x:f>
      </x:c>
    </x:row>
    <x:row r="1853">
      <x:c r="A1853"/>
      <x:c r="B1853"/>
      <x:c r="C1853"/>
      <x:c r="D1853" t="str">
        <x:f>IFERROR(IF(1851&lt;=$O$1,INDEX($A$3:$A$168,MATCH(1851,$I$3:$I$168,0)),IF(1851&lt;=$O$1+$O$2,INDEX($F$3:$F$1994,MATCH(1851-$O$1,$G$3:$G$1994,0)),"")),"")</x:f>
      </x:c>
      <x:c r="E1853" t="str">
        <x:f>IF(K1853="","",IF(N1853&lt;=M1853,"",TRIM(CLEAN(MID(INDEX($B$3:$B$168,K1853),M1853,N1853-M1853)))))</x:f>
      </x:c>
      <x:c r="F1853" t="str">
        <x:f>IF(E1853="","",IF(E1853=TRIM(INDEX($A$3:$A$168,K1853)),"",IF(RIGHT(TRIM(INDEX($A$3:$A$168,K1853)),1)="]",LEFT(TRIM(INDEX($A$3:$A$168,K1853)),LEN(TRIM(INDEX($A$3:$A$168,K1853)))-1)&amp;", "&amp;SUBSTITUTE(SUBSTITUTE(SUBSTITUTE(E1853," [",", "),"[",", "),"]","")&amp;"]",TRIM(INDEX($A$3:$A$168,K1853))&amp;" ["&amp;SUBSTITUTE(SUBSTITUTE(SUBSTITUTE(E1853," [",", "),"[",", "),"]","")&amp;"]")))</x:f>
      </x:c>
      <x:c r="G1853" t="str">
        <x:f>IF(F1853&lt;&gt;"",ROWS($F$3:F1853)-COUNTBLANK($F$3:F1853),"")</x:f>
      </x:c>
      <x:c r="H1853"/>
      <x:c r="I1853"/>
      <x:c r="J1853"/>
      <x:c r="K1853" t="str">
        <x:f>IF(ROW()-ROW($K$2)&lt;=SUM($J$3:$J$168),COUNTIF($H$3:$H$168,"&lt;"&amp;(ROW()-ROW($K$2))),"")</x:f>
      </x:c>
      <x:c r="L1853" t="str">
        <x:f>IF(K1853="","",ROW()-ROW($L$2)-INDEX($H$3:$H$168,K1853))</x:f>
      </x:c>
      <x:c r="M1853" t="str">
        <x:f>IF(K1853="","",IF(L1853=1,1,FIND(CHAR(1),SUBSTITUTE(INDEX($B$3:$B$168,K1853),CHAR(10),CHAR(1),L1853-1))+1))</x:f>
      </x:c>
      <x:c r="N1853" t="str">
        <x:f>IF(K1853="","",IFERROR(FIND(CHAR(1),SUBSTITUTE(INDEX($B$3:$B$168,K1853),CHAR(10),CHAR(1),L1853)),LEN(INDEX($B$3:$B$168,K1853))+1))</x:f>
      </x:c>
    </x:row>
    <x:row r="1854">
      <x:c r="A1854"/>
      <x:c r="B1854"/>
      <x:c r="C1854"/>
      <x:c r="D1854" t="str">
        <x:f>IFERROR(IF(1852&lt;=$O$1,INDEX($A$3:$A$168,MATCH(1852,$I$3:$I$168,0)),IF(1852&lt;=$O$1+$O$2,INDEX($F$3:$F$1994,MATCH(1852-$O$1,$G$3:$G$1994,0)),"")),"")</x:f>
      </x:c>
      <x:c r="E1854" t="str">
        <x:f>IF(K1854="","",IF(N1854&lt;=M1854,"",TRIM(CLEAN(MID(INDEX($B$3:$B$168,K1854),M1854,N1854-M1854)))))</x:f>
      </x:c>
      <x:c r="F1854" t="str">
        <x:f>IF(E1854="","",IF(E1854=TRIM(INDEX($A$3:$A$168,K1854)),"",IF(RIGHT(TRIM(INDEX($A$3:$A$168,K1854)),1)="]",LEFT(TRIM(INDEX($A$3:$A$168,K1854)),LEN(TRIM(INDEX($A$3:$A$168,K1854)))-1)&amp;", "&amp;SUBSTITUTE(SUBSTITUTE(SUBSTITUTE(E1854," [",", "),"[",", "),"]","")&amp;"]",TRIM(INDEX($A$3:$A$168,K1854))&amp;" ["&amp;SUBSTITUTE(SUBSTITUTE(SUBSTITUTE(E1854," [",", "),"[",", "),"]","")&amp;"]")))</x:f>
      </x:c>
      <x:c r="G1854" t="str">
        <x:f>IF(F1854&lt;&gt;"",ROWS($F$3:F1854)-COUNTBLANK($F$3:F1854),"")</x:f>
      </x:c>
      <x:c r="H1854"/>
      <x:c r="I1854"/>
      <x:c r="J1854"/>
      <x:c r="K1854" t="str">
        <x:f>IF(ROW()-ROW($K$2)&lt;=SUM($J$3:$J$168),COUNTIF($H$3:$H$168,"&lt;"&amp;(ROW()-ROW($K$2))),"")</x:f>
      </x:c>
      <x:c r="L1854" t="str">
        <x:f>IF(K1854="","",ROW()-ROW($L$2)-INDEX($H$3:$H$168,K1854))</x:f>
      </x:c>
      <x:c r="M1854" t="str">
        <x:f>IF(K1854="","",IF(L1854=1,1,FIND(CHAR(1),SUBSTITUTE(INDEX($B$3:$B$168,K1854),CHAR(10),CHAR(1),L1854-1))+1))</x:f>
      </x:c>
      <x:c r="N1854" t="str">
        <x:f>IF(K1854="","",IFERROR(FIND(CHAR(1),SUBSTITUTE(INDEX($B$3:$B$168,K1854),CHAR(10),CHAR(1),L1854)),LEN(INDEX($B$3:$B$168,K1854))+1))</x:f>
      </x:c>
    </x:row>
    <x:row r="1855">
      <x:c r="A1855"/>
      <x:c r="B1855"/>
      <x:c r="C1855"/>
      <x:c r="D1855" t="str">
        <x:f>IFERROR(IF(1853&lt;=$O$1,INDEX($A$3:$A$168,MATCH(1853,$I$3:$I$168,0)),IF(1853&lt;=$O$1+$O$2,INDEX($F$3:$F$1994,MATCH(1853-$O$1,$G$3:$G$1994,0)),"")),"")</x:f>
      </x:c>
      <x:c r="E1855" t="str">
        <x:f>IF(K1855="","",IF(N1855&lt;=M1855,"",TRIM(CLEAN(MID(INDEX($B$3:$B$168,K1855),M1855,N1855-M1855)))))</x:f>
      </x:c>
      <x:c r="F1855" t="str">
        <x:f>IF(E1855="","",IF(E1855=TRIM(INDEX($A$3:$A$168,K1855)),"",IF(RIGHT(TRIM(INDEX($A$3:$A$168,K1855)),1)="]",LEFT(TRIM(INDEX($A$3:$A$168,K1855)),LEN(TRIM(INDEX($A$3:$A$168,K1855)))-1)&amp;", "&amp;SUBSTITUTE(SUBSTITUTE(SUBSTITUTE(E1855," [",", "),"[",", "),"]","")&amp;"]",TRIM(INDEX($A$3:$A$168,K1855))&amp;" ["&amp;SUBSTITUTE(SUBSTITUTE(SUBSTITUTE(E1855," [",", "),"[",", "),"]","")&amp;"]")))</x:f>
      </x:c>
      <x:c r="G1855" t="str">
        <x:f>IF(F1855&lt;&gt;"",ROWS($F$3:F1855)-COUNTBLANK($F$3:F1855),"")</x:f>
      </x:c>
      <x:c r="H1855"/>
      <x:c r="I1855"/>
      <x:c r="J1855"/>
      <x:c r="K1855" t="str">
        <x:f>IF(ROW()-ROW($K$2)&lt;=SUM($J$3:$J$168),COUNTIF($H$3:$H$168,"&lt;"&amp;(ROW()-ROW($K$2))),"")</x:f>
      </x:c>
      <x:c r="L1855" t="str">
        <x:f>IF(K1855="","",ROW()-ROW($L$2)-INDEX($H$3:$H$168,K1855))</x:f>
      </x:c>
      <x:c r="M1855" t="str">
        <x:f>IF(K1855="","",IF(L1855=1,1,FIND(CHAR(1),SUBSTITUTE(INDEX($B$3:$B$168,K1855),CHAR(10),CHAR(1),L1855-1))+1))</x:f>
      </x:c>
      <x:c r="N1855" t="str">
        <x:f>IF(K1855="","",IFERROR(FIND(CHAR(1),SUBSTITUTE(INDEX($B$3:$B$168,K1855),CHAR(10),CHAR(1),L1855)),LEN(INDEX($B$3:$B$168,K1855))+1))</x:f>
      </x:c>
    </x:row>
    <x:row r="1856">
      <x:c r="A1856"/>
      <x:c r="B1856"/>
      <x:c r="C1856"/>
      <x:c r="D1856" t="str">
        <x:f>IFERROR(IF(1854&lt;=$O$1,INDEX($A$3:$A$168,MATCH(1854,$I$3:$I$168,0)),IF(1854&lt;=$O$1+$O$2,INDEX($F$3:$F$1994,MATCH(1854-$O$1,$G$3:$G$1994,0)),"")),"")</x:f>
      </x:c>
      <x:c r="E1856" t="str">
        <x:f>IF(K1856="","",IF(N1856&lt;=M1856,"",TRIM(CLEAN(MID(INDEX($B$3:$B$168,K1856),M1856,N1856-M1856)))))</x:f>
      </x:c>
      <x:c r="F1856" t="str">
        <x:f>IF(E1856="","",IF(E1856=TRIM(INDEX($A$3:$A$168,K1856)),"",IF(RIGHT(TRIM(INDEX($A$3:$A$168,K1856)),1)="]",LEFT(TRIM(INDEX($A$3:$A$168,K1856)),LEN(TRIM(INDEX($A$3:$A$168,K1856)))-1)&amp;", "&amp;SUBSTITUTE(SUBSTITUTE(SUBSTITUTE(E1856," [",", "),"[",", "),"]","")&amp;"]",TRIM(INDEX($A$3:$A$168,K1856))&amp;" ["&amp;SUBSTITUTE(SUBSTITUTE(SUBSTITUTE(E1856," [",", "),"[",", "),"]","")&amp;"]")))</x:f>
      </x:c>
      <x:c r="G1856" t="str">
        <x:f>IF(F1856&lt;&gt;"",ROWS($F$3:F1856)-COUNTBLANK($F$3:F1856),"")</x:f>
      </x:c>
      <x:c r="H1856"/>
      <x:c r="I1856"/>
      <x:c r="J1856"/>
      <x:c r="K1856" t="str">
        <x:f>IF(ROW()-ROW($K$2)&lt;=SUM($J$3:$J$168),COUNTIF($H$3:$H$168,"&lt;"&amp;(ROW()-ROW($K$2))),"")</x:f>
      </x:c>
      <x:c r="L1856" t="str">
        <x:f>IF(K1856="","",ROW()-ROW($L$2)-INDEX($H$3:$H$168,K1856))</x:f>
      </x:c>
      <x:c r="M1856" t="str">
        <x:f>IF(K1856="","",IF(L1856=1,1,FIND(CHAR(1),SUBSTITUTE(INDEX($B$3:$B$168,K1856),CHAR(10),CHAR(1),L1856-1))+1))</x:f>
      </x:c>
      <x:c r="N1856" t="str">
        <x:f>IF(K1856="","",IFERROR(FIND(CHAR(1),SUBSTITUTE(INDEX($B$3:$B$168,K1856),CHAR(10),CHAR(1),L1856)),LEN(INDEX($B$3:$B$168,K1856))+1))</x:f>
      </x:c>
    </x:row>
    <x:row r="1857">
      <x:c r="A1857"/>
      <x:c r="B1857"/>
      <x:c r="C1857"/>
      <x:c r="D1857" t="str">
        <x:f>IFERROR(IF(1855&lt;=$O$1,INDEX($A$3:$A$168,MATCH(1855,$I$3:$I$168,0)),IF(1855&lt;=$O$1+$O$2,INDEX($F$3:$F$1994,MATCH(1855-$O$1,$G$3:$G$1994,0)),"")),"")</x:f>
      </x:c>
      <x:c r="E1857" t="str">
        <x:f>IF(K1857="","",IF(N1857&lt;=M1857,"",TRIM(CLEAN(MID(INDEX($B$3:$B$168,K1857),M1857,N1857-M1857)))))</x:f>
      </x:c>
      <x:c r="F1857" t="str">
        <x:f>IF(E1857="","",IF(E1857=TRIM(INDEX($A$3:$A$168,K1857)),"",IF(RIGHT(TRIM(INDEX($A$3:$A$168,K1857)),1)="]",LEFT(TRIM(INDEX($A$3:$A$168,K1857)),LEN(TRIM(INDEX($A$3:$A$168,K1857)))-1)&amp;", "&amp;SUBSTITUTE(SUBSTITUTE(SUBSTITUTE(E1857," [",", "),"[",", "),"]","")&amp;"]",TRIM(INDEX($A$3:$A$168,K1857))&amp;" ["&amp;SUBSTITUTE(SUBSTITUTE(SUBSTITUTE(E1857," [",", "),"[",", "),"]","")&amp;"]")))</x:f>
      </x:c>
      <x:c r="G1857" t="str">
        <x:f>IF(F1857&lt;&gt;"",ROWS($F$3:F1857)-COUNTBLANK($F$3:F1857),"")</x:f>
      </x:c>
      <x:c r="H1857"/>
      <x:c r="I1857"/>
      <x:c r="J1857"/>
      <x:c r="K1857" t="str">
        <x:f>IF(ROW()-ROW($K$2)&lt;=SUM($J$3:$J$168),COUNTIF($H$3:$H$168,"&lt;"&amp;(ROW()-ROW($K$2))),"")</x:f>
      </x:c>
      <x:c r="L1857" t="str">
        <x:f>IF(K1857="","",ROW()-ROW($L$2)-INDEX($H$3:$H$168,K1857))</x:f>
      </x:c>
      <x:c r="M1857" t="str">
        <x:f>IF(K1857="","",IF(L1857=1,1,FIND(CHAR(1),SUBSTITUTE(INDEX($B$3:$B$168,K1857),CHAR(10),CHAR(1),L1857-1))+1))</x:f>
      </x:c>
      <x:c r="N1857" t="str">
        <x:f>IF(K1857="","",IFERROR(FIND(CHAR(1),SUBSTITUTE(INDEX($B$3:$B$168,K1857),CHAR(10),CHAR(1),L1857)),LEN(INDEX($B$3:$B$168,K1857))+1))</x:f>
      </x:c>
    </x:row>
    <x:row r="1858">
      <x:c r="A1858"/>
      <x:c r="B1858"/>
      <x:c r="C1858"/>
      <x:c r="D1858" t="str">
        <x:f>IFERROR(IF(1856&lt;=$O$1,INDEX($A$3:$A$168,MATCH(1856,$I$3:$I$168,0)),IF(1856&lt;=$O$1+$O$2,INDEX($F$3:$F$1994,MATCH(1856-$O$1,$G$3:$G$1994,0)),"")),"")</x:f>
      </x:c>
      <x:c r="E1858" t="str">
        <x:f>IF(K1858="","",IF(N1858&lt;=M1858,"",TRIM(CLEAN(MID(INDEX($B$3:$B$168,K1858),M1858,N1858-M1858)))))</x:f>
      </x:c>
      <x:c r="F1858" t="str">
        <x:f>IF(E1858="","",IF(E1858=TRIM(INDEX($A$3:$A$168,K1858)),"",IF(RIGHT(TRIM(INDEX($A$3:$A$168,K1858)),1)="]",LEFT(TRIM(INDEX($A$3:$A$168,K1858)),LEN(TRIM(INDEX($A$3:$A$168,K1858)))-1)&amp;", "&amp;SUBSTITUTE(SUBSTITUTE(SUBSTITUTE(E1858," [",", "),"[",", "),"]","")&amp;"]",TRIM(INDEX($A$3:$A$168,K1858))&amp;" ["&amp;SUBSTITUTE(SUBSTITUTE(SUBSTITUTE(E1858," [",", "),"[",", "),"]","")&amp;"]")))</x:f>
      </x:c>
      <x:c r="G1858" t="str">
        <x:f>IF(F1858&lt;&gt;"",ROWS($F$3:F1858)-COUNTBLANK($F$3:F1858),"")</x:f>
      </x:c>
      <x:c r="H1858"/>
      <x:c r="I1858"/>
      <x:c r="J1858"/>
      <x:c r="K1858" t="str">
        <x:f>IF(ROW()-ROW($K$2)&lt;=SUM($J$3:$J$168),COUNTIF($H$3:$H$168,"&lt;"&amp;(ROW()-ROW($K$2))),"")</x:f>
      </x:c>
      <x:c r="L1858" t="str">
        <x:f>IF(K1858="","",ROW()-ROW($L$2)-INDEX($H$3:$H$168,K1858))</x:f>
      </x:c>
      <x:c r="M1858" t="str">
        <x:f>IF(K1858="","",IF(L1858=1,1,FIND(CHAR(1),SUBSTITUTE(INDEX($B$3:$B$168,K1858),CHAR(10),CHAR(1),L1858-1))+1))</x:f>
      </x:c>
      <x:c r="N1858" t="str">
        <x:f>IF(K1858="","",IFERROR(FIND(CHAR(1),SUBSTITUTE(INDEX($B$3:$B$168,K1858),CHAR(10),CHAR(1),L1858)),LEN(INDEX($B$3:$B$168,K1858))+1))</x:f>
      </x:c>
    </x:row>
    <x:row r="1859">
      <x:c r="A1859"/>
      <x:c r="B1859"/>
      <x:c r="C1859"/>
      <x:c r="D1859" t="str">
        <x:f>IFERROR(IF(1857&lt;=$O$1,INDEX($A$3:$A$168,MATCH(1857,$I$3:$I$168,0)),IF(1857&lt;=$O$1+$O$2,INDEX($F$3:$F$1994,MATCH(1857-$O$1,$G$3:$G$1994,0)),"")),"")</x:f>
      </x:c>
      <x:c r="E1859" t="str">
        <x:f>IF(K1859="","",IF(N1859&lt;=M1859,"",TRIM(CLEAN(MID(INDEX($B$3:$B$168,K1859),M1859,N1859-M1859)))))</x:f>
      </x:c>
      <x:c r="F1859" t="str">
        <x:f>IF(E1859="","",IF(E1859=TRIM(INDEX($A$3:$A$168,K1859)),"",IF(RIGHT(TRIM(INDEX($A$3:$A$168,K1859)),1)="]",LEFT(TRIM(INDEX($A$3:$A$168,K1859)),LEN(TRIM(INDEX($A$3:$A$168,K1859)))-1)&amp;", "&amp;SUBSTITUTE(SUBSTITUTE(SUBSTITUTE(E1859," [",", "),"[",", "),"]","")&amp;"]",TRIM(INDEX($A$3:$A$168,K1859))&amp;" ["&amp;SUBSTITUTE(SUBSTITUTE(SUBSTITUTE(E1859," [",", "),"[",", "),"]","")&amp;"]")))</x:f>
      </x:c>
      <x:c r="G1859" t="str">
        <x:f>IF(F1859&lt;&gt;"",ROWS($F$3:F1859)-COUNTBLANK($F$3:F1859),"")</x:f>
      </x:c>
      <x:c r="H1859"/>
      <x:c r="I1859"/>
      <x:c r="J1859"/>
      <x:c r="K1859" t="str">
        <x:f>IF(ROW()-ROW($K$2)&lt;=SUM($J$3:$J$168),COUNTIF($H$3:$H$168,"&lt;"&amp;(ROW()-ROW($K$2))),"")</x:f>
      </x:c>
      <x:c r="L1859" t="str">
        <x:f>IF(K1859="","",ROW()-ROW($L$2)-INDEX($H$3:$H$168,K1859))</x:f>
      </x:c>
      <x:c r="M1859" t="str">
        <x:f>IF(K1859="","",IF(L1859=1,1,FIND(CHAR(1),SUBSTITUTE(INDEX($B$3:$B$168,K1859),CHAR(10),CHAR(1),L1859-1))+1))</x:f>
      </x:c>
      <x:c r="N1859" t="str">
        <x:f>IF(K1859="","",IFERROR(FIND(CHAR(1),SUBSTITUTE(INDEX($B$3:$B$168,K1859),CHAR(10),CHAR(1),L1859)),LEN(INDEX($B$3:$B$168,K1859))+1))</x:f>
      </x:c>
    </x:row>
    <x:row r="1860">
      <x:c r="A1860"/>
      <x:c r="B1860"/>
      <x:c r="C1860"/>
      <x:c r="D1860" t="str">
        <x:f>IFERROR(IF(1858&lt;=$O$1,INDEX($A$3:$A$168,MATCH(1858,$I$3:$I$168,0)),IF(1858&lt;=$O$1+$O$2,INDEX($F$3:$F$1994,MATCH(1858-$O$1,$G$3:$G$1994,0)),"")),"")</x:f>
      </x:c>
      <x:c r="E1860" t="str">
        <x:f>IF(K1860="","",IF(N1860&lt;=M1860,"",TRIM(CLEAN(MID(INDEX($B$3:$B$168,K1860),M1860,N1860-M1860)))))</x:f>
      </x:c>
      <x:c r="F1860" t="str">
        <x:f>IF(E1860="","",IF(E1860=TRIM(INDEX($A$3:$A$168,K1860)),"",IF(RIGHT(TRIM(INDEX($A$3:$A$168,K1860)),1)="]",LEFT(TRIM(INDEX($A$3:$A$168,K1860)),LEN(TRIM(INDEX($A$3:$A$168,K1860)))-1)&amp;", "&amp;SUBSTITUTE(SUBSTITUTE(SUBSTITUTE(E1860," [",", "),"[",", "),"]","")&amp;"]",TRIM(INDEX($A$3:$A$168,K1860))&amp;" ["&amp;SUBSTITUTE(SUBSTITUTE(SUBSTITUTE(E1860," [",", "),"[",", "),"]","")&amp;"]")))</x:f>
      </x:c>
      <x:c r="G1860" t="str">
        <x:f>IF(F1860&lt;&gt;"",ROWS($F$3:F1860)-COUNTBLANK($F$3:F1860),"")</x:f>
      </x:c>
      <x:c r="H1860"/>
      <x:c r="I1860"/>
      <x:c r="J1860"/>
      <x:c r="K1860" t="str">
        <x:f>IF(ROW()-ROW($K$2)&lt;=SUM($J$3:$J$168),COUNTIF($H$3:$H$168,"&lt;"&amp;(ROW()-ROW($K$2))),"")</x:f>
      </x:c>
      <x:c r="L1860" t="str">
        <x:f>IF(K1860="","",ROW()-ROW($L$2)-INDEX($H$3:$H$168,K1860))</x:f>
      </x:c>
      <x:c r="M1860" t="str">
        <x:f>IF(K1860="","",IF(L1860=1,1,FIND(CHAR(1),SUBSTITUTE(INDEX($B$3:$B$168,K1860),CHAR(10),CHAR(1),L1860-1))+1))</x:f>
      </x:c>
      <x:c r="N1860" t="str">
        <x:f>IF(K1860="","",IFERROR(FIND(CHAR(1),SUBSTITUTE(INDEX($B$3:$B$168,K1860),CHAR(10),CHAR(1),L1860)),LEN(INDEX($B$3:$B$168,K1860))+1))</x:f>
      </x:c>
    </x:row>
    <x:row r="1861">
      <x:c r="A1861"/>
      <x:c r="B1861"/>
      <x:c r="C1861"/>
      <x:c r="D1861" t="str">
        <x:f>IFERROR(IF(1859&lt;=$O$1,INDEX($A$3:$A$168,MATCH(1859,$I$3:$I$168,0)),IF(1859&lt;=$O$1+$O$2,INDEX($F$3:$F$1994,MATCH(1859-$O$1,$G$3:$G$1994,0)),"")),"")</x:f>
      </x:c>
      <x:c r="E1861" t="str">
        <x:f>IF(K1861="","",IF(N1861&lt;=M1861,"",TRIM(CLEAN(MID(INDEX($B$3:$B$168,K1861),M1861,N1861-M1861)))))</x:f>
      </x:c>
      <x:c r="F1861" t="str">
        <x:f>IF(E1861="","",IF(E1861=TRIM(INDEX($A$3:$A$168,K1861)),"",IF(RIGHT(TRIM(INDEX($A$3:$A$168,K1861)),1)="]",LEFT(TRIM(INDEX($A$3:$A$168,K1861)),LEN(TRIM(INDEX($A$3:$A$168,K1861)))-1)&amp;", "&amp;SUBSTITUTE(SUBSTITUTE(SUBSTITUTE(E1861," [",", "),"[",", "),"]","")&amp;"]",TRIM(INDEX($A$3:$A$168,K1861))&amp;" ["&amp;SUBSTITUTE(SUBSTITUTE(SUBSTITUTE(E1861," [",", "),"[",", "),"]","")&amp;"]")))</x:f>
      </x:c>
      <x:c r="G1861" t="str">
        <x:f>IF(F1861&lt;&gt;"",ROWS($F$3:F1861)-COUNTBLANK($F$3:F1861),"")</x:f>
      </x:c>
      <x:c r="H1861"/>
      <x:c r="I1861"/>
      <x:c r="J1861"/>
      <x:c r="K1861" t="str">
        <x:f>IF(ROW()-ROW($K$2)&lt;=SUM($J$3:$J$168),COUNTIF($H$3:$H$168,"&lt;"&amp;(ROW()-ROW($K$2))),"")</x:f>
      </x:c>
      <x:c r="L1861" t="str">
        <x:f>IF(K1861="","",ROW()-ROW($L$2)-INDEX($H$3:$H$168,K1861))</x:f>
      </x:c>
      <x:c r="M1861" t="str">
        <x:f>IF(K1861="","",IF(L1861=1,1,FIND(CHAR(1),SUBSTITUTE(INDEX($B$3:$B$168,K1861),CHAR(10),CHAR(1),L1861-1))+1))</x:f>
      </x:c>
      <x:c r="N1861" t="str">
        <x:f>IF(K1861="","",IFERROR(FIND(CHAR(1),SUBSTITUTE(INDEX($B$3:$B$168,K1861),CHAR(10),CHAR(1),L1861)),LEN(INDEX($B$3:$B$168,K1861))+1))</x:f>
      </x:c>
    </x:row>
    <x:row r="1862">
      <x:c r="A1862"/>
      <x:c r="B1862"/>
      <x:c r="C1862"/>
      <x:c r="D1862" t="str">
        <x:f>IFERROR(IF(1860&lt;=$O$1,INDEX($A$3:$A$168,MATCH(1860,$I$3:$I$168,0)),IF(1860&lt;=$O$1+$O$2,INDEX($F$3:$F$1994,MATCH(1860-$O$1,$G$3:$G$1994,0)),"")),"")</x:f>
      </x:c>
      <x:c r="E1862" t="str">
        <x:f>IF(K1862="","",IF(N1862&lt;=M1862,"",TRIM(CLEAN(MID(INDEX($B$3:$B$168,K1862),M1862,N1862-M1862)))))</x:f>
      </x:c>
      <x:c r="F1862" t="str">
        <x:f>IF(E1862="","",IF(E1862=TRIM(INDEX($A$3:$A$168,K1862)),"",IF(RIGHT(TRIM(INDEX($A$3:$A$168,K1862)),1)="]",LEFT(TRIM(INDEX($A$3:$A$168,K1862)),LEN(TRIM(INDEX($A$3:$A$168,K1862)))-1)&amp;", "&amp;SUBSTITUTE(SUBSTITUTE(SUBSTITUTE(E1862," [",", "),"[",", "),"]","")&amp;"]",TRIM(INDEX($A$3:$A$168,K1862))&amp;" ["&amp;SUBSTITUTE(SUBSTITUTE(SUBSTITUTE(E1862," [",", "),"[",", "),"]","")&amp;"]")))</x:f>
      </x:c>
      <x:c r="G1862" t="str">
        <x:f>IF(F1862&lt;&gt;"",ROWS($F$3:F1862)-COUNTBLANK($F$3:F1862),"")</x:f>
      </x:c>
      <x:c r="H1862"/>
      <x:c r="I1862"/>
      <x:c r="J1862"/>
      <x:c r="K1862" t="str">
        <x:f>IF(ROW()-ROW($K$2)&lt;=SUM($J$3:$J$168),COUNTIF($H$3:$H$168,"&lt;"&amp;(ROW()-ROW($K$2))),"")</x:f>
      </x:c>
      <x:c r="L1862" t="str">
        <x:f>IF(K1862="","",ROW()-ROW($L$2)-INDEX($H$3:$H$168,K1862))</x:f>
      </x:c>
      <x:c r="M1862" t="str">
        <x:f>IF(K1862="","",IF(L1862=1,1,FIND(CHAR(1),SUBSTITUTE(INDEX($B$3:$B$168,K1862),CHAR(10),CHAR(1),L1862-1))+1))</x:f>
      </x:c>
      <x:c r="N1862" t="str">
        <x:f>IF(K1862="","",IFERROR(FIND(CHAR(1),SUBSTITUTE(INDEX($B$3:$B$168,K1862),CHAR(10),CHAR(1),L1862)),LEN(INDEX($B$3:$B$168,K1862))+1))</x:f>
      </x:c>
    </x:row>
    <x:row r="1863">
      <x:c r="A1863"/>
      <x:c r="B1863"/>
      <x:c r="C1863"/>
      <x:c r="D1863" t="str">
        <x:f>IFERROR(IF(1861&lt;=$O$1,INDEX($A$3:$A$168,MATCH(1861,$I$3:$I$168,0)),IF(1861&lt;=$O$1+$O$2,INDEX($F$3:$F$1994,MATCH(1861-$O$1,$G$3:$G$1994,0)),"")),"")</x:f>
      </x:c>
      <x:c r="E1863" t="str">
        <x:f>IF(K1863="","",IF(N1863&lt;=M1863,"",TRIM(CLEAN(MID(INDEX($B$3:$B$168,K1863),M1863,N1863-M1863)))))</x:f>
      </x:c>
      <x:c r="F1863" t="str">
        <x:f>IF(E1863="","",IF(E1863=TRIM(INDEX($A$3:$A$168,K1863)),"",IF(RIGHT(TRIM(INDEX($A$3:$A$168,K1863)),1)="]",LEFT(TRIM(INDEX($A$3:$A$168,K1863)),LEN(TRIM(INDEX($A$3:$A$168,K1863)))-1)&amp;", "&amp;SUBSTITUTE(SUBSTITUTE(SUBSTITUTE(E1863," [",", "),"[",", "),"]","")&amp;"]",TRIM(INDEX($A$3:$A$168,K1863))&amp;" ["&amp;SUBSTITUTE(SUBSTITUTE(SUBSTITUTE(E1863," [",", "),"[",", "),"]","")&amp;"]")))</x:f>
      </x:c>
      <x:c r="G1863" t="str">
        <x:f>IF(F1863&lt;&gt;"",ROWS($F$3:F1863)-COUNTBLANK($F$3:F1863),"")</x:f>
      </x:c>
      <x:c r="H1863"/>
      <x:c r="I1863"/>
      <x:c r="J1863"/>
      <x:c r="K1863" t="str">
        <x:f>IF(ROW()-ROW($K$2)&lt;=SUM($J$3:$J$168),COUNTIF($H$3:$H$168,"&lt;"&amp;(ROW()-ROW($K$2))),"")</x:f>
      </x:c>
      <x:c r="L1863" t="str">
        <x:f>IF(K1863="","",ROW()-ROW($L$2)-INDEX($H$3:$H$168,K1863))</x:f>
      </x:c>
      <x:c r="M1863" t="str">
        <x:f>IF(K1863="","",IF(L1863=1,1,FIND(CHAR(1),SUBSTITUTE(INDEX($B$3:$B$168,K1863),CHAR(10),CHAR(1),L1863-1))+1))</x:f>
      </x:c>
      <x:c r="N1863" t="str">
        <x:f>IF(K1863="","",IFERROR(FIND(CHAR(1),SUBSTITUTE(INDEX($B$3:$B$168,K1863),CHAR(10),CHAR(1),L1863)),LEN(INDEX($B$3:$B$168,K1863))+1))</x:f>
      </x:c>
    </x:row>
    <x:row r="1864">
      <x:c r="A1864"/>
      <x:c r="B1864"/>
      <x:c r="C1864"/>
      <x:c r="D1864" t="str">
        <x:f>IFERROR(IF(1862&lt;=$O$1,INDEX($A$3:$A$168,MATCH(1862,$I$3:$I$168,0)),IF(1862&lt;=$O$1+$O$2,INDEX($F$3:$F$1994,MATCH(1862-$O$1,$G$3:$G$1994,0)),"")),"")</x:f>
      </x:c>
      <x:c r="E1864" t="str">
        <x:f>IF(K1864="","",IF(N1864&lt;=M1864,"",TRIM(CLEAN(MID(INDEX($B$3:$B$168,K1864),M1864,N1864-M1864)))))</x:f>
      </x:c>
      <x:c r="F1864" t="str">
        <x:f>IF(E1864="","",IF(E1864=TRIM(INDEX($A$3:$A$168,K1864)),"",IF(RIGHT(TRIM(INDEX($A$3:$A$168,K1864)),1)="]",LEFT(TRIM(INDEX($A$3:$A$168,K1864)),LEN(TRIM(INDEX($A$3:$A$168,K1864)))-1)&amp;", "&amp;SUBSTITUTE(SUBSTITUTE(SUBSTITUTE(E1864," [",", "),"[",", "),"]","")&amp;"]",TRIM(INDEX($A$3:$A$168,K1864))&amp;" ["&amp;SUBSTITUTE(SUBSTITUTE(SUBSTITUTE(E1864," [",", "),"[",", "),"]","")&amp;"]")))</x:f>
      </x:c>
      <x:c r="G1864" t="str">
        <x:f>IF(F1864&lt;&gt;"",ROWS($F$3:F1864)-COUNTBLANK($F$3:F1864),"")</x:f>
      </x:c>
      <x:c r="H1864"/>
      <x:c r="I1864"/>
      <x:c r="J1864"/>
      <x:c r="K1864" t="str">
        <x:f>IF(ROW()-ROW($K$2)&lt;=SUM($J$3:$J$168),COUNTIF($H$3:$H$168,"&lt;"&amp;(ROW()-ROW($K$2))),"")</x:f>
      </x:c>
      <x:c r="L1864" t="str">
        <x:f>IF(K1864="","",ROW()-ROW($L$2)-INDEX($H$3:$H$168,K1864))</x:f>
      </x:c>
      <x:c r="M1864" t="str">
        <x:f>IF(K1864="","",IF(L1864=1,1,FIND(CHAR(1),SUBSTITUTE(INDEX($B$3:$B$168,K1864),CHAR(10),CHAR(1),L1864-1))+1))</x:f>
      </x:c>
      <x:c r="N1864" t="str">
        <x:f>IF(K1864="","",IFERROR(FIND(CHAR(1),SUBSTITUTE(INDEX($B$3:$B$168,K1864),CHAR(10),CHAR(1),L1864)),LEN(INDEX($B$3:$B$168,K1864))+1))</x:f>
      </x:c>
    </x:row>
    <x:row r="1865">
      <x:c r="A1865"/>
      <x:c r="B1865"/>
      <x:c r="C1865"/>
      <x:c r="D1865" t="str">
        <x:f>IFERROR(IF(1863&lt;=$O$1,INDEX($A$3:$A$168,MATCH(1863,$I$3:$I$168,0)),IF(1863&lt;=$O$1+$O$2,INDEX($F$3:$F$1994,MATCH(1863-$O$1,$G$3:$G$1994,0)),"")),"")</x:f>
      </x:c>
      <x:c r="E1865" t="str">
        <x:f>IF(K1865="","",IF(N1865&lt;=M1865,"",TRIM(CLEAN(MID(INDEX($B$3:$B$168,K1865),M1865,N1865-M1865)))))</x:f>
      </x:c>
      <x:c r="F1865" t="str">
        <x:f>IF(E1865="","",IF(E1865=TRIM(INDEX($A$3:$A$168,K1865)),"",IF(RIGHT(TRIM(INDEX($A$3:$A$168,K1865)),1)="]",LEFT(TRIM(INDEX($A$3:$A$168,K1865)),LEN(TRIM(INDEX($A$3:$A$168,K1865)))-1)&amp;", "&amp;SUBSTITUTE(SUBSTITUTE(SUBSTITUTE(E1865," [",", "),"[",", "),"]","")&amp;"]",TRIM(INDEX($A$3:$A$168,K1865))&amp;" ["&amp;SUBSTITUTE(SUBSTITUTE(SUBSTITUTE(E1865," [",", "),"[",", "),"]","")&amp;"]")))</x:f>
      </x:c>
      <x:c r="G1865" t="str">
        <x:f>IF(F1865&lt;&gt;"",ROWS($F$3:F1865)-COUNTBLANK($F$3:F1865),"")</x:f>
      </x:c>
      <x:c r="H1865"/>
      <x:c r="I1865"/>
      <x:c r="J1865"/>
      <x:c r="K1865" t="str">
        <x:f>IF(ROW()-ROW($K$2)&lt;=SUM($J$3:$J$168),COUNTIF($H$3:$H$168,"&lt;"&amp;(ROW()-ROW($K$2))),"")</x:f>
      </x:c>
      <x:c r="L1865" t="str">
        <x:f>IF(K1865="","",ROW()-ROW($L$2)-INDEX($H$3:$H$168,K1865))</x:f>
      </x:c>
      <x:c r="M1865" t="str">
        <x:f>IF(K1865="","",IF(L1865=1,1,FIND(CHAR(1),SUBSTITUTE(INDEX($B$3:$B$168,K1865),CHAR(10),CHAR(1),L1865-1))+1))</x:f>
      </x:c>
      <x:c r="N1865" t="str">
        <x:f>IF(K1865="","",IFERROR(FIND(CHAR(1),SUBSTITUTE(INDEX($B$3:$B$168,K1865),CHAR(10),CHAR(1),L1865)),LEN(INDEX($B$3:$B$168,K1865))+1))</x:f>
      </x:c>
    </x:row>
    <x:row r="1866">
      <x:c r="A1866"/>
      <x:c r="B1866"/>
      <x:c r="C1866"/>
      <x:c r="D1866" t="str">
        <x:f>IFERROR(IF(1864&lt;=$O$1,INDEX($A$3:$A$168,MATCH(1864,$I$3:$I$168,0)),IF(1864&lt;=$O$1+$O$2,INDEX($F$3:$F$1994,MATCH(1864-$O$1,$G$3:$G$1994,0)),"")),"")</x:f>
      </x:c>
      <x:c r="E1866" t="str">
        <x:f>IF(K1866="","",IF(N1866&lt;=M1866,"",TRIM(CLEAN(MID(INDEX($B$3:$B$168,K1866),M1866,N1866-M1866)))))</x:f>
      </x:c>
      <x:c r="F1866" t="str">
        <x:f>IF(E1866="","",IF(E1866=TRIM(INDEX($A$3:$A$168,K1866)),"",IF(RIGHT(TRIM(INDEX($A$3:$A$168,K1866)),1)="]",LEFT(TRIM(INDEX($A$3:$A$168,K1866)),LEN(TRIM(INDEX($A$3:$A$168,K1866)))-1)&amp;", "&amp;SUBSTITUTE(SUBSTITUTE(SUBSTITUTE(E1866," [",", "),"[",", "),"]","")&amp;"]",TRIM(INDEX($A$3:$A$168,K1866))&amp;" ["&amp;SUBSTITUTE(SUBSTITUTE(SUBSTITUTE(E1866," [",", "),"[",", "),"]","")&amp;"]")))</x:f>
      </x:c>
      <x:c r="G1866" t="str">
        <x:f>IF(F1866&lt;&gt;"",ROWS($F$3:F1866)-COUNTBLANK($F$3:F1866),"")</x:f>
      </x:c>
      <x:c r="H1866"/>
      <x:c r="I1866"/>
      <x:c r="J1866"/>
      <x:c r="K1866" t="str">
        <x:f>IF(ROW()-ROW($K$2)&lt;=SUM($J$3:$J$168),COUNTIF($H$3:$H$168,"&lt;"&amp;(ROW()-ROW($K$2))),"")</x:f>
      </x:c>
      <x:c r="L1866" t="str">
        <x:f>IF(K1866="","",ROW()-ROW($L$2)-INDEX($H$3:$H$168,K1866))</x:f>
      </x:c>
      <x:c r="M1866" t="str">
        <x:f>IF(K1866="","",IF(L1866=1,1,FIND(CHAR(1),SUBSTITUTE(INDEX($B$3:$B$168,K1866),CHAR(10),CHAR(1),L1866-1))+1))</x:f>
      </x:c>
      <x:c r="N1866" t="str">
        <x:f>IF(K1866="","",IFERROR(FIND(CHAR(1),SUBSTITUTE(INDEX($B$3:$B$168,K1866),CHAR(10),CHAR(1),L1866)),LEN(INDEX($B$3:$B$168,K1866))+1))</x:f>
      </x:c>
    </x:row>
    <x:row r="1867">
      <x:c r="A1867"/>
      <x:c r="B1867"/>
      <x:c r="C1867"/>
      <x:c r="D1867" t="str">
        <x:f>IFERROR(IF(1865&lt;=$O$1,INDEX($A$3:$A$168,MATCH(1865,$I$3:$I$168,0)),IF(1865&lt;=$O$1+$O$2,INDEX($F$3:$F$1994,MATCH(1865-$O$1,$G$3:$G$1994,0)),"")),"")</x:f>
      </x:c>
      <x:c r="E1867" t="str">
        <x:f>IF(K1867="","",IF(N1867&lt;=M1867,"",TRIM(CLEAN(MID(INDEX($B$3:$B$168,K1867),M1867,N1867-M1867)))))</x:f>
      </x:c>
      <x:c r="F1867" t="str">
        <x:f>IF(E1867="","",IF(E1867=TRIM(INDEX($A$3:$A$168,K1867)),"",IF(RIGHT(TRIM(INDEX($A$3:$A$168,K1867)),1)="]",LEFT(TRIM(INDEX($A$3:$A$168,K1867)),LEN(TRIM(INDEX($A$3:$A$168,K1867)))-1)&amp;", "&amp;SUBSTITUTE(SUBSTITUTE(SUBSTITUTE(E1867," [",", "),"[",", "),"]","")&amp;"]",TRIM(INDEX($A$3:$A$168,K1867))&amp;" ["&amp;SUBSTITUTE(SUBSTITUTE(SUBSTITUTE(E1867," [",", "),"[",", "),"]","")&amp;"]")))</x:f>
      </x:c>
      <x:c r="G1867" t="str">
        <x:f>IF(F1867&lt;&gt;"",ROWS($F$3:F1867)-COUNTBLANK($F$3:F1867),"")</x:f>
      </x:c>
      <x:c r="H1867"/>
      <x:c r="I1867"/>
      <x:c r="J1867"/>
      <x:c r="K1867" t="str">
        <x:f>IF(ROW()-ROW($K$2)&lt;=SUM($J$3:$J$168),COUNTIF($H$3:$H$168,"&lt;"&amp;(ROW()-ROW($K$2))),"")</x:f>
      </x:c>
      <x:c r="L1867" t="str">
        <x:f>IF(K1867="","",ROW()-ROW($L$2)-INDEX($H$3:$H$168,K1867))</x:f>
      </x:c>
      <x:c r="M1867" t="str">
        <x:f>IF(K1867="","",IF(L1867=1,1,FIND(CHAR(1),SUBSTITUTE(INDEX($B$3:$B$168,K1867),CHAR(10),CHAR(1),L1867-1))+1))</x:f>
      </x:c>
      <x:c r="N1867" t="str">
        <x:f>IF(K1867="","",IFERROR(FIND(CHAR(1),SUBSTITUTE(INDEX($B$3:$B$168,K1867),CHAR(10),CHAR(1),L1867)),LEN(INDEX($B$3:$B$168,K1867))+1))</x:f>
      </x:c>
    </x:row>
    <x:row r="1868">
      <x:c r="A1868"/>
      <x:c r="B1868"/>
      <x:c r="C1868"/>
      <x:c r="D1868" t="str">
        <x:f>IFERROR(IF(1866&lt;=$O$1,INDEX($A$3:$A$168,MATCH(1866,$I$3:$I$168,0)),IF(1866&lt;=$O$1+$O$2,INDEX($F$3:$F$1994,MATCH(1866-$O$1,$G$3:$G$1994,0)),"")),"")</x:f>
      </x:c>
      <x:c r="E1868" t="str">
        <x:f>IF(K1868="","",IF(N1868&lt;=M1868,"",TRIM(CLEAN(MID(INDEX($B$3:$B$168,K1868),M1868,N1868-M1868)))))</x:f>
      </x:c>
      <x:c r="F1868" t="str">
        <x:f>IF(E1868="","",IF(E1868=TRIM(INDEX($A$3:$A$168,K1868)),"",IF(RIGHT(TRIM(INDEX($A$3:$A$168,K1868)),1)="]",LEFT(TRIM(INDEX($A$3:$A$168,K1868)),LEN(TRIM(INDEX($A$3:$A$168,K1868)))-1)&amp;", "&amp;SUBSTITUTE(SUBSTITUTE(SUBSTITUTE(E1868," [",", "),"[",", "),"]","")&amp;"]",TRIM(INDEX($A$3:$A$168,K1868))&amp;" ["&amp;SUBSTITUTE(SUBSTITUTE(SUBSTITUTE(E1868," [",", "),"[",", "),"]","")&amp;"]")))</x:f>
      </x:c>
      <x:c r="G1868" t="str">
        <x:f>IF(F1868&lt;&gt;"",ROWS($F$3:F1868)-COUNTBLANK($F$3:F1868),"")</x:f>
      </x:c>
      <x:c r="H1868"/>
      <x:c r="I1868"/>
      <x:c r="J1868"/>
      <x:c r="K1868" t="str">
        <x:f>IF(ROW()-ROW($K$2)&lt;=SUM($J$3:$J$168),COUNTIF($H$3:$H$168,"&lt;"&amp;(ROW()-ROW($K$2))),"")</x:f>
      </x:c>
      <x:c r="L1868" t="str">
        <x:f>IF(K1868="","",ROW()-ROW($L$2)-INDEX($H$3:$H$168,K1868))</x:f>
      </x:c>
      <x:c r="M1868" t="str">
        <x:f>IF(K1868="","",IF(L1868=1,1,FIND(CHAR(1),SUBSTITUTE(INDEX($B$3:$B$168,K1868),CHAR(10),CHAR(1),L1868-1))+1))</x:f>
      </x:c>
      <x:c r="N1868" t="str">
        <x:f>IF(K1868="","",IFERROR(FIND(CHAR(1),SUBSTITUTE(INDEX($B$3:$B$168,K1868),CHAR(10),CHAR(1),L1868)),LEN(INDEX($B$3:$B$168,K1868))+1))</x:f>
      </x:c>
    </x:row>
    <x:row r="1869">
      <x:c r="A1869"/>
      <x:c r="B1869"/>
      <x:c r="C1869"/>
      <x:c r="D1869" t="str">
        <x:f>IFERROR(IF(1867&lt;=$O$1,INDEX($A$3:$A$168,MATCH(1867,$I$3:$I$168,0)),IF(1867&lt;=$O$1+$O$2,INDEX($F$3:$F$1994,MATCH(1867-$O$1,$G$3:$G$1994,0)),"")),"")</x:f>
      </x:c>
      <x:c r="E1869" t="str">
        <x:f>IF(K1869="","",IF(N1869&lt;=M1869,"",TRIM(CLEAN(MID(INDEX($B$3:$B$168,K1869),M1869,N1869-M1869)))))</x:f>
      </x:c>
      <x:c r="F1869" t="str">
        <x:f>IF(E1869="","",IF(E1869=TRIM(INDEX($A$3:$A$168,K1869)),"",IF(RIGHT(TRIM(INDEX($A$3:$A$168,K1869)),1)="]",LEFT(TRIM(INDEX($A$3:$A$168,K1869)),LEN(TRIM(INDEX($A$3:$A$168,K1869)))-1)&amp;", "&amp;SUBSTITUTE(SUBSTITUTE(SUBSTITUTE(E1869," [",", "),"[",", "),"]","")&amp;"]",TRIM(INDEX($A$3:$A$168,K1869))&amp;" ["&amp;SUBSTITUTE(SUBSTITUTE(SUBSTITUTE(E1869," [",", "),"[",", "),"]","")&amp;"]")))</x:f>
      </x:c>
      <x:c r="G1869" t="str">
        <x:f>IF(F1869&lt;&gt;"",ROWS($F$3:F1869)-COUNTBLANK($F$3:F1869),"")</x:f>
      </x:c>
      <x:c r="H1869"/>
      <x:c r="I1869"/>
      <x:c r="J1869"/>
      <x:c r="K1869" t="str">
        <x:f>IF(ROW()-ROW($K$2)&lt;=SUM($J$3:$J$168),COUNTIF($H$3:$H$168,"&lt;"&amp;(ROW()-ROW($K$2))),"")</x:f>
      </x:c>
      <x:c r="L1869" t="str">
        <x:f>IF(K1869="","",ROW()-ROW($L$2)-INDEX($H$3:$H$168,K1869))</x:f>
      </x:c>
      <x:c r="M1869" t="str">
        <x:f>IF(K1869="","",IF(L1869=1,1,FIND(CHAR(1),SUBSTITUTE(INDEX($B$3:$B$168,K1869),CHAR(10),CHAR(1),L1869-1))+1))</x:f>
      </x:c>
      <x:c r="N1869" t="str">
        <x:f>IF(K1869="","",IFERROR(FIND(CHAR(1),SUBSTITUTE(INDEX($B$3:$B$168,K1869),CHAR(10),CHAR(1),L1869)),LEN(INDEX($B$3:$B$168,K1869))+1))</x:f>
      </x:c>
    </x:row>
    <x:row r="1870">
      <x:c r="A1870"/>
      <x:c r="B1870"/>
      <x:c r="C1870"/>
      <x:c r="D1870" t="str">
        <x:f>IFERROR(IF(1868&lt;=$O$1,INDEX($A$3:$A$168,MATCH(1868,$I$3:$I$168,0)),IF(1868&lt;=$O$1+$O$2,INDEX($F$3:$F$1994,MATCH(1868-$O$1,$G$3:$G$1994,0)),"")),"")</x:f>
      </x:c>
      <x:c r="E1870" t="str">
        <x:f>IF(K1870="","",IF(N1870&lt;=M1870,"",TRIM(CLEAN(MID(INDEX($B$3:$B$168,K1870),M1870,N1870-M1870)))))</x:f>
      </x:c>
      <x:c r="F1870" t="str">
        <x:f>IF(E1870="","",IF(E1870=TRIM(INDEX($A$3:$A$168,K1870)),"",IF(RIGHT(TRIM(INDEX($A$3:$A$168,K1870)),1)="]",LEFT(TRIM(INDEX($A$3:$A$168,K1870)),LEN(TRIM(INDEX($A$3:$A$168,K1870)))-1)&amp;", "&amp;SUBSTITUTE(SUBSTITUTE(SUBSTITUTE(E1870," [",", "),"[",", "),"]","")&amp;"]",TRIM(INDEX($A$3:$A$168,K1870))&amp;" ["&amp;SUBSTITUTE(SUBSTITUTE(SUBSTITUTE(E1870," [",", "),"[",", "),"]","")&amp;"]")))</x:f>
      </x:c>
      <x:c r="G1870" t="str">
        <x:f>IF(F1870&lt;&gt;"",ROWS($F$3:F1870)-COUNTBLANK($F$3:F1870),"")</x:f>
      </x:c>
      <x:c r="H1870"/>
      <x:c r="I1870"/>
      <x:c r="J1870"/>
      <x:c r="K1870" t="str">
        <x:f>IF(ROW()-ROW($K$2)&lt;=SUM($J$3:$J$168),COUNTIF($H$3:$H$168,"&lt;"&amp;(ROW()-ROW($K$2))),"")</x:f>
      </x:c>
      <x:c r="L1870" t="str">
        <x:f>IF(K1870="","",ROW()-ROW($L$2)-INDEX($H$3:$H$168,K1870))</x:f>
      </x:c>
      <x:c r="M1870" t="str">
        <x:f>IF(K1870="","",IF(L1870=1,1,FIND(CHAR(1),SUBSTITUTE(INDEX($B$3:$B$168,K1870),CHAR(10),CHAR(1),L1870-1))+1))</x:f>
      </x:c>
      <x:c r="N1870" t="str">
        <x:f>IF(K1870="","",IFERROR(FIND(CHAR(1),SUBSTITUTE(INDEX($B$3:$B$168,K1870),CHAR(10),CHAR(1),L1870)),LEN(INDEX($B$3:$B$168,K1870))+1))</x:f>
      </x:c>
    </x:row>
    <x:row r="1871">
      <x:c r="A1871"/>
      <x:c r="B1871"/>
      <x:c r="C1871"/>
      <x:c r="D1871" t="str">
        <x:f>IFERROR(IF(1869&lt;=$O$1,INDEX($A$3:$A$168,MATCH(1869,$I$3:$I$168,0)),IF(1869&lt;=$O$1+$O$2,INDEX($F$3:$F$1994,MATCH(1869-$O$1,$G$3:$G$1994,0)),"")),"")</x:f>
      </x:c>
      <x:c r="E1871" t="str">
        <x:f>IF(K1871="","",IF(N1871&lt;=M1871,"",TRIM(CLEAN(MID(INDEX($B$3:$B$168,K1871),M1871,N1871-M1871)))))</x:f>
      </x:c>
      <x:c r="F1871" t="str">
        <x:f>IF(E1871="","",IF(E1871=TRIM(INDEX($A$3:$A$168,K1871)),"",IF(RIGHT(TRIM(INDEX($A$3:$A$168,K1871)),1)="]",LEFT(TRIM(INDEX($A$3:$A$168,K1871)),LEN(TRIM(INDEX($A$3:$A$168,K1871)))-1)&amp;", "&amp;SUBSTITUTE(SUBSTITUTE(SUBSTITUTE(E1871," [",", "),"[",", "),"]","")&amp;"]",TRIM(INDEX($A$3:$A$168,K1871))&amp;" ["&amp;SUBSTITUTE(SUBSTITUTE(SUBSTITUTE(E1871," [",", "),"[",", "),"]","")&amp;"]")))</x:f>
      </x:c>
      <x:c r="G1871" t="str">
        <x:f>IF(F1871&lt;&gt;"",ROWS($F$3:F1871)-COUNTBLANK($F$3:F1871),"")</x:f>
      </x:c>
      <x:c r="H1871"/>
      <x:c r="I1871"/>
      <x:c r="J1871"/>
      <x:c r="K1871" t="str">
        <x:f>IF(ROW()-ROW($K$2)&lt;=SUM($J$3:$J$168),COUNTIF($H$3:$H$168,"&lt;"&amp;(ROW()-ROW($K$2))),"")</x:f>
      </x:c>
      <x:c r="L1871" t="str">
        <x:f>IF(K1871="","",ROW()-ROW($L$2)-INDEX($H$3:$H$168,K1871))</x:f>
      </x:c>
      <x:c r="M1871" t="str">
        <x:f>IF(K1871="","",IF(L1871=1,1,FIND(CHAR(1),SUBSTITUTE(INDEX($B$3:$B$168,K1871),CHAR(10),CHAR(1),L1871-1))+1))</x:f>
      </x:c>
      <x:c r="N1871" t="str">
        <x:f>IF(K1871="","",IFERROR(FIND(CHAR(1),SUBSTITUTE(INDEX($B$3:$B$168,K1871),CHAR(10),CHAR(1),L1871)),LEN(INDEX($B$3:$B$168,K1871))+1))</x:f>
      </x:c>
    </x:row>
    <x:row r="1872">
      <x:c r="A1872"/>
      <x:c r="B1872"/>
      <x:c r="C1872"/>
      <x:c r="D1872" t="str">
        <x:f>IFERROR(IF(1870&lt;=$O$1,INDEX($A$3:$A$168,MATCH(1870,$I$3:$I$168,0)),IF(1870&lt;=$O$1+$O$2,INDEX($F$3:$F$1994,MATCH(1870-$O$1,$G$3:$G$1994,0)),"")),"")</x:f>
      </x:c>
      <x:c r="E1872" t="str">
        <x:f>IF(K1872="","",IF(N1872&lt;=M1872,"",TRIM(CLEAN(MID(INDEX($B$3:$B$168,K1872),M1872,N1872-M1872)))))</x:f>
      </x:c>
      <x:c r="F1872" t="str">
        <x:f>IF(E1872="","",IF(E1872=TRIM(INDEX($A$3:$A$168,K1872)),"",IF(RIGHT(TRIM(INDEX($A$3:$A$168,K1872)),1)="]",LEFT(TRIM(INDEX($A$3:$A$168,K1872)),LEN(TRIM(INDEX($A$3:$A$168,K1872)))-1)&amp;", "&amp;SUBSTITUTE(SUBSTITUTE(SUBSTITUTE(E1872," [",", "),"[",", "),"]","")&amp;"]",TRIM(INDEX($A$3:$A$168,K1872))&amp;" ["&amp;SUBSTITUTE(SUBSTITUTE(SUBSTITUTE(E1872," [",", "),"[",", "),"]","")&amp;"]")))</x:f>
      </x:c>
      <x:c r="G1872" t="str">
        <x:f>IF(F1872&lt;&gt;"",ROWS($F$3:F1872)-COUNTBLANK($F$3:F1872),"")</x:f>
      </x:c>
      <x:c r="H1872"/>
      <x:c r="I1872"/>
      <x:c r="J1872"/>
      <x:c r="K1872" t="str">
        <x:f>IF(ROW()-ROW($K$2)&lt;=SUM($J$3:$J$168),COUNTIF($H$3:$H$168,"&lt;"&amp;(ROW()-ROW($K$2))),"")</x:f>
      </x:c>
      <x:c r="L1872" t="str">
        <x:f>IF(K1872="","",ROW()-ROW($L$2)-INDEX($H$3:$H$168,K1872))</x:f>
      </x:c>
      <x:c r="M1872" t="str">
        <x:f>IF(K1872="","",IF(L1872=1,1,FIND(CHAR(1),SUBSTITUTE(INDEX($B$3:$B$168,K1872),CHAR(10),CHAR(1),L1872-1))+1))</x:f>
      </x:c>
      <x:c r="N1872" t="str">
        <x:f>IF(K1872="","",IFERROR(FIND(CHAR(1),SUBSTITUTE(INDEX($B$3:$B$168,K1872),CHAR(10),CHAR(1),L1872)),LEN(INDEX($B$3:$B$168,K1872))+1))</x:f>
      </x:c>
    </x:row>
    <x:row r="1873">
      <x:c r="A1873"/>
      <x:c r="B1873"/>
      <x:c r="C1873"/>
      <x:c r="D1873" t="str">
        <x:f>IFERROR(IF(1871&lt;=$O$1,INDEX($A$3:$A$168,MATCH(1871,$I$3:$I$168,0)),IF(1871&lt;=$O$1+$O$2,INDEX($F$3:$F$1994,MATCH(1871-$O$1,$G$3:$G$1994,0)),"")),"")</x:f>
      </x:c>
      <x:c r="E1873" t="str">
        <x:f>IF(K1873="","",IF(N1873&lt;=M1873,"",TRIM(CLEAN(MID(INDEX($B$3:$B$168,K1873),M1873,N1873-M1873)))))</x:f>
      </x:c>
      <x:c r="F1873" t="str">
        <x:f>IF(E1873="","",IF(E1873=TRIM(INDEX($A$3:$A$168,K1873)),"",IF(RIGHT(TRIM(INDEX($A$3:$A$168,K1873)),1)="]",LEFT(TRIM(INDEX($A$3:$A$168,K1873)),LEN(TRIM(INDEX($A$3:$A$168,K1873)))-1)&amp;", "&amp;SUBSTITUTE(SUBSTITUTE(SUBSTITUTE(E1873," [",", "),"[",", "),"]","")&amp;"]",TRIM(INDEX($A$3:$A$168,K1873))&amp;" ["&amp;SUBSTITUTE(SUBSTITUTE(SUBSTITUTE(E1873," [",", "),"[",", "),"]","")&amp;"]")))</x:f>
      </x:c>
      <x:c r="G1873" t="str">
        <x:f>IF(F1873&lt;&gt;"",ROWS($F$3:F1873)-COUNTBLANK($F$3:F1873),"")</x:f>
      </x:c>
      <x:c r="H1873"/>
      <x:c r="I1873"/>
      <x:c r="J1873"/>
      <x:c r="K1873" t="str">
        <x:f>IF(ROW()-ROW($K$2)&lt;=SUM($J$3:$J$168),COUNTIF($H$3:$H$168,"&lt;"&amp;(ROW()-ROW($K$2))),"")</x:f>
      </x:c>
      <x:c r="L1873" t="str">
        <x:f>IF(K1873="","",ROW()-ROW($L$2)-INDEX($H$3:$H$168,K1873))</x:f>
      </x:c>
      <x:c r="M1873" t="str">
        <x:f>IF(K1873="","",IF(L1873=1,1,FIND(CHAR(1),SUBSTITUTE(INDEX($B$3:$B$168,K1873),CHAR(10),CHAR(1),L1873-1))+1))</x:f>
      </x:c>
      <x:c r="N1873" t="str">
        <x:f>IF(K1873="","",IFERROR(FIND(CHAR(1),SUBSTITUTE(INDEX($B$3:$B$168,K1873),CHAR(10),CHAR(1),L1873)),LEN(INDEX($B$3:$B$168,K1873))+1))</x:f>
      </x:c>
    </x:row>
    <x:row r="1874">
      <x:c r="A1874"/>
      <x:c r="B1874"/>
      <x:c r="C1874"/>
      <x:c r="D1874" t="str">
        <x:f>IFERROR(IF(1872&lt;=$O$1,INDEX($A$3:$A$168,MATCH(1872,$I$3:$I$168,0)),IF(1872&lt;=$O$1+$O$2,INDEX($F$3:$F$1994,MATCH(1872-$O$1,$G$3:$G$1994,0)),"")),"")</x:f>
      </x:c>
      <x:c r="E1874" t="str">
        <x:f>IF(K1874="","",IF(N1874&lt;=M1874,"",TRIM(CLEAN(MID(INDEX($B$3:$B$168,K1874),M1874,N1874-M1874)))))</x:f>
      </x:c>
      <x:c r="F1874" t="str">
        <x:f>IF(E1874="","",IF(E1874=TRIM(INDEX($A$3:$A$168,K1874)),"",IF(RIGHT(TRIM(INDEX($A$3:$A$168,K1874)),1)="]",LEFT(TRIM(INDEX($A$3:$A$168,K1874)),LEN(TRIM(INDEX($A$3:$A$168,K1874)))-1)&amp;", "&amp;SUBSTITUTE(SUBSTITUTE(SUBSTITUTE(E1874," [",", "),"[",", "),"]","")&amp;"]",TRIM(INDEX($A$3:$A$168,K1874))&amp;" ["&amp;SUBSTITUTE(SUBSTITUTE(SUBSTITUTE(E1874," [",", "),"[",", "),"]","")&amp;"]")))</x:f>
      </x:c>
      <x:c r="G1874" t="str">
        <x:f>IF(F1874&lt;&gt;"",ROWS($F$3:F1874)-COUNTBLANK($F$3:F1874),"")</x:f>
      </x:c>
      <x:c r="H1874"/>
      <x:c r="I1874"/>
      <x:c r="J1874"/>
      <x:c r="K1874" t="str">
        <x:f>IF(ROW()-ROW($K$2)&lt;=SUM($J$3:$J$168),COUNTIF($H$3:$H$168,"&lt;"&amp;(ROW()-ROW($K$2))),"")</x:f>
      </x:c>
      <x:c r="L1874" t="str">
        <x:f>IF(K1874="","",ROW()-ROW($L$2)-INDEX($H$3:$H$168,K1874))</x:f>
      </x:c>
      <x:c r="M1874" t="str">
        <x:f>IF(K1874="","",IF(L1874=1,1,FIND(CHAR(1),SUBSTITUTE(INDEX($B$3:$B$168,K1874),CHAR(10),CHAR(1),L1874-1))+1))</x:f>
      </x:c>
      <x:c r="N1874" t="str">
        <x:f>IF(K1874="","",IFERROR(FIND(CHAR(1),SUBSTITUTE(INDEX($B$3:$B$168,K1874),CHAR(10),CHAR(1),L1874)),LEN(INDEX($B$3:$B$168,K1874))+1))</x:f>
      </x:c>
    </x:row>
    <x:row r="1875">
      <x:c r="A1875"/>
      <x:c r="B1875"/>
      <x:c r="C1875"/>
      <x:c r="D1875" t="str">
        <x:f>IFERROR(IF(1873&lt;=$O$1,INDEX($A$3:$A$168,MATCH(1873,$I$3:$I$168,0)),IF(1873&lt;=$O$1+$O$2,INDEX($F$3:$F$1994,MATCH(1873-$O$1,$G$3:$G$1994,0)),"")),"")</x:f>
      </x:c>
      <x:c r="E1875" t="str">
        <x:f>IF(K1875="","",IF(N1875&lt;=M1875,"",TRIM(CLEAN(MID(INDEX($B$3:$B$168,K1875),M1875,N1875-M1875)))))</x:f>
      </x:c>
      <x:c r="F1875" t="str">
        <x:f>IF(E1875="","",IF(E1875=TRIM(INDEX($A$3:$A$168,K1875)),"",IF(RIGHT(TRIM(INDEX($A$3:$A$168,K1875)),1)="]",LEFT(TRIM(INDEX($A$3:$A$168,K1875)),LEN(TRIM(INDEX($A$3:$A$168,K1875)))-1)&amp;", "&amp;SUBSTITUTE(SUBSTITUTE(SUBSTITUTE(E1875," [",", "),"[",", "),"]","")&amp;"]",TRIM(INDEX($A$3:$A$168,K1875))&amp;" ["&amp;SUBSTITUTE(SUBSTITUTE(SUBSTITUTE(E1875," [",", "),"[",", "),"]","")&amp;"]")))</x:f>
      </x:c>
      <x:c r="G1875" t="str">
        <x:f>IF(F1875&lt;&gt;"",ROWS($F$3:F1875)-COUNTBLANK($F$3:F1875),"")</x:f>
      </x:c>
      <x:c r="H1875"/>
      <x:c r="I1875"/>
      <x:c r="J1875"/>
      <x:c r="K1875" t="str">
        <x:f>IF(ROW()-ROW($K$2)&lt;=SUM($J$3:$J$168),COUNTIF($H$3:$H$168,"&lt;"&amp;(ROW()-ROW($K$2))),"")</x:f>
      </x:c>
      <x:c r="L1875" t="str">
        <x:f>IF(K1875="","",ROW()-ROW($L$2)-INDEX($H$3:$H$168,K1875))</x:f>
      </x:c>
      <x:c r="M1875" t="str">
        <x:f>IF(K1875="","",IF(L1875=1,1,FIND(CHAR(1),SUBSTITUTE(INDEX($B$3:$B$168,K1875),CHAR(10),CHAR(1),L1875-1))+1))</x:f>
      </x:c>
      <x:c r="N1875" t="str">
        <x:f>IF(K1875="","",IFERROR(FIND(CHAR(1),SUBSTITUTE(INDEX($B$3:$B$168,K1875),CHAR(10),CHAR(1),L1875)),LEN(INDEX($B$3:$B$168,K1875))+1))</x:f>
      </x:c>
    </x:row>
    <x:row r="1876">
      <x:c r="A1876"/>
      <x:c r="B1876"/>
      <x:c r="C1876"/>
      <x:c r="D1876" t="str">
        <x:f>IFERROR(IF(1874&lt;=$O$1,INDEX($A$3:$A$168,MATCH(1874,$I$3:$I$168,0)),IF(1874&lt;=$O$1+$O$2,INDEX($F$3:$F$1994,MATCH(1874-$O$1,$G$3:$G$1994,0)),"")),"")</x:f>
      </x:c>
      <x:c r="E1876" t="str">
        <x:f>IF(K1876="","",IF(N1876&lt;=M1876,"",TRIM(CLEAN(MID(INDEX($B$3:$B$168,K1876),M1876,N1876-M1876)))))</x:f>
      </x:c>
      <x:c r="F1876" t="str">
        <x:f>IF(E1876="","",IF(E1876=TRIM(INDEX($A$3:$A$168,K1876)),"",IF(RIGHT(TRIM(INDEX($A$3:$A$168,K1876)),1)="]",LEFT(TRIM(INDEX($A$3:$A$168,K1876)),LEN(TRIM(INDEX($A$3:$A$168,K1876)))-1)&amp;", "&amp;SUBSTITUTE(SUBSTITUTE(SUBSTITUTE(E1876," [",", "),"[",", "),"]","")&amp;"]",TRIM(INDEX($A$3:$A$168,K1876))&amp;" ["&amp;SUBSTITUTE(SUBSTITUTE(SUBSTITUTE(E1876," [",", "),"[",", "),"]","")&amp;"]")))</x:f>
      </x:c>
      <x:c r="G1876" t="str">
        <x:f>IF(F1876&lt;&gt;"",ROWS($F$3:F1876)-COUNTBLANK($F$3:F1876),"")</x:f>
      </x:c>
      <x:c r="H1876"/>
      <x:c r="I1876"/>
      <x:c r="J1876"/>
      <x:c r="K1876" t="str">
        <x:f>IF(ROW()-ROW($K$2)&lt;=SUM($J$3:$J$168),COUNTIF($H$3:$H$168,"&lt;"&amp;(ROW()-ROW($K$2))),"")</x:f>
      </x:c>
      <x:c r="L1876" t="str">
        <x:f>IF(K1876="","",ROW()-ROW($L$2)-INDEX($H$3:$H$168,K1876))</x:f>
      </x:c>
      <x:c r="M1876" t="str">
        <x:f>IF(K1876="","",IF(L1876=1,1,FIND(CHAR(1),SUBSTITUTE(INDEX($B$3:$B$168,K1876),CHAR(10),CHAR(1),L1876-1))+1))</x:f>
      </x:c>
      <x:c r="N1876" t="str">
        <x:f>IF(K1876="","",IFERROR(FIND(CHAR(1),SUBSTITUTE(INDEX($B$3:$B$168,K1876),CHAR(10),CHAR(1),L1876)),LEN(INDEX($B$3:$B$168,K1876))+1))</x:f>
      </x:c>
    </x:row>
    <x:row r="1877">
      <x:c r="A1877"/>
      <x:c r="B1877"/>
      <x:c r="C1877"/>
      <x:c r="D1877" t="str">
        <x:f>IFERROR(IF(1875&lt;=$O$1,INDEX($A$3:$A$168,MATCH(1875,$I$3:$I$168,0)),IF(1875&lt;=$O$1+$O$2,INDEX($F$3:$F$1994,MATCH(1875-$O$1,$G$3:$G$1994,0)),"")),"")</x:f>
      </x:c>
      <x:c r="E1877" t="str">
        <x:f>IF(K1877="","",IF(N1877&lt;=M1877,"",TRIM(CLEAN(MID(INDEX($B$3:$B$168,K1877),M1877,N1877-M1877)))))</x:f>
      </x:c>
      <x:c r="F1877" t="str">
        <x:f>IF(E1877="","",IF(E1877=TRIM(INDEX($A$3:$A$168,K1877)),"",IF(RIGHT(TRIM(INDEX($A$3:$A$168,K1877)),1)="]",LEFT(TRIM(INDEX($A$3:$A$168,K1877)),LEN(TRIM(INDEX($A$3:$A$168,K1877)))-1)&amp;", "&amp;SUBSTITUTE(SUBSTITUTE(SUBSTITUTE(E1877," [",", "),"[",", "),"]","")&amp;"]",TRIM(INDEX($A$3:$A$168,K1877))&amp;" ["&amp;SUBSTITUTE(SUBSTITUTE(SUBSTITUTE(E1877," [",", "),"[",", "),"]","")&amp;"]")))</x:f>
      </x:c>
      <x:c r="G1877" t="str">
        <x:f>IF(F1877&lt;&gt;"",ROWS($F$3:F1877)-COUNTBLANK($F$3:F1877),"")</x:f>
      </x:c>
      <x:c r="H1877"/>
      <x:c r="I1877"/>
      <x:c r="J1877"/>
      <x:c r="K1877" t="str">
        <x:f>IF(ROW()-ROW($K$2)&lt;=SUM($J$3:$J$168),COUNTIF($H$3:$H$168,"&lt;"&amp;(ROW()-ROW($K$2))),"")</x:f>
      </x:c>
      <x:c r="L1877" t="str">
        <x:f>IF(K1877="","",ROW()-ROW($L$2)-INDEX($H$3:$H$168,K1877))</x:f>
      </x:c>
      <x:c r="M1877" t="str">
        <x:f>IF(K1877="","",IF(L1877=1,1,FIND(CHAR(1),SUBSTITUTE(INDEX($B$3:$B$168,K1877),CHAR(10),CHAR(1),L1877-1))+1))</x:f>
      </x:c>
      <x:c r="N1877" t="str">
        <x:f>IF(K1877="","",IFERROR(FIND(CHAR(1),SUBSTITUTE(INDEX($B$3:$B$168,K1877),CHAR(10),CHAR(1),L1877)),LEN(INDEX($B$3:$B$168,K1877))+1))</x:f>
      </x:c>
    </x:row>
    <x:row r="1878">
      <x:c r="A1878"/>
      <x:c r="B1878"/>
      <x:c r="C1878"/>
      <x:c r="D1878" t="str">
        <x:f>IFERROR(IF(1876&lt;=$O$1,INDEX($A$3:$A$168,MATCH(1876,$I$3:$I$168,0)),IF(1876&lt;=$O$1+$O$2,INDEX($F$3:$F$1994,MATCH(1876-$O$1,$G$3:$G$1994,0)),"")),"")</x:f>
      </x:c>
      <x:c r="E1878" t="str">
        <x:f>IF(K1878="","",IF(N1878&lt;=M1878,"",TRIM(CLEAN(MID(INDEX($B$3:$B$168,K1878),M1878,N1878-M1878)))))</x:f>
      </x:c>
      <x:c r="F1878" t="str">
        <x:f>IF(E1878="","",IF(E1878=TRIM(INDEX($A$3:$A$168,K1878)),"",IF(RIGHT(TRIM(INDEX($A$3:$A$168,K1878)),1)="]",LEFT(TRIM(INDEX($A$3:$A$168,K1878)),LEN(TRIM(INDEX($A$3:$A$168,K1878)))-1)&amp;", "&amp;SUBSTITUTE(SUBSTITUTE(SUBSTITUTE(E1878," [",", "),"[",", "),"]","")&amp;"]",TRIM(INDEX($A$3:$A$168,K1878))&amp;" ["&amp;SUBSTITUTE(SUBSTITUTE(SUBSTITUTE(E1878," [",", "),"[",", "),"]","")&amp;"]")))</x:f>
      </x:c>
      <x:c r="G1878" t="str">
        <x:f>IF(F1878&lt;&gt;"",ROWS($F$3:F1878)-COUNTBLANK($F$3:F1878),"")</x:f>
      </x:c>
      <x:c r="H1878"/>
      <x:c r="I1878"/>
      <x:c r="J1878"/>
      <x:c r="K1878" t="str">
        <x:f>IF(ROW()-ROW($K$2)&lt;=SUM($J$3:$J$168),COUNTIF($H$3:$H$168,"&lt;"&amp;(ROW()-ROW($K$2))),"")</x:f>
      </x:c>
      <x:c r="L1878" t="str">
        <x:f>IF(K1878="","",ROW()-ROW($L$2)-INDEX($H$3:$H$168,K1878))</x:f>
      </x:c>
      <x:c r="M1878" t="str">
        <x:f>IF(K1878="","",IF(L1878=1,1,FIND(CHAR(1),SUBSTITUTE(INDEX($B$3:$B$168,K1878),CHAR(10),CHAR(1),L1878-1))+1))</x:f>
      </x:c>
      <x:c r="N1878" t="str">
        <x:f>IF(K1878="","",IFERROR(FIND(CHAR(1),SUBSTITUTE(INDEX($B$3:$B$168,K1878),CHAR(10),CHAR(1),L1878)),LEN(INDEX($B$3:$B$168,K1878))+1))</x:f>
      </x:c>
    </x:row>
    <x:row r="1879">
      <x:c r="A1879"/>
      <x:c r="B1879"/>
      <x:c r="C1879"/>
      <x:c r="D1879" t="str">
        <x:f>IFERROR(IF(1877&lt;=$O$1,INDEX($A$3:$A$168,MATCH(1877,$I$3:$I$168,0)),IF(1877&lt;=$O$1+$O$2,INDEX($F$3:$F$1994,MATCH(1877-$O$1,$G$3:$G$1994,0)),"")),"")</x:f>
      </x:c>
      <x:c r="E1879" t="str">
        <x:f>IF(K1879="","",IF(N1879&lt;=M1879,"",TRIM(CLEAN(MID(INDEX($B$3:$B$168,K1879),M1879,N1879-M1879)))))</x:f>
      </x:c>
      <x:c r="F1879" t="str">
        <x:f>IF(E1879="","",IF(E1879=TRIM(INDEX($A$3:$A$168,K1879)),"",IF(RIGHT(TRIM(INDEX($A$3:$A$168,K1879)),1)="]",LEFT(TRIM(INDEX($A$3:$A$168,K1879)),LEN(TRIM(INDEX($A$3:$A$168,K1879)))-1)&amp;", "&amp;SUBSTITUTE(SUBSTITUTE(SUBSTITUTE(E1879," [",", "),"[",", "),"]","")&amp;"]",TRIM(INDEX($A$3:$A$168,K1879))&amp;" ["&amp;SUBSTITUTE(SUBSTITUTE(SUBSTITUTE(E1879," [",", "),"[",", "),"]","")&amp;"]")))</x:f>
      </x:c>
      <x:c r="G1879" t="str">
        <x:f>IF(F1879&lt;&gt;"",ROWS($F$3:F1879)-COUNTBLANK($F$3:F1879),"")</x:f>
      </x:c>
      <x:c r="H1879"/>
      <x:c r="I1879"/>
      <x:c r="J1879"/>
      <x:c r="K1879" t="str">
        <x:f>IF(ROW()-ROW($K$2)&lt;=SUM($J$3:$J$168),COUNTIF($H$3:$H$168,"&lt;"&amp;(ROW()-ROW($K$2))),"")</x:f>
      </x:c>
      <x:c r="L1879" t="str">
        <x:f>IF(K1879="","",ROW()-ROW($L$2)-INDEX($H$3:$H$168,K1879))</x:f>
      </x:c>
      <x:c r="M1879" t="str">
        <x:f>IF(K1879="","",IF(L1879=1,1,FIND(CHAR(1),SUBSTITUTE(INDEX($B$3:$B$168,K1879),CHAR(10),CHAR(1),L1879-1))+1))</x:f>
      </x:c>
      <x:c r="N1879" t="str">
        <x:f>IF(K1879="","",IFERROR(FIND(CHAR(1),SUBSTITUTE(INDEX($B$3:$B$168,K1879),CHAR(10),CHAR(1),L1879)),LEN(INDEX($B$3:$B$168,K1879))+1))</x:f>
      </x:c>
    </x:row>
    <x:row r="1880">
      <x:c r="A1880"/>
      <x:c r="B1880"/>
      <x:c r="C1880"/>
      <x:c r="D1880" t="str">
        <x:f>IFERROR(IF(1878&lt;=$O$1,INDEX($A$3:$A$168,MATCH(1878,$I$3:$I$168,0)),IF(1878&lt;=$O$1+$O$2,INDEX($F$3:$F$1994,MATCH(1878-$O$1,$G$3:$G$1994,0)),"")),"")</x:f>
      </x:c>
      <x:c r="E1880" t="str">
        <x:f>IF(K1880="","",IF(N1880&lt;=M1880,"",TRIM(CLEAN(MID(INDEX($B$3:$B$168,K1880),M1880,N1880-M1880)))))</x:f>
      </x:c>
      <x:c r="F1880" t="str">
        <x:f>IF(E1880="","",IF(E1880=TRIM(INDEX($A$3:$A$168,K1880)),"",IF(RIGHT(TRIM(INDEX($A$3:$A$168,K1880)),1)="]",LEFT(TRIM(INDEX($A$3:$A$168,K1880)),LEN(TRIM(INDEX($A$3:$A$168,K1880)))-1)&amp;", "&amp;SUBSTITUTE(SUBSTITUTE(SUBSTITUTE(E1880," [",", "),"[",", "),"]","")&amp;"]",TRIM(INDEX($A$3:$A$168,K1880))&amp;" ["&amp;SUBSTITUTE(SUBSTITUTE(SUBSTITUTE(E1880," [",", "),"[",", "),"]","")&amp;"]")))</x:f>
      </x:c>
      <x:c r="G1880" t="str">
        <x:f>IF(F1880&lt;&gt;"",ROWS($F$3:F1880)-COUNTBLANK($F$3:F1880),"")</x:f>
      </x:c>
      <x:c r="H1880"/>
      <x:c r="I1880"/>
      <x:c r="J1880"/>
      <x:c r="K1880" t="str">
        <x:f>IF(ROW()-ROW($K$2)&lt;=SUM($J$3:$J$168),COUNTIF($H$3:$H$168,"&lt;"&amp;(ROW()-ROW($K$2))),"")</x:f>
      </x:c>
      <x:c r="L1880" t="str">
        <x:f>IF(K1880="","",ROW()-ROW($L$2)-INDEX($H$3:$H$168,K1880))</x:f>
      </x:c>
      <x:c r="M1880" t="str">
        <x:f>IF(K1880="","",IF(L1880=1,1,FIND(CHAR(1),SUBSTITUTE(INDEX($B$3:$B$168,K1880),CHAR(10),CHAR(1),L1880-1))+1))</x:f>
      </x:c>
      <x:c r="N1880" t="str">
        <x:f>IF(K1880="","",IFERROR(FIND(CHAR(1),SUBSTITUTE(INDEX($B$3:$B$168,K1880),CHAR(10),CHAR(1),L1880)),LEN(INDEX($B$3:$B$168,K1880))+1))</x:f>
      </x:c>
    </x:row>
    <x:row r="1881">
      <x:c r="A1881"/>
      <x:c r="B1881"/>
      <x:c r="C1881"/>
      <x:c r="D1881" t="str">
        <x:f>IFERROR(IF(1879&lt;=$O$1,INDEX($A$3:$A$168,MATCH(1879,$I$3:$I$168,0)),IF(1879&lt;=$O$1+$O$2,INDEX($F$3:$F$1994,MATCH(1879-$O$1,$G$3:$G$1994,0)),"")),"")</x:f>
      </x:c>
      <x:c r="E1881" t="str">
        <x:f>IF(K1881="","",IF(N1881&lt;=M1881,"",TRIM(CLEAN(MID(INDEX($B$3:$B$168,K1881),M1881,N1881-M1881)))))</x:f>
      </x:c>
      <x:c r="F1881" t="str">
        <x:f>IF(E1881="","",IF(E1881=TRIM(INDEX($A$3:$A$168,K1881)),"",IF(RIGHT(TRIM(INDEX($A$3:$A$168,K1881)),1)="]",LEFT(TRIM(INDEX($A$3:$A$168,K1881)),LEN(TRIM(INDEX($A$3:$A$168,K1881)))-1)&amp;", "&amp;SUBSTITUTE(SUBSTITUTE(SUBSTITUTE(E1881," [",", "),"[",", "),"]","")&amp;"]",TRIM(INDEX($A$3:$A$168,K1881))&amp;" ["&amp;SUBSTITUTE(SUBSTITUTE(SUBSTITUTE(E1881," [",", "),"[",", "),"]","")&amp;"]")))</x:f>
      </x:c>
      <x:c r="G1881" t="str">
        <x:f>IF(F1881&lt;&gt;"",ROWS($F$3:F1881)-COUNTBLANK($F$3:F1881),"")</x:f>
      </x:c>
      <x:c r="H1881"/>
      <x:c r="I1881"/>
      <x:c r="J1881"/>
      <x:c r="K1881" t="str">
        <x:f>IF(ROW()-ROW($K$2)&lt;=SUM($J$3:$J$168),COUNTIF($H$3:$H$168,"&lt;"&amp;(ROW()-ROW($K$2))),"")</x:f>
      </x:c>
      <x:c r="L1881" t="str">
        <x:f>IF(K1881="","",ROW()-ROW($L$2)-INDEX($H$3:$H$168,K1881))</x:f>
      </x:c>
      <x:c r="M1881" t="str">
        <x:f>IF(K1881="","",IF(L1881=1,1,FIND(CHAR(1),SUBSTITUTE(INDEX($B$3:$B$168,K1881),CHAR(10),CHAR(1),L1881-1))+1))</x:f>
      </x:c>
      <x:c r="N1881" t="str">
        <x:f>IF(K1881="","",IFERROR(FIND(CHAR(1),SUBSTITUTE(INDEX($B$3:$B$168,K1881),CHAR(10),CHAR(1),L1881)),LEN(INDEX($B$3:$B$168,K1881))+1))</x:f>
      </x:c>
    </x:row>
    <x:row r="1882">
      <x:c r="A1882"/>
      <x:c r="B1882"/>
      <x:c r="C1882"/>
      <x:c r="D1882" t="str">
        <x:f>IFERROR(IF(1880&lt;=$O$1,INDEX($A$3:$A$168,MATCH(1880,$I$3:$I$168,0)),IF(1880&lt;=$O$1+$O$2,INDEX($F$3:$F$1994,MATCH(1880-$O$1,$G$3:$G$1994,0)),"")),"")</x:f>
      </x:c>
      <x:c r="E1882" t="str">
        <x:f>IF(K1882="","",IF(N1882&lt;=M1882,"",TRIM(CLEAN(MID(INDEX($B$3:$B$168,K1882),M1882,N1882-M1882)))))</x:f>
      </x:c>
      <x:c r="F1882" t="str">
        <x:f>IF(E1882="","",IF(E1882=TRIM(INDEX($A$3:$A$168,K1882)),"",IF(RIGHT(TRIM(INDEX($A$3:$A$168,K1882)),1)="]",LEFT(TRIM(INDEX($A$3:$A$168,K1882)),LEN(TRIM(INDEX($A$3:$A$168,K1882)))-1)&amp;", "&amp;SUBSTITUTE(SUBSTITUTE(SUBSTITUTE(E1882," [",", "),"[",", "),"]","")&amp;"]",TRIM(INDEX($A$3:$A$168,K1882))&amp;" ["&amp;SUBSTITUTE(SUBSTITUTE(SUBSTITUTE(E1882," [",", "),"[",", "),"]","")&amp;"]")))</x:f>
      </x:c>
      <x:c r="G1882" t="str">
        <x:f>IF(F1882&lt;&gt;"",ROWS($F$3:F1882)-COUNTBLANK($F$3:F1882),"")</x:f>
      </x:c>
      <x:c r="H1882"/>
      <x:c r="I1882"/>
      <x:c r="J1882"/>
      <x:c r="K1882" t="str">
        <x:f>IF(ROW()-ROW($K$2)&lt;=SUM($J$3:$J$168),COUNTIF($H$3:$H$168,"&lt;"&amp;(ROW()-ROW($K$2))),"")</x:f>
      </x:c>
      <x:c r="L1882" t="str">
        <x:f>IF(K1882="","",ROW()-ROW($L$2)-INDEX($H$3:$H$168,K1882))</x:f>
      </x:c>
      <x:c r="M1882" t="str">
        <x:f>IF(K1882="","",IF(L1882=1,1,FIND(CHAR(1),SUBSTITUTE(INDEX($B$3:$B$168,K1882),CHAR(10),CHAR(1),L1882-1))+1))</x:f>
      </x:c>
      <x:c r="N1882" t="str">
        <x:f>IF(K1882="","",IFERROR(FIND(CHAR(1),SUBSTITUTE(INDEX($B$3:$B$168,K1882),CHAR(10),CHAR(1),L1882)),LEN(INDEX($B$3:$B$168,K1882))+1))</x:f>
      </x:c>
    </x:row>
    <x:row r="1883">
      <x:c r="A1883"/>
      <x:c r="B1883"/>
      <x:c r="C1883"/>
      <x:c r="D1883" t="str">
        <x:f>IFERROR(IF(1881&lt;=$O$1,INDEX($A$3:$A$168,MATCH(1881,$I$3:$I$168,0)),IF(1881&lt;=$O$1+$O$2,INDEX($F$3:$F$1994,MATCH(1881-$O$1,$G$3:$G$1994,0)),"")),"")</x:f>
      </x:c>
      <x:c r="E1883" t="str">
        <x:f>IF(K1883="","",IF(N1883&lt;=M1883,"",TRIM(CLEAN(MID(INDEX($B$3:$B$168,K1883),M1883,N1883-M1883)))))</x:f>
      </x:c>
      <x:c r="F1883" t="str">
        <x:f>IF(E1883="","",IF(E1883=TRIM(INDEX($A$3:$A$168,K1883)),"",IF(RIGHT(TRIM(INDEX($A$3:$A$168,K1883)),1)="]",LEFT(TRIM(INDEX($A$3:$A$168,K1883)),LEN(TRIM(INDEX($A$3:$A$168,K1883)))-1)&amp;", "&amp;SUBSTITUTE(SUBSTITUTE(SUBSTITUTE(E1883," [",", "),"[",", "),"]","")&amp;"]",TRIM(INDEX($A$3:$A$168,K1883))&amp;" ["&amp;SUBSTITUTE(SUBSTITUTE(SUBSTITUTE(E1883," [",", "),"[",", "),"]","")&amp;"]")))</x:f>
      </x:c>
      <x:c r="G1883" t="str">
        <x:f>IF(F1883&lt;&gt;"",ROWS($F$3:F1883)-COUNTBLANK($F$3:F1883),"")</x:f>
      </x:c>
      <x:c r="H1883"/>
      <x:c r="I1883"/>
      <x:c r="J1883"/>
      <x:c r="K1883" t="str">
        <x:f>IF(ROW()-ROW($K$2)&lt;=SUM($J$3:$J$168),COUNTIF($H$3:$H$168,"&lt;"&amp;(ROW()-ROW($K$2))),"")</x:f>
      </x:c>
      <x:c r="L1883" t="str">
        <x:f>IF(K1883="","",ROW()-ROW($L$2)-INDEX($H$3:$H$168,K1883))</x:f>
      </x:c>
      <x:c r="M1883" t="str">
        <x:f>IF(K1883="","",IF(L1883=1,1,FIND(CHAR(1),SUBSTITUTE(INDEX($B$3:$B$168,K1883),CHAR(10),CHAR(1),L1883-1))+1))</x:f>
      </x:c>
      <x:c r="N1883" t="str">
        <x:f>IF(K1883="","",IFERROR(FIND(CHAR(1),SUBSTITUTE(INDEX($B$3:$B$168,K1883),CHAR(10),CHAR(1),L1883)),LEN(INDEX($B$3:$B$168,K1883))+1))</x:f>
      </x:c>
    </x:row>
    <x:row r="1884">
      <x:c r="A1884"/>
      <x:c r="B1884"/>
      <x:c r="C1884"/>
      <x:c r="D1884" t="str">
        <x:f>IFERROR(IF(1882&lt;=$O$1,INDEX($A$3:$A$168,MATCH(1882,$I$3:$I$168,0)),IF(1882&lt;=$O$1+$O$2,INDEX($F$3:$F$1994,MATCH(1882-$O$1,$G$3:$G$1994,0)),"")),"")</x:f>
      </x:c>
      <x:c r="E1884" t="str">
        <x:f>IF(K1884="","",IF(N1884&lt;=M1884,"",TRIM(CLEAN(MID(INDEX($B$3:$B$168,K1884),M1884,N1884-M1884)))))</x:f>
      </x:c>
      <x:c r="F1884" t="str">
        <x:f>IF(E1884="","",IF(E1884=TRIM(INDEX($A$3:$A$168,K1884)),"",IF(RIGHT(TRIM(INDEX($A$3:$A$168,K1884)),1)="]",LEFT(TRIM(INDEX($A$3:$A$168,K1884)),LEN(TRIM(INDEX($A$3:$A$168,K1884)))-1)&amp;", "&amp;SUBSTITUTE(SUBSTITUTE(SUBSTITUTE(E1884," [",", "),"[",", "),"]","")&amp;"]",TRIM(INDEX($A$3:$A$168,K1884))&amp;" ["&amp;SUBSTITUTE(SUBSTITUTE(SUBSTITUTE(E1884," [",", "),"[",", "),"]","")&amp;"]")))</x:f>
      </x:c>
      <x:c r="G1884" t="str">
        <x:f>IF(F1884&lt;&gt;"",ROWS($F$3:F1884)-COUNTBLANK($F$3:F1884),"")</x:f>
      </x:c>
      <x:c r="H1884"/>
      <x:c r="I1884"/>
      <x:c r="J1884"/>
      <x:c r="K1884" t="str">
        <x:f>IF(ROW()-ROW($K$2)&lt;=SUM($J$3:$J$168),COUNTIF($H$3:$H$168,"&lt;"&amp;(ROW()-ROW($K$2))),"")</x:f>
      </x:c>
      <x:c r="L1884" t="str">
        <x:f>IF(K1884="","",ROW()-ROW($L$2)-INDEX($H$3:$H$168,K1884))</x:f>
      </x:c>
      <x:c r="M1884" t="str">
        <x:f>IF(K1884="","",IF(L1884=1,1,FIND(CHAR(1),SUBSTITUTE(INDEX($B$3:$B$168,K1884),CHAR(10),CHAR(1),L1884-1))+1))</x:f>
      </x:c>
      <x:c r="N1884" t="str">
        <x:f>IF(K1884="","",IFERROR(FIND(CHAR(1),SUBSTITUTE(INDEX($B$3:$B$168,K1884),CHAR(10),CHAR(1),L1884)),LEN(INDEX($B$3:$B$168,K1884))+1))</x:f>
      </x:c>
    </x:row>
    <x:row r="1885">
      <x:c r="A1885"/>
      <x:c r="B1885"/>
      <x:c r="C1885"/>
      <x:c r="D1885" t="str">
        <x:f>IFERROR(IF(1883&lt;=$O$1,INDEX($A$3:$A$168,MATCH(1883,$I$3:$I$168,0)),IF(1883&lt;=$O$1+$O$2,INDEX($F$3:$F$1994,MATCH(1883-$O$1,$G$3:$G$1994,0)),"")),"")</x:f>
      </x:c>
      <x:c r="E1885" t="str">
        <x:f>IF(K1885="","",IF(N1885&lt;=M1885,"",TRIM(CLEAN(MID(INDEX($B$3:$B$168,K1885),M1885,N1885-M1885)))))</x:f>
      </x:c>
      <x:c r="F1885" t="str">
        <x:f>IF(E1885="","",IF(E1885=TRIM(INDEX($A$3:$A$168,K1885)),"",IF(RIGHT(TRIM(INDEX($A$3:$A$168,K1885)),1)="]",LEFT(TRIM(INDEX($A$3:$A$168,K1885)),LEN(TRIM(INDEX($A$3:$A$168,K1885)))-1)&amp;", "&amp;SUBSTITUTE(SUBSTITUTE(SUBSTITUTE(E1885," [",", "),"[",", "),"]","")&amp;"]",TRIM(INDEX($A$3:$A$168,K1885))&amp;" ["&amp;SUBSTITUTE(SUBSTITUTE(SUBSTITUTE(E1885," [",", "),"[",", "),"]","")&amp;"]")))</x:f>
      </x:c>
      <x:c r="G1885" t="str">
        <x:f>IF(F1885&lt;&gt;"",ROWS($F$3:F1885)-COUNTBLANK($F$3:F1885),"")</x:f>
      </x:c>
      <x:c r="H1885"/>
      <x:c r="I1885"/>
      <x:c r="J1885"/>
      <x:c r="K1885" t="str">
        <x:f>IF(ROW()-ROW($K$2)&lt;=SUM($J$3:$J$168),COUNTIF($H$3:$H$168,"&lt;"&amp;(ROW()-ROW($K$2))),"")</x:f>
      </x:c>
      <x:c r="L1885" t="str">
        <x:f>IF(K1885="","",ROW()-ROW($L$2)-INDEX($H$3:$H$168,K1885))</x:f>
      </x:c>
      <x:c r="M1885" t="str">
        <x:f>IF(K1885="","",IF(L1885=1,1,FIND(CHAR(1),SUBSTITUTE(INDEX($B$3:$B$168,K1885),CHAR(10),CHAR(1),L1885-1))+1))</x:f>
      </x:c>
      <x:c r="N1885" t="str">
        <x:f>IF(K1885="","",IFERROR(FIND(CHAR(1),SUBSTITUTE(INDEX($B$3:$B$168,K1885),CHAR(10),CHAR(1),L1885)),LEN(INDEX($B$3:$B$168,K1885))+1))</x:f>
      </x:c>
    </x:row>
    <x:row r="1886">
      <x:c r="A1886"/>
      <x:c r="B1886"/>
      <x:c r="C1886"/>
      <x:c r="D1886" t="str">
        <x:f>IFERROR(IF(1884&lt;=$O$1,INDEX($A$3:$A$168,MATCH(1884,$I$3:$I$168,0)),IF(1884&lt;=$O$1+$O$2,INDEX($F$3:$F$1994,MATCH(1884-$O$1,$G$3:$G$1994,0)),"")),"")</x:f>
      </x:c>
      <x:c r="E1886" t="str">
        <x:f>IF(K1886="","",IF(N1886&lt;=M1886,"",TRIM(CLEAN(MID(INDEX($B$3:$B$168,K1886),M1886,N1886-M1886)))))</x:f>
      </x:c>
      <x:c r="F1886" t="str">
        <x:f>IF(E1886="","",IF(E1886=TRIM(INDEX($A$3:$A$168,K1886)),"",IF(RIGHT(TRIM(INDEX($A$3:$A$168,K1886)),1)="]",LEFT(TRIM(INDEX($A$3:$A$168,K1886)),LEN(TRIM(INDEX($A$3:$A$168,K1886)))-1)&amp;", "&amp;SUBSTITUTE(SUBSTITUTE(SUBSTITUTE(E1886," [",", "),"[",", "),"]","")&amp;"]",TRIM(INDEX($A$3:$A$168,K1886))&amp;" ["&amp;SUBSTITUTE(SUBSTITUTE(SUBSTITUTE(E1886," [",", "),"[",", "),"]","")&amp;"]")))</x:f>
      </x:c>
      <x:c r="G1886" t="str">
        <x:f>IF(F1886&lt;&gt;"",ROWS($F$3:F1886)-COUNTBLANK($F$3:F1886),"")</x:f>
      </x:c>
      <x:c r="H1886"/>
      <x:c r="I1886"/>
      <x:c r="J1886"/>
      <x:c r="K1886" t="str">
        <x:f>IF(ROW()-ROW($K$2)&lt;=SUM($J$3:$J$168),COUNTIF($H$3:$H$168,"&lt;"&amp;(ROW()-ROW($K$2))),"")</x:f>
      </x:c>
      <x:c r="L1886" t="str">
        <x:f>IF(K1886="","",ROW()-ROW($L$2)-INDEX($H$3:$H$168,K1886))</x:f>
      </x:c>
      <x:c r="M1886" t="str">
        <x:f>IF(K1886="","",IF(L1886=1,1,FIND(CHAR(1),SUBSTITUTE(INDEX($B$3:$B$168,K1886),CHAR(10),CHAR(1),L1886-1))+1))</x:f>
      </x:c>
      <x:c r="N1886" t="str">
        <x:f>IF(K1886="","",IFERROR(FIND(CHAR(1),SUBSTITUTE(INDEX($B$3:$B$168,K1886),CHAR(10),CHAR(1),L1886)),LEN(INDEX($B$3:$B$168,K1886))+1))</x:f>
      </x:c>
    </x:row>
    <x:row r="1887">
      <x:c r="A1887"/>
      <x:c r="B1887"/>
      <x:c r="C1887"/>
      <x:c r="D1887" t="str">
        <x:f>IFERROR(IF(1885&lt;=$O$1,INDEX($A$3:$A$168,MATCH(1885,$I$3:$I$168,0)),IF(1885&lt;=$O$1+$O$2,INDEX($F$3:$F$1994,MATCH(1885-$O$1,$G$3:$G$1994,0)),"")),"")</x:f>
      </x:c>
      <x:c r="E1887" t="str">
        <x:f>IF(K1887="","",IF(N1887&lt;=M1887,"",TRIM(CLEAN(MID(INDEX($B$3:$B$168,K1887),M1887,N1887-M1887)))))</x:f>
      </x:c>
      <x:c r="F1887" t="str">
        <x:f>IF(E1887="","",IF(E1887=TRIM(INDEX($A$3:$A$168,K1887)),"",IF(RIGHT(TRIM(INDEX($A$3:$A$168,K1887)),1)="]",LEFT(TRIM(INDEX($A$3:$A$168,K1887)),LEN(TRIM(INDEX($A$3:$A$168,K1887)))-1)&amp;", "&amp;SUBSTITUTE(SUBSTITUTE(SUBSTITUTE(E1887," [",", "),"[",", "),"]","")&amp;"]",TRIM(INDEX($A$3:$A$168,K1887))&amp;" ["&amp;SUBSTITUTE(SUBSTITUTE(SUBSTITUTE(E1887," [",", "),"[",", "),"]","")&amp;"]")))</x:f>
      </x:c>
      <x:c r="G1887" t="str">
        <x:f>IF(F1887&lt;&gt;"",ROWS($F$3:F1887)-COUNTBLANK($F$3:F1887),"")</x:f>
      </x:c>
      <x:c r="H1887"/>
      <x:c r="I1887"/>
      <x:c r="J1887"/>
      <x:c r="K1887" t="str">
        <x:f>IF(ROW()-ROW($K$2)&lt;=SUM($J$3:$J$168),COUNTIF($H$3:$H$168,"&lt;"&amp;(ROW()-ROW($K$2))),"")</x:f>
      </x:c>
      <x:c r="L1887" t="str">
        <x:f>IF(K1887="","",ROW()-ROW($L$2)-INDEX($H$3:$H$168,K1887))</x:f>
      </x:c>
      <x:c r="M1887" t="str">
        <x:f>IF(K1887="","",IF(L1887=1,1,FIND(CHAR(1),SUBSTITUTE(INDEX($B$3:$B$168,K1887),CHAR(10),CHAR(1),L1887-1))+1))</x:f>
      </x:c>
      <x:c r="N1887" t="str">
        <x:f>IF(K1887="","",IFERROR(FIND(CHAR(1),SUBSTITUTE(INDEX($B$3:$B$168,K1887),CHAR(10),CHAR(1),L1887)),LEN(INDEX($B$3:$B$168,K1887))+1))</x:f>
      </x:c>
    </x:row>
    <x:row r="1888">
      <x:c r="A1888"/>
      <x:c r="B1888"/>
      <x:c r="C1888"/>
      <x:c r="D1888" t="str">
        <x:f>IFERROR(IF(1886&lt;=$O$1,INDEX($A$3:$A$168,MATCH(1886,$I$3:$I$168,0)),IF(1886&lt;=$O$1+$O$2,INDEX($F$3:$F$1994,MATCH(1886-$O$1,$G$3:$G$1994,0)),"")),"")</x:f>
      </x:c>
      <x:c r="E1888" t="str">
        <x:f>IF(K1888="","",IF(N1888&lt;=M1888,"",TRIM(CLEAN(MID(INDEX($B$3:$B$168,K1888),M1888,N1888-M1888)))))</x:f>
      </x:c>
      <x:c r="F1888" t="str">
        <x:f>IF(E1888="","",IF(E1888=TRIM(INDEX($A$3:$A$168,K1888)),"",IF(RIGHT(TRIM(INDEX($A$3:$A$168,K1888)),1)="]",LEFT(TRIM(INDEX($A$3:$A$168,K1888)),LEN(TRIM(INDEX($A$3:$A$168,K1888)))-1)&amp;", "&amp;SUBSTITUTE(SUBSTITUTE(SUBSTITUTE(E1888," [",", "),"[",", "),"]","")&amp;"]",TRIM(INDEX($A$3:$A$168,K1888))&amp;" ["&amp;SUBSTITUTE(SUBSTITUTE(SUBSTITUTE(E1888," [",", "),"[",", "),"]","")&amp;"]")))</x:f>
      </x:c>
      <x:c r="G1888" t="str">
        <x:f>IF(F1888&lt;&gt;"",ROWS($F$3:F1888)-COUNTBLANK($F$3:F1888),"")</x:f>
      </x:c>
      <x:c r="H1888"/>
      <x:c r="I1888"/>
      <x:c r="J1888"/>
      <x:c r="K1888" t="str">
        <x:f>IF(ROW()-ROW($K$2)&lt;=SUM($J$3:$J$168),COUNTIF($H$3:$H$168,"&lt;"&amp;(ROW()-ROW($K$2))),"")</x:f>
      </x:c>
      <x:c r="L1888" t="str">
        <x:f>IF(K1888="","",ROW()-ROW($L$2)-INDEX($H$3:$H$168,K1888))</x:f>
      </x:c>
      <x:c r="M1888" t="str">
        <x:f>IF(K1888="","",IF(L1888=1,1,FIND(CHAR(1),SUBSTITUTE(INDEX($B$3:$B$168,K1888),CHAR(10),CHAR(1),L1888-1))+1))</x:f>
      </x:c>
      <x:c r="N1888" t="str">
        <x:f>IF(K1888="","",IFERROR(FIND(CHAR(1),SUBSTITUTE(INDEX($B$3:$B$168,K1888),CHAR(10),CHAR(1),L1888)),LEN(INDEX($B$3:$B$168,K1888))+1))</x:f>
      </x:c>
    </x:row>
    <x:row r="1889">
      <x:c r="A1889"/>
      <x:c r="B1889"/>
      <x:c r="C1889"/>
      <x:c r="D1889" t="str">
        <x:f>IFERROR(IF(1887&lt;=$O$1,INDEX($A$3:$A$168,MATCH(1887,$I$3:$I$168,0)),IF(1887&lt;=$O$1+$O$2,INDEX($F$3:$F$1994,MATCH(1887-$O$1,$G$3:$G$1994,0)),"")),"")</x:f>
      </x:c>
      <x:c r="E1889" t="str">
        <x:f>IF(K1889="","",IF(N1889&lt;=M1889,"",TRIM(CLEAN(MID(INDEX($B$3:$B$168,K1889),M1889,N1889-M1889)))))</x:f>
      </x:c>
      <x:c r="F1889" t="str">
        <x:f>IF(E1889="","",IF(E1889=TRIM(INDEX($A$3:$A$168,K1889)),"",IF(RIGHT(TRIM(INDEX($A$3:$A$168,K1889)),1)="]",LEFT(TRIM(INDEX($A$3:$A$168,K1889)),LEN(TRIM(INDEX($A$3:$A$168,K1889)))-1)&amp;", "&amp;SUBSTITUTE(SUBSTITUTE(SUBSTITUTE(E1889," [",", "),"[",", "),"]","")&amp;"]",TRIM(INDEX($A$3:$A$168,K1889))&amp;" ["&amp;SUBSTITUTE(SUBSTITUTE(SUBSTITUTE(E1889," [",", "),"[",", "),"]","")&amp;"]")))</x:f>
      </x:c>
      <x:c r="G1889" t="str">
        <x:f>IF(F1889&lt;&gt;"",ROWS($F$3:F1889)-COUNTBLANK($F$3:F1889),"")</x:f>
      </x:c>
      <x:c r="H1889"/>
      <x:c r="I1889"/>
      <x:c r="J1889"/>
      <x:c r="K1889" t="str">
        <x:f>IF(ROW()-ROW($K$2)&lt;=SUM($J$3:$J$168),COUNTIF($H$3:$H$168,"&lt;"&amp;(ROW()-ROW($K$2))),"")</x:f>
      </x:c>
      <x:c r="L1889" t="str">
        <x:f>IF(K1889="","",ROW()-ROW($L$2)-INDEX($H$3:$H$168,K1889))</x:f>
      </x:c>
      <x:c r="M1889" t="str">
        <x:f>IF(K1889="","",IF(L1889=1,1,FIND(CHAR(1),SUBSTITUTE(INDEX($B$3:$B$168,K1889),CHAR(10),CHAR(1),L1889-1))+1))</x:f>
      </x:c>
      <x:c r="N1889" t="str">
        <x:f>IF(K1889="","",IFERROR(FIND(CHAR(1),SUBSTITUTE(INDEX($B$3:$B$168,K1889),CHAR(10),CHAR(1),L1889)),LEN(INDEX($B$3:$B$168,K1889))+1))</x:f>
      </x:c>
    </x:row>
    <x:row r="1890">
      <x:c r="A1890"/>
      <x:c r="B1890"/>
      <x:c r="C1890"/>
      <x:c r="D1890" t="str">
        <x:f>IFERROR(IF(1888&lt;=$O$1,INDEX($A$3:$A$168,MATCH(1888,$I$3:$I$168,0)),IF(1888&lt;=$O$1+$O$2,INDEX($F$3:$F$1994,MATCH(1888-$O$1,$G$3:$G$1994,0)),"")),"")</x:f>
      </x:c>
      <x:c r="E1890" t="str">
        <x:f>IF(K1890="","",IF(N1890&lt;=M1890,"",TRIM(CLEAN(MID(INDEX($B$3:$B$168,K1890),M1890,N1890-M1890)))))</x:f>
      </x:c>
      <x:c r="F1890" t="str">
        <x:f>IF(E1890="","",IF(E1890=TRIM(INDEX($A$3:$A$168,K1890)),"",IF(RIGHT(TRIM(INDEX($A$3:$A$168,K1890)),1)="]",LEFT(TRIM(INDEX($A$3:$A$168,K1890)),LEN(TRIM(INDEX($A$3:$A$168,K1890)))-1)&amp;", "&amp;SUBSTITUTE(SUBSTITUTE(SUBSTITUTE(E1890," [",", "),"[",", "),"]","")&amp;"]",TRIM(INDEX($A$3:$A$168,K1890))&amp;" ["&amp;SUBSTITUTE(SUBSTITUTE(SUBSTITUTE(E1890," [",", "),"[",", "),"]","")&amp;"]")))</x:f>
      </x:c>
      <x:c r="G1890" t="str">
        <x:f>IF(F1890&lt;&gt;"",ROWS($F$3:F1890)-COUNTBLANK($F$3:F1890),"")</x:f>
      </x:c>
      <x:c r="H1890"/>
      <x:c r="I1890"/>
      <x:c r="J1890"/>
      <x:c r="K1890" t="str">
        <x:f>IF(ROW()-ROW($K$2)&lt;=SUM($J$3:$J$168),COUNTIF($H$3:$H$168,"&lt;"&amp;(ROW()-ROW($K$2))),"")</x:f>
      </x:c>
      <x:c r="L1890" t="str">
        <x:f>IF(K1890="","",ROW()-ROW($L$2)-INDEX($H$3:$H$168,K1890))</x:f>
      </x:c>
      <x:c r="M1890" t="str">
        <x:f>IF(K1890="","",IF(L1890=1,1,FIND(CHAR(1),SUBSTITUTE(INDEX($B$3:$B$168,K1890),CHAR(10),CHAR(1),L1890-1))+1))</x:f>
      </x:c>
      <x:c r="N1890" t="str">
        <x:f>IF(K1890="","",IFERROR(FIND(CHAR(1),SUBSTITUTE(INDEX($B$3:$B$168,K1890),CHAR(10),CHAR(1),L1890)),LEN(INDEX($B$3:$B$168,K1890))+1))</x:f>
      </x:c>
    </x:row>
    <x:row r="1891">
      <x:c r="A1891"/>
      <x:c r="B1891"/>
      <x:c r="C1891"/>
      <x:c r="D1891" t="str">
        <x:f>IFERROR(IF(1889&lt;=$O$1,INDEX($A$3:$A$168,MATCH(1889,$I$3:$I$168,0)),IF(1889&lt;=$O$1+$O$2,INDEX($F$3:$F$1994,MATCH(1889-$O$1,$G$3:$G$1994,0)),"")),"")</x:f>
      </x:c>
      <x:c r="E1891" t="str">
        <x:f>IF(K1891="","",IF(N1891&lt;=M1891,"",TRIM(CLEAN(MID(INDEX($B$3:$B$168,K1891),M1891,N1891-M1891)))))</x:f>
      </x:c>
      <x:c r="F1891" t="str">
        <x:f>IF(E1891="","",IF(E1891=TRIM(INDEX($A$3:$A$168,K1891)),"",IF(RIGHT(TRIM(INDEX($A$3:$A$168,K1891)),1)="]",LEFT(TRIM(INDEX($A$3:$A$168,K1891)),LEN(TRIM(INDEX($A$3:$A$168,K1891)))-1)&amp;", "&amp;SUBSTITUTE(SUBSTITUTE(SUBSTITUTE(E1891," [",", "),"[",", "),"]","")&amp;"]",TRIM(INDEX($A$3:$A$168,K1891))&amp;" ["&amp;SUBSTITUTE(SUBSTITUTE(SUBSTITUTE(E1891," [",", "),"[",", "),"]","")&amp;"]")))</x:f>
      </x:c>
      <x:c r="G1891" t="str">
        <x:f>IF(F1891&lt;&gt;"",ROWS($F$3:F1891)-COUNTBLANK($F$3:F1891),"")</x:f>
      </x:c>
      <x:c r="H1891"/>
      <x:c r="I1891"/>
      <x:c r="J1891"/>
      <x:c r="K1891" t="str">
        <x:f>IF(ROW()-ROW($K$2)&lt;=SUM($J$3:$J$168),COUNTIF($H$3:$H$168,"&lt;"&amp;(ROW()-ROW($K$2))),"")</x:f>
      </x:c>
      <x:c r="L1891" t="str">
        <x:f>IF(K1891="","",ROW()-ROW($L$2)-INDEX($H$3:$H$168,K1891))</x:f>
      </x:c>
      <x:c r="M1891" t="str">
        <x:f>IF(K1891="","",IF(L1891=1,1,FIND(CHAR(1),SUBSTITUTE(INDEX($B$3:$B$168,K1891),CHAR(10),CHAR(1),L1891-1))+1))</x:f>
      </x:c>
      <x:c r="N1891" t="str">
        <x:f>IF(K1891="","",IFERROR(FIND(CHAR(1),SUBSTITUTE(INDEX($B$3:$B$168,K1891),CHAR(10),CHAR(1),L1891)),LEN(INDEX($B$3:$B$168,K1891))+1))</x:f>
      </x:c>
    </x:row>
    <x:row r="1892">
      <x:c r="A1892"/>
      <x:c r="B1892"/>
      <x:c r="C1892"/>
      <x:c r="D1892" t="str">
        <x:f>IFERROR(IF(1890&lt;=$O$1,INDEX($A$3:$A$168,MATCH(1890,$I$3:$I$168,0)),IF(1890&lt;=$O$1+$O$2,INDEX($F$3:$F$1994,MATCH(1890-$O$1,$G$3:$G$1994,0)),"")),"")</x:f>
      </x:c>
      <x:c r="E1892" t="str">
        <x:f>IF(K1892="","",IF(N1892&lt;=M1892,"",TRIM(CLEAN(MID(INDEX($B$3:$B$168,K1892),M1892,N1892-M1892)))))</x:f>
      </x:c>
      <x:c r="F1892" t="str">
        <x:f>IF(E1892="","",IF(E1892=TRIM(INDEX($A$3:$A$168,K1892)),"",IF(RIGHT(TRIM(INDEX($A$3:$A$168,K1892)),1)="]",LEFT(TRIM(INDEX($A$3:$A$168,K1892)),LEN(TRIM(INDEX($A$3:$A$168,K1892)))-1)&amp;", "&amp;SUBSTITUTE(SUBSTITUTE(SUBSTITUTE(E1892," [",", "),"[",", "),"]","")&amp;"]",TRIM(INDEX($A$3:$A$168,K1892))&amp;" ["&amp;SUBSTITUTE(SUBSTITUTE(SUBSTITUTE(E1892," [",", "),"[",", "),"]","")&amp;"]")))</x:f>
      </x:c>
      <x:c r="G1892" t="str">
        <x:f>IF(F1892&lt;&gt;"",ROWS($F$3:F1892)-COUNTBLANK($F$3:F1892),"")</x:f>
      </x:c>
      <x:c r="H1892"/>
      <x:c r="I1892"/>
      <x:c r="J1892"/>
      <x:c r="K1892" t="str">
        <x:f>IF(ROW()-ROW($K$2)&lt;=SUM($J$3:$J$168),COUNTIF($H$3:$H$168,"&lt;"&amp;(ROW()-ROW($K$2))),"")</x:f>
      </x:c>
      <x:c r="L1892" t="str">
        <x:f>IF(K1892="","",ROW()-ROW($L$2)-INDEX($H$3:$H$168,K1892))</x:f>
      </x:c>
      <x:c r="M1892" t="str">
        <x:f>IF(K1892="","",IF(L1892=1,1,FIND(CHAR(1),SUBSTITUTE(INDEX($B$3:$B$168,K1892),CHAR(10),CHAR(1),L1892-1))+1))</x:f>
      </x:c>
      <x:c r="N1892" t="str">
        <x:f>IF(K1892="","",IFERROR(FIND(CHAR(1),SUBSTITUTE(INDEX($B$3:$B$168,K1892),CHAR(10),CHAR(1),L1892)),LEN(INDEX($B$3:$B$168,K1892))+1))</x:f>
      </x:c>
    </x:row>
    <x:row r="1893">
      <x:c r="A1893"/>
      <x:c r="B1893"/>
      <x:c r="C1893"/>
      <x:c r="D1893" t="str">
        <x:f>IFERROR(IF(1891&lt;=$O$1,INDEX($A$3:$A$168,MATCH(1891,$I$3:$I$168,0)),IF(1891&lt;=$O$1+$O$2,INDEX($F$3:$F$1994,MATCH(1891-$O$1,$G$3:$G$1994,0)),"")),"")</x:f>
      </x:c>
      <x:c r="E1893" t="str">
        <x:f>IF(K1893="","",IF(N1893&lt;=M1893,"",TRIM(CLEAN(MID(INDEX($B$3:$B$168,K1893),M1893,N1893-M1893)))))</x:f>
      </x:c>
      <x:c r="F1893" t="str">
        <x:f>IF(E1893="","",IF(E1893=TRIM(INDEX($A$3:$A$168,K1893)),"",IF(RIGHT(TRIM(INDEX($A$3:$A$168,K1893)),1)="]",LEFT(TRIM(INDEX($A$3:$A$168,K1893)),LEN(TRIM(INDEX($A$3:$A$168,K1893)))-1)&amp;", "&amp;SUBSTITUTE(SUBSTITUTE(SUBSTITUTE(E1893," [",", "),"[",", "),"]","")&amp;"]",TRIM(INDEX($A$3:$A$168,K1893))&amp;" ["&amp;SUBSTITUTE(SUBSTITUTE(SUBSTITUTE(E1893," [",", "),"[",", "),"]","")&amp;"]")))</x:f>
      </x:c>
      <x:c r="G1893" t="str">
        <x:f>IF(F1893&lt;&gt;"",ROWS($F$3:F1893)-COUNTBLANK($F$3:F1893),"")</x:f>
      </x:c>
      <x:c r="H1893"/>
      <x:c r="I1893"/>
      <x:c r="J1893"/>
      <x:c r="K1893" t="str">
        <x:f>IF(ROW()-ROW($K$2)&lt;=SUM($J$3:$J$168),COUNTIF($H$3:$H$168,"&lt;"&amp;(ROW()-ROW($K$2))),"")</x:f>
      </x:c>
      <x:c r="L1893" t="str">
        <x:f>IF(K1893="","",ROW()-ROW($L$2)-INDEX($H$3:$H$168,K1893))</x:f>
      </x:c>
      <x:c r="M1893" t="str">
        <x:f>IF(K1893="","",IF(L1893=1,1,FIND(CHAR(1),SUBSTITUTE(INDEX($B$3:$B$168,K1893),CHAR(10),CHAR(1),L1893-1))+1))</x:f>
      </x:c>
      <x:c r="N1893" t="str">
        <x:f>IF(K1893="","",IFERROR(FIND(CHAR(1),SUBSTITUTE(INDEX($B$3:$B$168,K1893),CHAR(10),CHAR(1),L1893)),LEN(INDEX($B$3:$B$168,K1893))+1))</x:f>
      </x:c>
    </x:row>
    <x:row r="1894">
      <x:c r="A1894"/>
      <x:c r="B1894"/>
      <x:c r="C1894"/>
      <x:c r="D1894" t="str">
        <x:f>IFERROR(IF(1892&lt;=$O$1,INDEX($A$3:$A$168,MATCH(1892,$I$3:$I$168,0)),IF(1892&lt;=$O$1+$O$2,INDEX($F$3:$F$1994,MATCH(1892-$O$1,$G$3:$G$1994,0)),"")),"")</x:f>
      </x:c>
      <x:c r="E1894" t="str">
        <x:f>IF(K1894="","",IF(N1894&lt;=M1894,"",TRIM(CLEAN(MID(INDEX($B$3:$B$168,K1894),M1894,N1894-M1894)))))</x:f>
      </x:c>
      <x:c r="F1894" t="str">
        <x:f>IF(E1894="","",IF(E1894=TRIM(INDEX($A$3:$A$168,K1894)),"",IF(RIGHT(TRIM(INDEX($A$3:$A$168,K1894)),1)="]",LEFT(TRIM(INDEX($A$3:$A$168,K1894)),LEN(TRIM(INDEX($A$3:$A$168,K1894)))-1)&amp;", "&amp;SUBSTITUTE(SUBSTITUTE(SUBSTITUTE(E1894," [",", "),"[",", "),"]","")&amp;"]",TRIM(INDEX($A$3:$A$168,K1894))&amp;" ["&amp;SUBSTITUTE(SUBSTITUTE(SUBSTITUTE(E1894," [",", "),"[",", "),"]","")&amp;"]")))</x:f>
      </x:c>
      <x:c r="G1894" t="str">
        <x:f>IF(F1894&lt;&gt;"",ROWS($F$3:F1894)-COUNTBLANK($F$3:F1894),"")</x:f>
      </x:c>
      <x:c r="H1894"/>
      <x:c r="I1894"/>
      <x:c r="J1894"/>
      <x:c r="K1894" t="str">
        <x:f>IF(ROW()-ROW($K$2)&lt;=SUM($J$3:$J$168),COUNTIF($H$3:$H$168,"&lt;"&amp;(ROW()-ROW($K$2))),"")</x:f>
      </x:c>
      <x:c r="L1894" t="str">
        <x:f>IF(K1894="","",ROW()-ROW($L$2)-INDEX($H$3:$H$168,K1894))</x:f>
      </x:c>
      <x:c r="M1894" t="str">
        <x:f>IF(K1894="","",IF(L1894=1,1,FIND(CHAR(1),SUBSTITUTE(INDEX($B$3:$B$168,K1894),CHAR(10),CHAR(1),L1894-1))+1))</x:f>
      </x:c>
      <x:c r="N1894" t="str">
        <x:f>IF(K1894="","",IFERROR(FIND(CHAR(1),SUBSTITUTE(INDEX($B$3:$B$168,K1894),CHAR(10),CHAR(1),L1894)),LEN(INDEX($B$3:$B$168,K1894))+1))</x:f>
      </x:c>
    </x:row>
    <x:row r="1895">
      <x:c r="A1895"/>
      <x:c r="B1895"/>
      <x:c r="C1895"/>
      <x:c r="D1895" t="str">
        <x:f>IFERROR(IF(1893&lt;=$O$1,INDEX($A$3:$A$168,MATCH(1893,$I$3:$I$168,0)),IF(1893&lt;=$O$1+$O$2,INDEX($F$3:$F$1994,MATCH(1893-$O$1,$G$3:$G$1994,0)),"")),"")</x:f>
      </x:c>
      <x:c r="E1895" t="str">
        <x:f>IF(K1895="","",IF(N1895&lt;=M1895,"",TRIM(CLEAN(MID(INDEX($B$3:$B$168,K1895),M1895,N1895-M1895)))))</x:f>
      </x:c>
      <x:c r="F1895" t="str">
        <x:f>IF(E1895="","",IF(E1895=TRIM(INDEX($A$3:$A$168,K1895)),"",IF(RIGHT(TRIM(INDEX($A$3:$A$168,K1895)),1)="]",LEFT(TRIM(INDEX($A$3:$A$168,K1895)),LEN(TRIM(INDEX($A$3:$A$168,K1895)))-1)&amp;", "&amp;SUBSTITUTE(SUBSTITUTE(SUBSTITUTE(E1895," [",", "),"[",", "),"]","")&amp;"]",TRIM(INDEX($A$3:$A$168,K1895))&amp;" ["&amp;SUBSTITUTE(SUBSTITUTE(SUBSTITUTE(E1895," [",", "),"[",", "),"]","")&amp;"]")))</x:f>
      </x:c>
      <x:c r="G1895" t="str">
        <x:f>IF(F1895&lt;&gt;"",ROWS($F$3:F1895)-COUNTBLANK($F$3:F1895),"")</x:f>
      </x:c>
      <x:c r="H1895"/>
      <x:c r="I1895"/>
      <x:c r="J1895"/>
      <x:c r="K1895" t="str">
        <x:f>IF(ROW()-ROW($K$2)&lt;=SUM($J$3:$J$168),COUNTIF($H$3:$H$168,"&lt;"&amp;(ROW()-ROW($K$2))),"")</x:f>
      </x:c>
      <x:c r="L1895" t="str">
        <x:f>IF(K1895="","",ROW()-ROW($L$2)-INDEX($H$3:$H$168,K1895))</x:f>
      </x:c>
      <x:c r="M1895" t="str">
        <x:f>IF(K1895="","",IF(L1895=1,1,FIND(CHAR(1),SUBSTITUTE(INDEX($B$3:$B$168,K1895),CHAR(10),CHAR(1),L1895-1))+1))</x:f>
      </x:c>
      <x:c r="N1895" t="str">
        <x:f>IF(K1895="","",IFERROR(FIND(CHAR(1),SUBSTITUTE(INDEX($B$3:$B$168,K1895),CHAR(10),CHAR(1),L1895)),LEN(INDEX($B$3:$B$168,K1895))+1))</x:f>
      </x:c>
    </x:row>
    <x:row r="1896">
      <x:c r="A1896"/>
      <x:c r="B1896"/>
      <x:c r="C1896"/>
      <x:c r="D1896" t="str">
        <x:f>IFERROR(IF(1894&lt;=$O$1,INDEX($A$3:$A$168,MATCH(1894,$I$3:$I$168,0)),IF(1894&lt;=$O$1+$O$2,INDEX($F$3:$F$1994,MATCH(1894-$O$1,$G$3:$G$1994,0)),"")),"")</x:f>
      </x:c>
      <x:c r="E1896" t="str">
        <x:f>IF(K1896="","",IF(N1896&lt;=M1896,"",TRIM(CLEAN(MID(INDEX($B$3:$B$168,K1896),M1896,N1896-M1896)))))</x:f>
      </x:c>
      <x:c r="F1896" t="str">
        <x:f>IF(E1896="","",IF(E1896=TRIM(INDEX($A$3:$A$168,K1896)),"",IF(RIGHT(TRIM(INDEX($A$3:$A$168,K1896)),1)="]",LEFT(TRIM(INDEX($A$3:$A$168,K1896)),LEN(TRIM(INDEX($A$3:$A$168,K1896)))-1)&amp;", "&amp;SUBSTITUTE(SUBSTITUTE(SUBSTITUTE(E1896," [",", "),"[",", "),"]","")&amp;"]",TRIM(INDEX($A$3:$A$168,K1896))&amp;" ["&amp;SUBSTITUTE(SUBSTITUTE(SUBSTITUTE(E1896," [",", "),"[",", "),"]","")&amp;"]")))</x:f>
      </x:c>
      <x:c r="G1896" t="str">
        <x:f>IF(F1896&lt;&gt;"",ROWS($F$3:F1896)-COUNTBLANK($F$3:F1896),"")</x:f>
      </x:c>
      <x:c r="H1896"/>
      <x:c r="I1896"/>
      <x:c r="J1896"/>
      <x:c r="K1896" t="str">
        <x:f>IF(ROW()-ROW($K$2)&lt;=SUM($J$3:$J$168),COUNTIF($H$3:$H$168,"&lt;"&amp;(ROW()-ROW($K$2))),"")</x:f>
      </x:c>
      <x:c r="L1896" t="str">
        <x:f>IF(K1896="","",ROW()-ROW($L$2)-INDEX($H$3:$H$168,K1896))</x:f>
      </x:c>
      <x:c r="M1896" t="str">
        <x:f>IF(K1896="","",IF(L1896=1,1,FIND(CHAR(1),SUBSTITUTE(INDEX($B$3:$B$168,K1896),CHAR(10),CHAR(1),L1896-1))+1))</x:f>
      </x:c>
      <x:c r="N1896" t="str">
        <x:f>IF(K1896="","",IFERROR(FIND(CHAR(1),SUBSTITUTE(INDEX($B$3:$B$168,K1896),CHAR(10),CHAR(1),L1896)),LEN(INDEX($B$3:$B$168,K1896))+1))</x:f>
      </x:c>
    </x:row>
    <x:row r="1897">
      <x:c r="A1897"/>
      <x:c r="B1897"/>
      <x:c r="C1897"/>
      <x:c r="D1897" t="str">
        <x:f>IFERROR(IF(1895&lt;=$O$1,INDEX($A$3:$A$168,MATCH(1895,$I$3:$I$168,0)),IF(1895&lt;=$O$1+$O$2,INDEX($F$3:$F$1994,MATCH(1895-$O$1,$G$3:$G$1994,0)),"")),"")</x:f>
      </x:c>
      <x:c r="E1897" t="str">
        <x:f>IF(K1897="","",IF(N1897&lt;=M1897,"",TRIM(CLEAN(MID(INDEX($B$3:$B$168,K1897),M1897,N1897-M1897)))))</x:f>
      </x:c>
      <x:c r="F1897" t="str">
        <x:f>IF(E1897="","",IF(E1897=TRIM(INDEX($A$3:$A$168,K1897)),"",IF(RIGHT(TRIM(INDEX($A$3:$A$168,K1897)),1)="]",LEFT(TRIM(INDEX($A$3:$A$168,K1897)),LEN(TRIM(INDEX($A$3:$A$168,K1897)))-1)&amp;", "&amp;SUBSTITUTE(SUBSTITUTE(SUBSTITUTE(E1897," [",", "),"[",", "),"]","")&amp;"]",TRIM(INDEX($A$3:$A$168,K1897))&amp;" ["&amp;SUBSTITUTE(SUBSTITUTE(SUBSTITUTE(E1897," [",", "),"[",", "),"]","")&amp;"]")))</x:f>
      </x:c>
      <x:c r="G1897" t="str">
        <x:f>IF(F1897&lt;&gt;"",ROWS($F$3:F1897)-COUNTBLANK($F$3:F1897),"")</x:f>
      </x:c>
      <x:c r="H1897"/>
      <x:c r="I1897"/>
      <x:c r="J1897"/>
      <x:c r="K1897" t="str">
        <x:f>IF(ROW()-ROW($K$2)&lt;=SUM($J$3:$J$168),COUNTIF($H$3:$H$168,"&lt;"&amp;(ROW()-ROW($K$2))),"")</x:f>
      </x:c>
      <x:c r="L1897" t="str">
        <x:f>IF(K1897="","",ROW()-ROW($L$2)-INDEX($H$3:$H$168,K1897))</x:f>
      </x:c>
      <x:c r="M1897" t="str">
        <x:f>IF(K1897="","",IF(L1897=1,1,FIND(CHAR(1),SUBSTITUTE(INDEX($B$3:$B$168,K1897),CHAR(10),CHAR(1),L1897-1))+1))</x:f>
      </x:c>
      <x:c r="N1897" t="str">
        <x:f>IF(K1897="","",IFERROR(FIND(CHAR(1),SUBSTITUTE(INDEX($B$3:$B$168,K1897),CHAR(10),CHAR(1),L1897)),LEN(INDEX($B$3:$B$168,K1897))+1))</x:f>
      </x:c>
    </x:row>
    <x:row r="1898">
      <x:c r="A1898"/>
      <x:c r="B1898"/>
      <x:c r="C1898"/>
      <x:c r="D1898" t="str">
        <x:f>IFERROR(IF(1896&lt;=$O$1,INDEX($A$3:$A$168,MATCH(1896,$I$3:$I$168,0)),IF(1896&lt;=$O$1+$O$2,INDEX($F$3:$F$1994,MATCH(1896-$O$1,$G$3:$G$1994,0)),"")),"")</x:f>
      </x:c>
      <x:c r="E1898" t="str">
        <x:f>IF(K1898="","",IF(N1898&lt;=M1898,"",TRIM(CLEAN(MID(INDEX($B$3:$B$168,K1898),M1898,N1898-M1898)))))</x:f>
      </x:c>
      <x:c r="F1898" t="str">
        <x:f>IF(E1898="","",IF(E1898=TRIM(INDEX($A$3:$A$168,K1898)),"",IF(RIGHT(TRIM(INDEX($A$3:$A$168,K1898)),1)="]",LEFT(TRIM(INDEX($A$3:$A$168,K1898)),LEN(TRIM(INDEX($A$3:$A$168,K1898)))-1)&amp;", "&amp;SUBSTITUTE(SUBSTITUTE(SUBSTITUTE(E1898," [",", "),"[",", "),"]","")&amp;"]",TRIM(INDEX($A$3:$A$168,K1898))&amp;" ["&amp;SUBSTITUTE(SUBSTITUTE(SUBSTITUTE(E1898," [",", "),"[",", "),"]","")&amp;"]")))</x:f>
      </x:c>
      <x:c r="G1898" t="str">
        <x:f>IF(F1898&lt;&gt;"",ROWS($F$3:F1898)-COUNTBLANK($F$3:F1898),"")</x:f>
      </x:c>
      <x:c r="H1898"/>
      <x:c r="I1898"/>
      <x:c r="J1898"/>
      <x:c r="K1898" t="str">
        <x:f>IF(ROW()-ROW($K$2)&lt;=SUM($J$3:$J$168),COUNTIF($H$3:$H$168,"&lt;"&amp;(ROW()-ROW($K$2))),"")</x:f>
      </x:c>
      <x:c r="L1898" t="str">
        <x:f>IF(K1898="","",ROW()-ROW($L$2)-INDEX($H$3:$H$168,K1898))</x:f>
      </x:c>
      <x:c r="M1898" t="str">
        <x:f>IF(K1898="","",IF(L1898=1,1,FIND(CHAR(1),SUBSTITUTE(INDEX($B$3:$B$168,K1898),CHAR(10),CHAR(1),L1898-1))+1))</x:f>
      </x:c>
      <x:c r="N1898" t="str">
        <x:f>IF(K1898="","",IFERROR(FIND(CHAR(1),SUBSTITUTE(INDEX($B$3:$B$168,K1898),CHAR(10),CHAR(1),L1898)),LEN(INDEX($B$3:$B$168,K1898))+1))</x:f>
      </x:c>
    </x:row>
    <x:row r="1899">
      <x:c r="A1899"/>
      <x:c r="B1899"/>
      <x:c r="C1899"/>
      <x:c r="D1899" t="str">
        <x:f>IFERROR(IF(1897&lt;=$O$1,INDEX($A$3:$A$168,MATCH(1897,$I$3:$I$168,0)),IF(1897&lt;=$O$1+$O$2,INDEX($F$3:$F$1994,MATCH(1897-$O$1,$G$3:$G$1994,0)),"")),"")</x:f>
      </x:c>
      <x:c r="E1899" t="str">
        <x:f>IF(K1899="","",IF(N1899&lt;=M1899,"",TRIM(CLEAN(MID(INDEX($B$3:$B$168,K1899),M1899,N1899-M1899)))))</x:f>
      </x:c>
      <x:c r="F1899" t="str">
        <x:f>IF(E1899="","",IF(E1899=TRIM(INDEX($A$3:$A$168,K1899)),"",IF(RIGHT(TRIM(INDEX($A$3:$A$168,K1899)),1)="]",LEFT(TRIM(INDEX($A$3:$A$168,K1899)),LEN(TRIM(INDEX($A$3:$A$168,K1899)))-1)&amp;", "&amp;SUBSTITUTE(SUBSTITUTE(SUBSTITUTE(E1899," [",", "),"[",", "),"]","")&amp;"]",TRIM(INDEX($A$3:$A$168,K1899))&amp;" ["&amp;SUBSTITUTE(SUBSTITUTE(SUBSTITUTE(E1899," [",", "),"[",", "),"]","")&amp;"]")))</x:f>
      </x:c>
      <x:c r="G1899" t="str">
        <x:f>IF(F1899&lt;&gt;"",ROWS($F$3:F1899)-COUNTBLANK($F$3:F1899),"")</x:f>
      </x:c>
      <x:c r="H1899"/>
      <x:c r="I1899"/>
      <x:c r="J1899"/>
      <x:c r="K1899" t="str">
        <x:f>IF(ROW()-ROW($K$2)&lt;=SUM($J$3:$J$168),COUNTIF($H$3:$H$168,"&lt;"&amp;(ROW()-ROW($K$2))),"")</x:f>
      </x:c>
      <x:c r="L1899" t="str">
        <x:f>IF(K1899="","",ROW()-ROW($L$2)-INDEX($H$3:$H$168,K1899))</x:f>
      </x:c>
      <x:c r="M1899" t="str">
        <x:f>IF(K1899="","",IF(L1899=1,1,FIND(CHAR(1),SUBSTITUTE(INDEX($B$3:$B$168,K1899),CHAR(10),CHAR(1),L1899-1))+1))</x:f>
      </x:c>
      <x:c r="N1899" t="str">
        <x:f>IF(K1899="","",IFERROR(FIND(CHAR(1),SUBSTITUTE(INDEX($B$3:$B$168,K1899),CHAR(10),CHAR(1),L1899)),LEN(INDEX($B$3:$B$168,K1899))+1))</x:f>
      </x:c>
    </x:row>
    <x:row r="1900">
      <x:c r="A1900"/>
      <x:c r="B1900"/>
      <x:c r="C1900"/>
      <x:c r="D1900" t="str">
        <x:f>IFERROR(IF(1898&lt;=$O$1,INDEX($A$3:$A$168,MATCH(1898,$I$3:$I$168,0)),IF(1898&lt;=$O$1+$O$2,INDEX($F$3:$F$1994,MATCH(1898-$O$1,$G$3:$G$1994,0)),"")),"")</x:f>
      </x:c>
      <x:c r="E1900" t="str">
        <x:f>IF(K1900="","",IF(N1900&lt;=M1900,"",TRIM(CLEAN(MID(INDEX($B$3:$B$168,K1900),M1900,N1900-M1900)))))</x:f>
      </x:c>
      <x:c r="F1900" t="str">
        <x:f>IF(E1900="","",IF(E1900=TRIM(INDEX($A$3:$A$168,K1900)),"",IF(RIGHT(TRIM(INDEX($A$3:$A$168,K1900)),1)="]",LEFT(TRIM(INDEX($A$3:$A$168,K1900)),LEN(TRIM(INDEX($A$3:$A$168,K1900)))-1)&amp;", "&amp;SUBSTITUTE(SUBSTITUTE(SUBSTITUTE(E1900," [",", "),"[",", "),"]","")&amp;"]",TRIM(INDEX($A$3:$A$168,K1900))&amp;" ["&amp;SUBSTITUTE(SUBSTITUTE(SUBSTITUTE(E1900," [",", "),"[",", "),"]","")&amp;"]")))</x:f>
      </x:c>
      <x:c r="G1900" t="str">
        <x:f>IF(F1900&lt;&gt;"",ROWS($F$3:F1900)-COUNTBLANK($F$3:F1900),"")</x:f>
      </x:c>
      <x:c r="H1900"/>
      <x:c r="I1900"/>
      <x:c r="J1900"/>
      <x:c r="K1900" t="str">
        <x:f>IF(ROW()-ROW($K$2)&lt;=SUM($J$3:$J$168),COUNTIF($H$3:$H$168,"&lt;"&amp;(ROW()-ROW($K$2))),"")</x:f>
      </x:c>
      <x:c r="L1900" t="str">
        <x:f>IF(K1900="","",ROW()-ROW($L$2)-INDEX($H$3:$H$168,K1900))</x:f>
      </x:c>
      <x:c r="M1900" t="str">
        <x:f>IF(K1900="","",IF(L1900=1,1,FIND(CHAR(1),SUBSTITUTE(INDEX($B$3:$B$168,K1900),CHAR(10),CHAR(1),L1900-1))+1))</x:f>
      </x:c>
      <x:c r="N1900" t="str">
        <x:f>IF(K1900="","",IFERROR(FIND(CHAR(1),SUBSTITUTE(INDEX($B$3:$B$168,K1900),CHAR(10),CHAR(1),L1900)),LEN(INDEX($B$3:$B$168,K1900))+1))</x:f>
      </x:c>
    </x:row>
    <x:row r="1901">
      <x:c r="A1901"/>
      <x:c r="B1901"/>
      <x:c r="C1901"/>
      <x:c r="D1901" t="str">
        <x:f>IFERROR(IF(1899&lt;=$O$1,INDEX($A$3:$A$168,MATCH(1899,$I$3:$I$168,0)),IF(1899&lt;=$O$1+$O$2,INDEX($F$3:$F$1994,MATCH(1899-$O$1,$G$3:$G$1994,0)),"")),"")</x:f>
      </x:c>
      <x:c r="E1901" t="str">
        <x:f>IF(K1901="","",IF(N1901&lt;=M1901,"",TRIM(CLEAN(MID(INDEX($B$3:$B$168,K1901),M1901,N1901-M1901)))))</x:f>
      </x:c>
      <x:c r="F1901" t="str">
        <x:f>IF(E1901="","",IF(E1901=TRIM(INDEX($A$3:$A$168,K1901)),"",IF(RIGHT(TRIM(INDEX($A$3:$A$168,K1901)),1)="]",LEFT(TRIM(INDEX($A$3:$A$168,K1901)),LEN(TRIM(INDEX($A$3:$A$168,K1901)))-1)&amp;", "&amp;SUBSTITUTE(SUBSTITUTE(SUBSTITUTE(E1901," [",", "),"[",", "),"]","")&amp;"]",TRIM(INDEX($A$3:$A$168,K1901))&amp;" ["&amp;SUBSTITUTE(SUBSTITUTE(SUBSTITUTE(E1901," [",", "),"[",", "),"]","")&amp;"]")))</x:f>
      </x:c>
      <x:c r="G1901" t="str">
        <x:f>IF(F1901&lt;&gt;"",ROWS($F$3:F1901)-COUNTBLANK($F$3:F1901),"")</x:f>
      </x:c>
      <x:c r="H1901"/>
      <x:c r="I1901"/>
      <x:c r="J1901"/>
      <x:c r="K1901" t="str">
        <x:f>IF(ROW()-ROW($K$2)&lt;=SUM($J$3:$J$168),COUNTIF($H$3:$H$168,"&lt;"&amp;(ROW()-ROW($K$2))),"")</x:f>
      </x:c>
      <x:c r="L1901" t="str">
        <x:f>IF(K1901="","",ROW()-ROW($L$2)-INDEX($H$3:$H$168,K1901))</x:f>
      </x:c>
      <x:c r="M1901" t="str">
        <x:f>IF(K1901="","",IF(L1901=1,1,FIND(CHAR(1),SUBSTITUTE(INDEX($B$3:$B$168,K1901),CHAR(10),CHAR(1),L1901-1))+1))</x:f>
      </x:c>
      <x:c r="N1901" t="str">
        <x:f>IF(K1901="","",IFERROR(FIND(CHAR(1),SUBSTITUTE(INDEX($B$3:$B$168,K1901),CHAR(10),CHAR(1),L1901)),LEN(INDEX($B$3:$B$168,K1901))+1))</x:f>
      </x:c>
    </x:row>
    <x:row r="1902">
      <x:c r="A1902"/>
      <x:c r="B1902"/>
      <x:c r="C1902"/>
      <x:c r="D1902" t="str">
        <x:f>IFERROR(IF(1900&lt;=$O$1,INDEX($A$3:$A$168,MATCH(1900,$I$3:$I$168,0)),IF(1900&lt;=$O$1+$O$2,INDEX($F$3:$F$1994,MATCH(1900-$O$1,$G$3:$G$1994,0)),"")),"")</x:f>
      </x:c>
      <x:c r="E1902" t="str">
        <x:f>IF(K1902="","",IF(N1902&lt;=M1902,"",TRIM(CLEAN(MID(INDEX($B$3:$B$168,K1902),M1902,N1902-M1902)))))</x:f>
      </x:c>
      <x:c r="F1902" t="str">
        <x:f>IF(E1902="","",IF(E1902=TRIM(INDEX($A$3:$A$168,K1902)),"",IF(RIGHT(TRIM(INDEX($A$3:$A$168,K1902)),1)="]",LEFT(TRIM(INDEX($A$3:$A$168,K1902)),LEN(TRIM(INDEX($A$3:$A$168,K1902)))-1)&amp;", "&amp;SUBSTITUTE(SUBSTITUTE(SUBSTITUTE(E1902," [",", "),"[",", "),"]","")&amp;"]",TRIM(INDEX($A$3:$A$168,K1902))&amp;" ["&amp;SUBSTITUTE(SUBSTITUTE(SUBSTITUTE(E1902," [",", "),"[",", "),"]","")&amp;"]")))</x:f>
      </x:c>
      <x:c r="G1902" t="str">
        <x:f>IF(F1902&lt;&gt;"",ROWS($F$3:F1902)-COUNTBLANK($F$3:F1902),"")</x:f>
      </x:c>
      <x:c r="H1902"/>
      <x:c r="I1902"/>
      <x:c r="J1902"/>
      <x:c r="K1902" t="str">
        <x:f>IF(ROW()-ROW($K$2)&lt;=SUM($J$3:$J$168),COUNTIF($H$3:$H$168,"&lt;"&amp;(ROW()-ROW($K$2))),"")</x:f>
      </x:c>
      <x:c r="L1902" t="str">
        <x:f>IF(K1902="","",ROW()-ROW($L$2)-INDEX($H$3:$H$168,K1902))</x:f>
      </x:c>
      <x:c r="M1902" t="str">
        <x:f>IF(K1902="","",IF(L1902=1,1,FIND(CHAR(1),SUBSTITUTE(INDEX($B$3:$B$168,K1902),CHAR(10),CHAR(1),L1902-1))+1))</x:f>
      </x:c>
      <x:c r="N1902" t="str">
        <x:f>IF(K1902="","",IFERROR(FIND(CHAR(1),SUBSTITUTE(INDEX($B$3:$B$168,K1902),CHAR(10),CHAR(1),L1902)),LEN(INDEX($B$3:$B$168,K1902))+1))</x:f>
      </x:c>
    </x:row>
    <x:row r="1903">
      <x:c r="A1903"/>
      <x:c r="B1903"/>
      <x:c r="C1903"/>
      <x:c r="D1903" t="str">
        <x:f>IFERROR(IF(1901&lt;=$O$1,INDEX($A$3:$A$168,MATCH(1901,$I$3:$I$168,0)),IF(1901&lt;=$O$1+$O$2,INDEX($F$3:$F$1994,MATCH(1901-$O$1,$G$3:$G$1994,0)),"")),"")</x:f>
      </x:c>
      <x:c r="E1903" t="str">
        <x:f>IF(K1903="","",IF(N1903&lt;=M1903,"",TRIM(CLEAN(MID(INDEX($B$3:$B$168,K1903),M1903,N1903-M1903)))))</x:f>
      </x:c>
      <x:c r="F1903" t="str">
        <x:f>IF(E1903="","",IF(E1903=TRIM(INDEX($A$3:$A$168,K1903)),"",IF(RIGHT(TRIM(INDEX($A$3:$A$168,K1903)),1)="]",LEFT(TRIM(INDEX($A$3:$A$168,K1903)),LEN(TRIM(INDEX($A$3:$A$168,K1903)))-1)&amp;", "&amp;SUBSTITUTE(SUBSTITUTE(SUBSTITUTE(E1903," [",", "),"[",", "),"]","")&amp;"]",TRIM(INDEX($A$3:$A$168,K1903))&amp;" ["&amp;SUBSTITUTE(SUBSTITUTE(SUBSTITUTE(E1903," [",", "),"[",", "),"]","")&amp;"]")))</x:f>
      </x:c>
      <x:c r="G1903" t="str">
        <x:f>IF(F1903&lt;&gt;"",ROWS($F$3:F1903)-COUNTBLANK($F$3:F1903),"")</x:f>
      </x:c>
      <x:c r="H1903"/>
      <x:c r="I1903"/>
      <x:c r="J1903"/>
      <x:c r="K1903" t="str">
        <x:f>IF(ROW()-ROW($K$2)&lt;=SUM($J$3:$J$168),COUNTIF($H$3:$H$168,"&lt;"&amp;(ROW()-ROW($K$2))),"")</x:f>
      </x:c>
      <x:c r="L1903" t="str">
        <x:f>IF(K1903="","",ROW()-ROW($L$2)-INDEX($H$3:$H$168,K1903))</x:f>
      </x:c>
      <x:c r="M1903" t="str">
        <x:f>IF(K1903="","",IF(L1903=1,1,FIND(CHAR(1),SUBSTITUTE(INDEX($B$3:$B$168,K1903),CHAR(10),CHAR(1),L1903-1))+1))</x:f>
      </x:c>
      <x:c r="N1903" t="str">
        <x:f>IF(K1903="","",IFERROR(FIND(CHAR(1),SUBSTITUTE(INDEX($B$3:$B$168,K1903),CHAR(10),CHAR(1),L1903)),LEN(INDEX($B$3:$B$168,K1903))+1))</x:f>
      </x:c>
    </x:row>
    <x:row r="1904">
      <x:c r="A1904"/>
      <x:c r="B1904"/>
      <x:c r="C1904"/>
      <x:c r="D1904" t="str">
        <x:f>IFERROR(IF(1902&lt;=$O$1,INDEX($A$3:$A$168,MATCH(1902,$I$3:$I$168,0)),IF(1902&lt;=$O$1+$O$2,INDEX($F$3:$F$1994,MATCH(1902-$O$1,$G$3:$G$1994,0)),"")),"")</x:f>
      </x:c>
      <x:c r="E1904" t="str">
        <x:f>IF(K1904="","",IF(N1904&lt;=M1904,"",TRIM(CLEAN(MID(INDEX($B$3:$B$168,K1904),M1904,N1904-M1904)))))</x:f>
      </x:c>
      <x:c r="F1904" t="str">
        <x:f>IF(E1904="","",IF(E1904=TRIM(INDEX($A$3:$A$168,K1904)),"",IF(RIGHT(TRIM(INDEX($A$3:$A$168,K1904)),1)="]",LEFT(TRIM(INDEX($A$3:$A$168,K1904)),LEN(TRIM(INDEX($A$3:$A$168,K1904)))-1)&amp;", "&amp;SUBSTITUTE(SUBSTITUTE(SUBSTITUTE(E1904," [",", "),"[",", "),"]","")&amp;"]",TRIM(INDEX($A$3:$A$168,K1904))&amp;" ["&amp;SUBSTITUTE(SUBSTITUTE(SUBSTITUTE(E1904," [",", "),"[",", "),"]","")&amp;"]")))</x:f>
      </x:c>
      <x:c r="G1904" t="str">
        <x:f>IF(F1904&lt;&gt;"",ROWS($F$3:F1904)-COUNTBLANK($F$3:F1904),"")</x:f>
      </x:c>
      <x:c r="H1904"/>
      <x:c r="I1904"/>
      <x:c r="J1904"/>
      <x:c r="K1904" t="str">
        <x:f>IF(ROW()-ROW($K$2)&lt;=SUM($J$3:$J$168),COUNTIF($H$3:$H$168,"&lt;"&amp;(ROW()-ROW($K$2))),"")</x:f>
      </x:c>
      <x:c r="L1904" t="str">
        <x:f>IF(K1904="","",ROW()-ROW($L$2)-INDEX($H$3:$H$168,K1904))</x:f>
      </x:c>
      <x:c r="M1904" t="str">
        <x:f>IF(K1904="","",IF(L1904=1,1,FIND(CHAR(1),SUBSTITUTE(INDEX($B$3:$B$168,K1904),CHAR(10),CHAR(1),L1904-1))+1))</x:f>
      </x:c>
      <x:c r="N1904" t="str">
        <x:f>IF(K1904="","",IFERROR(FIND(CHAR(1),SUBSTITUTE(INDEX($B$3:$B$168,K1904),CHAR(10),CHAR(1),L1904)),LEN(INDEX($B$3:$B$168,K1904))+1))</x:f>
      </x:c>
    </x:row>
    <x:row r="1905">
      <x:c r="A1905"/>
      <x:c r="B1905"/>
      <x:c r="C1905"/>
      <x:c r="D1905" t="str">
        <x:f>IFERROR(IF(1903&lt;=$O$1,INDEX($A$3:$A$168,MATCH(1903,$I$3:$I$168,0)),IF(1903&lt;=$O$1+$O$2,INDEX($F$3:$F$1994,MATCH(1903-$O$1,$G$3:$G$1994,0)),"")),"")</x:f>
      </x:c>
      <x:c r="E1905" t="str">
        <x:f>IF(K1905="","",IF(N1905&lt;=M1905,"",TRIM(CLEAN(MID(INDEX($B$3:$B$168,K1905),M1905,N1905-M1905)))))</x:f>
      </x:c>
      <x:c r="F1905" t="str">
        <x:f>IF(E1905="","",IF(E1905=TRIM(INDEX($A$3:$A$168,K1905)),"",IF(RIGHT(TRIM(INDEX($A$3:$A$168,K1905)),1)="]",LEFT(TRIM(INDEX($A$3:$A$168,K1905)),LEN(TRIM(INDEX($A$3:$A$168,K1905)))-1)&amp;", "&amp;SUBSTITUTE(SUBSTITUTE(SUBSTITUTE(E1905," [",", "),"[",", "),"]","")&amp;"]",TRIM(INDEX($A$3:$A$168,K1905))&amp;" ["&amp;SUBSTITUTE(SUBSTITUTE(SUBSTITUTE(E1905," [",", "),"[",", "),"]","")&amp;"]")))</x:f>
      </x:c>
      <x:c r="G1905" t="str">
        <x:f>IF(F1905&lt;&gt;"",ROWS($F$3:F1905)-COUNTBLANK($F$3:F1905),"")</x:f>
      </x:c>
      <x:c r="H1905"/>
      <x:c r="I1905"/>
      <x:c r="J1905"/>
      <x:c r="K1905" t="str">
        <x:f>IF(ROW()-ROW($K$2)&lt;=SUM($J$3:$J$168),COUNTIF($H$3:$H$168,"&lt;"&amp;(ROW()-ROW($K$2))),"")</x:f>
      </x:c>
      <x:c r="L1905" t="str">
        <x:f>IF(K1905="","",ROW()-ROW($L$2)-INDEX($H$3:$H$168,K1905))</x:f>
      </x:c>
      <x:c r="M1905" t="str">
        <x:f>IF(K1905="","",IF(L1905=1,1,FIND(CHAR(1),SUBSTITUTE(INDEX($B$3:$B$168,K1905),CHAR(10),CHAR(1),L1905-1))+1))</x:f>
      </x:c>
      <x:c r="N1905" t="str">
        <x:f>IF(K1905="","",IFERROR(FIND(CHAR(1),SUBSTITUTE(INDEX($B$3:$B$168,K1905),CHAR(10),CHAR(1),L1905)),LEN(INDEX($B$3:$B$168,K1905))+1))</x:f>
      </x:c>
    </x:row>
    <x:row r="1906">
      <x:c r="A1906"/>
      <x:c r="B1906"/>
      <x:c r="C1906"/>
      <x:c r="D1906" t="str">
        <x:f>IFERROR(IF(1904&lt;=$O$1,INDEX($A$3:$A$168,MATCH(1904,$I$3:$I$168,0)),IF(1904&lt;=$O$1+$O$2,INDEX($F$3:$F$1994,MATCH(1904-$O$1,$G$3:$G$1994,0)),"")),"")</x:f>
      </x:c>
      <x:c r="E1906" t="str">
        <x:f>IF(K1906="","",IF(N1906&lt;=M1906,"",TRIM(CLEAN(MID(INDEX($B$3:$B$168,K1906),M1906,N1906-M1906)))))</x:f>
      </x:c>
      <x:c r="F1906" t="str">
        <x:f>IF(E1906="","",IF(E1906=TRIM(INDEX($A$3:$A$168,K1906)),"",IF(RIGHT(TRIM(INDEX($A$3:$A$168,K1906)),1)="]",LEFT(TRIM(INDEX($A$3:$A$168,K1906)),LEN(TRIM(INDEX($A$3:$A$168,K1906)))-1)&amp;", "&amp;SUBSTITUTE(SUBSTITUTE(SUBSTITUTE(E1906," [",", "),"[",", "),"]","")&amp;"]",TRIM(INDEX($A$3:$A$168,K1906))&amp;" ["&amp;SUBSTITUTE(SUBSTITUTE(SUBSTITUTE(E1906," [",", "),"[",", "),"]","")&amp;"]")))</x:f>
      </x:c>
      <x:c r="G1906" t="str">
        <x:f>IF(F1906&lt;&gt;"",ROWS($F$3:F1906)-COUNTBLANK($F$3:F1906),"")</x:f>
      </x:c>
      <x:c r="H1906"/>
      <x:c r="I1906"/>
      <x:c r="J1906"/>
      <x:c r="K1906" t="str">
        <x:f>IF(ROW()-ROW($K$2)&lt;=SUM($J$3:$J$168),COUNTIF($H$3:$H$168,"&lt;"&amp;(ROW()-ROW($K$2))),"")</x:f>
      </x:c>
      <x:c r="L1906" t="str">
        <x:f>IF(K1906="","",ROW()-ROW($L$2)-INDEX($H$3:$H$168,K1906))</x:f>
      </x:c>
      <x:c r="M1906" t="str">
        <x:f>IF(K1906="","",IF(L1906=1,1,FIND(CHAR(1),SUBSTITUTE(INDEX($B$3:$B$168,K1906),CHAR(10),CHAR(1),L1906-1))+1))</x:f>
      </x:c>
      <x:c r="N1906" t="str">
        <x:f>IF(K1906="","",IFERROR(FIND(CHAR(1),SUBSTITUTE(INDEX($B$3:$B$168,K1906),CHAR(10),CHAR(1),L1906)),LEN(INDEX($B$3:$B$168,K1906))+1))</x:f>
      </x:c>
    </x:row>
    <x:row r="1907">
      <x:c r="A1907"/>
      <x:c r="B1907"/>
      <x:c r="C1907"/>
      <x:c r="D1907" t="str">
        <x:f>IFERROR(IF(1905&lt;=$O$1,INDEX($A$3:$A$168,MATCH(1905,$I$3:$I$168,0)),IF(1905&lt;=$O$1+$O$2,INDEX($F$3:$F$1994,MATCH(1905-$O$1,$G$3:$G$1994,0)),"")),"")</x:f>
      </x:c>
      <x:c r="E1907" t="str">
        <x:f>IF(K1907="","",IF(N1907&lt;=M1907,"",TRIM(CLEAN(MID(INDEX($B$3:$B$168,K1907),M1907,N1907-M1907)))))</x:f>
      </x:c>
      <x:c r="F1907" t="str">
        <x:f>IF(E1907="","",IF(E1907=TRIM(INDEX($A$3:$A$168,K1907)),"",IF(RIGHT(TRIM(INDEX($A$3:$A$168,K1907)),1)="]",LEFT(TRIM(INDEX($A$3:$A$168,K1907)),LEN(TRIM(INDEX($A$3:$A$168,K1907)))-1)&amp;", "&amp;SUBSTITUTE(SUBSTITUTE(SUBSTITUTE(E1907," [",", "),"[",", "),"]","")&amp;"]",TRIM(INDEX($A$3:$A$168,K1907))&amp;" ["&amp;SUBSTITUTE(SUBSTITUTE(SUBSTITUTE(E1907," [",", "),"[",", "),"]","")&amp;"]")))</x:f>
      </x:c>
      <x:c r="G1907" t="str">
        <x:f>IF(F1907&lt;&gt;"",ROWS($F$3:F1907)-COUNTBLANK($F$3:F1907),"")</x:f>
      </x:c>
      <x:c r="H1907"/>
      <x:c r="I1907"/>
      <x:c r="J1907"/>
      <x:c r="K1907" t="str">
        <x:f>IF(ROW()-ROW($K$2)&lt;=SUM($J$3:$J$168),COUNTIF($H$3:$H$168,"&lt;"&amp;(ROW()-ROW($K$2))),"")</x:f>
      </x:c>
      <x:c r="L1907" t="str">
        <x:f>IF(K1907="","",ROW()-ROW($L$2)-INDEX($H$3:$H$168,K1907))</x:f>
      </x:c>
      <x:c r="M1907" t="str">
        <x:f>IF(K1907="","",IF(L1907=1,1,FIND(CHAR(1),SUBSTITUTE(INDEX($B$3:$B$168,K1907),CHAR(10),CHAR(1),L1907-1))+1))</x:f>
      </x:c>
      <x:c r="N1907" t="str">
        <x:f>IF(K1907="","",IFERROR(FIND(CHAR(1),SUBSTITUTE(INDEX($B$3:$B$168,K1907),CHAR(10),CHAR(1),L1907)),LEN(INDEX($B$3:$B$168,K1907))+1))</x:f>
      </x:c>
    </x:row>
    <x:row r="1908">
      <x:c r="A1908"/>
      <x:c r="B1908"/>
      <x:c r="C1908"/>
      <x:c r="D1908" t="str">
        <x:f>IFERROR(IF(1906&lt;=$O$1,INDEX($A$3:$A$168,MATCH(1906,$I$3:$I$168,0)),IF(1906&lt;=$O$1+$O$2,INDEX($F$3:$F$1994,MATCH(1906-$O$1,$G$3:$G$1994,0)),"")),"")</x:f>
      </x:c>
      <x:c r="E1908" t="str">
        <x:f>IF(K1908="","",IF(N1908&lt;=M1908,"",TRIM(CLEAN(MID(INDEX($B$3:$B$168,K1908),M1908,N1908-M1908)))))</x:f>
      </x:c>
      <x:c r="F1908" t="str">
        <x:f>IF(E1908="","",IF(E1908=TRIM(INDEX($A$3:$A$168,K1908)),"",IF(RIGHT(TRIM(INDEX($A$3:$A$168,K1908)),1)="]",LEFT(TRIM(INDEX($A$3:$A$168,K1908)),LEN(TRIM(INDEX($A$3:$A$168,K1908)))-1)&amp;", "&amp;SUBSTITUTE(SUBSTITUTE(SUBSTITUTE(E1908," [",", "),"[",", "),"]","")&amp;"]",TRIM(INDEX($A$3:$A$168,K1908))&amp;" ["&amp;SUBSTITUTE(SUBSTITUTE(SUBSTITUTE(E1908," [",", "),"[",", "),"]","")&amp;"]")))</x:f>
      </x:c>
      <x:c r="G1908" t="str">
        <x:f>IF(F1908&lt;&gt;"",ROWS($F$3:F1908)-COUNTBLANK($F$3:F1908),"")</x:f>
      </x:c>
      <x:c r="H1908"/>
      <x:c r="I1908"/>
      <x:c r="J1908"/>
      <x:c r="K1908" t="str">
        <x:f>IF(ROW()-ROW($K$2)&lt;=SUM($J$3:$J$168),COUNTIF($H$3:$H$168,"&lt;"&amp;(ROW()-ROW($K$2))),"")</x:f>
      </x:c>
      <x:c r="L1908" t="str">
        <x:f>IF(K1908="","",ROW()-ROW($L$2)-INDEX($H$3:$H$168,K1908))</x:f>
      </x:c>
      <x:c r="M1908" t="str">
        <x:f>IF(K1908="","",IF(L1908=1,1,FIND(CHAR(1),SUBSTITUTE(INDEX($B$3:$B$168,K1908),CHAR(10),CHAR(1),L1908-1))+1))</x:f>
      </x:c>
      <x:c r="N1908" t="str">
        <x:f>IF(K1908="","",IFERROR(FIND(CHAR(1),SUBSTITUTE(INDEX($B$3:$B$168,K1908),CHAR(10),CHAR(1),L1908)),LEN(INDEX($B$3:$B$168,K1908))+1))</x:f>
      </x:c>
    </x:row>
    <x:row r="1909">
      <x:c r="A1909"/>
      <x:c r="B1909"/>
      <x:c r="C1909"/>
      <x:c r="D1909" t="str">
        <x:f>IFERROR(IF(1907&lt;=$O$1,INDEX($A$3:$A$168,MATCH(1907,$I$3:$I$168,0)),IF(1907&lt;=$O$1+$O$2,INDEX($F$3:$F$1994,MATCH(1907-$O$1,$G$3:$G$1994,0)),"")),"")</x:f>
      </x:c>
      <x:c r="E1909" t="str">
        <x:f>IF(K1909="","",IF(N1909&lt;=M1909,"",TRIM(CLEAN(MID(INDEX($B$3:$B$168,K1909),M1909,N1909-M1909)))))</x:f>
      </x:c>
      <x:c r="F1909" t="str">
        <x:f>IF(E1909="","",IF(E1909=TRIM(INDEX($A$3:$A$168,K1909)),"",IF(RIGHT(TRIM(INDEX($A$3:$A$168,K1909)),1)="]",LEFT(TRIM(INDEX($A$3:$A$168,K1909)),LEN(TRIM(INDEX($A$3:$A$168,K1909)))-1)&amp;", "&amp;SUBSTITUTE(SUBSTITUTE(SUBSTITUTE(E1909," [",", "),"[",", "),"]","")&amp;"]",TRIM(INDEX($A$3:$A$168,K1909))&amp;" ["&amp;SUBSTITUTE(SUBSTITUTE(SUBSTITUTE(E1909," [",", "),"[",", "),"]","")&amp;"]")))</x:f>
      </x:c>
      <x:c r="G1909" t="str">
        <x:f>IF(F1909&lt;&gt;"",ROWS($F$3:F1909)-COUNTBLANK($F$3:F1909),"")</x:f>
      </x:c>
      <x:c r="H1909"/>
      <x:c r="I1909"/>
      <x:c r="J1909"/>
      <x:c r="K1909" t="str">
        <x:f>IF(ROW()-ROW($K$2)&lt;=SUM($J$3:$J$168),COUNTIF($H$3:$H$168,"&lt;"&amp;(ROW()-ROW($K$2))),"")</x:f>
      </x:c>
      <x:c r="L1909" t="str">
        <x:f>IF(K1909="","",ROW()-ROW($L$2)-INDEX($H$3:$H$168,K1909))</x:f>
      </x:c>
      <x:c r="M1909" t="str">
        <x:f>IF(K1909="","",IF(L1909=1,1,FIND(CHAR(1),SUBSTITUTE(INDEX($B$3:$B$168,K1909),CHAR(10),CHAR(1),L1909-1))+1))</x:f>
      </x:c>
      <x:c r="N1909" t="str">
        <x:f>IF(K1909="","",IFERROR(FIND(CHAR(1),SUBSTITUTE(INDEX($B$3:$B$168,K1909),CHAR(10),CHAR(1),L1909)),LEN(INDEX($B$3:$B$168,K1909))+1))</x:f>
      </x:c>
    </x:row>
    <x:row r="1910">
      <x:c r="A1910"/>
      <x:c r="B1910"/>
      <x:c r="C1910"/>
      <x:c r="D1910" t="str">
        <x:f>IFERROR(IF(1908&lt;=$O$1,INDEX($A$3:$A$168,MATCH(1908,$I$3:$I$168,0)),IF(1908&lt;=$O$1+$O$2,INDEX($F$3:$F$1994,MATCH(1908-$O$1,$G$3:$G$1994,0)),"")),"")</x:f>
      </x:c>
      <x:c r="E1910" t="str">
        <x:f>IF(K1910="","",IF(N1910&lt;=M1910,"",TRIM(CLEAN(MID(INDEX($B$3:$B$168,K1910),M1910,N1910-M1910)))))</x:f>
      </x:c>
      <x:c r="F1910" t="str">
        <x:f>IF(E1910="","",IF(E1910=TRIM(INDEX($A$3:$A$168,K1910)),"",IF(RIGHT(TRIM(INDEX($A$3:$A$168,K1910)),1)="]",LEFT(TRIM(INDEX($A$3:$A$168,K1910)),LEN(TRIM(INDEX($A$3:$A$168,K1910)))-1)&amp;", "&amp;SUBSTITUTE(SUBSTITUTE(SUBSTITUTE(E1910," [",", "),"[",", "),"]","")&amp;"]",TRIM(INDEX($A$3:$A$168,K1910))&amp;" ["&amp;SUBSTITUTE(SUBSTITUTE(SUBSTITUTE(E1910," [",", "),"[",", "),"]","")&amp;"]")))</x:f>
      </x:c>
      <x:c r="G1910" t="str">
        <x:f>IF(F1910&lt;&gt;"",ROWS($F$3:F1910)-COUNTBLANK($F$3:F1910),"")</x:f>
      </x:c>
      <x:c r="H1910"/>
      <x:c r="I1910"/>
      <x:c r="J1910"/>
      <x:c r="K1910" t="str">
        <x:f>IF(ROW()-ROW($K$2)&lt;=SUM($J$3:$J$168),COUNTIF($H$3:$H$168,"&lt;"&amp;(ROW()-ROW($K$2))),"")</x:f>
      </x:c>
      <x:c r="L1910" t="str">
        <x:f>IF(K1910="","",ROW()-ROW($L$2)-INDEX($H$3:$H$168,K1910))</x:f>
      </x:c>
      <x:c r="M1910" t="str">
        <x:f>IF(K1910="","",IF(L1910=1,1,FIND(CHAR(1),SUBSTITUTE(INDEX($B$3:$B$168,K1910),CHAR(10),CHAR(1),L1910-1))+1))</x:f>
      </x:c>
      <x:c r="N1910" t="str">
        <x:f>IF(K1910="","",IFERROR(FIND(CHAR(1),SUBSTITUTE(INDEX($B$3:$B$168,K1910),CHAR(10),CHAR(1),L1910)),LEN(INDEX($B$3:$B$168,K1910))+1))</x:f>
      </x:c>
    </x:row>
    <x:row r="1911">
      <x:c r="A1911"/>
      <x:c r="B1911"/>
      <x:c r="C1911"/>
      <x:c r="D1911" t="str">
        <x:f>IFERROR(IF(1909&lt;=$O$1,INDEX($A$3:$A$168,MATCH(1909,$I$3:$I$168,0)),IF(1909&lt;=$O$1+$O$2,INDEX($F$3:$F$1994,MATCH(1909-$O$1,$G$3:$G$1994,0)),"")),"")</x:f>
      </x:c>
      <x:c r="E1911" t="str">
        <x:f>IF(K1911="","",IF(N1911&lt;=M1911,"",TRIM(CLEAN(MID(INDEX($B$3:$B$168,K1911),M1911,N1911-M1911)))))</x:f>
      </x:c>
      <x:c r="F1911" t="str">
        <x:f>IF(E1911="","",IF(E1911=TRIM(INDEX($A$3:$A$168,K1911)),"",IF(RIGHT(TRIM(INDEX($A$3:$A$168,K1911)),1)="]",LEFT(TRIM(INDEX($A$3:$A$168,K1911)),LEN(TRIM(INDEX($A$3:$A$168,K1911)))-1)&amp;", "&amp;SUBSTITUTE(SUBSTITUTE(SUBSTITUTE(E1911," [",", "),"[",", "),"]","")&amp;"]",TRIM(INDEX($A$3:$A$168,K1911))&amp;" ["&amp;SUBSTITUTE(SUBSTITUTE(SUBSTITUTE(E1911," [",", "),"[",", "),"]","")&amp;"]")))</x:f>
      </x:c>
      <x:c r="G1911" t="str">
        <x:f>IF(F1911&lt;&gt;"",ROWS($F$3:F1911)-COUNTBLANK($F$3:F1911),"")</x:f>
      </x:c>
      <x:c r="H1911"/>
      <x:c r="I1911"/>
      <x:c r="J1911"/>
      <x:c r="K1911" t="str">
        <x:f>IF(ROW()-ROW($K$2)&lt;=SUM($J$3:$J$168),COUNTIF($H$3:$H$168,"&lt;"&amp;(ROW()-ROW($K$2))),"")</x:f>
      </x:c>
      <x:c r="L1911" t="str">
        <x:f>IF(K1911="","",ROW()-ROW($L$2)-INDEX($H$3:$H$168,K1911))</x:f>
      </x:c>
      <x:c r="M1911" t="str">
        <x:f>IF(K1911="","",IF(L1911=1,1,FIND(CHAR(1),SUBSTITUTE(INDEX($B$3:$B$168,K1911),CHAR(10),CHAR(1),L1911-1))+1))</x:f>
      </x:c>
      <x:c r="N1911" t="str">
        <x:f>IF(K1911="","",IFERROR(FIND(CHAR(1),SUBSTITUTE(INDEX($B$3:$B$168,K1911),CHAR(10),CHAR(1),L1911)),LEN(INDEX($B$3:$B$168,K1911))+1))</x:f>
      </x:c>
    </x:row>
    <x:row r="1912">
      <x:c r="A1912"/>
      <x:c r="B1912"/>
      <x:c r="C1912"/>
      <x:c r="D1912" t="str">
        <x:f>IFERROR(IF(1910&lt;=$O$1,INDEX($A$3:$A$168,MATCH(1910,$I$3:$I$168,0)),IF(1910&lt;=$O$1+$O$2,INDEX($F$3:$F$1994,MATCH(1910-$O$1,$G$3:$G$1994,0)),"")),"")</x:f>
      </x:c>
      <x:c r="E1912" t="str">
        <x:f>IF(K1912="","",IF(N1912&lt;=M1912,"",TRIM(CLEAN(MID(INDEX($B$3:$B$168,K1912),M1912,N1912-M1912)))))</x:f>
      </x:c>
      <x:c r="F1912" t="str">
        <x:f>IF(E1912="","",IF(E1912=TRIM(INDEX($A$3:$A$168,K1912)),"",IF(RIGHT(TRIM(INDEX($A$3:$A$168,K1912)),1)="]",LEFT(TRIM(INDEX($A$3:$A$168,K1912)),LEN(TRIM(INDEX($A$3:$A$168,K1912)))-1)&amp;", "&amp;SUBSTITUTE(SUBSTITUTE(SUBSTITUTE(E1912," [",", "),"[",", "),"]","")&amp;"]",TRIM(INDEX($A$3:$A$168,K1912))&amp;" ["&amp;SUBSTITUTE(SUBSTITUTE(SUBSTITUTE(E1912," [",", "),"[",", "),"]","")&amp;"]")))</x:f>
      </x:c>
      <x:c r="G1912" t="str">
        <x:f>IF(F1912&lt;&gt;"",ROWS($F$3:F1912)-COUNTBLANK($F$3:F1912),"")</x:f>
      </x:c>
      <x:c r="H1912"/>
      <x:c r="I1912"/>
      <x:c r="J1912"/>
      <x:c r="K1912" t="str">
        <x:f>IF(ROW()-ROW($K$2)&lt;=SUM($J$3:$J$168),COUNTIF($H$3:$H$168,"&lt;"&amp;(ROW()-ROW($K$2))),"")</x:f>
      </x:c>
      <x:c r="L1912" t="str">
        <x:f>IF(K1912="","",ROW()-ROW($L$2)-INDEX($H$3:$H$168,K1912))</x:f>
      </x:c>
      <x:c r="M1912" t="str">
        <x:f>IF(K1912="","",IF(L1912=1,1,FIND(CHAR(1),SUBSTITUTE(INDEX($B$3:$B$168,K1912),CHAR(10),CHAR(1),L1912-1))+1))</x:f>
      </x:c>
      <x:c r="N1912" t="str">
        <x:f>IF(K1912="","",IFERROR(FIND(CHAR(1),SUBSTITUTE(INDEX($B$3:$B$168,K1912),CHAR(10),CHAR(1),L1912)),LEN(INDEX($B$3:$B$168,K1912))+1))</x:f>
      </x:c>
    </x:row>
    <x:row r="1913">
      <x:c r="A1913"/>
      <x:c r="B1913"/>
      <x:c r="C1913"/>
      <x:c r="D1913" t="str">
        <x:f>IFERROR(IF(1911&lt;=$O$1,INDEX($A$3:$A$168,MATCH(1911,$I$3:$I$168,0)),IF(1911&lt;=$O$1+$O$2,INDEX($F$3:$F$1994,MATCH(1911-$O$1,$G$3:$G$1994,0)),"")),"")</x:f>
      </x:c>
      <x:c r="E1913" t="str">
        <x:f>IF(K1913="","",IF(N1913&lt;=M1913,"",TRIM(CLEAN(MID(INDEX($B$3:$B$168,K1913),M1913,N1913-M1913)))))</x:f>
      </x:c>
      <x:c r="F1913" t="str">
        <x:f>IF(E1913="","",IF(E1913=TRIM(INDEX($A$3:$A$168,K1913)),"",IF(RIGHT(TRIM(INDEX($A$3:$A$168,K1913)),1)="]",LEFT(TRIM(INDEX($A$3:$A$168,K1913)),LEN(TRIM(INDEX($A$3:$A$168,K1913)))-1)&amp;", "&amp;SUBSTITUTE(SUBSTITUTE(SUBSTITUTE(E1913," [",", "),"[",", "),"]","")&amp;"]",TRIM(INDEX($A$3:$A$168,K1913))&amp;" ["&amp;SUBSTITUTE(SUBSTITUTE(SUBSTITUTE(E1913," [",", "),"[",", "),"]","")&amp;"]")))</x:f>
      </x:c>
      <x:c r="G1913" t="str">
        <x:f>IF(F1913&lt;&gt;"",ROWS($F$3:F1913)-COUNTBLANK($F$3:F1913),"")</x:f>
      </x:c>
      <x:c r="H1913"/>
      <x:c r="I1913"/>
      <x:c r="J1913"/>
      <x:c r="K1913" t="str">
        <x:f>IF(ROW()-ROW($K$2)&lt;=SUM($J$3:$J$168),COUNTIF($H$3:$H$168,"&lt;"&amp;(ROW()-ROW($K$2))),"")</x:f>
      </x:c>
      <x:c r="L1913" t="str">
        <x:f>IF(K1913="","",ROW()-ROW($L$2)-INDEX($H$3:$H$168,K1913))</x:f>
      </x:c>
      <x:c r="M1913" t="str">
        <x:f>IF(K1913="","",IF(L1913=1,1,FIND(CHAR(1),SUBSTITUTE(INDEX($B$3:$B$168,K1913),CHAR(10),CHAR(1),L1913-1))+1))</x:f>
      </x:c>
      <x:c r="N1913" t="str">
        <x:f>IF(K1913="","",IFERROR(FIND(CHAR(1),SUBSTITUTE(INDEX($B$3:$B$168,K1913),CHAR(10),CHAR(1),L1913)),LEN(INDEX($B$3:$B$168,K1913))+1))</x:f>
      </x:c>
    </x:row>
    <x:row r="1914">
      <x:c r="A1914"/>
      <x:c r="B1914"/>
      <x:c r="C1914"/>
      <x:c r="D1914" t="str">
        <x:f>IFERROR(IF(1912&lt;=$O$1,INDEX($A$3:$A$168,MATCH(1912,$I$3:$I$168,0)),IF(1912&lt;=$O$1+$O$2,INDEX($F$3:$F$1994,MATCH(1912-$O$1,$G$3:$G$1994,0)),"")),"")</x:f>
      </x:c>
      <x:c r="E1914" t="str">
        <x:f>IF(K1914="","",IF(N1914&lt;=M1914,"",TRIM(CLEAN(MID(INDEX($B$3:$B$168,K1914),M1914,N1914-M1914)))))</x:f>
      </x:c>
      <x:c r="F1914" t="str">
        <x:f>IF(E1914="","",IF(E1914=TRIM(INDEX($A$3:$A$168,K1914)),"",IF(RIGHT(TRIM(INDEX($A$3:$A$168,K1914)),1)="]",LEFT(TRIM(INDEX($A$3:$A$168,K1914)),LEN(TRIM(INDEX($A$3:$A$168,K1914)))-1)&amp;", "&amp;SUBSTITUTE(SUBSTITUTE(SUBSTITUTE(E1914," [",", "),"[",", "),"]","")&amp;"]",TRIM(INDEX($A$3:$A$168,K1914))&amp;" ["&amp;SUBSTITUTE(SUBSTITUTE(SUBSTITUTE(E1914," [",", "),"[",", "),"]","")&amp;"]")))</x:f>
      </x:c>
      <x:c r="G1914" t="str">
        <x:f>IF(F1914&lt;&gt;"",ROWS($F$3:F1914)-COUNTBLANK($F$3:F1914),"")</x:f>
      </x:c>
      <x:c r="H1914"/>
      <x:c r="I1914"/>
      <x:c r="J1914"/>
      <x:c r="K1914" t="str">
        <x:f>IF(ROW()-ROW($K$2)&lt;=SUM($J$3:$J$168),COUNTIF($H$3:$H$168,"&lt;"&amp;(ROW()-ROW($K$2))),"")</x:f>
      </x:c>
      <x:c r="L1914" t="str">
        <x:f>IF(K1914="","",ROW()-ROW($L$2)-INDEX($H$3:$H$168,K1914))</x:f>
      </x:c>
      <x:c r="M1914" t="str">
        <x:f>IF(K1914="","",IF(L1914=1,1,FIND(CHAR(1),SUBSTITUTE(INDEX($B$3:$B$168,K1914),CHAR(10),CHAR(1),L1914-1))+1))</x:f>
      </x:c>
      <x:c r="N1914" t="str">
        <x:f>IF(K1914="","",IFERROR(FIND(CHAR(1),SUBSTITUTE(INDEX($B$3:$B$168,K1914),CHAR(10),CHAR(1),L1914)),LEN(INDEX($B$3:$B$168,K1914))+1))</x:f>
      </x:c>
    </x:row>
    <x:row r="1915">
      <x:c r="A1915"/>
      <x:c r="B1915"/>
      <x:c r="C1915"/>
      <x:c r="D1915" t="str">
        <x:f>IFERROR(IF(1913&lt;=$O$1,INDEX($A$3:$A$168,MATCH(1913,$I$3:$I$168,0)),IF(1913&lt;=$O$1+$O$2,INDEX($F$3:$F$1994,MATCH(1913-$O$1,$G$3:$G$1994,0)),"")),"")</x:f>
      </x:c>
      <x:c r="E1915" t="str">
        <x:f>IF(K1915="","",IF(N1915&lt;=M1915,"",TRIM(CLEAN(MID(INDEX($B$3:$B$168,K1915),M1915,N1915-M1915)))))</x:f>
      </x:c>
      <x:c r="F1915" t="str">
        <x:f>IF(E1915="","",IF(E1915=TRIM(INDEX($A$3:$A$168,K1915)),"",IF(RIGHT(TRIM(INDEX($A$3:$A$168,K1915)),1)="]",LEFT(TRIM(INDEX($A$3:$A$168,K1915)),LEN(TRIM(INDEX($A$3:$A$168,K1915)))-1)&amp;", "&amp;SUBSTITUTE(SUBSTITUTE(SUBSTITUTE(E1915," [",", "),"[",", "),"]","")&amp;"]",TRIM(INDEX($A$3:$A$168,K1915))&amp;" ["&amp;SUBSTITUTE(SUBSTITUTE(SUBSTITUTE(E1915," [",", "),"[",", "),"]","")&amp;"]")))</x:f>
      </x:c>
      <x:c r="G1915" t="str">
        <x:f>IF(F1915&lt;&gt;"",ROWS($F$3:F1915)-COUNTBLANK($F$3:F1915),"")</x:f>
      </x:c>
      <x:c r="H1915"/>
      <x:c r="I1915"/>
      <x:c r="J1915"/>
      <x:c r="K1915" t="str">
        <x:f>IF(ROW()-ROW($K$2)&lt;=SUM($J$3:$J$168),COUNTIF($H$3:$H$168,"&lt;"&amp;(ROW()-ROW($K$2))),"")</x:f>
      </x:c>
      <x:c r="L1915" t="str">
        <x:f>IF(K1915="","",ROW()-ROW($L$2)-INDEX($H$3:$H$168,K1915))</x:f>
      </x:c>
      <x:c r="M1915" t="str">
        <x:f>IF(K1915="","",IF(L1915=1,1,FIND(CHAR(1),SUBSTITUTE(INDEX($B$3:$B$168,K1915),CHAR(10),CHAR(1),L1915-1))+1))</x:f>
      </x:c>
      <x:c r="N1915" t="str">
        <x:f>IF(K1915="","",IFERROR(FIND(CHAR(1),SUBSTITUTE(INDEX($B$3:$B$168,K1915),CHAR(10),CHAR(1),L1915)),LEN(INDEX($B$3:$B$168,K1915))+1))</x:f>
      </x:c>
    </x:row>
    <x:row r="1916">
      <x:c r="A1916"/>
      <x:c r="B1916"/>
      <x:c r="C1916"/>
      <x:c r="D1916" t="str">
        <x:f>IFERROR(IF(1914&lt;=$O$1,INDEX($A$3:$A$168,MATCH(1914,$I$3:$I$168,0)),IF(1914&lt;=$O$1+$O$2,INDEX($F$3:$F$1994,MATCH(1914-$O$1,$G$3:$G$1994,0)),"")),"")</x:f>
      </x:c>
      <x:c r="E1916" t="str">
        <x:f>IF(K1916="","",IF(N1916&lt;=M1916,"",TRIM(CLEAN(MID(INDEX($B$3:$B$168,K1916),M1916,N1916-M1916)))))</x:f>
      </x:c>
      <x:c r="F1916" t="str">
        <x:f>IF(E1916="","",IF(E1916=TRIM(INDEX($A$3:$A$168,K1916)),"",IF(RIGHT(TRIM(INDEX($A$3:$A$168,K1916)),1)="]",LEFT(TRIM(INDEX($A$3:$A$168,K1916)),LEN(TRIM(INDEX($A$3:$A$168,K1916)))-1)&amp;", "&amp;SUBSTITUTE(SUBSTITUTE(SUBSTITUTE(E1916," [",", "),"[",", "),"]","")&amp;"]",TRIM(INDEX($A$3:$A$168,K1916))&amp;" ["&amp;SUBSTITUTE(SUBSTITUTE(SUBSTITUTE(E1916," [",", "),"[",", "),"]","")&amp;"]")))</x:f>
      </x:c>
      <x:c r="G1916" t="str">
        <x:f>IF(F1916&lt;&gt;"",ROWS($F$3:F1916)-COUNTBLANK($F$3:F1916),"")</x:f>
      </x:c>
      <x:c r="H1916"/>
      <x:c r="I1916"/>
      <x:c r="J1916"/>
      <x:c r="K1916" t="str">
        <x:f>IF(ROW()-ROW($K$2)&lt;=SUM($J$3:$J$168),COUNTIF($H$3:$H$168,"&lt;"&amp;(ROW()-ROW($K$2))),"")</x:f>
      </x:c>
      <x:c r="L1916" t="str">
        <x:f>IF(K1916="","",ROW()-ROW($L$2)-INDEX($H$3:$H$168,K1916))</x:f>
      </x:c>
      <x:c r="M1916" t="str">
        <x:f>IF(K1916="","",IF(L1916=1,1,FIND(CHAR(1),SUBSTITUTE(INDEX($B$3:$B$168,K1916),CHAR(10),CHAR(1),L1916-1))+1))</x:f>
      </x:c>
      <x:c r="N1916" t="str">
        <x:f>IF(K1916="","",IFERROR(FIND(CHAR(1),SUBSTITUTE(INDEX($B$3:$B$168,K1916),CHAR(10),CHAR(1),L1916)),LEN(INDEX($B$3:$B$168,K1916))+1))</x:f>
      </x:c>
    </x:row>
    <x:row r="1917">
      <x:c r="A1917"/>
      <x:c r="B1917"/>
      <x:c r="C1917"/>
      <x:c r="D1917" t="str">
        <x:f>IFERROR(IF(1915&lt;=$O$1,INDEX($A$3:$A$168,MATCH(1915,$I$3:$I$168,0)),IF(1915&lt;=$O$1+$O$2,INDEX($F$3:$F$1994,MATCH(1915-$O$1,$G$3:$G$1994,0)),"")),"")</x:f>
      </x:c>
      <x:c r="E1917" t="str">
        <x:f>IF(K1917="","",IF(N1917&lt;=M1917,"",TRIM(CLEAN(MID(INDEX($B$3:$B$168,K1917),M1917,N1917-M1917)))))</x:f>
      </x:c>
      <x:c r="F1917" t="str">
        <x:f>IF(E1917="","",IF(E1917=TRIM(INDEX($A$3:$A$168,K1917)),"",IF(RIGHT(TRIM(INDEX($A$3:$A$168,K1917)),1)="]",LEFT(TRIM(INDEX($A$3:$A$168,K1917)),LEN(TRIM(INDEX($A$3:$A$168,K1917)))-1)&amp;", "&amp;SUBSTITUTE(SUBSTITUTE(SUBSTITUTE(E1917," [",", "),"[",", "),"]","")&amp;"]",TRIM(INDEX($A$3:$A$168,K1917))&amp;" ["&amp;SUBSTITUTE(SUBSTITUTE(SUBSTITUTE(E1917," [",", "),"[",", "),"]","")&amp;"]")))</x:f>
      </x:c>
      <x:c r="G1917" t="str">
        <x:f>IF(F1917&lt;&gt;"",ROWS($F$3:F1917)-COUNTBLANK($F$3:F1917),"")</x:f>
      </x:c>
      <x:c r="H1917"/>
      <x:c r="I1917"/>
      <x:c r="J1917"/>
      <x:c r="K1917" t="str">
        <x:f>IF(ROW()-ROW($K$2)&lt;=SUM($J$3:$J$168),COUNTIF($H$3:$H$168,"&lt;"&amp;(ROW()-ROW($K$2))),"")</x:f>
      </x:c>
      <x:c r="L1917" t="str">
        <x:f>IF(K1917="","",ROW()-ROW($L$2)-INDEX($H$3:$H$168,K1917))</x:f>
      </x:c>
      <x:c r="M1917" t="str">
        <x:f>IF(K1917="","",IF(L1917=1,1,FIND(CHAR(1),SUBSTITUTE(INDEX($B$3:$B$168,K1917),CHAR(10),CHAR(1),L1917-1))+1))</x:f>
      </x:c>
      <x:c r="N1917" t="str">
        <x:f>IF(K1917="","",IFERROR(FIND(CHAR(1),SUBSTITUTE(INDEX($B$3:$B$168,K1917),CHAR(10),CHAR(1),L1917)),LEN(INDEX($B$3:$B$168,K1917))+1))</x:f>
      </x:c>
    </x:row>
    <x:row r="1918">
      <x:c r="A1918"/>
      <x:c r="B1918"/>
      <x:c r="C1918"/>
      <x:c r="D1918" t="str">
        <x:f>IFERROR(IF(1916&lt;=$O$1,INDEX($A$3:$A$168,MATCH(1916,$I$3:$I$168,0)),IF(1916&lt;=$O$1+$O$2,INDEX($F$3:$F$1994,MATCH(1916-$O$1,$G$3:$G$1994,0)),"")),"")</x:f>
      </x:c>
      <x:c r="E1918" t="str">
        <x:f>IF(K1918="","",IF(N1918&lt;=M1918,"",TRIM(CLEAN(MID(INDEX($B$3:$B$168,K1918),M1918,N1918-M1918)))))</x:f>
      </x:c>
      <x:c r="F1918" t="str">
        <x:f>IF(E1918="","",IF(E1918=TRIM(INDEX($A$3:$A$168,K1918)),"",IF(RIGHT(TRIM(INDEX($A$3:$A$168,K1918)),1)="]",LEFT(TRIM(INDEX($A$3:$A$168,K1918)),LEN(TRIM(INDEX($A$3:$A$168,K1918)))-1)&amp;", "&amp;SUBSTITUTE(SUBSTITUTE(SUBSTITUTE(E1918," [",", "),"[",", "),"]","")&amp;"]",TRIM(INDEX($A$3:$A$168,K1918))&amp;" ["&amp;SUBSTITUTE(SUBSTITUTE(SUBSTITUTE(E1918," [",", "),"[",", "),"]","")&amp;"]")))</x:f>
      </x:c>
      <x:c r="G1918" t="str">
        <x:f>IF(F1918&lt;&gt;"",ROWS($F$3:F1918)-COUNTBLANK($F$3:F1918),"")</x:f>
      </x:c>
      <x:c r="H1918"/>
      <x:c r="I1918"/>
      <x:c r="J1918"/>
      <x:c r="K1918" t="str">
        <x:f>IF(ROW()-ROW($K$2)&lt;=SUM($J$3:$J$168),COUNTIF($H$3:$H$168,"&lt;"&amp;(ROW()-ROW($K$2))),"")</x:f>
      </x:c>
      <x:c r="L1918" t="str">
        <x:f>IF(K1918="","",ROW()-ROW($L$2)-INDEX($H$3:$H$168,K1918))</x:f>
      </x:c>
      <x:c r="M1918" t="str">
        <x:f>IF(K1918="","",IF(L1918=1,1,FIND(CHAR(1),SUBSTITUTE(INDEX($B$3:$B$168,K1918),CHAR(10),CHAR(1),L1918-1))+1))</x:f>
      </x:c>
      <x:c r="N1918" t="str">
        <x:f>IF(K1918="","",IFERROR(FIND(CHAR(1),SUBSTITUTE(INDEX($B$3:$B$168,K1918),CHAR(10),CHAR(1),L1918)),LEN(INDEX($B$3:$B$168,K1918))+1))</x:f>
      </x:c>
    </x:row>
    <x:row r="1919">
      <x:c r="A1919"/>
      <x:c r="B1919"/>
      <x:c r="C1919"/>
      <x:c r="D1919" t="str">
        <x:f>IFERROR(IF(1917&lt;=$O$1,INDEX($A$3:$A$168,MATCH(1917,$I$3:$I$168,0)),IF(1917&lt;=$O$1+$O$2,INDEX($F$3:$F$1994,MATCH(1917-$O$1,$G$3:$G$1994,0)),"")),"")</x:f>
      </x:c>
      <x:c r="E1919" t="str">
        <x:f>IF(K1919="","",IF(N1919&lt;=M1919,"",TRIM(CLEAN(MID(INDEX($B$3:$B$168,K1919),M1919,N1919-M1919)))))</x:f>
      </x:c>
      <x:c r="F1919" t="str">
        <x:f>IF(E1919="","",IF(E1919=TRIM(INDEX($A$3:$A$168,K1919)),"",IF(RIGHT(TRIM(INDEX($A$3:$A$168,K1919)),1)="]",LEFT(TRIM(INDEX($A$3:$A$168,K1919)),LEN(TRIM(INDEX($A$3:$A$168,K1919)))-1)&amp;", "&amp;SUBSTITUTE(SUBSTITUTE(SUBSTITUTE(E1919," [",", "),"[",", "),"]","")&amp;"]",TRIM(INDEX($A$3:$A$168,K1919))&amp;" ["&amp;SUBSTITUTE(SUBSTITUTE(SUBSTITUTE(E1919," [",", "),"[",", "),"]","")&amp;"]")))</x:f>
      </x:c>
      <x:c r="G1919" t="str">
        <x:f>IF(F1919&lt;&gt;"",ROWS($F$3:F1919)-COUNTBLANK($F$3:F1919),"")</x:f>
      </x:c>
      <x:c r="H1919"/>
      <x:c r="I1919"/>
      <x:c r="J1919"/>
      <x:c r="K1919" t="str">
        <x:f>IF(ROW()-ROW($K$2)&lt;=SUM($J$3:$J$168),COUNTIF($H$3:$H$168,"&lt;"&amp;(ROW()-ROW($K$2))),"")</x:f>
      </x:c>
      <x:c r="L1919" t="str">
        <x:f>IF(K1919="","",ROW()-ROW($L$2)-INDEX($H$3:$H$168,K1919))</x:f>
      </x:c>
      <x:c r="M1919" t="str">
        <x:f>IF(K1919="","",IF(L1919=1,1,FIND(CHAR(1),SUBSTITUTE(INDEX($B$3:$B$168,K1919),CHAR(10),CHAR(1),L1919-1))+1))</x:f>
      </x:c>
      <x:c r="N1919" t="str">
        <x:f>IF(K1919="","",IFERROR(FIND(CHAR(1),SUBSTITUTE(INDEX($B$3:$B$168,K1919),CHAR(10),CHAR(1),L1919)),LEN(INDEX($B$3:$B$168,K1919))+1))</x:f>
      </x:c>
    </x:row>
    <x:row r="1920">
      <x:c r="A1920"/>
      <x:c r="B1920"/>
      <x:c r="C1920"/>
      <x:c r="D1920" t="str">
        <x:f>IFERROR(IF(1918&lt;=$O$1,INDEX($A$3:$A$168,MATCH(1918,$I$3:$I$168,0)),IF(1918&lt;=$O$1+$O$2,INDEX($F$3:$F$1994,MATCH(1918-$O$1,$G$3:$G$1994,0)),"")),"")</x:f>
      </x:c>
      <x:c r="E1920" t="str">
        <x:f>IF(K1920="","",IF(N1920&lt;=M1920,"",TRIM(CLEAN(MID(INDEX($B$3:$B$168,K1920),M1920,N1920-M1920)))))</x:f>
      </x:c>
      <x:c r="F1920" t="str">
        <x:f>IF(E1920="","",IF(E1920=TRIM(INDEX($A$3:$A$168,K1920)),"",IF(RIGHT(TRIM(INDEX($A$3:$A$168,K1920)),1)="]",LEFT(TRIM(INDEX($A$3:$A$168,K1920)),LEN(TRIM(INDEX($A$3:$A$168,K1920)))-1)&amp;", "&amp;SUBSTITUTE(SUBSTITUTE(SUBSTITUTE(E1920," [",", "),"[",", "),"]","")&amp;"]",TRIM(INDEX($A$3:$A$168,K1920))&amp;" ["&amp;SUBSTITUTE(SUBSTITUTE(SUBSTITUTE(E1920," [",", "),"[",", "),"]","")&amp;"]")))</x:f>
      </x:c>
      <x:c r="G1920" t="str">
        <x:f>IF(F1920&lt;&gt;"",ROWS($F$3:F1920)-COUNTBLANK($F$3:F1920),"")</x:f>
      </x:c>
      <x:c r="H1920"/>
      <x:c r="I1920"/>
      <x:c r="J1920"/>
      <x:c r="K1920" t="str">
        <x:f>IF(ROW()-ROW($K$2)&lt;=SUM($J$3:$J$168),COUNTIF($H$3:$H$168,"&lt;"&amp;(ROW()-ROW($K$2))),"")</x:f>
      </x:c>
      <x:c r="L1920" t="str">
        <x:f>IF(K1920="","",ROW()-ROW($L$2)-INDEX($H$3:$H$168,K1920))</x:f>
      </x:c>
      <x:c r="M1920" t="str">
        <x:f>IF(K1920="","",IF(L1920=1,1,FIND(CHAR(1),SUBSTITUTE(INDEX($B$3:$B$168,K1920),CHAR(10),CHAR(1),L1920-1))+1))</x:f>
      </x:c>
      <x:c r="N1920" t="str">
        <x:f>IF(K1920="","",IFERROR(FIND(CHAR(1),SUBSTITUTE(INDEX($B$3:$B$168,K1920),CHAR(10),CHAR(1),L1920)),LEN(INDEX($B$3:$B$168,K1920))+1))</x:f>
      </x:c>
    </x:row>
    <x:row r="1921">
      <x:c r="A1921"/>
      <x:c r="B1921"/>
      <x:c r="C1921"/>
      <x:c r="D1921" t="str">
        <x:f>IFERROR(IF(1919&lt;=$O$1,INDEX($A$3:$A$168,MATCH(1919,$I$3:$I$168,0)),IF(1919&lt;=$O$1+$O$2,INDEX($F$3:$F$1994,MATCH(1919-$O$1,$G$3:$G$1994,0)),"")),"")</x:f>
      </x:c>
      <x:c r="E1921" t="str">
        <x:f>IF(K1921="","",IF(N1921&lt;=M1921,"",TRIM(CLEAN(MID(INDEX($B$3:$B$168,K1921),M1921,N1921-M1921)))))</x:f>
      </x:c>
      <x:c r="F1921" t="str">
        <x:f>IF(E1921="","",IF(E1921=TRIM(INDEX($A$3:$A$168,K1921)),"",IF(RIGHT(TRIM(INDEX($A$3:$A$168,K1921)),1)="]",LEFT(TRIM(INDEX($A$3:$A$168,K1921)),LEN(TRIM(INDEX($A$3:$A$168,K1921)))-1)&amp;", "&amp;SUBSTITUTE(SUBSTITUTE(SUBSTITUTE(E1921," [",", "),"[",", "),"]","")&amp;"]",TRIM(INDEX($A$3:$A$168,K1921))&amp;" ["&amp;SUBSTITUTE(SUBSTITUTE(SUBSTITUTE(E1921," [",", "),"[",", "),"]","")&amp;"]")))</x:f>
      </x:c>
      <x:c r="G1921" t="str">
        <x:f>IF(F1921&lt;&gt;"",ROWS($F$3:F1921)-COUNTBLANK($F$3:F1921),"")</x:f>
      </x:c>
      <x:c r="H1921"/>
      <x:c r="I1921"/>
      <x:c r="J1921"/>
      <x:c r="K1921" t="str">
        <x:f>IF(ROW()-ROW($K$2)&lt;=SUM($J$3:$J$168),COUNTIF($H$3:$H$168,"&lt;"&amp;(ROW()-ROW($K$2))),"")</x:f>
      </x:c>
      <x:c r="L1921" t="str">
        <x:f>IF(K1921="","",ROW()-ROW($L$2)-INDEX($H$3:$H$168,K1921))</x:f>
      </x:c>
      <x:c r="M1921" t="str">
        <x:f>IF(K1921="","",IF(L1921=1,1,FIND(CHAR(1),SUBSTITUTE(INDEX($B$3:$B$168,K1921),CHAR(10),CHAR(1),L1921-1))+1))</x:f>
      </x:c>
      <x:c r="N1921" t="str">
        <x:f>IF(K1921="","",IFERROR(FIND(CHAR(1),SUBSTITUTE(INDEX($B$3:$B$168,K1921),CHAR(10),CHAR(1),L1921)),LEN(INDEX($B$3:$B$168,K1921))+1))</x:f>
      </x:c>
    </x:row>
    <x:row r="1922">
      <x:c r="A1922"/>
      <x:c r="B1922"/>
      <x:c r="C1922"/>
      <x:c r="D1922" t="str">
        <x:f>IFERROR(IF(1920&lt;=$O$1,INDEX($A$3:$A$168,MATCH(1920,$I$3:$I$168,0)),IF(1920&lt;=$O$1+$O$2,INDEX($F$3:$F$1994,MATCH(1920-$O$1,$G$3:$G$1994,0)),"")),"")</x:f>
      </x:c>
      <x:c r="E1922" t="str">
        <x:f>IF(K1922="","",IF(N1922&lt;=M1922,"",TRIM(CLEAN(MID(INDEX($B$3:$B$168,K1922),M1922,N1922-M1922)))))</x:f>
      </x:c>
      <x:c r="F1922" t="str">
        <x:f>IF(E1922="","",IF(E1922=TRIM(INDEX($A$3:$A$168,K1922)),"",IF(RIGHT(TRIM(INDEX($A$3:$A$168,K1922)),1)="]",LEFT(TRIM(INDEX($A$3:$A$168,K1922)),LEN(TRIM(INDEX($A$3:$A$168,K1922)))-1)&amp;", "&amp;SUBSTITUTE(SUBSTITUTE(SUBSTITUTE(E1922," [",", "),"[",", "),"]","")&amp;"]",TRIM(INDEX($A$3:$A$168,K1922))&amp;" ["&amp;SUBSTITUTE(SUBSTITUTE(SUBSTITUTE(E1922," [",", "),"[",", "),"]","")&amp;"]")))</x:f>
      </x:c>
      <x:c r="G1922" t="str">
        <x:f>IF(F1922&lt;&gt;"",ROWS($F$3:F1922)-COUNTBLANK($F$3:F1922),"")</x:f>
      </x:c>
      <x:c r="H1922"/>
      <x:c r="I1922"/>
      <x:c r="J1922"/>
      <x:c r="K1922" t="str">
        <x:f>IF(ROW()-ROW($K$2)&lt;=SUM($J$3:$J$168),COUNTIF($H$3:$H$168,"&lt;"&amp;(ROW()-ROW($K$2))),"")</x:f>
      </x:c>
      <x:c r="L1922" t="str">
        <x:f>IF(K1922="","",ROW()-ROW($L$2)-INDEX($H$3:$H$168,K1922))</x:f>
      </x:c>
      <x:c r="M1922" t="str">
        <x:f>IF(K1922="","",IF(L1922=1,1,FIND(CHAR(1),SUBSTITUTE(INDEX($B$3:$B$168,K1922),CHAR(10),CHAR(1),L1922-1))+1))</x:f>
      </x:c>
      <x:c r="N1922" t="str">
        <x:f>IF(K1922="","",IFERROR(FIND(CHAR(1),SUBSTITUTE(INDEX($B$3:$B$168,K1922),CHAR(10),CHAR(1),L1922)),LEN(INDEX($B$3:$B$168,K1922))+1))</x:f>
      </x:c>
    </x:row>
    <x:row r="1923">
      <x:c r="A1923"/>
      <x:c r="B1923"/>
      <x:c r="C1923"/>
      <x:c r="D1923" t="str">
        <x:f>IFERROR(IF(1921&lt;=$O$1,INDEX($A$3:$A$168,MATCH(1921,$I$3:$I$168,0)),IF(1921&lt;=$O$1+$O$2,INDEX($F$3:$F$1994,MATCH(1921-$O$1,$G$3:$G$1994,0)),"")),"")</x:f>
      </x:c>
      <x:c r="E1923" t="str">
        <x:f>IF(K1923="","",IF(N1923&lt;=M1923,"",TRIM(CLEAN(MID(INDEX($B$3:$B$168,K1923),M1923,N1923-M1923)))))</x:f>
      </x:c>
      <x:c r="F1923" t="str">
        <x:f>IF(E1923="","",IF(E1923=TRIM(INDEX($A$3:$A$168,K1923)),"",IF(RIGHT(TRIM(INDEX($A$3:$A$168,K1923)),1)="]",LEFT(TRIM(INDEX($A$3:$A$168,K1923)),LEN(TRIM(INDEX($A$3:$A$168,K1923)))-1)&amp;", "&amp;SUBSTITUTE(SUBSTITUTE(SUBSTITUTE(E1923," [",", "),"[",", "),"]","")&amp;"]",TRIM(INDEX($A$3:$A$168,K1923))&amp;" ["&amp;SUBSTITUTE(SUBSTITUTE(SUBSTITUTE(E1923," [",", "),"[",", "),"]","")&amp;"]")))</x:f>
      </x:c>
      <x:c r="G1923" t="str">
        <x:f>IF(F1923&lt;&gt;"",ROWS($F$3:F1923)-COUNTBLANK($F$3:F1923),"")</x:f>
      </x:c>
      <x:c r="H1923"/>
      <x:c r="I1923"/>
      <x:c r="J1923"/>
      <x:c r="K1923" t="str">
        <x:f>IF(ROW()-ROW($K$2)&lt;=SUM($J$3:$J$168),COUNTIF($H$3:$H$168,"&lt;"&amp;(ROW()-ROW($K$2))),"")</x:f>
      </x:c>
      <x:c r="L1923" t="str">
        <x:f>IF(K1923="","",ROW()-ROW($L$2)-INDEX($H$3:$H$168,K1923))</x:f>
      </x:c>
      <x:c r="M1923" t="str">
        <x:f>IF(K1923="","",IF(L1923=1,1,FIND(CHAR(1),SUBSTITUTE(INDEX($B$3:$B$168,K1923),CHAR(10),CHAR(1),L1923-1))+1))</x:f>
      </x:c>
      <x:c r="N1923" t="str">
        <x:f>IF(K1923="","",IFERROR(FIND(CHAR(1),SUBSTITUTE(INDEX($B$3:$B$168,K1923),CHAR(10),CHAR(1),L1923)),LEN(INDEX($B$3:$B$168,K1923))+1))</x:f>
      </x:c>
    </x:row>
    <x:row r="1924">
      <x:c r="A1924"/>
      <x:c r="B1924"/>
      <x:c r="C1924"/>
      <x:c r="D1924" t="str">
        <x:f>IFERROR(IF(1922&lt;=$O$1,INDEX($A$3:$A$168,MATCH(1922,$I$3:$I$168,0)),IF(1922&lt;=$O$1+$O$2,INDEX($F$3:$F$1994,MATCH(1922-$O$1,$G$3:$G$1994,0)),"")),"")</x:f>
      </x:c>
      <x:c r="E1924" t="str">
        <x:f>IF(K1924="","",IF(N1924&lt;=M1924,"",TRIM(CLEAN(MID(INDEX($B$3:$B$168,K1924),M1924,N1924-M1924)))))</x:f>
      </x:c>
      <x:c r="F1924" t="str">
        <x:f>IF(E1924="","",IF(E1924=TRIM(INDEX($A$3:$A$168,K1924)),"",IF(RIGHT(TRIM(INDEX($A$3:$A$168,K1924)),1)="]",LEFT(TRIM(INDEX($A$3:$A$168,K1924)),LEN(TRIM(INDEX($A$3:$A$168,K1924)))-1)&amp;", "&amp;SUBSTITUTE(SUBSTITUTE(SUBSTITUTE(E1924," [",", "),"[",", "),"]","")&amp;"]",TRIM(INDEX($A$3:$A$168,K1924))&amp;" ["&amp;SUBSTITUTE(SUBSTITUTE(SUBSTITUTE(E1924," [",", "),"[",", "),"]","")&amp;"]")))</x:f>
      </x:c>
      <x:c r="G1924" t="str">
        <x:f>IF(F1924&lt;&gt;"",ROWS($F$3:F1924)-COUNTBLANK($F$3:F1924),"")</x:f>
      </x:c>
      <x:c r="H1924"/>
      <x:c r="I1924"/>
      <x:c r="J1924"/>
      <x:c r="K1924" t="str">
        <x:f>IF(ROW()-ROW($K$2)&lt;=SUM($J$3:$J$168),COUNTIF($H$3:$H$168,"&lt;"&amp;(ROW()-ROW($K$2))),"")</x:f>
      </x:c>
      <x:c r="L1924" t="str">
        <x:f>IF(K1924="","",ROW()-ROW($L$2)-INDEX($H$3:$H$168,K1924))</x:f>
      </x:c>
      <x:c r="M1924" t="str">
        <x:f>IF(K1924="","",IF(L1924=1,1,FIND(CHAR(1),SUBSTITUTE(INDEX($B$3:$B$168,K1924),CHAR(10),CHAR(1),L1924-1))+1))</x:f>
      </x:c>
      <x:c r="N1924" t="str">
        <x:f>IF(K1924="","",IFERROR(FIND(CHAR(1),SUBSTITUTE(INDEX($B$3:$B$168,K1924),CHAR(10),CHAR(1),L1924)),LEN(INDEX($B$3:$B$168,K1924))+1))</x:f>
      </x:c>
    </x:row>
    <x:row r="1925">
      <x:c r="A1925"/>
      <x:c r="B1925"/>
      <x:c r="C1925"/>
      <x:c r="D1925" t="str">
        <x:f>IFERROR(IF(1923&lt;=$O$1,INDEX($A$3:$A$168,MATCH(1923,$I$3:$I$168,0)),IF(1923&lt;=$O$1+$O$2,INDEX($F$3:$F$1994,MATCH(1923-$O$1,$G$3:$G$1994,0)),"")),"")</x:f>
      </x:c>
      <x:c r="E1925" t="str">
        <x:f>IF(K1925="","",IF(N1925&lt;=M1925,"",TRIM(CLEAN(MID(INDEX($B$3:$B$168,K1925),M1925,N1925-M1925)))))</x:f>
      </x:c>
      <x:c r="F1925" t="str">
        <x:f>IF(E1925="","",IF(E1925=TRIM(INDEX($A$3:$A$168,K1925)),"",IF(RIGHT(TRIM(INDEX($A$3:$A$168,K1925)),1)="]",LEFT(TRIM(INDEX($A$3:$A$168,K1925)),LEN(TRIM(INDEX($A$3:$A$168,K1925)))-1)&amp;", "&amp;SUBSTITUTE(SUBSTITUTE(SUBSTITUTE(E1925," [",", "),"[",", "),"]","")&amp;"]",TRIM(INDEX($A$3:$A$168,K1925))&amp;" ["&amp;SUBSTITUTE(SUBSTITUTE(SUBSTITUTE(E1925," [",", "),"[",", "),"]","")&amp;"]")))</x:f>
      </x:c>
      <x:c r="G1925" t="str">
        <x:f>IF(F1925&lt;&gt;"",ROWS($F$3:F1925)-COUNTBLANK($F$3:F1925),"")</x:f>
      </x:c>
      <x:c r="H1925"/>
      <x:c r="I1925"/>
      <x:c r="J1925"/>
      <x:c r="K1925" t="str">
        <x:f>IF(ROW()-ROW($K$2)&lt;=SUM($J$3:$J$168),COUNTIF($H$3:$H$168,"&lt;"&amp;(ROW()-ROW($K$2))),"")</x:f>
      </x:c>
      <x:c r="L1925" t="str">
        <x:f>IF(K1925="","",ROW()-ROW($L$2)-INDEX($H$3:$H$168,K1925))</x:f>
      </x:c>
      <x:c r="M1925" t="str">
        <x:f>IF(K1925="","",IF(L1925=1,1,FIND(CHAR(1),SUBSTITUTE(INDEX($B$3:$B$168,K1925),CHAR(10),CHAR(1),L1925-1))+1))</x:f>
      </x:c>
      <x:c r="N1925" t="str">
        <x:f>IF(K1925="","",IFERROR(FIND(CHAR(1),SUBSTITUTE(INDEX($B$3:$B$168,K1925),CHAR(10),CHAR(1),L1925)),LEN(INDEX($B$3:$B$168,K1925))+1))</x:f>
      </x:c>
    </x:row>
    <x:row r="1926">
      <x:c r="A1926"/>
      <x:c r="B1926"/>
      <x:c r="C1926"/>
      <x:c r="D1926" t="str">
        <x:f>IFERROR(IF(1924&lt;=$O$1,INDEX($A$3:$A$168,MATCH(1924,$I$3:$I$168,0)),IF(1924&lt;=$O$1+$O$2,INDEX($F$3:$F$1994,MATCH(1924-$O$1,$G$3:$G$1994,0)),"")),"")</x:f>
      </x:c>
      <x:c r="E1926" t="str">
        <x:f>IF(K1926="","",IF(N1926&lt;=M1926,"",TRIM(CLEAN(MID(INDEX($B$3:$B$168,K1926),M1926,N1926-M1926)))))</x:f>
      </x:c>
      <x:c r="F1926" t="str">
        <x:f>IF(E1926="","",IF(E1926=TRIM(INDEX($A$3:$A$168,K1926)),"",IF(RIGHT(TRIM(INDEX($A$3:$A$168,K1926)),1)="]",LEFT(TRIM(INDEX($A$3:$A$168,K1926)),LEN(TRIM(INDEX($A$3:$A$168,K1926)))-1)&amp;", "&amp;SUBSTITUTE(SUBSTITUTE(SUBSTITUTE(E1926," [",", "),"[",", "),"]","")&amp;"]",TRIM(INDEX($A$3:$A$168,K1926))&amp;" ["&amp;SUBSTITUTE(SUBSTITUTE(SUBSTITUTE(E1926," [",", "),"[",", "),"]","")&amp;"]")))</x:f>
      </x:c>
      <x:c r="G1926" t="str">
        <x:f>IF(F1926&lt;&gt;"",ROWS($F$3:F1926)-COUNTBLANK($F$3:F1926),"")</x:f>
      </x:c>
      <x:c r="H1926"/>
      <x:c r="I1926"/>
      <x:c r="J1926"/>
      <x:c r="K1926" t="str">
        <x:f>IF(ROW()-ROW($K$2)&lt;=SUM($J$3:$J$168),COUNTIF($H$3:$H$168,"&lt;"&amp;(ROW()-ROW($K$2))),"")</x:f>
      </x:c>
      <x:c r="L1926" t="str">
        <x:f>IF(K1926="","",ROW()-ROW($L$2)-INDEX($H$3:$H$168,K1926))</x:f>
      </x:c>
      <x:c r="M1926" t="str">
        <x:f>IF(K1926="","",IF(L1926=1,1,FIND(CHAR(1),SUBSTITUTE(INDEX($B$3:$B$168,K1926),CHAR(10),CHAR(1),L1926-1))+1))</x:f>
      </x:c>
      <x:c r="N1926" t="str">
        <x:f>IF(K1926="","",IFERROR(FIND(CHAR(1),SUBSTITUTE(INDEX($B$3:$B$168,K1926),CHAR(10),CHAR(1),L1926)),LEN(INDEX($B$3:$B$168,K1926))+1))</x:f>
      </x:c>
    </x:row>
    <x:row r="1927">
      <x:c r="A1927"/>
      <x:c r="B1927"/>
      <x:c r="C1927"/>
      <x:c r="D1927" t="str">
        <x:f>IFERROR(IF(1925&lt;=$O$1,INDEX($A$3:$A$168,MATCH(1925,$I$3:$I$168,0)),IF(1925&lt;=$O$1+$O$2,INDEX($F$3:$F$1994,MATCH(1925-$O$1,$G$3:$G$1994,0)),"")),"")</x:f>
      </x:c>
      <x:c r="E1927" t="str">
        <x:f>IF(K1927="","",IF(N1927&lt;=M1927,"",TRIM(CLEAN(MID(INDEX($B$3:$B$168,K1927),M1927,N1927-M1927)))))</x:f>
      </x:c>
      <x:c r="F1927" t="str">
        <x:f>IF(E1927="","",IF(E1927=TRIM(INDEX($A$3:$A$168,K1927)),"",IF(RIGHT(TRIM(INDEX($A$3:$A$168,K1927)),1)="]",LEFT(TRIM(INDEX($A$3:$A$168,K1927)),LEN(TRIM(INDEX($A$3:$A$168,K1927)))-1)&amp;", "&amp;SUBSTITUTE(SUBSTITUTE(SUBSTITUTE(E1927," [",", "),"[",", "),"]","")&amp;"]",TRIM(INDEX($A$3:$A$168,K1927))&amp;" ["&amp;SUBSTITUTE(SUBSTITUTE(SUBSTITUTE(E1927," [",", "),"[",", "),"]","")&amp;"]")))</x:f>
      </x:c>
      <x:c r="G1927" t="str">
        <x:f>IF(F1927&lt;&gt;"",ROWS($F$3:F1927)-COUNTBLANK($F$3:F1927),"")</x:f>
      </x:c>
      <x:c r="H1927"/>
      <x:c r="I1927"/>
      <x:c r="J1927"/>
      <x:c r="K1927" t="str">
        <x:f>IF(ROW()-ROW($K$2)&lt;=SUM($J$3:$J$168),COUNTIF($H$3:$H$168,"&lt;"&amp;(ROW()-ROW($K$2))),"")</x:f>
      </x:c>
      <x:c r="L1927" t="str">
        <x:f>IF(K1927="","",ROW()-ROW($L$2)-INDEX($H$3:$H$168,K1927))</x:f>
      </x:c>
      <x:c r="M1927" t="str">
        <x:f>IF(K1927="","",IF(L1927=1,1,FIND(CHAR(1),SUBSTITUTE(INDEX($B$3:$B$168,K1927),CHAR(10),CHAR(1),L1927-1))+1))</x:f>
      </x:c>
      <x:c r="N1927" t="str">
        <x:f>IF(K1927="","",IFERROR(FIND(CHAR(1),SUBSTITUTE(INDEX($B$3:$B$168,K1927),CHAR(10),CHAR(1),L1927)),LEN(INDEX($B$3:$B$168,K1927))+1))</x:f>
      </x:c>
    </x:row>
    <x:row r="1928">
      <x:c r="A1928"/>
      <x:c r="B1928"/>
      <x:c r="C1928"/>
      <x:c r="D1928" t="str">
        <x:f>IFERROR(IF(1926&lt;=$O$1,INDEX($A$3:$A$168,MATCH(1926,$I$3:$I$168,0)),IF(1926&lt;=$O$1+$O$2,INDEX($F$3:$F$1994,MATCH(1926-$O$1,$G$3:$G$1994,0)),"")),"")</x:f>
      </x:c>
      <x:c r="E1928" t="str">
        <x:f>IF(K1928="","",IF(N1928&lt;=M1928,"",TRIM(CLEAN(MID(INDEX($B$3:$B$168,K1928),M1928,N1928-M1928)))))</x:f>
      </x:c>
      <x:c r="F1928" t="str">
        <x:f>IF(E1928="","",IF(E1928=TRIM(INDEX($A$3:$A$168,K1928)),"",IF(RIGHT(TRIM(INDEX($A$3:$A$168,K1928)),1)="]",LEFT(TRIM(INDEX($A$3:$A$168,K1928)),LEN(TRIM(INDEX($A$3:$A$168,K1928)))-1)&amp;", "&amp;SUBSTITUTE(SUBSTITUTE(SUBSTITUTE(E1928," [",", "),"[",", "),"]","")&amp;"]",TRIM(INDEX($A$3:$A$168,K1928))&amp;" ["&amp;SUBSTITUTE(SUBSTITUTE(SUBSTITUTE(E1928," [",", "),"[",", "),"]","")&amp;"]")))</x:f>
      </x:c>
      <x:c r="G1928" t="str">
        <x:f>IF(F1928&lt;&gt;"",ROWS($F$3:F1928)-COUNTBLANK($F$3:F1928),"")</x:f>
      </x:c>
      <x:c r="H1928"/>
      <x:c r="I1928"/>
      <x:c r="J1928"/>
      <x:c r="K1928" t="str">
        <x:f>IF(ROW()-ROW($K$2)&lt;=SUM($J$3:$J$168),COUNTIF($H$3:$H$168,"&lt;"&amp;(ROW()-ROW($K$2))),"")</x:f>
      </x:c>
      <x:c r="L1928" t="str">
        <x:f>IF(K1928="","",ROW()-ROW($L$2)-INDEX($H$3:$H$168,K1928))</x:f>
      </x:c>
      <x:c r="M1928" t="str">
        <x:f>IF(K1928="","",IF(L1928=1,1,FIND(CHAR(1),SUBSTITUTE(INDEX($B$3:$B$168,K1928),CHAR(10),CHAR(1),L1928-1))+1))</x:f>
      </x:c>
      <x:c r="N1928" t="str">
        <x:f>IF(K1928="","",IFERROR(FIND(CHAR(1),SUBSTITUTE(INDEX($B$3:$B$168,K1928),CHAR(10),CHAR(1),L1928)),LEN(INDEX($B$3:$B$168,K1928))+1))</x:f>
      </x:c>
    </x:row>
    <x:row r="1929">
      <x:c r="A1929"/>
      <x:c r="B1929"/>
      <x:c r="C1929"/>
      <x:c r="D1929" t="str">
        <x:f>IFERROR(IF(1927&lt;=$O$1,INDEX($A$3:$A$168,MATCH(1927,$I$3:$I$168,0)),IF(1927&lt;=$O$1+$O$2,INDEX($F$3:$F$1994,MATCH(1927-$O$1,$G$3:$G$1994,0)),"")),"")</x:f>
      </x:c>
      <x:c r="E1929" t="str">
        <x:f>IF(K1929="","",IF(N1929&lt;=M1929,"",TRIM(CLEAN(MID(INDEX($B$3:$B$168,K1929),M1929,N1929-M1929)))))</x:f>
      </x:c>
      <x:c r="F1929" t="str">
        <x:f>IF(E1929="","",IF(E1929=TRIM(INDEX($A$3:$A$168,K1929)),"",IF(RIGHT(TRIM(INDEX($A$3:$A$168,K1929)),1)="]",LEFT(TRIM(INDEX($A$3:$A$168,K1929)),LEN(TRIM(INDEX($A$3:$A$168,K1929)))-1)&amp;", "&amp;SUBSTITUTE(SUBSTITUTE(SUBSTITUTE(E1929," [",", "),"[",", "),"]","")&amp;"]",TRIM(INDEX($A$3:$A$168,K1929))&amp;" ["&amp;SUBSTITUTE(SUBSTITUTE(SUBSTITUTE(E1929," [",", "),"[",", "),"]","")&amp;"]")))</x:f>
      </x:c>
      <x:c r="G1929" t="str">
        <x:f>IF(F1929&lt;&gt;"",ROWS($F$3:F1929)-COUNTBLANK($F$3:F1929),"")</x:f>
      </x:c>
      <x:c r="H1929"/>
      <x:c r="I1929"/>
      <x:c r="J1929"/>
      <x:c r="K1929" t="str">
        <x:f>IF(ROW()-ROW($K$2)&lt;=SUM($J$3:$J$168),COUNTIF($H$3:$H$168,"&lt;"&amp;(ROW()-ROW($K$2))),"")</x:f>
      </x:c>
      <x:c r="L1929" t="str">
        <x:f>IF(K1929="","",ROW()-ROW($L$2)-INDEX($H$3:$H$168,K1929))</x:f>
      </x:c>
      <x:c r="M1929" t="str">
        <x:f>IF(K1929="","",IF(L1929=1,1,FIND(CHAR(1),SUBSTITUTE(INDEX($B$3:$B$168,K1929),CHAR(10),CHAR(1),L1929-1))+1))</x:f>
      </x:c>
      <x:c r="N1929" t="str">
        <x:f>IF(K1929="","",IFERROR(FIND(CHAR(1),SUBSTITUTE(INDEX($B$3:$B$168,K1929),CHAR(10),CHAR(1),L1929)),LEN(INDEX($B$3:$B$168,K1929))+1))</x:f>
      </x:c>
    </x:row>
    <x:row r="1930">
      <x:c r="A1930"/>
      <x:c r="B1930"/>
      <x:c r="C1930"/>
      <x:c r="D1930" t="str">
        <x:f>IFERROR(IF(1928&lt;=$O$1,INDEX($A$3:$A$168,MATCH(1928,$I$3:$I$168,0)),IF(1928&lt;=$O$1+$O$2,INDEX($F$3:$F$1994,MATCH(1928-$O$1,$G$3:$G$1994,0)),"")),"")</x:f>
      </x:c>
      <x:c r="E1930" t="str">
        <x:f>IF(K1930="","",IF(N1930&lt;=M1930,"",TRIM(CLEAN(MID(INDEX($B$3:$B$168,K1930),M1930,N1930-M1930)))))</x:f>
      </x:c>
      <x:c r="F1930" t="str">
        <x:f>IF(E1930="","",IF(E1930=TRIM(INDEX($A$3:$A$168,K1930)),"",IF(RIGHT(TRIM(INDEX($A$3:$A$168,K1930)),1)="]",LEFT(TRIM(INDEX($A$3:$A$168,K1930)),LEN(TRIM(INDEX($A$3:$A$168,K1930)))-1)&amp;", "&amp;SUBSTITUTE(SUBSTITUTE(SUBSTITUTE(E1930," [",", "),"[",", "),"]","")&amp;"]",TRIM(INDEX($A$3:$A$168,K1930))&amp;" ["&amp;SUBSTITUTE(SUBSTITUTE(SUBSTITUTE(E1930," [",", "),"[",", "),"]","")&amp;"]")))</x:f>
      </x:c>
      <x:c r="G1930" t="str">
        <x:f>IF(F1930&lt;&gt;"",ROWS($F$3:F1930)-COUNTBLANK($F$3:F1930),"")</x:f>
      </x:c>
      <x:c r="H1930"/>
      <x:c r="I1930"/>
      <x:c r="J1930"/>
      <x:c r="K1930" t="str">
        <x:f>IF(ROW()-ROW($K$2)&lt;=SUM($J$3:$J$168),COUNTIF($H$3:$H$168,"&lt;"&amp;(ROW()-ROW($K$2))),"")</x:f>
      </x:c>
      <x:c r="L1930" t="str">
        <x:f>IF(K1930="","",ROW()-ROW($L$2)-INDEX($H$3:$H$168,K1930))</x:f>
      </x:c>
      <x:c r="M1930" t="str">
        <x:f>IF(K1930="","",IF(L1930=1,1,FIND(CHAR(1),SUBSTITUTE(INDEX($B$3:$B$168,K1930),CHAR(10),CHAR(1),L1930-1))+1))</x:f>
      </x:c>
      <x:c r="N1930" t="str">
        <x:f>IF(K1930="","",IFERROR(FIND(CHAR(1),SUBSTITUTE(INDEX($B$3:$B$168,K1930),CHAR(10),CHAR(1),L1930)),LEN(INDEX($B$3:$B$168,K1930))+1))</x:f>
      </x:c>
    </x:row>
    <x:row r="1931">
      <x:c r="A1931"/>
      <x:c r="B1931"/>
      <x:c r="C1931"/>
      <x:c r="D1931" t="str">
        <x:f>IFERROR(IF(1929&lt;=$O$1,INDEX($A$3:$A$168,MATCH(1929,$I$3:$I$168,0)),IF(1929&lt;=$O$1+$O$2,INDEX($F$3:$F$1994,MATCH(1929-$O$1,$G$3:$G$1994,0)),"")),"")</x:f>
      </x:c>
      <x:c r="E1931" t="str">
        <x:f>IF(K1931="","",IF(N1931&lt;=M1931,"",TRIM(CLEAN(MID(INDEX($B$3:$B$168,K1931),M1931,N1931-M1931)))))</x:f>
      </x:c>
      <x:c r="F1931" t="str">
        <x:f>IF(E1931="","",IF(E1931=TRIM(INDEX($A$3:$A$168,K1931)),"",IF(RIGHT(TRIM(INDEX($A$3:$A$168,K1931)),1)="]",LEFT(TRIM(INDEX($A$3:$A$168,K1931)),LEN(TRIM(INDEX($A$3:$A$168,K1931)))-1)&amp;", "&amp;SUBSTITUTE(SUBSTITUTE(SUBSTITUTE(E1931," [",", "),"[",", "),"]","")&amp;"]",TRIM(INDEX($A$3:$A$168,K1931))&amp;" ["&amp;SUBSTITUTE(SUBSTITUTE(SUBSTITUTE(E1931," [",", "),"[",", "),"]","")&amp;"]")))</x:f>
      </x:c>
      <x:c r="G1931" t="str">
        <x:f>IF(F1931&lt;&gt;"",ROWS($F$3:F1931)-COUNTBLANK($F$3:F1931),"")</x:f>
      </x:c>
      <x:c r="H1931"/>
      <x:c r="I1931"/>
      <x:c r="J1931"/>
      <x:c r="K1931" t="str">
        <x:f>IF(ROW()-ROW($K$2)&lt;=SUM($J$3:$J$168),COUNTIF($H$3:$H$168,"&lt;"&amp;(ROW()-ROW($K$2))),"")</x:f>
      </x:c>
      <x:c r="L1931" t="str">
        <x:f>IF(K1931="","",ROW()-ROW($L$2)-INDEX($H$3:$H$168,K1931))</x:f>
      </x:c>
      <x:c r="M1931" t="str">
        <x:f>IF(K1931="","",IF(L1931=1,1,FIND(CHAR(1),SUBSTITUTE(INDEX($B$3:$B$168,K1931),CHAR(10),CHAR(1),L1931-1))+1))</x:f>
      </x:c>
      <x:c r="N1931" t="str">
        <x:f>IF(K1931="","",IFERROR(FIND(CHAR(1),SUBSTITUTE(INDEX($B$3:$B$168,K1931),CHAR(10),CHAR(1),L1931)),LEN(INDEX($B$3:$B$168,K1931))+1))</x:f>
      </x:c>
    </x:row>
    <x:row r="1932">
      <x:c r="A1932"/>
      <x:c r="B1932"/>
      <x:c r="C1932"/>
      <x:c r="D1932" t="str">
        <x:f>IFERROR(IF(1930&lt;=$O$1,INDEX($A$3:$A$168,MATCH(1930,$I$3:$I$168,0)),IF(1930&lt;=$O$1+$O$2,INDEX($F$3:$F$1994,MATCH(1930-$O$1,$G$3:$G$1994,0)),"")),"")</x:f>
      </x:c>
      <x:c r="E1932" t="str">
        <x:f>IF(K1932="","",IF(N1932&lt;=M1932,"",TRIM(CLEAN(MID(INDEX($B$3:$B$168,K1932),M1932,N1932-M1932)))))</x:f>
      </x:c>
      <x:c r="F1932" t="str">
        <x:f>IF(E1932="","",IF(E1932=TRIM(INDEX($A$3:$A$168,K1932)),"",IF(RIGHT(TRIM(INDEX($A$3:$A$168,K1932)),1)="]",LEFT(TRIM(INDEX($A$3:$A$168,K1932)),LEN(TRIM(INDEX($A$3:$A$168,K1932)))-1)&amp;", "&amp;SUBSTITUTE(SUBSTITUTE(SUBSTITUTE(E1932," [",", "),"[",", "),"]","")&amp;"]",TRIM(INDEX($A$3:$A$168,K1932))&amp;" ["&amp;SUBSTITUTE(SUBSTITUTE(SUBSTITUTE(E1932," [",", "),"[",", "),"]","")&amp;"]")))</x:f>
      </x:c>
      <x:c r="G1932" t="str">
        <x:f>IF(F1932&lt;&gt;"",ROWS($F$3:F1932)-COUNTBLANK($F$3:F1932),"")</x:f>
      </x:c>
      <x:c r="H1932"/>
      <x:c r="I1932"/>
      <x:c r="J1932"/>
      <x:c r="K1932" t="str">
        <x:f>IF(ROW()-ROW($K$2)&lt;=SUM($J$3:$J$168),COUNTIF($H$3:$H$168,"&lt;"&amp;(ROW()-ROW($K$2))),"")</x:f>
      </x:c>
      <x:c r="L1932" t="str">
        <x:f>IF(K1932="","",ROW()-ROW($L$2)-INDEX($H$3:$H$168,K1932))</x:f>
      </x:c>
      <x:c r="M1932" t="str">
        <x:f>IF(K1932="","",IF(L1932=1,1,FIND(CHAR(1),SUBSTITUTE(INDEX($B$3:$B$168,K1932),CHAR(10),CHAR(1),L1932-1))+1))</x:f>
      </x:c>
      <x:c r="N1932" t="str">
        <x:f>IF(K1932="","",IFERROR(FIND(CHAR(1),SUBSTITUTE(INDEX($B$3:$B$168,K1932),CHAR(10),CHAR(1),L1932)),LEN(INDEX($B$3:$B$168,K1932))+1))</x:f>
      </x:c>
    </x:row>
    <x:row r="1933">
      <x:c r="A1933"/>
      <x:c r="B1933"/>
      <x:c r="C1933"/>
      <x:c r="D1933" t="str">
        <x:f>IFERROR(IF(1931&lt;=$O$1,INDEX($A$3:$A$168,MATCH(1931,$I$3:$I$168,0)),IF(1931&lt;=$O$1+$O$2,INDEX($F$3:$F$1994,MATCH(1931-$O$1,$G$3:$G$1994,0)),"")),"")</x:f>
      </x:c>
      <x:c r="E1933" t="str">
        <x:f>IF(K1933="","",IF(N1933&lt;=M1933,"",TRIM(CLEAN(MID(INDEX($B$3:$B$168,K1933),M1933,N1933-M1933)))))</x:f>
      </x:c>
      <x:c r="F1933" t="str">
        <x:f>IF(E1933="","",IF(E1933=TRIM(INDEX($A$3:$A$168,K1933)),"",IF(RIGHT(TRIM(INDEX($A$3:$A$168,K1933)),1)="]",LEFT(TRIM(INDEX($A$3:$A$168,K1933)),LEN(TRIM(INDEX($A$3:$A$168,K1933)))-1)&amp;", "&amp;SUBSTITUTE(SUBSTITUTE(SUBSTITUTE(E1933," [",", "),"[",", "),"]","")&amp;"]",TRIM(INDEX($A$3:$A$168,K1933))&amp;" ["&amp;SUBSTITUTE(SUBSTITUTE(SUBSTITUTE(E1933," [",", "),"[",", "),"]","")&amp;"]")))</x:f>
      </x:c>
      <x:c r="G1933" t="str">
        <x:f>IF(F1933&lt;&gt;"",ROWS($F$3:F1933)-COUNTBLANK($F$3:F1933),"")</x:f>
      </x:c>
      <x:c r="H1933"/>
      <x:c r="I1933"/>
      <x:c r="J1933"/>
      <x:c r="K1933" t="str">
        <x:f>IF(ROW()-ROW($K$2)&lt;=SUM($J$3:$J$168),COUNTIF($H$3:$H$168,"&lt;"&amp;(ROW()-ROW($K$2))),"")</x:f>
      </x:c>
      <x:c r="L1933" t="str">
        <x:f>IF(K1933="","",ROW()-ROW($L$2)-INDEX($H$3:$H$168,K1933))</x:f>
      </x:c>
      <x:c r="M1933" t="str">
        <x:f>IF(K1933="","",IF(L1933=1,1,FIND(CHAR(1),SUBSTITUTE(INDEX($B$3:$B$168,K1933),CHAR(10),CHAR(1),L1933-1))+1))</x:f>
      </x:c>
      <x:c r="N1933" t="str">
        <x:f>IF(K1933="","",IFERROR(FIND(CHAR(1),SUBSTITUTE(INDEX($B$3:$B$168,K1933),CHAR(10),CHAR(1),L1933)),LEN(INDEX($B$3:$B$168,K1933))+1))</x:f>
      </x:c>
    </x:row>
    <x:row r="1934">
      <x:c r="A1934"/>
      <x:c r="B1934"/>
      <x:c r="C1934"/>
      <x:c r="D1934" t="str">
        <x:f>IFERROR(IF(1932&lt;=$O$1,INDEX($A$3:$A$168,MATCH(1932,$I$3:$I$168,0)),IF(1932&lt;=$O$1+$O$2,INDEX($F$3:$F$1994,MATCH(1932-$O$1,$G$3:$G$1994,0)),"")),"")</x:f>
      </x:c>
      <x:c r="E1934" t="str">
        <x:f>IF(K1934="","",IF(N1934&lt;=M1934,"",TRIM(CLEAN(MID(INDEX($B$3:$B$168,K1934),M1934,N1934-M1934)))))</x:f>
      </x:c>
      <x:c r="F1934" t="str">
        <x:f>IF(E1934="","",IF(E1934=TRIM(INDEX($A$3:$A$168,K1934)),"",IF(RIGHT(TRIM(INDEX($A$3:$A$168,K1934)),1)="]",LEFT(TRIM(INDEX($A$3:$A$168,K1934)),LEN(TRIM(INDEX($A$3:$A$168,K1934)))-1)&amp;", "&amp;SUBSTITUTE(SUBSTITUTE(SUBSTITUTE(E1934," [",", "),"[",", "),"]","")&amp;"]",TRIM(INDEX($A$3:$A$168,K1934))&amp;" ["&amp;SUBSTITUTE(SUBSTITUTE(SUBSTITUTE(E1934," [",", "),"[",", "),"]","")&amp;"]")))</x:f>
      </x:c>
      <x:c r="G1934" t="str">
        <x:f>IF(F1934&lt;&gt;"",ROWS($F$3:F1934)-COUNTBLANK($F$3:F1934),"")</x:f>
      </x:c>
      <x:c r="H1934"/>
      <x:c r="I1934"/>
      <x:c r="J1934"/>
      <x:c r="K1934" t="str">
        <x:f>IF(ROW()-ROW($K$2)&lt;=SUM($J$3:$J$168),COUNTIF($H$3:$H$168,"&lt;"&amp;(ROW()-ROW($K$2))),"")</x:f>
      </x:c>
      <x:c r="L1934" t="str">
        <x:f>IF(K1934="","",ROW()-ROW($L$2)-INDEX($H$3:$H$168,K1934))</x:f>
      </x:c>
      <x:c r="M1934" t="str">
        <x:f>IF(K1934="","",IF(L1934=1,1,FIND(CHAR(1),SUBSTITUTE(INDEX($B$3:$B$168,K1934),CHAR(10),CHAR(1),L1934-1))+1))</x:f>
      </x:c>
      <x:c r="N1934" t="str">
        <x:f>IF(K1934="","",IFERROR(FIND(CHAR(1),SUBSTITUTE(INDEX($B$3:$B$168,K1934),CHAR(10),CHAR(1),L1934)),LEN(INDEX($B$3:$B$168,K1934))+1))</x:f>
      </x:c>
    </x:row>
    <x:row r="1935">
      <x:c r="A1935"/>
      <x:c r="B1935"/>
      <x:c r="C1935"/>
      <x:c r="D1935" t="str">
        <x:f>IFERROR(IF(1933&lt;=$O$1,INDEX($A$3:$A$168,MATCH(1933,$I$3:$I$168,0)),IF(1933&lt;=$O$1+$O$2,INDEX($F$3:$F$1994,MATCH(1933-$O$1,$G$3:$G$1994,0)),"")),"")</x:f>
      </x:c>
      <x:c r="E1935" t="str">
        <x:f>IF(K1935="","",IF(N1935&lt;=M1935,"",TRIM(CLEAN(MID(INDEX($B$3:$B$168,K1935),M1935,N1935-M1935)))))</x:f>
      </x:c>
      <x:c r="F1935" t="str">
        <x:f>IF(E1935="","",IF(E1935=TRIM(INDEX($A$3:$A$168,K1935)),"",IF(RIGHT(TRIM(INDEX($A$3:$A$168,K1935)),1)="]",LEFT(TRIM(INDEX($A$3:$A$168,K1935)),LEN(TRIM(INDEX($A$3:$A$168,K1935)))-1)&amp;", "&amp;SUBSTITUTE(SUBSTITUTE(SUBSTITUTE(E1935," [",", "),"[",", "),"]","")&amp;"]",TRIM(INDEX($A$3:$A$168,K1935))&amp;" ["&amp;SUBSTITUTE(SUBSTITUTE(SUBSTITUTE(E1935," [",", "),"[",", "),"]","")&amp;"]")))</x:f>
      </x:c>
      <x:c r="G1935" t="str">
        <x:f>IF(F1935&lt;&gt;"",ROWS($F$3:F1935)-COUNTBLANK($F$3:F1935),"")</x:f>
      </x:c>
      <x:c r="H1935"/>
      <x:c r="I1935"/>
      <x:c r="J1935"/>
      <x:c r="K1935" t="str">
        <x:f>IF(ROW()-ROW($K$2)&lt;=SUM($J$3:$J$168),COUNTIF($H$3:$H$168,"&lt;"&amp;(ROW()-ROW($K$2))),"")</x:f>
      </x:c>
      <x:c r="L1935" t="str">
        <x:f>IF(K1935="","",ROW()-ROW($L$2)-INDEX($H$3:$H$168,K1935))</x:f>
      </x:c>
      <x:c r="M1935" t="str">
        <x:f>IF(K1935="","",IF(L1935=1,1,FIND(CHAR(1),SUBSTITUTE(INDEX($B$3:$B$168,K1935),CHAR(10),CHAR(1),L1935-1))+1))</x:f>
      </x:c>
      <x:c r="N1935" t="str">
        <x:f>IF(K1935="","",IFERROR(FIND(CHAR(1),SUBSTITUTE(INDEX($B$3:$B$168,K1935),CHAR(10),CHAR(1),L1935)),LEN(INDEX($B$3:$B$168,K1935))+1))</x:f>
      </x:c>
    </x:row>
    <x:row r="1936">
      <x:c r="A1936"/>
      <x:c r="B1936"/>
      <x:c r="C1936"/>
      <x:c r="D1936" t="str">
        <x:f>IFERROR(IF(1934&lt;=$O$1,INDEX($A$3:$A$168,MATCH(1934,$I$3:$I$168,0)),IF(1934&lt;=$O$1+$O$2,INDEX($F$3:$F$1994,MATCH(1934-$O$1,$G$3:$G$1994,0)),"")),"")</x:f>
      </x:c>
      <x:c r="E1936" t="str">
        <x:f>IF(K1936="","",IF(N1936&lt;=M1936,"",TRIM(CLEAN(MID(INDEX($B$3:$B$168,K1936),M1936,N1936-M1936)))))</x:f>
      </x:c>
      <x:c r="F1936" t="str">
        <x:f>IF(E1936="","",IF(E1936=TRIM(INDEX($A$3:$A$168,K1936)),"",IF(RIGHT(TRIM(INDEX($A$3:$A$168,K1936)),1)="]",LEFT(TRIM(INDEX($A$3:$A$168,K1936)),LEN(TRIM(INDEX($A$3:$A$168,K1936)))-1)&amp;", "&amp;SUBSTITUTE(SUBSTITUTE(SUBSTITUTE(E1936," [",", "),"[",", "),"]","")&amp;"]",TRIM(INDEX($A$3:$A$168,K1936))&amp;" ["&amp;SUBSTITUTE(SUBSTITUTE(SUBSTITUTE(E1936," [",", "),"[",", "),"]","")&amp;"]")))</x:f>
      </x:c>
      <x:c r="G1936" t="str">
        <x:f>IF(F1936&lt;&gt;"",ROWS($F$3:F1936)-COUNTBLANK($F$3:F1936),"")</x:f>
      </x:c>
      <x:c r="H1936"/>
      <x:c r="I1936"/>
      <x:c r="J1936"/>
      <x:c r="K1936" t="str">
        <x:f>IF(ROW()-ROW($K$2)&lt;=SUM($J$3:$J$168),COUNTIF($H$3:$H$168,"&lt;"&amp;(ROW()-ROW($K$2))),"")</x:f>
      </x:c>
      <x:c r="L1936" t="str">
        <x:f>IF(K1936="","",ROW()-ROW($L$2)-INDEX($H$3:$H$168,K1936))</x:f>
      </x:c>
      <x:c r="M1936" t="str">
        <x:f>IF(K1936="","",IF(L1936=1,1,FIND(CHAR(1),SUBSTITUTE(INDEX($B$3:$B$168,K1936),CHAR(10),CHAR(1),L1936-1))+1))</x:f>
      </x:c>
      <x:c r="N1936" t="str">
        <x:f>IF(K1936="","",IFERROR(FIND(CHAR(1),SUBSTITUTE(INDEX($B$3:$B$168,K1936),CHAR(10),CHAR(1),L1936)),LEN(INDEX($B$3:$B$168,K1936))+1))</x:f>
      </x:c>
    </x:row>
    <x:row r="1937">
      <x:c r="A1937"/>
      <x:c r="B1937"/>
      <x:c r="C1937"/>
      <x:c r="D1937" t="str">
        <x:f>IFERROR(IF(1935&lt;=$O$1,INDEX($A$3:$A$168,MATCH(1935,$I$3:$I$168,0)),IF(1935&lt;=$O$1+$O$2,INDEX($F$3:$F$1994,MATCH(1935-$O$1,$G$3:$G$1994,0)),"")),"")</x:f>
      </x:c>
      <x:c r="E1937" t="str">
        <x:f>IF(K1937="","",IF(N1937&lt;=M1937,"",TRIM(CLEAN(MID(INDEX($B$3:$B$168,K1937),M1937,N1937-M1937)))))</x:f>
      </x:c>
      <x:c r="F1937" t="str">
        <x:f>IF(E1937="","",IF(E1937=TRIM(INDEX($A$3:$A$168,K1937)),"",IF(RIGHT(TRIM(INDEX($A$3:$A$168,K1937)),1)="]",LEFT(TRIM(INDEX($A$3:$A$168,K1937)),LEN(TRIM(INDEX($A$3:$A$168,K1937)))-1)&amp;", "&amp;SUBSTITUTE(SUBSTITUTE(SUBSTITUTE(E1937," [",", "),"[",", "),"]","")&amp;"]",TRIM(INDEX($A$3:$A$168,K1937))&amp;" ["&amp;SUBSTITUTE(SUBSTITUTE(SUBSTITUTE(E1937," [",", "),"[",", "),"]","")&amp;"]")))</x:f>
      </x:c>
      <x:c r="G1937" t="str">
        <x:f>IF(F1937&lt;&gt;"",ROWS($F$3:F1937)-COUNTBLANK($F$3:F1937),"")</x:f>
      </x:c>
      <x:c r="H1937"/>
      <x:c r="I1937"/>
      <x:c r="J1937"/>
      <x:c r="K1937" t="str">
        <x:f>IF(ROW()-ROW($K$2)&lt;=SUM($J$3:$J$168),COUNTIF($H$3:$H$168,"&lt;"&amp;(ROW()-ROW($K$2))),"")</x:f>
      </x:c>
      <x:c r="L1937" t="str">
        <x:f>IF(K1937="","",ROW()-ROW($L$2)-INDEX($H$3:$H$168,K1937))</x:f>
      </x:c>
      <x:c r="M1937" t="str">
        <x:f>IF(K1937="","",IF(L1937=1,1,FIND(CHAR(1),SUBSTITUTE(INDEX($B$3:$B$168,K1937),CHAR(10),CHAR(1),L1937-1))+1))</x:f>
      </x:c>
      <x:c r="N1937" t="str">
        <x:f>IF(K1937="","",IFERROR(FIND(CHAR(1),SUBSTITUTE(INDEX($B$3:$B$168,K1937),CHAR(10),CHAR(1),L1937)),LEN(INDEX($B$3:$B$168,K1937))+1))</x:f>
      </x:c>
    </x:row>
    <x:row r="1938">
      <x:c r="A1938"/>
      <x:c r="B1938"/>
      <x:c r="C1938"/>
      <x:c r="D1938" t="str">
        <x:f>IFERROR(IF(1936&lt;=$O$1,INDEX($A$3:$A$168,MATCH(1936,$I$3:$I$168,0)),IF(1936&lt;=$O$1+$O$2,INDEX($F$3:$F$1994,MATCH(1936-$O$1,$G$3:$G$1994,0)),"")),"")</x:f>
      </x:c>
      <x:c r="E1938" t="str">
        <x:f>IF(K1938="","",IF(N1938&lt;=M1938,"",TRIM(CLEAN(MID(INDEX($B$3:$B$168,K1938),M1938,N1938-M1938)))))</x:f>
      </x:c>
      <x:c r="F1938" t="str">
        <x:f>IF(E1938="","",IF(E1938=TRIM(INDEX($A$3:$A$168,K1938)),"",IF(RIGHT(TRIM(INDEX($A$3:$A$168,K1938)),1)="]",LEFT(TRIM(INDEX($A$3:$A$168,K1938)),LEN(TRIM(INDEX($A$3:$A$168,K1938)))-1)&amp;", "&amp;SUBSTITUTE(SUBSTITUTE(SUBSTITUTE(E1938," [",", "),"[",", "),"]","")&amp;"]",TRIM(INDEX($A$3:$A$168,K1938))&amp;" ["&amp;SUBSTITUTE(SUBSTITUTE(SUBSTITUTE(E1938," [",", "),"[",", "),"]","")&amp;"]")))</x:f>
      </x:c>
      <x:c r="G1938" t="str">
        <x:f>IF(F1938&lt;&gt;"",ROWS($F$3:F1938)-COUNTBLANK($F$3:F1938),"")</x:f>
      </x:c>
      <x:c r="H1938"/>
      <x:c r="I1938"/>
      <x:c r="J1938"/>
      <x:c r="K1938" t="str">
        <x:f>IF(ROW()-ROW($K$2)&lt;=SUM($J$3:$J$168),COUNTIF($H$3:$H$168,"&lt;"&amp;(ROW()-ROW($K$2))),"")</x:f>
      </x:c>
      <x:c r="L1938" t="str">
        <x:f>IF(K1938="","",ROW()-ROW($L$2)-INDEX($H$3:$H$168,K1938))</x:f>
      </x:c>
      <x:c r="M1938" t="str">
        <x:f>IF(K1938="","",IF(L1938=1,1,FIND(CHAR(1),SUBSTITUTE(INDEX($B$3:$B$168,K1938),CHAR(10),CHAR(1),L1938-1))+1))</x:f>
      </x:c>
      <x:c r="N1938" t="str">
        <x:f>IF(K1938="","",IFERROR(FIND(CHAR(1),SUBSTITUTE(INDEX($B$3:$B$168,K1938),CHAR(10),CHAR(1),L1938)),LEN(INDEX($B$3:$B$168,K1938))+1))</x:f>
      </x:c>
    </x:row>
    <x:row r="1939">
      <x:c r="A1939"/>
      <x:c r="B1939"/>
      <x:c r="C1939"/>
      <x:c r="D1939" t="str">
        <x:f>IFERROR(IF(1937&lt;=$O$1,INDEX($A$3:$A$168,MATCH(1937,$I$3:$I$168,0)),IF(1937&lt;=$O$1+$O$2,INDEX($F$3:$F$1994,MATCH(1937-$O$1,$G$3:$G$1994,0)),"")),"")</x:f>
      </x:c>
      <x:c r="E1939" t="str">
        <x:f>IF(K1939="","",IF(N1939&lt;=M1939,"",TRIM(CLEAN(MID(INDEX($B$3:$B$168,K1939),M1939,N1939-M1939)))))</x:f>
      </x:c>
      <x:c r="F1939" t="str">
        <x:f>IF(E1939="","",IF(E1939=TRIM(INDEX($A$3:$A$168,K1939)),"",IF(RIGHT(TRIM(INDEX($A$3:$A$168,K1939)),1)="]",LEFT(TRIM(INDEX($A$3:$A$168,K1939)),LEN(TRIM(INDEX($A$3:$A$168,K1939)))-1)&amp;", "&amp;SUBSTITUTE(SUBSTITUTE(SUBSTITUTE(E1939," [",", "),"[",", "),"]","")&amp;"]",TRIM(INDEX($A$3:$A$168,K1939))&amp;" ["&amp;SUBSTITUTE(SUBSTITUTE(SUBSTITUTE(E1939," [",", "),"[",", "),"]","")&amp;"]")))</x:f>
      </x:c>
      <x:c r="G1939" t="str">
        <x:f>IF(F1939&lt;&gt;"",ROWS($F$3:F1939)-COUNTBLANK($F$3:F1939),"")</x:f>
      </x:c>
      <x:c r="H1939"/>
      <x:c r="I1939"/>
      <x:c r="J1939"/>
      <x:c r="K1939" t="str">
        <x:f>IF(ROW()-ROW($K$2)&lt;=SUM($J$3:$J$168),COUNTIF($H$3:$H$168,"&lt;"&amp;(ROW()-ROW($K$2))),"")</x:f>
      </x:c>
      <x:c r="L1939" t="str">
        <x:f>IF(K1939="","",ROW()-ROW($L$2)-INDEX($H$3:$H$168,K1939))</x:f>
      </x:c>
      <x:c r="M1939" t="str">
        <x:f>IF(K1939="","",IF(L1939=1,1,FIND(CHAR(1),SUBSTITUTE(INDEX($B$3:$B$168,K1939),CHAR(10),CHAR(1),L1939-1))+1))</x:f>
      </x:c>
      <x:c r="N1939" t="str">
        <x:f>IF(K1939="","",IFERROR(FIND(CHAR(1),SUBSTITUTE(INDEX($B$3:$B$168,K1939),CHAR(10),CHAR(1),L1939)),LEN(INDEX($B$3:$B$168,K1939))+1))</x:f>
      </x:c>
    </x:row>
    <x:row r="1940">
      <x:c r="A1940"/>
      <x:c r="B1940"/>
      <x:c r="C1940"/>
      <x:c r="D1940" t="str">
        <x:f>IFERROR(IF(1938&lt;=$O$1,INDEX($A$3:$A$168,MATCH(1938,$I$3:$I$168,0)),IF(1938&lt;=$O$1+$O$2,INDEX($F$3:$F$1994,MATCH(1938-$O$1,$G$3:$G$1994,0)),"")),"")</x:f>
      </x:c>
      <x:c r="E1940" t="str">
        <x:f>IF(K1940="","",IF(N1940&lt;=M1940,"",TRIM(CLEAN(MID(INDEX($B$3:$B$168,K1940),M1940,N1940-M1940)))))</x:f>
      </x:c>
      <x:c r="F1940" t="str">
        <x:f>IF(E1940="","",IF(E1940=TRIM(INDEX($A$3:$A$168,K1940)),"",IF(RIGHT(TRIM(INDEX($A$3:$A$168,K1940)),1)="]",LEFT(TRIM(INDEX($A$3:$A$168,K1940)),LEN(TRIM(INDEX($A$3:$A$168,K1940)))-1)&amp;", "&amp;SUBSTITUTE(SUBSTITUTE(SUBSTITUTE(E1940," [",", "),"[",", "),"]","")&amp;"]",TRIM(INDEX($A$3:$A$168,K1940))&amp;" ["&amp;SUBSTITUTE(SUBSTITUTE(SUBSTITUTE(E1940," [",", "),"[",", "),"]","")&amp;"]")))</x:f>
      </x:c>
      <x:c r="G1940" t="str">
        <x:f>IF(F1940&lt;&gt;"",ROWS($F$3:F1940)-COUNTBLANK($F$3:F1940),"")</x:f>
      </x:c>
      <x:c r="H1940"/>
      <x:c r="I1940"/>
      <x:c r="J1940"/>
      <x:c r="K1940" t="str">
        <x:f>IF(ROW()-ROW($K$2)&lt;=SUM($J$3:$J$168),COUNTIF($H$3:$H$168,"&lt;"&amp;(ROW()-ROW($K$2))),"")</x:f>
      </x:c>
      <x:c r="L1940" t="str">
        <x:f>IF(K1940="","",ROW()-ROW($L$2)-INDEX($H$3:$H$168,K1940))</x:f>
      </x:c>
      <x:c r="M1940" t="str">
        <x:f>IF(K1940="","",IF(L1940=1,1,FIND(CHAR(1),SUBSTITUTE(INDEX($B$3:$B$168,K1940),CHAR(10),CHAR(1),L1940-1))+1))</x:f>
      </x:c>
      <x:c r="N1940" t="str">
        <x:f>IF(K1940="","",IFERROR(FIND(CHAR(1),SUBSTITUTE(INDEX($B$3:$B$168,K1940),CHAR(10),CHAR(1),L1940)),LEN(INDEX($B$3:$B$168,K1940))+1))</x:f>
      </x:c>
    </x:row>
    <x:row r="1941">
      <x:c r="A1941"/>
      <x:c r="B1941"/>
      <x:c r="C1941"/>
      <x:c r="D1941" t="str">
        <x:f>IFERROR(IF(1939&lt;=$O$1,INDEX($A$3:$A$168,MATCH(1939,$I$3:$I$168,0)),IF(1939&lt;=$O$1+$O$2,INDEX($F$3:$F$1994,MATCH(1939-$O$1,$G$3:$G$1994,0)),"")),"")</x:f>
      </x:c>
      <x:c r="E1941" t="str">
        <x:f>IF(K1941="","",IF(N1941&lt;=M1941,"",TRIM(CLEAN(MID(INDEX($B$3:$B$168,K1941),M1941,N1941-M1941)))))</x:f>
      </x:c>
      <x:c r="F1941" t="str">
        <x:f>IF(E1941="","",IF(E1941=TRIM(INDEX($A$3:$A$168,K1941)),"",IF(RIGHT(TRIM(INDEX($A$3:$A$168,K1941)),1)="]",LEFT(TRIM(INDEX($A$3:$A$168,K1941)),LEN(TRIM(INDEX($A$3:$A$168,K1941)))-1)&amp;", "&amp;SUBSTITUTE(SUBSTITUTE(SUBSTITUTE(E1941," [",", "),"[",", "),"]","")&amp;"]",TRIM(INDEX($A$3:$A$168,K1941))&amp;" ["&amp;SUBSTITUTE(SUBSTITUTE(SUBSTITUTE(E1941," [",", "),"[",", "),"]","")&amp;"]")))</x:f>
      </x:c>
      <x:c r="G1941" t="str">
        <x:f>IF(F1941&lt;&gt;"",ROWS($F$3:F1941)-COUNTBLANK($F$3:F1941),"")</x:f>
      </x:c>
      <x:c r="H1941"/>
      <x:c r="I1941"/>
      <x:c r="J1941"/>
      <x:c r="K1941" t="str">
        <x:f>IF(ROW()-ROW($K$2)&lt;=SUM($J$3:$J$168),COUNTIF($H$3:$H$168,"&lt;"&amp;(ROW()-ROW($K$2))),"")</x:f>
      </x:c>
      <x:c r="L1941" t="str">
        <x:f>IF(K1941="","",ROW()-ROW($L$2)-INDEX($H$3:$H$168,K1941))</x:f>
      </x:c>
      <x:c r="M1941" t="str">
        <x:f>IF(K1941="","",IF(L1941=1,1,FIND(CHAR(1),SUBSTITUTE(INDEX($B$3:$B$168,K1941),CHAR(10),CHAR(1),L1941-1))+1))</x:f>
      </x:c>
      <x:c r="N1941" t="str">
        <x:f>IF(K1941="","",IFERROR(FIND(CHAR(1),SUBSTITUTE(INDEX($B$3:$B$168,K1941),CHAR(10),CHAR(1),L1941)),LEN(INDEX($B$3:$B$168,K1941))+1))</x:f>
      </x:c>
    </x:row>
    <x:row r="1942">
      <x:c r="A1942"/>
      <x:c r="B1942"/>
      <x:c r="C1942"/>
      <x:c r="D1942" t="str">
        <x:f>IFERROR(IF(1940&lt;=$O$1,INDEX($A$3:$A$168,MATCH(1940,$I$3:$I$168,0)),IF(1940&lt;=$O$1+$O$2,INDEX($F$3:$F$1994,MATCH(1940-$O$1,$G$3:$G$1994,0)),"")),"")</x:f>
      </x:c>
      <x:c r="E1942" t="str">
        <x:f>IF(K1942="","",IF(N1942&lt;=M1942,"",TRIM(CLEAN(MID(INDEX($B$3:$B$168,K1942),M1942,N1942-M1942)))))</x:f>
      </x:c>
      <x:c r="F1942" t="str">
        <x:f>IF(E1942="","",IF(E1942=TRIM(INDEX($A$3:$A$168,K1942)),"",IF(RIGHT(TRIM(INDEX($A$3:$A$168,K1942)),1)="]",LEFT(TRIM(INDEX($A$3:$A$168,K1942)),LEN(TRIM(INDEX($A$3:$A$168,K1942)))-1)&amp;", "&amp;SUBSTITUTE(SUBSTITUTE(SUBSTITUTE(E1942," [",", "),"[",", "),"]","")&amp;"]",TRIM(INDEX($A$3:$A$168,K1942))&amp;" ["&amp;SUBSTITUTE(SUBSTITUTE(SUBSTITUTE(E1942," [",", "),"[",", "),"]","")&amp;"]")))</x:f>
      </x:c>
      <x:c r="G1942" t="str">
        <x:f>IF(F1942&lt;&gt;"",ROWS($F$3:F1942)-COUNTBLANK($F$3:F1942),"")</x:f>
      </x:c>
      <x:c r="H1942"/>
      <x:c r="I1942"/>
      <x:c r="J1942"/>
      <x:c r="K1942" t="str">
        <x:f>IF(ROW()-ROW($K$2)&lt;=SUM($J$3:$J$168),COUNTIF($H$3:$H$168,"&lt;"&amp;(ROW()-ROW($K$2))),"")</x:f>
      </x:c>
      <x:c r="L1942" t="str">
        <x:f>IF(K1942="","",ROW()-ROW($L$2)-INDEX($H$3:$H$168,K1942))</x:f>
      </x:c>
      <x:c r="M1942" t="str">
        <x:f>IF(K1942="","",IF(L1942=1,1,FIND(CHAR(1),SUBSTITUTE(INDEX($B$3:$B$168,K1942),CHAR(10),CHAR(1),L1942-1))+1))</x:f>
      </x:c>
      <x:c r="N1942" t="str">
        <x:f>IF(K1942="","",IFERROR(FIND(CHAR(1),SUBSTITUTE(INDEX($B$3:$B$168,K1942),CHAR(10),CHAR(1),L1942)),LEN(INDEX($B$3:$B$168,K1942))+1))</x:f>
      </x:c>
    </x:row>
    <x:row r="1943">
      <x:c r="A1943"/>
      <x:c r="B1943"/>
      <x:c r="C1943"/>
      <x:c r="D1943" t="str">
        <x:f>IFERROR(IF(1941&lt;=$O$1,INDEX($A$3:$A$168,MATCH(1941,$I$3:$I$168,0)),IF(1941&lt;=$O$1+$O$2,INDEX($F$3:$F$1994,MATCH(1941-$O$1,$G$3:$G$1994,0)),"")),"")</x:f>
      </x:c>
      <x:c r="E1943" t="str">
        <x:f>IF(K1943="","",IF(N1943&lt;=M1943,"",TRIM(CLEAN(MID(INDEX($B$3:$B$168,K1943),M1943,N1943-M1943)))))</x:f>
      </x:c>
      <x:c r="F1943" t="str">
        <x:f>IF(E1943="","",IF(E1943=TRIM(INDEX($A$3:$A$168,K1943)),"",IF(RIGHT(TRIM(INDEX($A$3:$A$168,K1943)),1)="]",LEFT(TRIM(INDEX($A$3:$A$168,K1943)),LEN(TRIM(INDEX($A$3:$A$168,K1943)))-1)&amp;", "&amp;SUBSTITUTE(SUBSTITUTE(SUBSTITUTE(E1943," [",", "),"[",", "),"]","")&amp;"]",TRIM(INDEX($A$3:$A$168,K1943))&amp;" ["&amp;SUBSTITUTE(SUBSTITUTE(SUBSTITUTE(E1943," [",", "),"[",", "),"]","")&amp;"]")))</x:f>
      </x:c>
      <x:c r="G1943" t="str">
        <x:f>IF(F1943&lt;&gt;"",ROWS($F$3:F1943)-COUNTBLANK($F$3:F1943),"")</x:f>
      </x:c>
      <x:c r="H1943"/>
      <x:c r="I1943"/>
      <x:c r="J1943"/>
      <x:c r="K1943" t="str">
        <x:f>IF(ROW()-ROW($K$2)&lt;=SUM($J$3:$J$168),COUNTIF($H$3:$H$168,"&lt;"&amp;(ROW()-ROW($K$2))),"")</x:f>
      </x:c>
      <x:c r="L1943" t="str">
        <x:f>IF(K1943="","",ROW()-ROW($L$2)-INDEX($H$3:$H$168,K1943))</x:f>
      </x:c>
      <x:c r="M1943" t="str">
        <x:f>IF(K1943="","",IF(L1943=1,1,FIND(CHAR(1),SUBSTITUTE(INDEX($B$3:$B$168,K1943),CHAR(10),CHAR(1),L1943-1))+1))</x:f>
      </x:c>
      <x:c r="N1943" t="str">
        <x:f>IF(K1943="","",IFERROR(FIND(CHAR(1),SUBSTITUTE(INDEX($B$3:$B$168,K1943),CHAR(10),CHAR(1),L1943)),LEN(INDEX($B$3:$B$168,K1943))+1))</x:f>
      </x:c>
    </x:row>
    <x:row r="1944">
      <x:c r="A1944"/>
      <x:c r="B1944"/>
      <x:c r="C1944"/>
      <x:c r="D1944" t="str">
        <x:f>IFERROR(IF(1942&lt;=$O$1,INDEX($A$3:$A$168,MATCH(1942,$I$3:$I$168,0)),IF(1942&lt;=$O$1+$O$2,INDEX($F$3:$F$1994,MATCH(1942-$O$1,$G$3:$G$1994,0)),"")),"")</x:f>
      </x:c>
      <x:c r="E1944" t="str">
        <x:f>IF(K1944="","",IF(N1944&lt;=M1944,"",TRIM(CLEAN(MID(INDEX($B$3:$B$168,K1944),M1944,N1944-M1944)))))</x:f>
      </x:c>
      <x:c r="F1944" t="str">
        <x:f>IF(E1944="","",IF(E1944=TRIM(INDEX($A$3:$A$168,K1944)),"",IF(RIGHT(TRIM(INDEX($A$3:$A$168,K1944)),1)="]",LEFT(TRIM(INDEX($A$3:$A$168,K1944)),LEN(TRIM(INDEX($A$3:$A$168,K1944)))-1)&amp;", "&amp;SUBSTITUTE(SUBSTITUTE(SUBSTITUTE(E1944," [",", "),"[",", "),"]","")&amp;"]",TRIM(INDEX($A$3:$A$168,K1944))&amp;" ["&amp;SUBSTITUTE(SUBSTITUTE(SUBSTITUTE(E1944," [",", "),"[",", "),"]","")&amp;"]")))</x:f>
      </x:c>
      <x:c r="G1944" t="str">
        <x:f>IF(F1944&lt;&gt;"",ROWS($F$3:F1944)-COUNTBLANK($F$3:F1944),"")</x:f>
      </x:c>
      <x:c r="H1944"/>
      <x:c r="I1944"/>
      <x:c r="J1944"/>
      <x:c r="K1944" t="str">
        <x:f>IF(ROW()-ROW($K$2)&lt;=SUM($J$3:$J$168),COUNTIF($H$3:$H$168,"&lt;"&amp;(ROW()-ROW($K$2))),"")</x:f>
      </x:c>
      <x:c r="L1944" t="str">
        <x:f>IF(K1944="","",ROW()-ROW($L$2)-INDEX($H$3:$H$168,K1944))</x:f>
      </x:c>
      <x:c r="M1944" t="str">
        <x:f>IF(K1944="","",IF(L1944=1,1,FIND(CHAR(1),SUBSTITUTE(INDEX($B$3:$B$168,K1944),CHAR(10),CHAR(1),L1944-1))+1))</x:f>
      </x:c>
      <x:c r="N1944" t="str">
        <x:f>IF(K1944="","",IFERROR(FIND(CHAR(1),SUBSTITUTE(INDEX($B$3:$B$168,K1944),CHAR(10),CHAR(1),L1944)),LEN(INDEX($B$3:$B$168,K1944))+1))</x:f>
      </x:c>
    </x:row>
    <x:row r="1945">
      <x:c r="A1945"/>
      <x:c r="B1945"/>
      <x:c r="C1945"/>
      <x:c r="D1945" t="str">
        <x:f>IFERROR(IF(1943&lt;=$O$1,INDEX($A$3:$A$168,MATCH(1943,$I$3:$I$168,0)),IF(1943&lt;=$O$1+$O$2,INDEX($F$3:$F$1994,MATCH(1943-$O$1,$G$3:$G$1994,0)),"")),"")</x:f>
      </x:c>
      <x:c r="E1945" t="str">
        <x:f>IF(K1945="","",IF(N1945&lt;=M1945,"",TRIM(CLEAN(MID(INDEX($B$3:$B$168,K1945),M1945,N1945-M1945)))))</x:f>
      </x:c>
      <x:c r="F1945" t="str">
        <x:f>IF(E1945="","",IF(E1945=TRIM(INDEX($A$3:$A$168,K1945)),"",IF(RIGHT(TRIM(INDEX($A$3:$A$168,K1945)),1)="]",LEFT(TRIM(INDEX($A$3:$A$168,K1945)),LEN(TRIM(INDEX($A$3:$A$168,K1945)))-1)&amp;", "&amp;SUBSTITUTE(SUBSTITUTE(SUBSTITUTE(E1945," [",", "),"[",", "),"]","")&amp;"]",TRIM(INDEX($A$3:$A$168,K1945))&amp;" ["&amp;SUBSTITUTE(SUBSTITUTE(SUBSTITUTE(E1945," [",", "),"[",", "),"]","")&amp;"]")))</x:f>
      </x:c>
      <x:c r="G1945" t="str">
        <x:f>IF(F1945&lt;&gt;"",ROWS($F$3:F1945)-COUNTBLANK($F$3:F1945),"")</x:f>
      </x:c>
      <x:c r="H1945"/>
      <x:c r="I1945"/>
      <x:c r="J1945"/>
      <x:c r="K1945" t="str">
        <x:f>IF(ROW()-ROW($K$2)&lt;=SUM($J$3:$J$168),COUNTIF($H$3:$H$168,"&lt;"&amp;(ROW()-ROW($K$2))),"")</x:f>
      </x:c>
      <x:c r="L1945" t="str">
        <x:f>IF(K1945="","",ROW()-ROW($L$2)-INDEX($H$3:$H$168,K1945))</x:f>
      </x:c>
      <x:c r="M1945" t="str">
        <x:f>IF(K1945="","",IF(L1945=1,1,FIND(CHAR(1),SUBSTITUTE(INDEX($B$3:$B$168,K1945),CHAR(10),CHAR(1),L1945-1))+1))</x:f>
      </x:c>
      <x:c r="N1945" t="str">
        <x:f>IF(K1945="","",IFERROR(FIND(CHAR(1),SUBSTITUTE(INDEX($B$3:$B$168,K1945),CHAR(10),CHAR(1),L1945)),LEN(INDEX($B$3:$B$168,K1945))+1))</x:f>
      </x:c>
    </x:row>
    <x:row r="1946">
      <x:c r="A1946"/>
      <x:c r="B1946"/>
      <x:c r="C1946"/>
      <x:c r="D1946" t="str">
        <x:f>IFERROR(IF(1944&lt;=$O$1,INDEX($A$3:$A$168,MATCH(1944,$I$3:$I$168,0)),IF(1944&lt;=$O$1+$O$2,INDEX($F$3:$F$1994,MATCH(1944-$O$1,$G$3:$G$1994,0)),"")),"")</x:f>
      </x:c>
      <x:c r="E1946" t="str">
        <x:f>IF(K1946="","",IF(N1946&lt;=M1946,"",TRIM(CLEAN(MID(INDEX($B$3:$B$168,K1946),M1946,N1946-M1946)))))</x:f>
      </x:c>
      <x:c r="F1946" t="str">
        <x:f>IF(E1946="","",IF(E1946=TRIM(INDEX($A$3:$A$168,K1946)),"",IF(RIGHT(TRIM(INDEX($A$3:$A$168,K1946)),1)="]",LEFT(TRIM(INDEX($A$3:$A$168,K1946)),LEN(TRIM(INDEX($A$3:$A$168,K1946)))-1)&amp;", "&amp;SUBSTITUTE(SUBSTITUTE(SUBSTITUTE(E1946," [",", "),"[",", "),"]","")&amp;"]",TRIM(INDEX($A$3:$A$168,K1946))&amp;" ["&amp;SUBSTITUTE(SUBSTITUTE(SUBSTITUTE(E1946," [",", "),"[",", "),"]","")&amp;"]")))</x:f>
      </x:c>
      <x:c r="G1946" t="str">
        <x:f>IF(F1946&lt;&gt;"",ROWS($F$3:F1946)-COUNTBLANK($F$3:F1946),"")</x:f>
      </x:c>
      <x:c r="H1946"/>
      <x:c r="I1946"/>
      <x:c r="J1946"/>
      <x:c r="K1946" t="str">
        <x:f>IF(ROW()-ROW($K$2)&lt;=SUM($J$3:$J$168),COUNTIF($H$3:$H$168,"&lt;"&amp;(ROW()-ROW($K$2))),"")</x:f>
      </x:c>
      <x:c r="L1946" t="str">
        <x:f>IF(K1946="","",ROW()-ROW($L$2)-INDEX($H$3:$H$168,K1946))</x:f>
      </x:c>
      <x:c r="M1946" t="str">
        <x:f>IF(K1946="","",IF(L1946=1,1,FIND(CHAR(1),SUBSTITUTE(INDEX($B$3:$B$168,K1946),CHAR(10),CHAR(1),L1946-1))+1))</x:f>
      </x:c>
      <x:c r="N1946" t="str">
        <x:f>IF(K1946="","",IFERROR(FIND(CHAR(1),SUBSTITUTE(INDEX($B$3:$B$168,K1946),CHAR(10),CHAR(1),L1946)),LEN(INDEX($B$3:$B$168,K1946))+1))</x:f>
      </x:c>
    </x:row>
    <x:row r="1947">
      <x:c r="A1947"/>
      <x:c r="B1947"/>
      <x:c r="C1947"/>
      <x:c r="D1947" t="str">
        <x:f>IFERROR(IF(1945&lt;=$O$1,INDEX($A$3:$A$168,MATCH(1945,$I$3:$I$168,0)),IF(1945&lt;=$O$1+$O$2,INDEX($F$3:$F$1994,MATCH(1945-$O$1,$G$3:$G$1994,0)),"")),"")</x:f>
      </x:c>
      <x:c r="E1947" t="str">
        <x:f>IF(K1947="","",IF(N1947&lt;=M1947,"",TRIM(CLEAN(MID(INDEX($B$3:$B$168,K1947),M1947,N1947-M1947)))))</x:f>
      </x:c>
      <x:c r="F1947" t="str">
        <x:f>IF(E1947="","",IF(E1947=TRIM(INDEX($A$3:$A$168,K1947)),"",IF(RIGHT(TRIM(INDEX($A$3:$A$168,K1947)),1)="]",LEFT(TRIM(INDEX($A$3:$A$168,K1947)),LEN(TRIM(INDEX($A$3:$A$168,K1947)))-1)&amp;", "&amp;SUBSTITUTE(SUBSTITUTE(SUBSTITUTE(E1947," [",", "),"[",", "),"]","")&amp;"]",TRIM(INDEX($A$3:$A$168,K1947))&amp;" ["&amp;SUBSTITUTE(SUBSTITUTE(SUBSTITUTE(E1947," [",", "),"[",", "),"]","")&amp;"]")))</x:f>
      </x:c>
      <x:c r="G1947" t="str">
        <x:f>IF(F1947&lt;&gt;"",ROWS($F$3:F1947)-COUNTBLANK($F$3:F1947),"")</x:f>
      </x:c>
      <x:c r="H1947"/>
      <x:c r="I1947"/>
      <x:c r="J1947"/>
      <x:c r="K1947" t="str">
        <x:f>IF(ROW()-ROW($K$2)&lt;=SUM($J$3:$J$168),COUNTIF($H$3:$H$168,"&lt;"&amp;(ROW()-ROW($K$2))),"")</x:f>
      </x:c>
      <x:c r="L1947" t="str">
        <x:f>IF(K1947="","",ROW()-ROW($L$2)-INDEX($H$3:$H$168,K1947))</x:f>
      </x:c>
      <x:c r="M1947" t="str">
        <x:f>IF(K1947="","",IF(L1947=1,1,FIND(CHAR(1),SUBSTITUTE(INDEX($B$3:$B$168,K1947),CHAR(10),CHAR(1),L1947-1))+1))</x:f>
      </x:c>
      <x:c r="N1947" t="str">
        <x:f>IF(K1947="","",IFERROR(FIND(CHAR(1),SUBSTITUTE(INDEX($B$3:$B$168,K1947),CHAR(10),CHAR(1),L1947)),LEN(INDEX($B$3:$B$168,K1947))+1))</x:f>
      </x:c>
    </x:row>
    <x:row r="1948">
      <x:c r="A1948"/>
      <x:c r="B1948"/>
      <x:c r="C1948"/>
      <x:c r="D1948" t="str">
        <x:f>IFERROR(IF(1946&lt;=$O$1,INDEX($A$3:$A$168,MATCH(1946,$I$3:$I$168,0)),IF(1946&lt;=$O$1+$O$2,INDEX($F$3:$F$1994,MATCH(1946-$O$1,$G$3:$G$1994,0)),"")),"")</x:f>
      </x:c>
      <x:c r="E1948" t="str">
        <x:f>IF(K1948="","",IF(N1948&lt;=M1948,"",TRIM(CLEAN(MID(INDEX($B$3:$B$168,K1948),M1948,N1948-M1948)))))</x:f>
      </x:c>
      <x:c r="F1948" t="str">
        <x:f>IF(E1948="","",IF(E1948=TRIM(INDEX($A$3:$A$168,K1948)),"",IF(RIGHT(TRIM(INDEX($A$3:$A$168,K1948)),1)="]",LEFT(TRIM(INDEX($A$3:$A$168,K1948)),LEN(TRIM(INDEX($A$3:$A$168,K1948)))-1)&amp;", "&amp;SUBSTITUTE(SUBSTITUTE(SUBSTITUTE(E1948," [",", "),"[",", "),"]","")&amp;"]",TRIM(INDEX($A$3:$A$168,K1948))&amp;" ["&amp;SUBSTITUTE(SUBSTITUTE(SUBSTITUTE(E1948," [",", "),"[",", "),"]","")&amp;"]")))</x:f>
      </x:c>
      <x:c r="G1948" t="str">
        <x:f>IF(F1948&lt;&gt;"",ROWS($F$3:F1948)-COUNTBLANK($F$3:F1948),"")</x:f>
      </x:c>
      <x:c r="H1948"/>
      <x:c r="I1948"/>
      <x:c r="J1948"/>
      <x:c r="K1948" t="str">
        <x:f>IF(ROW()-ROW($K$2)&lt;=SUM($J$3:$J$168),COUNTIF($H$3:$H$168,"&lt;"&amp;(ROW()-ROW($K$2))),"")</x:f>
      </x:c>
      <x:c r="L1948" t="str">
        <x:f>IF(K1948="","",ROW()-ROW($L$2)-INDEX($H$3:$H$168,K1948))</x:f>
      </x:c>
      <x:c r="M1948" t="str">
        <x:f>IF(K1948="","",IF(L1948=1,1,FIND(CHAR(1),SUBSTITUTE(INDEX($B$3:$B$168,K1948),CHAR(10),CHAR(1),L1948-1))+1))</x:f>
      </x:c>
      <x:c r="N1948" t="str">
        <x:f>IF(K1948="","",IFERROR(FIND(CHAR(1),SUBSTITUTE(INDEX($B$3:$B$168,K1948),CHAR(10),CHAR(1),L1948)),LEN(INDEX($B$3:$B$168,K1948))+1))</x:f>
      </x:c>
    </x:row>
    <x:row r="1949">
      <x:c r="A1949"/>
      <x:c r="B1949"/>
      <x:c r="C1949"/>
      <x:c r="D1949" t="str">
        <x:f>IFERROR(IF(1947&lt;=$O$1,INDEX($A$3:$A$168,MATCH(1947,$I$3:$I$168,0)),IF(1947&lt;=$O$1+$O$2,INDEX($F$3:$F$1994,MATCH(1947-$O$1,$G$3:$G$1994,0)),"")),"")</x:f>
      </x:c>
      <x:c r="E1949" t="str">
        <x:f>IF(K1949="","",IF(N1949&lt;=M1949,"",TRIM(CLEAN(MID(INDEX($B$3:$B$168,K1949),M1949,N1949-M1949)))))</x:f>
      </x:c>
      <x:c r="F1949" t="str">
        <x:f>IF(E1949="","",IF(E1949=TRIM(INDEX($A$3:$A$168,K1949)),"",IF(RIGHT(TRIM(INDEX($A$3:$A$168,K1949)),1)="]",LEFT(TRIM(INDEX($A$3:$A$168,K1949)),LEN(TRIM(INDEX($A$3:$A$168,K1949)))-1)&amp;", "&amp;SUBSTITUTE(SUBSTITUTE(SUBSTITUTE(E1949," [",", "),"[",", "),"]","")&amp;"]",TRIM(INDEX($A$3:$A$168,K1949))&amp;" ["&amp;SUBSTITUTE(SUBSTITUTE(SUBSTITUTE(E1949," [",", "),"[",", "),"]","")&amp;"]")))</x:f>
      </x:c>
      <x:c r="G1949" t="str">
        <x:f>IF(F1949&lt;&gt;"",ROWS($F$3:F1949)-COUNTBLANK($F$3:F1949),"")</x:f>
      </x:c>
      <x:c r="H1949"/>
      <x:c r="I1949"/>
      <x:c r="J1949"/>
      <x:c r="K1949" t="str">
        <x:f>IF(ROW()-ROW($K$2)&lt;=SUM($J$3:$J$168),COUNTIF($H$3:$H$168,"&lt;"&amp;(ROW()-ROW($K$2))),"")</x:f>
      </x:c>
      <x:c r="L1949" t="str">
        <x:f>IF(K1949="","",ROW()-ROW($L$2)-INDEX($H$3:$H$168,K1949))</x:f>
      </x:c>
      <x:c r="M1949" t="str">
        <x:f>IF(K1949="","",IF(L1949=1,1,FIND(CHAR(1),SUBSTITUTE(INDEX($B$3:$B$168,K1949),CHAR(10),CHAR(1),L1949-1))+1))</x:f>
      </x:c>
      <x:c r="N1949" t="str">
        <x:f>IF(K1949="","",IFERROR(FIND(CHAR(1),SUBSTITUTE(INDEX($B$3:$B$168,K1949),CHAR(10),CHAR(1),L1949)),LEN(INDEX($B$3:$B$168,K1949))+1))</x:f>
      </x:c>
    </x:row>
    <x:row r="1950">
      <x:c r="A1950"/>
      <x:c r="B1950"/>
      <x:c r="C1950"/>
      <x:c r="D1950" t="str">
        <x:f>IFERROR(IF(1948&lt;=$O$1,INDEX($A$3:$A$168,MATCH(1948,$I$3:$I$168,0)),IF(1948&lt;=$O$1+$O$2,INDEX($F$3:$F$1994,MATCH(1948-$O$1,$G$3:$G$1994,0)),"")),"")</x:f>
      </x:c>
      <x:c r="E1950" t="str">
        <x:f>IF(K1950="","",IF(N1950&lt;=M1950,"",TRIM(CLEAN(MID(INDEX($B$3:$B$168,K1950),M1950,N1950-M1950)))))</x:f>
      </x:c>
      <x:c r="F1950" t="str">
        <x:f>IF(E1950="","",IF(E1950=TRIM(INDEX($A$3:$A$168,K1950)),"",IF(RIGHT(TRIM(INDEX($A$3:$A$168,K1950)),1)="]",LEFT(TRIM(INDEX($A$3:$A$168,K1950)),LEN(TRIM(INDEX($A$3:$A$168,K1950)))-1)&amp;", "&amp;SUBSTITUTE(SUBSTITUTE(SUBSTITUTE(E1950," [",", "),"[",", "),"]","")&amp;"]",TRIM(INDEX($A$3:$A$168,K1950))&amp;" ["&amp;SUBSTITUTE(SUBSTITUTE(SUBSTITUTE(E1950," [",", "),"[",", "),"]","")&amp;"]")))</x:f>
      </x:c>
      <x:c r="G1950" t="str">
        <x:f>IF(F1950&lt;&gt;"",ROWS($F$3:F1950)-COUNTBLANK($F$3:F1950),"")</x:f>
      </x:c>
      <x:c r="H1950"/>
      <x:c r="I1950"/>
      <x:c r="J1950"/>
      <x:c r="K1950" t="str">
        <x:f>IF(ROW()-ROW($K$2)&lt;=SUM($J$3:$J$168),COUNTIF($H$3:$H$168,"&lt;"&amp;(ROW()-ROW($K$2))),"")</x:f>
      </x:c>
      <x:c r="L1950" t="str">
        <x:f>IF(K1950="","",ROW()-ROW($L$2)-INDEX($H$3:$H$168,K1950))</x:f>
      </x:c>
      <x:c r="M1950" t="str">
        <x:f>IF(K1950="","",IF(L1950=1,1,FIND(CHAR(1),SUBSTITUTE(INDEX($B$3:$B$168,K1950),CHAR(10),CHAR(1),L1950-1))+1))</x:f>
      </x:c>
      <x:c r="N1950" t="str">
        <x:f>IF(K1950="","",IFERROR(FIND(CHAR(1),SUBSTITUTE(INDEX($B$3:$B$168,K1950),CHAR(10),CHAR(1),L1950)),LEN(INDEX($B$3:$B$168,K1950))+1))</x:f>
      </x:c>
    </x:row>
    <x:row r="1951">
      <x:c r="A1951"/>
      <x:c r="B1951"/>
      <x:c r="C1951"/>
      <x:c r="D1951" t="str">
        <x:f>IFERROR(IF(1949&lt;=$O$1,INDEX($A$3:$A$168,MATCH(1949,$I$3:$I$168,0)),IF(1949&lt;=$O$1+$O$2,INDEX($F$3:$F$1994,MATCH(1949-$O$1,$G$3:$G$1994,0)),"")),"")</x:f>
      </x:c>
      <x:c r="E1951" t="str">
        <x:f>IF(K1951="","",IF(N1951&lt;=M1951,"",TRIM(CLEAN(MID(INDEX($B$3:$B$168,K1951),M1951,N1951-M1951)))))</x:f>
      </x:c>
      <x:c r="F1951" t="str">
        <x:f>IF(E1951="","",IF(E1951=TRIM(INDEX($A$3:$A$168,K1951)),"",IF(RIGHT(TRIM(INDEX($A$3:$A$168,K1951)),1)="]",LEFT(TRIM(INDEX($A$3:$A$168,K1951)),LEN(TRIM(INDEX($A$3:$A$168,K1951)))-1)&amp;", "&amp;SUBSTITUTE(SUBSTITUTE(SUBSTITUTE(E1951," [",", "),"[",", "),"]","")&amp;"]",TRIM(INDEX($A$3:$A$168,K1951))&amp;" ["&amp;SUBSTITUTE(SUBSTITUTE(SUBSTITUTE(E1951," [",", "),"[",", "),"]","")&amp;"]")))</x:f>
      </x:c>
      <x:c r="G1951" t="str">
        <x:f>IF(F1951&lt;&gt;"",ROWS($F$3:F1951)-COUNTBLANK($F$3:F1951),"")</x:f>
      </x:c>
      <x:c r="H1951"/>
      <x:c r="I1951"/>
      <x:c r="J1951"/>
      <x:c r="K1951" t="str">
        <x:f>IF(ROW()-ROW($K$2)&lt;=SUM($J$3:$J$168),COUNTIF($H$3:$H$168,"&lt;"&amp;(ROW()-ROW($K$2))),"")</x:f>
      </x:c>
      <x:c r="L1951" t="str">
        <x:f>IF(K1951="","",ROW()-ROW($L$2)-INDEX($H$3:$H$168,K1951))</x:f>
      </x:c>
      <x:c r="M1951" t="str">
        <x:f>IF(K1951="","",IF(L1951=1,1,FIND(CHAR(1),SUBSTITUTE(INDEX($B$3:$B$168,K1951),CHAR(10),CHAR(1),L1951-1))+1))</x:f>
      </x:c>
      <x:c r="N1951" t="str">
        <x:f>IF(K1951="","",IFERROR(FIND(CHAR(1),SUBSTITUTE(INDEX($B$3:$B$168,K1951),CHAR(10),CHAR(1),L1951)),LEN(INDEX($B$3:$B$168,K1951))+1))</x:f>
      </x:c>
    </x:row>
    <x:row r="1952">
      <x:c r="A1952"/>
      <x:c r="B1952"/>
      <x:c r="C1952"/>
      <x:c r="D1952" t="str">
        <x:f>IFERROR(IF(1950&lt;=$O$1,INDEX($A$3:$A$168,MATCH(1950,$I$3:$I$168,0)),IF(1950&lt;=$O$1+$O$2,INDEX($F$3:$F$1994,MATCH(1950-$O$1,$G$3:$G$1994,0)),"")),"")</x:f>
      </x:c>
      <x:c r="E1952" t="str">
        <x:f>IF(K1952="","",IF(N1952&lt;=M1952,"",TRIM(CLEAN(MID(INDEX($B$3:$B$168,K1952),M1952,N1952-M1952)))))</x:f>
      </x:c>
      <x:c r="F1952" t="str">
        <x:f>IF(E1952="","",IF(E1952=TRIM(INDEX($A$3:$A$168,K1952)),"",IF(RIGHT(TRIM(INDEX($A$3:$A$168,K1952)),1)="]",LEFT(TRIM(INDEX($A$3:$A$168,K1952)),LEN(TRIM(INDEX($A$3:$A$168,K1952)))-1)&amp;", "&amp;SUBSTITUTE(SUBSTITUTE(SUBSTITUTE(E1952," [",", "),"[",", "),"]","")&amp;"]",TRIM(INDEX($A$3:$A$168,K1952))&amp;" ["&amp;SUBSTITUTE(SUBSTITUTE(SUBSTITUTE(E1952," [",", "),"[",", "),"]","")&amp;"]")))</x:f>
      </x:c>
      <x:c r="G1952" t="str">
        <x:f>IF(F1952&lt;&gt;"",ROWS($F$3:F1952)-COUNTBLANK($F$3:F1952),"")</x:f>
      </x:c>
      <x:c r="H1952"/>
      <x:c r="I1952"/>
      <x:c r="J1952"/>
      <x:c r="K1952" t="str">
        <x:f>IF(ROW()-ROW($K$2)&lt;=SUM($J$3:$J$168),COUNTIF($H$3:$H$168,"&lt;"&amp;(ROW()-ROW($K$2))),"")</x:f>
      </x:c>
      <x:c r="L1952" t="str">
        <x:f>IF(K1952="","",ROW()-ROW($L$2)-INDEX($H$3:$H$168,K1952))</x:f>
      </x:c>
      <x:c r="M1952" t="str">
        <x:f>IF(K1952="","",IF(L1952=1,1,FIND(CHAR(1),SUBSTITUTE(INDEX($B$3:$B$168,K1952),CHAR(10),CHAR(1),L1952-1))+1))</x:f>
      </x:c>
      <x:c r="N1952" t="str">
        <x:f>IF(K1952="","",IFERROR(FIND(CHAR(1),SUBSTITUTE(INDEX($B$3:$B$168,K1952),CHAR(10),CHAR(1),L1952)),LEN(INDEX($B$3:$B$168,K1952))+1))</x:f>
      </x:c>
    </x:row>
    <x:row r="1953">
      <x:c r="A1953"/>
      <x:c r="B1953"/>
      <x:c r="C1953"/>
      <x:c r="D1953" t="str">
        <x:f>IFERROR(IF(1951&lt;=$O$1,INDEX($A$3:$A$168,MATCH(1951,$I$3:$I$168,0)),IF(1951&lt;=$O$1+$O$2,INDEX($F$3:$F$1994,MATCH(1951-$O$1,$G$3:$G$1994,0)),"")),"")</x:f>
      </x:c>
      <x:c r="E1953" t="str">
        <x:f>IF(K1953="","",IF(N1953&lt;=M1953,"",TRIM(CLEAN(MID(INDEX($B$3:$B$168,K1953),M1953,N1953-M1953)))))</x:f>
      </x:c>
      <x:c r="F1953" t="str">
        <x:f>IF(E1953="","",IF(E1953=TRIM(INDEX($A$3:$A$168,K1953)),"",IF(RIGHT(TRIM(INDEX($A$3:$A$168,K1953)),1)="]",LEFT(TRIM(INDEX($A$3:$A$168,K1953)),LEN(TRIM(INDEX($A$3:$A$168,K1953)))-1)&amp;", "&amp;SUBSTITUTE(SUBSTITUTE(SUBSTITUTE(E1953," [",", "),"[",", "),"]","")&amp;"]",TRIM(INDEX($A$3:$A$168,K1953))&amp;" ["&amp;SUBSTITUTE(SUBSTITUTE(SUBSTITUTE(E1953," [",", "),"[",", "),"]","")&amp;"]")))</x:f>
      </x:c>
      <x:c r="G1953" t="str">
        <x:f>IF(F1953&lt;&gt;"",ROWS($F$3:F1953)-COUNTBLANK($F$3:F1953),"")</x:f>
      </x:c>
      <x:c r="H1953"/>
      <x:c r="I1953"/>
      <x:c r="J1953"/>
      <x:c r="K1953" t="str">
        <x:f>IF(ROW()-ROW($K$2)&lt;=SUM($J$3:$J$168),COUNTIF($H$3:$H$168,"&lt;"&amp;(ROW()-ROW($K$2))),"")</x:f>
      </x:c>
      <x:c r="L1953" t="str">
        <x:f>IF(K1953="","",ROW()-ROW($L$2)-INDEX($H$3:$H$168,K1953))</x:f>
      </x:c>
      <x:c r="M1953" t="str">
        <x:f>IF(K1953="","",IF(L1953=1,1,FIND(CHAR(1),SUBSTITUTE(INDEX($B$3:$B$168,K1953),CHAR(10),CHAR(1),L1953-1))+1))</x:f>
      </x:c>
      <x:c r="N1953" t="str">
        <x:f>IF(K1953="","",IFERROR(FIND(CHAR(1),SUBSTITUTE(INDEX($B$3:$B$168,K1953),CHAR(10),CHAR(1),L1953)),LEN(INDEX($B$3:$B$168,K1953))+1))</x:f>
      </x:c>
    </x:row>
    <x:row r="1954">
      <x:c r="A1954"/>
      <x:c r="B1954"/>
      <x:c r="C1954"/>
      <x:c r="D1954" t="str">
        <x:f>IFERROR(IF(1952&lt;=$O$1,INDEX($A$3:$A$168,MATCH(1952,$I$3:$I$168,0)),IF(1952&lt;=$O$1+$O$2,INDEX($F$3:$F$1994,MATCH(1952-$O$1,$G$3:$G$1994,0)),"")),"")</x:f>
      </x:c>
      <x:c r="E1954" t="str">
        <x:f>IF(K1954="","",IF(N1954&lt;=M1954,"",TRIM(CLEAN(MID(INDEX($B$3:$B$168,K1954),M1954,N1954-M1954)))))</x:f>
      </x:c>
      <x:c r="F1954" t="str">
        <x:f>IF(E1954="","",IF(E1954=TRIM(INDEX($A$3:$A$168,K1954)),"",IF(RIGHT(TRIM(INDEX($A$3:$A$168,K1954)),1)="]",LEFT(TRIM(INDEX($A$3:$A$168,K1954)),LEN(TRIM(INDEX($A$3:$A$168,K1954)))-1)&amp;", "&amp;SUBSTITUTE(SUBSTITUTE(SUBSTITUTE(E1954," [",", "),"[",", "),"]","")&amp;"]",TRIM(INDEX($A$3:$A$168,K1954))&amp;" ["&amp;SUBSTITUTE(SUBSTITUTE(SUBSTITUTE(E1954," [",", "),"[",", "),"]","")&amp;"]")))</x:f>
      </x:c>
      <x:c r="G1954" t="str">
        <x:f>IF(F1954&lt;&gt;"",ROWS($F$3:F1954)-COUNTBLANK($F$3:F1954),"")</x:f>
      </x:c>
      <x:c r="H1954"/>
      <x:c r="I1954"/>
      <x:c r="J1954"/>
      <x:c r="K1954" t="str">
        <x:f>IF(ROW()-ROW($K$2)&lt;=SUM($J$3:$J$168),COUNTIF($H$3:$H$168,"&lt;"&amp;(ROW()-ROW($K$2))),"")</x:f>
      </x:c>
      <x:c r="L1954" t="str">
        <x:f>IF(K1954="","",ROW()-ROW($L$2)-INDEX($H$3:$H$168,K1954))</x:f>
      </x:c>
      <x:c r="M1954" t="str">
        <x:f>IF(K1954="","",IF(L1954=1,1,FIND(CHAR(1),SUBSTITUTE(INDEX($B$3:$B$168,K1954),CHAR(10),CHAR(1),L1954-1))+1))</x:f>
      </x:c>
      <x:c r="N1954" t="str">
        <x:f>IF(K1954="","",IFERROR(FIND(CHAR(1),SUBSTITUTE(INDEX($B$3:$B$168,K1954),CHAR(10),CHAR(1),L1954)),LEN(INDEX($B$3:$B$168,K1954))+1))</x:f>
      </x:c>
    </x:row>
    <x:row r="1955">
      <x:c r="A1955"/>
      <x:c r="B1955"/>
      <x:c r="C1955"/>
      <x:c r="D1955" t="str">
        <x:f>IFERROR(IF(1953&lt;=$O$1,INDEX($A$3:$A$168,MATCH(1953,$I$3:$I$168,0)),IF(1953&lt;=$O$1+$O$2,INDEX($F$3:$F$1994,MATCH(1953-$O$1,$G$3:$G$1994,0)),"")),"")</x:f>
      </x:c>
      <x:c r="E1955" t="str">
        <x:f>IF(K1955="","",IF(N1955&lt;=M1955,"",TRIM(CLEAN(MID(INDEX($B$3:$B$168,K1955),M1955,N1955-M1955)))))</x:f>
      </x:c>
      <x:c r="F1955" t="str">
        <x:f>IF(E1955="","",IF(E1955=TRIM(INDEX($A$3:$A$168,K1955)),"",IF(RIGHT(TRIM(INDEX($A$3:$A$168,K1955)),1)="]",LEFT(TRIM(INDEX($A$3:$A$168,K1955)),LEN(TRIM(INDEX($A$3:$A$168,K1955)))-1)&amp;", "&amp;SUBSTITUTE(SUBSTITUTE(SUBSTITUTE(E1955," [",", "),"[",", "),"]","")&amp;"]",TRIM(INDEX($A$3:$A$168,K1955))&amp;" ["&amp;SUBSTITUTE(SUBSTITUTE(SUBSTITUTE(E1955," [",", "),"[",", "),"]","")&amp;"]")))</x:f>
      </x:c>
      <x:c r="G1955" t="str">
        <x:f>IF(F1955&lt;&gt;"",ROWS($F$3:F1955)-COUNTBLANK($F$3:F1955),"")</x:f>
      </x:c>
      <x:c r="H1955"/>
      <x:c r="I1955"/>
      <x:c r="J1955"/>
      <x:c r="K1955" t="str">
        <x:f>IF(ROW()-ROW($K$2)&lt;=SUM($J$3:$J$168),COUNTIF($H$3:$H$168,"&lt;"&amp;(ROW()-ROW($K$2))),"")</x:f>
      </x:c>
      <x:c r="L1955" t="str">
        <x:f>IF(K1955="","",ROW()-ROW($L$2)-INDEX($H$3:$H$168,K1955))</x:f>
      </x:c>
      <x:c r="M1955" t="str">
        <x:f>IF(K1955="","",IF(L1955=1,1,FIND(CHAR(1),SUBSTITUTE(INDEX($B$3:$B$168,K1955),CHAR(10),CHAR(1),L1955-1))+1))</x:f>
      </x:c>
      <x:c r="N1955" t="str">
        <x:f>IF(K1955="","",IFERROR(FIND(CHAR(1),SUBSTITUTE(INDEX($B$3:$B$168,K1955),CHAR(10),CHAR(1),L1955)),LEN(INDEX($B$3:$B$168,K1955))+1))</x:f>
      </x:c>
    </x:row>
    <x:row r="1956">
      <x:c r="A1956"/>
      <x:c r="B1956"/>
      <x:c r="C1956"/>
      <x:c r="D1956" t="str">
        <x:f>IFERROR(IF(1954&lt;=$O$1,INDEX($A$3:$A$168,MATCH(1954,$I$3:$I$168,0)),IF(1954&lt;=$O$1+$O$2,INDEX($F$3:$F$1994,MATCH(1954-$O$1,$G$3:$G$1994,0)),"")),"")</x:f>
      </x:c>
      <x:c r="E1956" t="str">
        <x:f>IF(K1956="","",IF(N1956&lt;=M1956,"",TRIM(CLEAN(MID(INDEX($B$3:$B$168,K1956),M1956,N1956-M1956)))))</x:f>
      </x:c>
      <x:c r="F1956" t="str">
        <x:f>IF(E1956="","",IF(E1956=TRIM(INDEX($A$3:$A$168,K1956)),"",IF(RIGHT(TRIM(INDEX($A$3:$A$168,K1956)),1)="]",LEFT(TRIM(INDEX($A$3:$A$168,K1956)),LEN(TRIM(INDEX($A$3:$A$168,K1956)))-1)&amp;", "&amp;SUBSTITUTE(SUBSTITUTE(SUBSTITUTE(E1956," [",", "),"[",", "),"]","")&amp;"]",TRIM(INDEX($A$3:$A$168,K1956))&amp;" ["&amp;SUBSTITUTE(SUBSTITUTE(SUBSTITUTE(E1956," [",", "),"[",", "),"]","")&amp;"]")))</x:f>
      </x:c>
      <x:c r="G1956" t="str">
        <x:f>IF(F1956&lt;&gt;"",ROWS($F$3:F1956)-COUNTBLANK($F$3:F1956),"")</x:f>
      </x:c>
      <x:c r="H1956"/>
      <x:c r="I1956"/>
      <x:c r="J1956"/>
      <x:c r="K1956" t="str">
        <x:f>IF(ROW()-ROW($K$2)&lt;=SUM($J$3:$J$168),COUNTIF($H$3:$H$168,"&lt;"&amp;(ROW()-ROW($K$2))),"")</x:f>
      </x:c>
      <x:c r="L1956" t="str">
        <x:f>IF(K1956="","",ROW()-ROW($L$2)-INDEX($H$3:$H$168,K1956))</x:f>
      </x:c>
      <x:c r="M1956" t="str">
        <x:f>IF(K1956="","",IF(L1956=1,1,FIND(CHAR(1),SUBSTITUTE(INDEX($B$3:$B$168,K1956),CHAR(10),CHAR(1),L1956-1))+1))</x:f>
      </x:c>
      <x:c r="N1956" t="str">
        <x:f>IF(K1956="","",IFERROR(FIND(CHAR(1),SUBSTITUTE(INDEX($B$3:$B$168,K1956),CHAR(10),CHAR(1),L1956)),LEN(INDEX($B$3:$B$168,K1956))+1))</x:f>
      </x:c>
    </x:row>
    <x:row r="1957">
      <x:c r="A1957"/>
      <x:c r="B1957"/>
      <x:c r="C1957"/>
      <x:c r="D1957" t="str">
        <x:f>IFERROR(IF(1955&lt;=$O$1,INDEX($A$3:$A$168,MATCH(1955,$I$3:$I$168,0)),IF(1955&lt;=$O$1+$O$2,INDEX($F$3:$F$1994,MATCH(1955-$O$1,$G$3:$G$1994,0)),"")),"")</x:f>
      </x:c>
      <x:c r="E1957" t="str">
        <x:f>IF(K1957="","",IF(N1957&lt;=M1957,"",TRIM(CLEAN(MID(INDEX($B$3:$B$168,K1957),M1957,N1957-M1957)))))</x:f>
      </x:c>
      <x:c r="F1957" t="str">
        <x:f>IF(E1957="","",IF(E1957=TRIM(INDEX($A$3:$A$168,K1957)),"",IF(RIGHT(TRIM(INDEX($A$3:$A$168,K1957)),1)="]",LEFT(TRIM(INDEX($A$3:$A$168,K1957)),LEN(TRIM(INDEX($A$3:$A$168,K1957)))-1)&amp;", "&amp;SUBSTITUTE(SUBSTITUTE(SUBSTITUTE(E1957," [",", "),"[",", "),"]","")&amp;"]",TRIM(INDEX($A$3:$A$168,K1957))&amp;" ["&amp;SUBSTITUTE(SUBSTITUTE(SUBSTITUTE(E1957," [",", "),"[",", "),"]","")&amp;"]")))</x:f>
      </x:c>
      <x:c r="G1957" t="str">
        <x:f>IF(F1957&lt;&gt;"",ROWS($F$3:F1957)-COUNTBLANK($F$3:F1957),"")</x:f>
      </x:c>
      <x:c r="H1957"/>
      <x:c r="I1957"/>
      <x:c r="J1957"/>
      <x:c r="K1957" t="str">
        <x:f>IF(ROW()-ROW($K$2)&lt;=SUM($J$3:$J$168),COUNTIF($H$3:$H$168,"&lt;"&amp;(ROW()-ROW($K$2))),"")</x:f>
      </x:c>
      <x:c r="L1957" t="str">
        <x:f>IF(K1957="","",ROW()-ROW($L$2)-INDEX($H$3:$H$168,K1957))</x:f>
      </x:c>
      <x:c r="M1957" t="str">
        <x:f>IF(K1957="","",IF(L1957=1,1,FIND(CHAR(1),SUBSTITUTE(INDEX($B$3:$B$168,K1957),CHAR(10),CHAR(1),L1957-1))+1))</x:f>
      </x:c>
      <x:c r="N1957" t="str">
        <x:f>IF(K1957="","",IFERROR(FIND(CHAR(1),SUBSTITUTE(INDEX($B$3:$B$168,K1957),CHAR(10),CHAR(1),L1957)),LEN(INDEX($B$3:$B$168,K1957))+1))</x:f>
      </x:c>
    </x:row>
    <x:row r="1958">
      <x:c r="A1958"/>
      <x:c r="B1958"/>
      <x:c r="C1958"/>
      <x:c r="D1958" t="str">
        <x:f>IFERROR(IF(1956&lt;=$O$1,INDEX($A$3:$A$168,MATCH(1956,$I$3:$I$168,0)),IF(1956&lt;=$O$1+$O$2,INDEX($F$3:$F$1994,MATCH(1956-$O$1,$G$3:$G$1994,0)),"")),"")</x:f>
      </x:c>
      <x:c r="E1958" t="str">
        <x:f>IF(K1958="","",IF(N1958&lt;=M1958,"",TRIM(CLEAN(MID(INDEX($B$3:$B$168,K1958),M1958,N1958-M1958)))))</x:f>
      </x:c>
      <x:c r="F1958" t="str">
        <x:f>IF(E1958="","",IF(E1958=TRIM(INDEX($A$3:$A$168,K1958)),"",IF(RIGHT(TRIM(INDEX($A$3:$A$168,K1958)),1)="]",LEFT(TRIM(INDEX($A$3:$A$168,K1958)),LEN(TRIM(INDEX($A$3:$A$168,K1958)))-1)&amp;", "&amp;SUBSTITUTE(SUBSTITUTE(SUBSTITUTE(E1958," [",", "),"[",", "),"]","")&amp;"]",TRIM(INDEX($A$3:$A$168,K1958))&amp;" ["&amp;SUBSTITUTE(SUBSTITUTE(SUBSTITUTE(E1958," [",", "),"[",", "),"]","")&amp;"]")))</x:f>
      </x:c>
      <x:c r="G1958" t="str">
        <x:f>IF(F1958&lt;&gt;"",ROWS($F$3:F1958)-COUNTBLANK($F$3:F1958),"")</x:f>
      </x:c>
      <x:c r="H1958"/>
      <x:c r="I1958"/>
      <x:c r="J1958"/>
      <x:c r="K1958" t="str">
        <x:f>IF(ROW()-ROW($K$2)&lt;=SUM($J$3:$J$168),COUNTIF($H$3:$H$168,"&lt;"&amp;(ROW()-ROW($K$2))),"")</x:f>
      </x:c>
      <x:c r="L1958" t="str">
        <x:f>IF(K1958="","",ROW()-ROW($L$2)-INDEX($H$3:$H$168,K1958))</x:f>
      </x:c>
      <x:c r="M1958" t="str">
        <x:f>IF(K1958="","",IF(L1958=1,1,FIND(CHAR(1),SUBSTITUTE(INDEX($B$3:$B$168,K1958),CHAR(10),CHAR(1),L1958-1))+1))</x:f>
      </x:c>
      <x:c r="N1958" t="str">
        <x:f>IF(K1958="","",IFERROR(FIND(CHAR(1),SUBSTITUTE(INDEX($B$3:$B$168,K1958),CHAR(10),CHAR(1),L1958)),LEN(INDEX($B$3:$B$168,K1958))+1))</x:f>
      </x:c>
    </x:row>
    <x:row r="1959">
      <x:c r="A1959"/>
      <x:c r="B1959"/>
      <x:c r="C1959"/>
      <x:c r="D1959" t="str">
        <x:f>IFERROR(IF(1957&lt;=$O$1,INDEX($A$3:$A$168,MATCH(1957,$I$3:$I$168,0)),IF(1957&lt;=$O$1+$O$2,INDEX($F$3:$F$1994,MATCH(1957-$O$1,$G$3:$G$1994,0)),"")),"")</x:f>
      </x:c>
      <x:c r="E1959" t="str">
        <x:f>IF(K1959="","",IF(N1959&lt;=M1959,"",TRIM(CLEAN(MID(INDEX($B$3:$B$168,K1959),M1959,N1959-M1959)))))</x:f>
      </x:c>
      <x:c r="F1959" t="str">
        <x:f>IF(E1959="","",IF(E1959=TRIM(INDEX($A$3:$A$168,K1959)),"",IF(RIGHT(TRIM(INDEX($A$3:$A$168,K1959)),1)="]",LEFT(TRIM(INDEX($A$3:$A$168,K1959)),LEN(TRIM(INDEX($A$3:$A$168,K1959)))-1)&amp;", "&amp;SUBSTITUTE(SUBSTITUTE(SUBSTITUTE(E1959," [",", "),"[",", "),"]","")&amp;"]",TRIM(INDEX($A$3:$A$168,K1959))&amp;" ["&amp;SUBSTITUTE(SUBSTITUTE(SUBSTITUTE(E1959," [",", "),"[",", "),"]","")&amp;"]")))</x:f>
      </x:c>
      <x:c r="G1959" t="str">
        <x:f>IF(F1959&lt;&gt;"",ROWS($F$3:F1959)-COUNTBLANK($F$3:F1959),"")</x:f>
      </x:c>
      <x:c r="H1959"/>
      <x:c r="I1959"/>
      <x:c r="J1959"/>
      <x:c r="K1959" t="str">
        <x:f>IF(ROW()-ROW($K$2)&lt;=SUM($J$3:$J$168),COUNTIF($H$3:$H$168,"&lt;"&amp;(ROW()-ROW($K$2))),"")</x:f>
      </x:c>
      <x:c r="L1959" t="str">
        <x:f>IF(K1959="","",ROW()-ROW($L$2)-INDEX($H$3:$H$168,K1959))</x:f>
      </x:c>
      <x:c r="M1959" t="str">
        <x:f>IF(K1959="","",IF(L1959=1,1,FIND(CHAR(1),SUBSTITUTE(INDEX($B$3:$B$168,K1959),CHAR(10),CHAR(1),L1959-1))+1))</x:f>
      </x:c>
      <x:c r="N1959" t="str">
        <x:f>IF(K1959="","",IFERROR(FIND(CHAR(1),SUBSTITUTE(INDEX($B$3:$B$168,K1959),CHAR(10),CHAR(1),L1959)),LEN(INDEX($B$3:$B$168,K1959))+1))</x:f>
      </x:c>
    </x:row>
    <x:row r="1960">
      <x:c r="A1960"/>
      <x:c r="B1960"/>
      <x:c r="C1960"/>
      <x:c r="D1960" t="str">
        <x:f>IFERROR(IF(1958&lt;=$O$1,INDEX($A$3:$A$168,MATCH(1958,$I$3:$I$168,0)),IF(1958&lt;=$O$1+$O$2,INDEX($F$3:$F$1994,MATCH(1958-$O$1,$G$3:$G$1994,0)),"")),"")</x:f>
      </x:c>
      <x:c r="E1960" t="str">
        <x:f>IF(K1960="","",IF(N1960&lt;=M1960,"",TRIM(CLEAN(MID(INDEX($B$3:$B$168,K1960),M1960,N1960-M1960)))))</x:f>
      </x:c>
      <x:c r="F1960" t="str">
        <x:f>IF(E1960="","",IF(E1960=TRIM(INDEX($A$3:$A$168,K1960)),"",IF(RIGHT(TRIM(INDEX($A$3:$A$168,K1960)),1)="]",LEFT(TRIM(INDEX($A$3:$A$168,K1960)),LEN(TRIM(INDEX($A$3:$A$168,K1960)))-1)&amp;", "&amp;SUBSTITUTE(SUBSTITUTE(SUBSTITUTE(E1960," [",", "),"[",", "),"]","")&amp;"]",TRIM(INDEX($A$3:$A$168,K1960))&amp;" ["&amp;SUBSTITUTE(SUBSTITUTE(SUBSTITUTE(E1960," [",", "),"[",", "),"]","")&amp;"]")))</x:f>
      </x:c>
      <x:c r="G1960" t="str">
        <x:f>IF(F1960&lt;&gt;"",ROWS($F$3:F1960)-COUNTBLANK($F$3:F1960),"")</x:f>
      </x:c>
      <x:c r="H1960"/>
      <x:c r="I1960"/>
      <x:c r="J1960"/>
      <x:c r="K1960" t="str">
        <x:f>IF(ROW()-ROW($K$2)&lt;=SUM($J$3:$J$168),COUNTIF($H$3:$H$168,"&lt;"&amp;(ROW()-ROW($K$2))),"")</x:f>
      </x:c>
      <x:c r="L1960" t="str">
        <x:f>IF(K1960="","",ROW()-ROW($L$2)-INDEX($H$3:$H$168,K1960))</x:f>
      </x:c>
      <x:c r="M1960" t="str">
        <x:f>IF(K1960="","",IF(L1960=1,1,FIND(CHAR(1),SUBSTITUTE(INDEX($B$3:$B$168,K1960),CHAR(10),CHAR(1),L1960-1))+1))</x:f>
      </x:c>
      <x:c r="N1960" t="str">
        <x:f>IF(K1960="","",IFERROR(FIND(CHAR(1),SUBSTITUTE(INDEX($B$3:$B$168,K1960),CHAR(10),CHAR(1),L1960)),LEN(INDEX($B$3:$B$168,K1960))+1))</x:f>
      </x:c>
    </x:row>
    <x:row r="1961">
      <x:c r="A1961"/>
      <x:c r="B1961"/>
      <x:c r="C1961"/>
      <x:c r="D1961" t="str">
        <x:f>IFERROR(IF(1959&lt;=$O$1,INDEX($A$3:$A$168,MATCH(1959,$I$3:$I$168,0)),IF(1959&lt;=$O$1+$O$2,INDEX($F$3:$F$1994,MATCH(1959-$O$1,$G$3:$G$1994,0)),"")),"")</x:f>
      </x:c>
      <x:c r="E1961" t="str">
        <x:f>IF(K1961="","",IF(N1961&lt;=M1961,"",TRIM(CLEAN(MID(INDEX($B$3:$B$168,K1961),M1961,N1961-M1961)))))</x:f>
      </x:c>
      <x:c r="F1961" t="str">
        <x:f>IF(E1961="","",IF(E1961=TRIM(INDEX($A$3:$A$168,K1961)),"",IF(RIGHT(TRIM(INDEX($A$3:$A$168,K1961)),1)="]",LEFT(TRIM(INDEX($A$3:$A$168,K1961)),LEN(TRIM(INDEX($A$3:$A$168,K1961)))-1)&amp;", "&amp;SUBSTITUTE(SUBSTITUTE(SUBSTITUTE(E1961," [",", "),"[",", "),"]","")&amp;"]",TRIM(INDEX($A$3:$A$168,K1961))&amp;" ["&amp;SUBSTITUTE(SUBSTITUTE(SUBSTITUTE(E1961," [",", "),"[",", "),"]","")&amp;"]")))</x:f>
      </x:c>
      <x:c r="G1961" t="str">
        <x:f>IF(F1961&lt;&gt;"",ROWS($F$3:F1961)-COUNTBLANK($F$3:F1961),"")</x:f>
      </x:c>
      <x:c r="H1961"/>
      <x:c r="I1961"/>
      <x:c r="J1961"/>
      <x:c r="K1961" t="str">
        <x:f>IF(ROW()-ROW($K$2)&lt;=SUM($J$3:$J$168),COUNTIF($H$3:$H$168,"&lt;"&amp;(ROW()-ROW($K$2))),"")</x:f>
      </x:c>
      <x:c r="L1961" t="str">
        <x:f>IF(K1961="","",ROW()-ROW($L$2)-INDEX($H$3:$H$168,K1961))</x:f>
      </x:c>
      <x:c r="M1961" t="str">
        <x:f>IF(K1961="","",IF(L1961=1,1,FIND(CHAR(1),SUBSTITUTE(INDEX($B$3:$B$168,K1961),CHAR(10),CHAR(1),L1961-1))+1))</x:f>
      </x:c>
      <x:c r="N1961" t="str">
        <x:f>IF(K1961="","",IFERROR(FIND(CHAR(1),SUBSTITUTE(INDEX($B$3:$B$168,K1961),CHAR(10),CHAR(1),L1961)),LEN(INDEX($B$3:$B$168,K1961))+1))</x:f>
      </x:c>
    </x:row>
    <x:row r="1962">
      <x:c r="A1962"/>
      <x:c r="B1962"/>
      <x:c r="C1962"/>
      <x:c r="D1962" t="str">
        <x:f>IFERROR(IF(1960&lt;=$O$1,INDEX($A$3:$A$168,MATCH(1960,$I$3:$I$168,0)),IF(1960&lt;=$O$1+$O$2,INDEX($F$3:$F$1994,MATCH(1960-$O$1,$G$3:$G$1994,0)),"")),"")</x:f>
      </x:c>
      <x:c r="E1962" t="str">
        <x:f>IF(K1962="","",IF(N1962&lt;=M1962,"",TRIM(CLEAN(MID(INDEX($B$3:$B$168,K1962),M1962,N1962-M1962)))))</x:f>
      </x:c>
      <x:c r="F1962" t="str">
        <x:f>IF(E1962="","",IF(E1962=TRIM(INDEX($A$3:$A$168,K1962)),"",IF(RIGHT(TRIM(INDEX($A$3:$A$168,K1962)),1)="]",LEFT(TRIM(INDEX($A$3:$A$168,K1962)),LEN(TRIM(INDEX($A$3:$A$168,K1962)))-1)&amp;", "&amp;SUBSTITUTE(SUBSTITUTE(SUBSTITUTE(E1962," [",", "),"[",", "),"]","")&amp;"]",TRIM(INDEX($A$3:$A$168,K1962))&amp;" ["&amp;SUBSTITUTE(SUBSTITUTE(SUBSTITUTE(E1962," [",", "),"[",", "),"]","")&amp;"]")))</x:f>
      </x:c>
      <x:c r="G1962" t="str">
        <x:f>IF(F1962&lt;&gt;"",ROWS($F$3:F1962)-COUNTBLANK($F$3:F1962),"")</x:f>
      </x:c>
      <x:c r="H1962"/>
      <x:c r="I1962"/>
      <x:c r="J1962"/>
      <x:c r="K1962" t="str">
        <x:f>IF(ROW()-ROW($K$2)&lt;=SUM($J$3:$J$168),COUNTIF($H$3:$H$168,"&lt;"&amp;(ROW()-ROW($K$2))),"")</x:f>
      </x:c>
      <x:c r="L1962" t="str">
        <x:f>IF(K1962="","",ROW()-ROW($L$2)-INDEX($H$3:$H$168,K1962))</x:f>
      </x:c>
      <x:c r="M1962" t="str">
        <x:f>IF(K1962="","",IF(L1962=1,1,FIND(CHAR(1),SUBSTITUTE(INDEX($B$3:$B$168,K1962),CHAR(10),CHAR(1),L1962-1))+1))</x:f>
      </x:c>
      <x:c r="N1962" t="str">
        <x:f>IF(K1962="","",IFERROR(FIND(CHAR(1),SUBSTITUTE(INDEX($B$3:$B$168,K1962),CHAR(10),CHAR(1),L1962)),LEN(INDEX($B$3:$B$168,K1962))+1))</x:f>
      </x:c>
    </x:row>
    <x:row r="1963">
      <x:c r="A1963"/>
      <x:c r="B1963"/>
      <x:c r="C1963"/>
      <x:c r="D1963" t="str">
        <x:f>IFERROR(IF(1961&lt;=$O$1,INDEX($A$3:$A$168,MATCH(1961,$I$3:$I$168,0)),IF(1961&lt;=$O$1+$O$2,INDEX($F$3:$F$1994,MATCH(1961-$O$1,$G$3:$G$1994,0)),"")),"")</x:f>
      </x:c>
      <x:c r="E1963" t="str">
        <x:f>IF(K1963="","",IF(N1963&lt;=M1963,"",TRIM(CLEAN(MID(INDEX($B$3:$B$168,K1963),M1963,N1963-M1963)))))</x:f>
      </x:c>
      <x:c r="F1963" t="str">
        <x:f>IF(E1963="","",IF(E1963=TRIM(INDEX($A$3:$A$168,K1963)),"",IF(RIGHT(TRIM(INDEX($A$3:$A$168,K1963)),1)="]",LEFT(TRIM(INDEX($A$3:$A$168,K1963)),LEN(TRIM(INDEX($A$3:$A$168,K1963)))-1)&amp;", "&amp;SUBSTITUTE(SUBSTITUTE(SUBSTITUTE(E1963," [",", "),"[",", "),"]","")&amp;"]",TRIM(INDEX($A$3:$A$168,K1963))&amp;" ["&amp;SUBSTITUTE(SUBSTITUTE(SUBSTITUTE(E1963," [",", "),"[",", "),"]","")&amp;"]")))</x:f>
      </x:c>
      <x:c r="G1963" t="str">
        <x:f>IF(F1963&lt;&gt;"",ROWS($F$3:F1963)-COUNTBLANK($F$3:F1963),"")</x:f>
      </x:c>
      <x:c r="H1963"/>
      <x:c r="I1963"/>
      <x:c r="J1963"/>
      <x:c r="K1963" t="str">
        <x:f>IF(ROW()-ROW($K$2)&lt;=SUM($J$3:$J$168),COUNTIF($H$3:$H$168,"&lt;"&amp;(ROW()-ROW($K$2))),"")</x:f>
      </x:c>
      <x:c r="L1963" t="str">
        <x:f>IF(K1963="","",ROW()-ROW($L$2)-INDEX($H$3:$H$168,K1963))</x:f>
      </x:c>
      <x:c r="M1963" t="str">
        <x:f>IF(K1963="","",IF(L1963=1,1,FIND(CHAR(1),SUBSTITUTE(INDEX($B$3:$B$168,K1963),CHAR(10),CHAR(1),L1963-1))+1))</x:f>
      </x:c>
      <x:c r="N1963" t="str">
        <x:f>IF(K1963="","",IFERROR(FIND(CHAR(1),SUBSTITUTE(INDEX($B$3:$B$168,K1963),CHAR(10),CHAR(1),L1963)),LEN(INDEX($B$3:$B$168,K1963))+1))</x:f>
      </x:c>
    </x:row>
    <x:row r="1964">
      <x:c r="A1964"/>
      <x:c r="B1964"/>
      <x:c r="C1964"/>
      <x:c r="D1964" t="str">
        <x:f>IFERROR(IF(1962&lt;=$O$1,INDEX($A$3:$A$168,MATCH(1962,$I$3:$I$168,0)),IF(1962&lt;=$O$1+$O$2,INDEX($F$3:$F$1994,MATCH(1962-$O$1,$G$3:$G$1994,0)),"")),"")</x:f>
      </x:c>
      <x:c r="E1964" t="str">
        <x:f>IF(K1964="","",IF(N1964&lt;=M1964,"",TRIM(CLEAN(MID(INDEX($B$3:$B$168,K1964),M1964,N1964-M1964)))))</x:f>
      </x:c>
      <x:c r="F1964" t="str">
        <x:f>IF(E1964="","",IF(E1964=TRIM(INDEX($A$3:$A$168,K1964)),"",IF(RIGHT(TRIM(INDEX($A$3:$A$168,K1964)),1)="]",LEFT(TRIM(INDEX($A$3:$A$168,K1964)),LEN(TRIM(INDEX($A$3:$A$168,K1964)))-1)&amp;", "&amp;SUBSTITUTE(SUBSTITUTE(SUBSTITUTE(E1964," [",", "),"[",", "),"]","")&amp;"]",TRIM(INDEX($A$3:$A$168,K1964))&amp;" ["&amp;SUBSTITUTE(SUBSTITUTE(SUBSTITUTE(E1964," [",", "),"[",", "),"]","")&amp;"]")))</x:f>
      </x:c>
      <x:c r="G1964" t="str">
        <x:f>IF(F1964&lt;&gt;"",ROWS($F$3:F1964)-COUNTBLANK($F$3:F1964),"")</x:f>
      </x:c>
      <x:c r="H1964"/>
      <x:c r="I1964"/>
      <x:c r="J1964"/>
      <x:c r="K1964" t="str">
        <x:f>IF(ROW()-ROW($K$2)&lt;=SUM($J$3:$J$168),COUNTIF($H$3:$H$168,"&lt;"&amp;(ROW()-ROW($K$2))),"")</x:f>
      </x:c>
      <x:c r="L1964" t="str">
        <x:f>IF(K1964="","",ROW()-ROW($L$2)-INDEX($H$3:$H$168,K1964))</x:f>
      </x:c>
      <x:c r="M1964" t="str">
        <x:f>IF(K1964="","",IF(L1964=1,1,FIND(CHAR(1),SUBSTITUTE(INDEX($B$3:$B$168,K1964),CHAR(10),CHAR(1),L1964-1))+1))</x:f>
      </x:c>
      <x:c r="N1964" t="str">
        <x:f>IF(K1964="","",IFERROR(FIND(CHAR(1),SUBSTITUTE(INDEX($B$3:$B$168,K1964),CHAR(10),CHAR(1),L1964)),LEN(INDEX($B$3:$B$168,K1964))+1))</x:f>
      </x:c>
    </x:row>
    <x:row r="1965">
      <x:c r="A1965"/>
      <x:c r="B1965"/>
      <x:c r="C1965"/>
      <x:c r="D1965" t="str">
        <x:f>IFERROR(IF(1963&lt;=$O$1,INDEX($A$3:$A$168,MATCH(1963,$I$3:$I$168,0)),IF(1963&lt;=$O$1+$O$2,INDEX($F$3:$F$1994,MATCH(1963-$O$1,$G$3:$G$1994,0)),"")),"")</x:f>
      </x:c>
      <x:c r="E1965" t="str">
        <x:f>IF(K1965="","",IF(N1965&lt;=M1965,"",TRIM(CLEAN(MID(INDEX($B$3:$B$168,K1965),M1965,N1965-M1965)))))</x:f>
      </x:c>
      <x:c r="F1965" t="str">
        <x:f>IF(E1965="","",IF(E1965=TRIM(INDEX($A$3:$A$168,K1965)),"",IF(RIGHT(TRIM(INDEX($A$3:$A$168,K1965)),1)="]",LEFT(TRIM(INDEX($A$3:$A$168,K1965)),LEN(TRIM(INDEX($A$3:$A$168,K1965)))-1)&amp;", "&amp;SUBSTITUTE(SUBSTITUTE(SUBSTITUTE(E1965," [",", "),"[",", "),"]","")&amp;"]",TRIM(INDEX($A$3:$A$168,K1965))&amp;" ["&amp;SUBSTITUTE(SUBSTITUTE(SUBSTITUTE(E1965," [",", "),"[",", "),"]","")&amp;"]")))</x:f>
      </x:c>
      <x:c r="G1965" t="str">
        <x:f>IF(F1965&lt;&gt;"",ROWS($F$3:F1965)-COUNTBLANK($F$3:F1965),"")</x:f>
      </x:c>
      <x:c r="H1965"/>
      <x:c r="I1965"/>
      <x:c r="J1965"/>
      <x:c r="K1965" t="str">
        <x:f>IF(ROW()-ROW($K$2)&lt;=SUM($J$3:$J$168),COUNTIF($H$3:$H$168,"&lt;"&amp;(ROW()-ROW($K$2))),"")</x:f>
      </x:c>
      <x:c r="L1965" t="str">
        <x:f>IF(K1965="","",ROW()-ROW($L$2)-INDEX($H$3:$H$168,K1965))</x:f>
      </x:c>
      <x:c r="M1965" t="str">
        <x:f>IF(K1965="","",IF(L1965=1,1,FIND(CHAR(1),SUBSTITUTE(INDEX($B$3:$B$168,K1965),CHAR(10),CHAR(1),L1965-1))+1))</x:f>
      </x:c>
      <x:c r="N1965" t="str">
        <x:f>IF(K1965="","",IFERROR(FIND(CHAR(1),SUBSTITUTE(INDEX($B$3:$B$168,K1965),CHAR(10),CHAR(1),L1965)),LEN(INDEX($B$3:$B$168,K1965))+1))</x:f>
      </x:c>
    </x:row>
    <x:row r="1966">
      <x:c r="A1966"/>
      <x:c r="B1966"/>
      <x:c r="C1966"/>
      <x:c r="D1966" t="str">
        <x:f>IFERROR(IF(1964&lt;=$O$1,INDEX($A$3:$A$168,MATCH(1964,$I$3:$I$168,0)),IF(1964&lt;=$O$1+$O$2,INDEX($F$3:$F$1994,MATCH(1964-$O$1,$G$3:$G$1994,0)),"")),"")</x:f>
      </x:c>
      <x:c r="E1966" t="str">
        <x:f>IF(K1966="","",IF(N1966&lt;=M1966,"",TRIM(CLEAN(MID(INDEX($B$3:$B$168,K1966),M1966,N1966-M1966)))))</x:f>
      </x:c>
      <x:c r="F1966" t="str">
        <x:f>IF(E1966="","",IF(E1966=TRIM(INDEX($A$3:$A$168,K1966)),"",IF(RIGHT(TRIM(INDEX($A$3:$A$168,K1966)),1)="]",LEFT(TRIM(INDEX($A$3:$A$168,K1966)),LEN(TRIM(INDEX($A$3:$A$168,K1966)))-1)&amp;", "&amp;SUBSTITUTE(SUBSTITUTE(SUBSTITUTE(E1966," [",", "),"[",", "),"]","")&amp;"]",TRIM(INDEX($A$3:$A$168,K1966))&amp;" ["&amp;SUBSTITUTE(SUBSTITUTE(SUBSTITUTE(E1966," [",", "),"[",", "),"]","")&amp;"]")))</x:f>
      </x:c>
      <x:c r="G1966" t="str">
        <x:f>IF(F1966&lt;&gt;"",ROWS($F$3:F1966)-COUNTBLANK($F$3:F1966),"")</x:f>
      </x:c>
      <x:c r="H1966"/>
      <x:c r="I1966"/>
      <x:c r="J1966"/>
      <x:c r="K1966" t="str">
        <x:f>IF(ROW()-ROW($K$2)&lt;=SUM($J$3:$J$168),COUNTIF($H$3:$H$168,"&lt;"&amp;(ROW()-ROW($K$2))),"")</x:f>
      </x:c>
      <x:c r="L1966" t="str">
        <x:f>IF(K1966="","",ROW()-ROW($L$2)-INDEX($H$3:$H$168,K1966))</x:f>
      </x:c>
      <x:c r="M1966" t="str">
        <x:f>IF(K1966="","",IF(L1966=1,1,FIND(CHAR(1),SUBSTITUTE(INDEX($B$3:$B$168,K1966),CHAR(10),CHAR(1),L1966-1))+1))</x:f>
      </x:c>
      <x:c r="N1966" t="str">
        <x:f>IF(K1966="","",IFERROR(FIND(CHAR(1),SUBSTITUTE(INDEX($B$3:$B$168,K1966),CHAR(10),CHAR(1),L1966)),LEN(INDEX($B$3:$B$168,K1966))+1))</x:f>
      </x:c>
    </x:row>
    <x:row r="1967">
      <x:c r="A1967"/>
      <x:c r="B1967"/>
      <x:c r="C1967"/>
      <x:c r="D1967" t="str">
        <x:f>IFERROR(IF(1965&lt;=$O$1,INDEX($A$3:$A$168,MATCH(1965,$I$3:$I$168,0)),IF(1965&lt;=$O$1+$O$2,INDEX($F$3:$F$1994,MATCH(1965-$O$1,$G$3:$G$1994,0)),"")),"")</x:f>
      </x:c>
      <x:c r="E1967" t="str">
        <x:f>IF(K1967="","",IF(N1967&lt;=M1967,"",TRIM(CLEAN(MID(INDEX($B$3:$B$168,K1967),M1967,N1967-M1967)))))</x:f>
      </x:c>
      <x:c r="F1967" t="str">
        <x:f>IF(E1967="","",IF(E1967=TRIM(INDEX($A$3:$A$168,K1967)),"",IF(RIGHT(TRIM(INDEX($A$3:$A$168,K1967)),1)="]",LEFT(TRIM(INDEX($A$3:$A$168,K1967)),LEN(TRIM(INDEX($A$3:$A$168,K1967)))-1)&amp;", "&amp;SUBSTITUTE(SUBSTITUTE(SUBSTITUTE(E1967," [",", "),"[",", "),"]","")&amp;"]",TRIM(INDEX($A$3:$A$168,K1967))&amp;" ["&amp;SUBSTITUTE(SUBSTITUTE(SUBSTITUTE(E1967," [",", "),"[",", "),"]","")&amp;"]")))</x:f>
      </x:c>
      <x:c r="G1967" t="str">
        <x:f>IF(F1967&lt;&gt;"",ROWS($F$3:F1967)-COUNTBLANK($F$3:F1967),"")</x:f>
      </x:c>
      <x:c r="H1967"/>
      <x:c r="I1967"/>
      <x:c r="J1967"/>
      <x:c r="K1967" t="str">
        <x:f>IF(ROW()-ROW($K$2)&lt;=SUM($J$3:$J$168),COUNTIF($H$3:$H$168,"&lt;"&amp;(ROW()-ROW($K$2))),"")</x:f>
      </x:c>
      <x:c r="L1967" t="str">
        <x:f>IF(K1967="","",ROW()-ROW($L$2)-INDEX($H$3:$H$168,K1967))</x:f>
      </x:c>
      <x:c r="M1967" t="str">
        <x:f>IF(K1967="","",IF(L1967=1,1,FIND(CHAR(1),SUBSTITUTE(INDEX($B$3:$B$168,K1967),CHAR(10),CHAR(1),L1967-1))+1))</x:f>
      </x:c>
      <x:c r="N1967" t="str">
        <x:f>IF(K1967="","",IFERROR(FIND(CHAR(1),SUBSTITUTE(INDEX($B$3:$B$168,K1967),CHAR(10),CHAR(1),L1967)),LEN(INDEX($B$3:$B$168,K1967))+1))</x:f>
      </x:c>
    </x:row>
    <x:row r="1968">
      <x:c r="A1968"/>
      <x:c r="B1968"/>
      <x:c r="C1968"/>
      <x:c r="D1968" t="str">
        <x:f>IFERROR(IF(1966&lt;=$O$1,INDEX($A$3:$A$168,MATCH(1966,$I$3:$I$168,0)),IF(1966&lt;=$O$1+$O$2,INDEX($F$3:$F$1994,MATCH(1966-$O$1,$G$3:$G$1994,0)),"")),"")</x:f>
      </x:c>
      <x:c r="E1968" t="str">
        <x:f>IF(K1968="","",IF(N1968&lt;=M1968,"",TRIM(CLEAN(MID(INDEX($B$3:$B$168,K1968),M1968,N1968-M1968)))))</x:f>
      </x:c>
      <x:c r="F1968" t="str">
        <x:f>IF(E1968="","",IF(E1968=TRIM(INDEX($A$3:$A$168,K1968)),"",IF(RIGHT(TRIM(INDEX($A$3:$A$168,K1968)),1)="]",LEFT(TRIM(INDEX($A$3:$A$168,K1968)),LEN(TRIM(INDEX($A$3:$A$168,K1968)))-1)&amp;", "&amp;SUBSTITUTE(SUBSTITUTE(SUBSTITUTE(E1968," [",", "),"[",", "),"]","")&amp;"]",TRIM(INDEX($A$3:$A$168,K1968))&amp;" ["&amp;SUBSTITUTE(SUBSTITUTE(SUBSTITUTE(E1968," [",", "),"[",", "),"]","")&amp;"]")))</x:f>
      </x:c>
      <x:c r="G1968" t="str">
        <x:f>IF(F1968&lt;&gt;"",ROWS($F$3:F1968)-COUNTBLANK($F$3:F1968),"")</x:f>
      </x:c>
      <x:c r="H1968"/>
      <x:c r="I1968"/>
      <x:c r="J1968"/>
      <x:c r="K1968" t="str">
        <x:f>IF(ROW()-ROW($K$2)&lt;=SUM($J$3:$J$168),COUNTIF($H$3:$H$168,"&lt;"&amp;(ROW()-ROW($K$2))),"")</x:f>
      </x:c>
      <x:c r="L1968" t="str">
        <x:f>IF(K1968="","",ROW()-ROW($L$2)-INDEX($H$3:$H$168,K1968))</x:f>
      </x:c>
      <x:c r="M1968" t="str">
        <x:f>IF(K1968="","",IF(L1968=1,1,FIND(CHAR(1),SUBSTITUTE(INDEX($B$3:$B$168,K1968),CHAR(10),CHAR(1),L1968-1))+1))</x:f>
      </x:c>
      <x:c r="N1968" t="str">
        <x:f>IF(K1968="","",IFERROR(FIND(CHAR(1),SUBSTITUTE(INDEX($B$3:$B$168,K1968),CHAR(10),CHAR(1),L1968)),LEN(INDEX($B$3:$B$168,K1968))+1))</x:f>
      </x:c>
    </x:row>
    <x:row r="1969">
      <x:c r="A1969"/>
      <x:c r="B1969"/>
      <x:c r="C1969"/>
      <x:c r="D1969" t="str">
        <x:f>IFERROR(IF(1967&lt;=$O$1,INDEX($A$3:$A$168,MATCH(1967,$I$3:$I$168,0)),IF(1967&lt;=$O$1+$O$2,INDEX($F$3:$F$1994,MATCH(1967-$O$1,$G$3:$G$1994,0)),"")),"")</x:f>
      </x:c>
      <x:c r="E1969" t="str">
        <x:f>IF(K1969="","",IF(N1969&lt;=M1969,"",TRIM(CLEAN(MID(INDEX($B$3:$B$168,K1969),M1969,N1969-M1969)))))</x:f>
      </x:c>
      <x:c r="F1969" t="str">
        <x:f>IF(E1969="","",IF(E1969=TRIM(INDEX($A$3:$A$168,K1969)),"",IF(RIGHT(TRIM(INDEX($A$3:$A$168,K1969)),1)="]",LEFT(TRIM(INDEX($A$3:$A$168,K1969)),LEN(TRIM(INDEX($A$3:$A$168,K1969)))-1)&amp;", "&amp;SUBSTITUTE(SUBSTITUTE(SUBSTITUTE(E1969," [",", "),"[",", "),"]","")&amp;"]",TRIM(INDEX($A$3:$A$168,K1969))&amp;" ["&amp;SUBSTITUTE(SUBSTITUTE(SUBSTITUTE(E1969," [",", "),"[",", "),"]","")&amp;"]")))</x:f>
      </x:c>
      <x:c r="G1969" t="str">
        <x:f>IF(F1969&lt;&gt;"",ROWS($F$3:F1969)-COUNTBLANK($F$3:F1969),"")</x:f>
      </x:c>
      <x:c r="H1969"/>
      <x:c r="I1969"/>
      <x:c r="J1969"/>
      <x:c r="K1969" t="str">
        <x:f>IF(ROW()-ROW($K$2)&lt;=SUM($J$3:$J$168),COUNTIF($H$3:$H$168,"&lt;"&amp;(ROW()-ROW($K$2))),"")</x:f>
      </x:c>
      <x:c r="L1969" t="str">
        <x:f>IF(K1969="","",ROW()-ROW($L$2)-INDEX($H$3:$H$168,K1969))</x:f>
      </x:c>
      <x:c r="M1969" t="str">
        <x:f>IF(K1969="","",IF(L1969=1,1,FIND(CHAR(1),SUBSTITUTE(INDEX($B$3:$B$168,K1969),CHAR(10),CHAR(1),L1969-1))+1))</x:f>
      </x:c>
      <x:c r="N1969" t="str">
        <x:f>IF(K1969="","",IFERROR(FIND(CHAR(1),SUBSTITUTE(INDEX($B$3:$B$168,K1969),CHAR(10),CHAR(1),L1969)),LEN(INDEX($B$3:$B$168,K1969))+1))</x:f>
      </x:c>
    </x:row>
    <x:row r="1970">
      <x:c r="A1970"/>
      <x:c r="B1970"/>
      <x:c r="C1970"/>
      <x:c r="D1970" t="str">
        <x:f>IFERROR(IF(1968&lt;=$O$1,INDEX($A$3:$A$168,MATCH(1968,$I$3:$I$168,0)),IF(1968&lt;=$O$1+$O$2,INDEX($F$3:$F$1994,MATCH(1968-$O$1,$G$3:$G$1994,0)),"")),"")</x:f>
      </x:c>
      <x:c r="E1970" t="str">
        <x:f>IF(K1970="","",IF(N1970&lt;=M1970,"",TRIM(CLEAN(MID(INDEX($B$3:$B$168,K1970),M1970,N1970-M1970)))))</x:f>
      </x:c>
      <x:c r="F1970" t="str">
        <x:f>IF(E1970="","",IF(E1970=TRIM(INDEX($A$3:$A$168,K1970)),"",IF(RIGHT(TRIM(INDEX($A$3:$A$168,K1970)),1)="]",LEFT(TRIM(INDEX($A$3:$A$168,K1970)),LEN(TRIM(INDEX($A$3:$A$168,K1970)))-1)&amp;", "&amp;SUBSTITUTE(SUBSTITUTE(SUBSTITUTE(E1970," [",", "),"[",", "),"]","")&amp;"]",TRIM(INDEX($A$3:$A$168,K1970))&amp;" ["&amp;SUBSTITUTE(SUBSTITUTE(SUBSTITUTE(E1970," [",", "),"[",", "),"]","")&amp;"]")))</x:f>
      </x:c>
      <x:c r="G1970" t="str">
        <x:f>IF(F1970&lt;&gt;"",ROWS($F$3:F1970)-COUNTBLANK($F$3:F1970),"")</x:f>
      </x:c>
      <x:c r="H1970"/>
      <x:c r="I1970"/>
      <x:c r="J1970"/>
      <x:c r="K1970" t="str">
        <x:f>IF(ROW()-ROW($K$2)&lt;=SUM($J$3:$J$168),COUNTIF($H$3:$H$168,"&lt;"&amp;(ROW()-ROW($K$2))),"")</x:f>
      </x:c>
      <x:c r="L1970" t="str">
        <x:f>IF(K1970="","",ROW()-ROW($L$2)-INDEX($H$3:$H$168,K1970))</x:f>
      </x:c>
      <x:c r="M1970" t="str">
        <x:f>IF(K1970="","",IF(L1970=1,1,FIND(CHAR(1),SUBSTITUTE(INDEX($B$3:$B$168,K1970),CHAR(10),CHAR(1),L1970-1))+1))</x:f>
      </x:c>
      <x:c r="N1970" t="str">
        <x:f>IF(K1970="","",IFERROR(FIND(CHAR(1),SUBSTITUTE(INDEX($B$3:$B$168,K1970),CHAR(10),CHAR(1),L1970)),LEN(INDEX($B$3:$B$168,K1970))+1))</x:f>
      </x:c>
    </x:row>
    <x:row r="1971">
      <x:c r="A1971"/>
      <x:c r="B1971"/>
      <x:c r="C1971"/>
      <x:c r="D1971" t="str">
        <x:f>IFERROR(IF(1969&lt;=$O$1,INDEX($A$3:$A$168,MATCH(1969,$I$3:$I$168,0)),IF(1969&lt;=$O$1+$O$2,INDEX($F$3:$F$1994,MATCH(1969-$O$1,$G$3:$G$1994,0)),"")),"")</x:f>
      </x:c>
      <x:c r="E1971" t="str">
        <x:f>IF(K1971="","",IF(N1971&lt;=M1971,"",TRIM(CLEAN(MID(INDEX($B$3:$B$168,K1971),M1971,N1971-M1971)))))</x:f>
      </x:c>
      <x:c r="F1971" t="str">
        <x:f>IF(E1971="","",IF(E1971=TRIM(INDEX($A$3:$A$168,K1971)),"",IF(RIGHT(TRIM(INDEX($A$3:$A$168,K1971)),1)="]",LEFT(TRIM(INDEX($A$3:$A$168,K1971)),LEN(TRIM(INDEX($A$3:$A$168,K1971)))-1)&amp;", "&amp;SUBSTITUTE(SUBSTITUTE(SUBSTITUTE(E1971," [",", "),"[",", "),"]","")&amp;"]",TRIM(INDEX($A$3:$A$168,K1971))&amp;" ["&amp;SUBSTITUTE(SUBSTITUTE(SUBSTITUTE(E1971," [",", "),"[",", "),"]","")&amp;"]")))</x:f>
      </x:c>
      <x:c r="G1971" t="str">
        <x:f>IF(F1971&lt;&gt;"",ROWS($F$3:F1971)-COUNTBLANK($F$3:F1971),"")</x:f>
      </x:c>
      <x:c r="H1971"/>
      <x:c r="I1971"/>
      <x:c r="J1971"/>
      <x:c r="K1971" t="str">
        <x:f>IF(ROW()-ROW($K$2)&lt;=SUM($J$3:$J$168),COUNTIF($H$3:$H$168,"&lt;"&amp;(ROW()-ROW($K$2))),"")</x:f>
      </x:c>
      <x:c r="L1971" t="str">
        <x:f>IF(K1971="","",ROW()-ROW($L$2)-INDEX($H$3:$H$168,K1971))</x:f>
      </x:c>
      <x:c r="M1971" t="str">
        <x:f>IF(K1971="","",IF(L1971=1,1,FIND(CHAR(1),SUBSTITUTE(INDEX($B$3:$B$168,K1971),CHAR(10),CHAR(1),L1971-1))+1))</x:f>
      </x:c>
      <x:c r="N1971" t="str">
        <x:f>IF(K1971="","",IFERROR(FIND(CHAR(1),SUBSTITUTE(INDEX($B$3:$B$168,K1971),CHAR(10),CHAR(1),L1971)),LEN(INDEX($B$3:$B$168,K1971))+1))</x:f>
      </x:c>
    </x:row>
    <x:row r="1972">
      <x:c r="A1972"/>
      <x:c r="B1972"/>
      <x:c r="C1972"/>
      <x:c r="D1972" t="str">
        <x:f>IFERROR(IF(1970&lt;=$O$1,INDEX($A$3:$A$168,MATCH(1970,$I$3:$I$168,0)),IF(1970&lt;=$O$1+$O$2,INDEX($F$3:$F$1994,MATCH(1970-$O$1,$G$3:$G$1994,0)),"")),"")</x:f>
      </x:c>
      <x:c r="E1972" t="str">
        <x:f>IF(K1972="","",IF(N1972&lt;=M1972,"",TRIM(CLEAN(MID(INDEX($B$3:$B$168,K1972),M1972,N1972-M1972)))))</x:f>
      </x:c>
      <x:c r="F1972" t="str">
        <x:f>IF(E1972="","",IF(E1972=TRIM(INDEX($A$3:$A$168,K1972)),"",IF(RIGHT(TRIM(INDEX($A$3:$A$168,K1972)),1)="]",LEFT(TRIM(INDEX($A$3:$A$168,K1972)),LEN(TRIM(INDEX($A$3:$A$168,K1972)))-1)&amp;", "&amp;SUBSTITUTE(SUBSTITUTE(SUBSTITUTE(E1972," [",", "),"[",", "),"]","")&amp;"]",TRIM(INDEX($A$3:$A$168,K1972))&amp;" ["&amp;SUBSTITUTE(SUBSTITUTE(SUBSTITUTE(E1972," [",", "),"[",", "),"]","")&amp;"]")))</x:f>
      </x:c>
      <x:c r="G1972" t="str">
        <x:f>IF(F1972&lt;&gt;"",ROWS($F$3:F1972)-COUNTBLANK($F$3:F1972),"")</x:f>
      </x:c>
      <x:c r="H1972"/>
      <x:c r="I1972"/>
      <x:c r="J1972"/>
      <x:c r="K1972" t="str">
        <x:f>IF(ROW()-ROW($K$2)&lt;=SUM($J$3:$J$168),COUNTIF($H$3:$H$168,"&lt;"&amp;(ROW()-ROW($K$2))),"")</x:f>
      </x:c>
      <x:c r="L1972" t="str">
        <x:f>IF(K1972="","",ROW()-ROW($L$2)-INDEX($H$3:$H$168,K1972))</x:f>
      </x:c>
      <x:c r="M1972" t="str">
        <x:f>IF(K1972="","",IF(L1972=1,1,FIND(CHAR(1),SUBSTITUTE(INDEX($B$3:$B$168,K1972),CHAR(10),CHAR(1),L1972-1))+1))</x:f>
      </x:c>
      <x:c r="N1972" t="str">
        <x:f>IF(K1972="","",IFERROR(FIND(CHAR(1),SUBSTITUTE(INDEX($B$3:$B$168,K1972),CHAR(10),CHAR(1),L1972)),LEN(INDEX($B$3:$B$168,K1972))+1))</x:f>
      </x:c>
    </x:row>
    <x:row r="1973">
      <x:c r="A1973"/>
      <x:c r="B1973"/>
      <x:c r="C1973"/>
      <x:c r="D1973" t="str">
        <x:f>IFERROR(IF(1971&lt;=$O$1,INDEX($A$3:$A$168,MATCH(1971,$I$3:$I$168,0)),IF(1971&lt;=$O$1+$O$2,INDEX($F$3:$F$1994,MATCH(1971-$O$1,$G$3:$G$1994,0)),"")),"")</x:f>
      </x:c>
      <x:c r="E1973" t="str">
        <x:f>IF(K1973="","",IF(N1973&lt;=M1973,"",TRIM(CLEAN(MID(INDEX($B$3:$B$168,K1973),M1973,N1973-M1973)))))</x:f>
      </x:c>
      <x:c r="F1973" t="str">
        <x:f>IF(E1973="","",IF(E1973=TRIM(INDEX($A$3:$A$168,K1973)),"",IF(RIGHT(TRIM(INDEX($A$3:$A$168,K1973)),1)="]",LEFT(TRIM(INDEX($A$3:$A$168,K1973)),LEN(TRIM(INDEX($A$3:$A$168,K1973)))-1)&amp;", "&amp;SUBSTITUTE(SUBSTITUTE(SUBSTITUTE(E1973," [",", "),"[",", "),"]","")&amp;"]",TRIM(INDEX($A$3:$A$168,K1973))&amp;" ["&amp;SUBSTITUTE(SUBSTITUTE(SUBSTITUTE(E1973," [",", "),"[",", "),"]","")&amp;"]")))</x:f>
      </x:c>
      <x:c r="G1973" t="str">
        <x:f>IF(F1973&lt;&gt;"",ROWS($F$3:F1973)-COUNTBLANK($F$3:F1973),"")</x:f>
      </x:c>
      <x:c r="H1973"/>
      <x:c r="I1973"/>
      <x:c r="J1973"/>
      <x:c r="K1973" t="str">
        <x:f>IF(ROW()-ROW($K$2)&lt;=SUM($J$3:$J$168),COUNTIF($H$3:$H$168,"&lt;"&amp;(ROW()-ROW($K$2))),"")</x:f>
      </x:c>
      <x:c r="L1973" t="str">
        <x:f>IF(K1973="","",ROW()-ROW($L$2)-INDEX($H$3:$H$168,K1973))</x:f>
      </x:c>
      <x:c r="M1973" t="str">
        <x:f>IF(K1973="","",IF(L1973=1,1,FIND(CHAR(1),SUBSTITUTE(INDEX($B$3:$B$168,K1973),CHAR(10),CHAR(1),L1973-1))+1))</x:f>
      </x:c>
      <x:c r="N1973" t="str">
        <x:f>IF(K1973="","",IFERROR(FIND(CHAR(1),SUBSTITUTE(INDEX($B$3:$B$168,K1973),CHAR(10),CHAR(1),L1973)),LEN(INDEX($B$3:$B$168,K1973))+1))</x:f>
      </x:c>
    </x:row>
    <x:row r="1974">
      <x:c r="A1974"/>
      <x:c r="B1974"/>
      <x:c r="C1974"/>
      <x:c r="D1974" t="str">
        <x:f>IFERROR(IF(1972&lt;=$O$1,INDEX($A$3:$A$168,MATCH(1972,$I$3:$I$168,0)),IF(1972&lt;=$O$1+$O$2,INDEX($F$3:$F$1994,MATCH(1972-$O$1,$G$3:$G$1994,0)),"")),"")</x:f>
      </x:c>
      <x:c r="E1974" t="str">
        <x:f>IF(K1974="","",IF(N1974&lt;=M1974,"",TRIM(CLEAN(MID(INDEX($B$3:$B$168,K1974),M1974,N1974-M1974)))))</x:f>
      </x:c>
      <x:c r="F1974" t="str">
        <x:f>IF(E1974="","",IF(E1974=TRIM(INDEX($A$3:$A$168,K1974)),"",IF(RIGHT(TRIM(INDEX($A$3:$A$168,K1974)),1)="]",LEFT(TRIM(INDEX($A$3:$A$168,K1974)),LEN(TRIM(INDEX($A$3:$A$168,K1974)))-1)&amp;", "&amp;SUBSTITUTE(SUBSTITUTE(SUBSTITUTE(E1974," [",", "),"[",", "),"]","")&amp;"]",TRIM(INDEX($A$3:$A$168,K1974))&amp;" ["&amp;SUBSTITUTE(SUBSTITUTE(SUBSTITUTE(E1974," [",", "),"[",", "),"]","")&amp;"]")))</x:f>
      </x:c>
      <x:c r="G1974" t="str">
        <x:f>IF(F1974&lt;&gt;"",ROWS($F$3:F1974)-COUNTBLANK($F$3:F1974),"")</x:f>
      </x:c>
      <x:c r="H1974"/>
      <x:c r="I1974"/>
      <x:c r="J1974"/>
      <x:c r="K1974" t="str">
        <x:f>IF(ROW()-ROW($K$2)&lt;=SUM($J$3:$J$168),COUNTIF($H$3:$H$168,"&lt;"&amp;(ROW()-ROW($K$2))),"")</x:f>
      </x:c>
      <x:c r="L1974" t="str">
        <x:f>IF(K1974="","",ROW()-ROW($L$2)-INDEX($H$3:$H$168,K1974))</x:f>
      </x:c>
      <x:c r="M1974" t="str">
        <x:f>IF(K1974="","",IF(L1974=1,1,FIND(CHAR(1),SUBSTITUTE(INDEX($B$3:$B$168,K1974),CHAR(10),CHAR(1),L1974-1))+1))</x:f>
      </x:c>
      <x:c r="N1974" t="str">
        <x:f>IF(K1974="","",IFERROR(FIND(CHAR(1),SUBSTITUTE(INDEX($B$3:$B$168,K1974),CHAR(10),CHAR(1),L1974)),LEN(INDEX($B$3:$B$168,K1974))+1))</x:f>
      </x:c>
    </x:row>
    <x:row r="1975">
      <x:c r="A1975"/>
      <x:c r="B1975"/>
      <x:c r="C1975"/>
      <x:c r="D1975" t="str">
        <x:f>IFERROR(IF(1973&lt;=$O$1,INDEX($A$3:$A$168,MATCH(1973,$I$3:$I$168,0)),IF(1973&lt;=$O$1+$O$2,INDEX($F$3:$F$1994,MATCH(1973-$O$1,$G$3:$G$1994,0)),"")),"")</x:f>
      </x:c>
      <x:c r="E1975" t="str">
        <x:f>IF(K1975="","",IF(N1975&lt;=M1975,"",TRIM(CLEAN(MID(INDEX($B$3:$B$168,K1975),M1975,N1975-M1975)))))</x:f>
      </x:c>
      <x:c r="F1975" t="str">
        <x:f>IF(E1975="","",IF(E1975=TRIM(INDEX($A$3:$A$168,K1975)),"",IF(RIGHT(TRIM(INDEX($A$3:$A$168,K1975)),1)="]",LEFT(TRIM(INDEX($A$3:$A$168,K1975)),LEN(TRIM(INDEX($A$3:$A$168,K1975)))-1)&amp;", "&amp;SUBSTITUTE(SUBSTITUTE(SUBSTITUTE(E1975," [",", "),"[",", "),"]","")&amp;"]",TRIM(INDEX($A$3:$A$168,K1975))&amp;" ["&amp;SUBSTITUTE(SUBSTITUTE(SUBSTITUTE(E1975," [",", "),"[",", "),"]","")&amp;"]")))</x:f>
      </x:c>
      <x:c r="G1975" t="str">
        <x:f>IF(F1975&lt;&gt;"",ROWS($F$3:F1975)-COUNTBLANK($F$3:F1975),"")</x:f>
      </x:c>
      <x:c r="H1975"/>
      <x:c r="I1975"/>
      <x:c r="J1975"/>
      <x:c r="K1975" t="str">
        <x:f>IF(ROW()-ROW($K$2)&lt;=SUM($J$3:$J$168),COUNTIF($H$3:$H$168,"&lt;"&amp;(ROW()-ROW($K$2))),"")</x:f>
      </x:c>
      <x:c r="L1975" t="str">
        <x:f>IF(K1975="","",ROW()-ROW($L$2)-INDEX($H$3:$H$168,K1975))</x:f>
      </x:c>
      <x:c r="M1975" t="str">
        <x:f>IF(K1975="","",IF(L1975=1,1,FIND(CHAR(1),SUBSTITUTE(INDEX($B$3:$B$168,K1975),CHAR(10),CHAR(1),L1975-1))+1))</x:f>
      </x:c>
      <x:c r="N1975" t="str">
        <x:f>IF(K1975="","",IFERROR(FIND(CHAR(1),SUBSTITUTE(INDEX($B$3:$B$168,K1975),CHAR(10),CHAR(1),L1975)),LEN(INDEX($B$3:$B$168,K1975))+1))</x:f>
      </x:c>
    </x:row>
    <x:row r="1976">
      <x:c r="A1976"/>
      <x:c r="B1976"/>
      <x:c r="C1976"/>
      <x:c r="D1976" t="str">
        <x:f>IFERROR(IF(1974&lt;=$O$1,INDEX($A$3:$A$168,MATCH(1974,$I$3:$I$168,0)),IF(1974&lt;=$O$1+$O$2,INDEX($F$3:$F$1994,MATCH(1974-$O$1,$G$3:$G$1994,0)),"")),"")</x:f>
      </x:c>
      <x:c r="E1976" t="str">
        <x:f>IF(K1976="","",IF(N1976&lt;=M1976,"",TRIM(CLEAN(MID(INDEX($B$3:$B$168,K1976),M1976,N1976-M1976)))))</x:f>
      </x:c>
      <x:c r="F1976" t="str">
        <x:f>IF(E1976="","",IF(E1976=TRIM(INDEX($A$3:$A$168,K1976)),"",IF(RIGHT(TRIM(INDEX($A$3:$A$168,K1976)),1)="]",LEFT(TRIM(INDEX($A$3:$A$168,K1976)),LEN(TRIM(INDEX($A$3:$A$168,K1976)))-1)&amp;", "&amp;SUBSTITUTE(SUBSTITUTE(SUBSTITUTE(E1976," [",", "),"[",", "),"]","")&amp;"]",TRIM(INDEX($A$3:$A$168,K1976))&amp;" ["&amp;SUBSTITUTE(SUBSTITUTE(SUBSTITUTE(E1976," [",", "),"[",", "),"]","")&amp;"]")))</x:f>
      </x:c>
      <x:c r="G1976" t="str">
        <x:f>IF(F1976&lt;&gt;"",ROWS($F$3:F1976)-COUNTBLANK($F$3:F1976),"")</x:f>
      </x:c>
      <x:c r="H1976"/>
      <x:c r="I1976"/>
      <x:c r="J1976"/>
      <x:c r="K1976" t="str">
        <x:f>IF(ROW()-ROW($K$2)&lt;=SUM($J$3:$J$168),COUNTIF($H$3:$H$168,"&lt;"&amp;(ROW()-ROW($K$2))),"")</x:f>
      </x:c>
      <x:c r="L1976" t="str">
        <x:f>IF(K1976="","",ROW()-ROW($L$2)-INDEX($H$3:$H$168,K1976))</x:f>
      </x:c>
      <x:c r="M1976" t="str">
        <x:f>IF(K1976="","",IF(L1976=1,1,FIND(CHAR(1),SUBSTITUTE(INDEX($B$3:$B$168,K1976),CHAR(10),CHAR(1),L1976-1))+1))</x:f>
      </x:c>
      <x:c r="N1976" t="str">
        <x:f>IF(K1976="","",IFERROR(FIND(CHAR(1),SUBSTITUTE(INDEX($B$3:$B$168,K1976),CHAR(10),CHAR(1),L1976)),LEN(INDEX($B$3:$B$168,K1976))+1))</x:f>
      </x:c>
    </x:row>
    <x:row r="1977">
      <x:c r="A1977"/>
      <x:c r="B1977"/>
      <x:c r="C1977"/>
      <x:c r="D1977" t="str">
        <x:f>IFERROR(IF(1975&lt;=$O$1,INDEX($A$3:$A$168,MATCH(1975,$I$3:$I$168,0)),IF(1975&lt;=$O$1+$O$2,INDEX($F$3:$F$1994,MATCH(1975-$O$1,$G$3:$G$1994,0)),"")),"")</x:f>
      </x:c>
      <x:c r="E1977" t="str">
        <x:f>IF(K1977="","",IF(N1977&lt;=M1977,"",TRIM(CLEAN(MID(INDEX($B$3:$B$168,K1977),M1977,N1977-M1977)))))</x:f>
      </x:c>
      <x:c r="F1977" t="str">
        <x:f>IF(E1977="","",IF(E1977=TRIM(INDEX($A$3:$A$168,K1977)),"",IF(RIGHT(TRIM(INDEX($A$3:$A$168,K1977)),1)="]",LEFT(TRIM(INDEX($A$3:$A$168,K1977)),LEN(TRIM(INDEX($A$3:$A$168,K1977)))-1)&amp;", "&amp;SUBSTITUTE(SUBSTITUTE(SUBSTITUTE(E1977," [",", "),"[",", "),"]","")&amp;"]",TRIM(INDEX($A$3:$A$168,K1977))&amp;" ["&amp;SUBSTITUTE(SUBSTITUTE(SUBSTITUTE(E1977," [",", "),"[",", "),"]","")&amp;"]")))</x:f>
      </x:c>
      <x:c r="G1977" t="str">
        <x:f>IF(F1977&lt;&gt;"",ROWS($F$3:F1977)-COUNTBLANK($F$3:F1977),"")</x:f>
      </x:c>
      <x:c r="H1977"/>
      <x:c r="I1977"/>
      <x:c r="J1977"/>
      <x:c r="K1977" t="str">
        <x:f>IF(ROW()-ROW($K$2)&lt;=SUM($J$3:$J$168),COUNTIF($H$3:$H$168,"&lt;"&amp;(ROW()-ROW($K$2))),"")</x:f>
      </x:c>
      <x:c r="L1977" t="str">
        <x:f>IF(K1977="","",ROW()-ROW($L$2)-INDEX($H$3:$H$168,K1977))</x:f>
      </x:c>
      <x:c r="M1977" t="str">
        <x:f>IF(K1977="","",IF(L1977=1,1,FIND(CHAR(1),SUBSTITUTE(INDEX($B$3:$B$168,K1977),CHAR(10),CHAR(1),L1977-1))+1))</x:f>
      </x:c>
      <x:c r="N1977" t="str">
        <x:f>IF(K1977="","",IFERROR(FIND(CHAR(1),SUBSTITUTE(INDEX($B$3:$B$168,K1977),CHAR(10),CHAR(1),L1977)),LEN(INDEX($B$3:$B$168,K1977))+1))</x:f>
      </x:c>
    </x:row>
    <x:row r="1978">
      <x:c r="A1978"/>
      <x:c r="B1978"/>
      <x:c r="C1978"/>
      <x:c r="D1978" t="str">
        <x:f>IFERROR(IF(1976&lt;=$O$1,INDEX($A$3:$A$168,MATCH(1976,$I$3:$I$168,0)),IF(1976&lt;=$O$1+$O$2,INDEX($F$3:$F$1994,MATCH(1976-$O$1,$G$3:$G$1994,0)),"")),"")</x:f>
      </x:c>
      <x:c r="E1978" t="str">
        <x:f>IF(K1978="","",IF(N1978&lt;=M1978,"",TRIM(CLEAN(MID(INDEX($B$3:$B$168,K1978),M1978,N1978-M1978)))))</x:f>
      </x:c>
      <x:c r="F1978" t="str">
        <x:f>IF(E1978="","",IF(E1978=TRIM(INDEX($A$3:$A$168,K1978)),"",IF(RIGHT(TRIM(INDEX($A$3:$A$168,K1978)),1)="]",LEFT(TRIM(INDEX($A$3:$A$168,K1978)),LEN(TRIM(INDEX($A$3:$A$168,K1978)))-1)&amp;", "&amp;SUBSTITUTE(SUBSTITUTE(SUBSTITUTE(E1978," [",", "),"[",", "),"]","")&amp;"]",TRIM(INDEX($A$3:$A$168,K1978))&amp;" ["&amp;SUBSTITUTE(SUBSTITUTE(SUBSTITUTE(E1978," [",", "),"[",", "),"]","")&amp;"]")))</x:f>
      </x:c>
      <x:c r="G1978" t="str">
        <x:f>IF(F1978&lt;&gt;"",ROWS($F$3:F1978)-COUNTBLANK($F$3:F1978),"")</x:f>
      </x:c>
      <x:c r="H1978"/>
      <x:c r="I1978"/>
      <x:c r="J1978"/>
      <x:c r="K1978" t="str">
        <x:f>IF(ROW()-ROW($K$2)&lt;=SUM($J$3:$J$168),COUNTIF($H$3:$H$168,"&lt;"&amp;(ROW()-ROW($K$2))),"")</x:f>
      </x:c>
      <x:c r="L1978" t="str">
        <x:f>IF(K1978="","",ROW()-ROW($L$2)-INDEX($H$3:$H$168,K1978))</x:f>
      </x:c>
      <x:c r="M1978" t="str">
        <x:f>IF(K1978="","",IF(L1978=1,1,FIND(CHAR(1),SUBSTITUTE(INDEX($B$3:$B$168,K1978),CHAR(10),CHAR(1),L1978-1))+1))</x:f>
      </x:c>
      <x:c r="N1978" t="str">
        <x:f>IF(K1978="","",IFERROR(FIND(CHAR(1),SUBSTITUTE(INDEX($B$3:$B$168,K1978),CHAR(10),CHAR(1),L1978)),LEN(INDEX($B$3:$B$168,K1978))+1))</x:f>
      </x:c>
    </x:row>
    <x:row r="1979">
      <x:c r="A1979"/>
      <x:c r="B1979"/>
      <x:c r="C1979"/>
      <x:c r="D1979" t="str">
        <x:f>IFERROR(IF(1977&lt;=$O$1,INDEX($A$3:$A$168,MATCH(1977,$I$3:$I$168,0)),IF(1977&lt;=$O$1+$O$2,INDEX($F$3:$F$1994,MATCH(1977-$O$1,$G$3:$G$1994,0)),"")),"")</x:f>
      </x:c>
      <x:c r="E1979" t="str">
        <x:f>IF(K1979="","",IF(N1979&lt;=M1979,"",TRIM(CLEAN(MID(INDEX($B$3:$B$168,K1979),M1979,N1979-M1979)))))</x:f>
      </x:c>
      <x:c r="F1979" t="str">
        <x:f>IF(E1979="","",IF(E1979=TRIM(INDEX($A$3:$A$168,K1979)),"",IF(RIGHT(TRIM(INDEX($A$3:$A$168,K1979)),1)="]",LEFT(TRIM(INDEX($A$3:$A$168,K1979)),LEN(TRIM(INDEX($A$3:$A$168,K1979)))-1)&amp;", "&amp;SUBSTITUTE(SUBSTITUTE(SUBSTITUTE(E1979," [",", "),"[",", "),"]","")&amp;"]",TRIM(INDEX($A$3:$A$168,K1979))&amp;" ["&amp;SUBSTITUTE(SUBSTITUTE(SUBSTITUTE(E1979," [",", "),"[",", "),"]","")&amp;"]")))</x:f>
      </x:c>
      <x:c r="G1979" t="str">
        <x:f>IF(F1979&lt;&gt;"",ROWS($F$3:F1979)-COUNTBLANK($F$3:F1979),"")</x:f>
      </x:c>
      <x:c r="H1979"/>
      <x:c r="I1979"/>
      <x:c r="J1979"/>
      <x:c r="K1979" t="str">
        <x:f>IF(ROW()-ROW($K$2)&lt;=SUM($J$3:$J$168),COUNTIF($H$3:$H$168,"&lt;"&amp;(ROW()-ROW($K$2))),"")</x:f>
      </x:c>
      <x:c r="L1979" t="str">
        <x:f>IF(K1979="","",ROW()-ROW($L$2)-INDEX($H$3:$H$168,K1979))</x:f>
      </x:c>
      <x:c r="M1979" t="str">
        <x:f>IF(K1979="","",IF(L1979=1,1,FIND(CHAR(1),SUBSTITUTE(INDEX($B$3:$B$168,K1979),CHAR(10),CHAR(1),L1979-1))+1))</x:f>
      </x:c>
      <x:c r="N1979" t="str">
        <x:f>IF(K1979="","",IFERROR(FIND(CHAR(1),SUBSTITUTE(INDEX($B$3:$B$168,K1979),CHAR(10),CHAR(1),L1979)),LEN(INDEX($B$3:$B$168,K1979))+1))</x:f>
      </x:c>
    </x:row>
    <x:row r="1980">
      <x:c r="A1980"/>
      <x:c r="B1980"/>
      <x:c r="C1980"/>
      <x:c r="D1980" t="str">
        <x:f>IFERROR(IF(1978&lt;=$O$1,INDEX($A$3:$A$168,MATCH(1978,$I$3:$I$168,0)),IF(1978&lt;=$O$1+$O$2,INDEX($F$3:$F$1994,MATCH(1978-$O$1,$G$3:$G$1994,0)),"")),"")</x:f>
      </x:c>
      <x:c r="E1980" t="str">
        <x:f>IF(K1980="","",IF(N1980&lt;=M1980,"",TRIM(CLEAN(MID(INDEX($B$3:$B$168,K1980),M1980,N1980-M1980)))))</x:f>
      </x:c>
      <x:c r="F1980" t="str">
        <x:f>IF(E1980="","",IF(E1980=TRIM(INDEX($A$3:$A$168,K1980)),"",IF(RIGHT(TRIM(INDEX($A$3:$A$168,K1980)),1)="]",LEFT(TRIM(INDEX($A$3:$A$168,K1980)),LEN(TRIM(INDEX($A$3:$A$168,K1980)))-1)&amp;", "&amp;SUBSTITUTE(SUBSTITUTE(SUBSTITUTE(E1980," [",", "),"[",", "),"]","")&amp;"]",TRIM(INDEX($A$3:$A$168,K1980))&amp;" ["&amp;SUBSTITUTE(SUBSTITUTE(SUBSTITUTE(E1980," [",", "),"[",", "),"]","")&amp;"]")))</x:f>
      </x:c>
      <x:c r="G1980" t="str">
        <x:f>IF(F1980&lt;&gt;"",ROWS($F$3:F1980)-COUNTBLANK($F$3:F1980),"")</x:f>
      </x:c>
      <x:c r="H1980"/>
      <x:c r="I1980"/>
      <x:c r="J1980"/>
      <x:c r="K1980" t="str">
        <x:f>IF(ROW()-ROW($K$2)&lt;=SUM($J$3:$J$168),COUNTIF($H$3:$H$168,"&lt;"&amp;(ROW()-ROW($K$2))),"")</x:f>
      </x:c>
      <x:c r="L1980" t="str">
        <x:f>IF(K1980="","",ROW()-ROW($L$2)-INDEX($H$3:$H$168,K1980))</x:f>
      </x:c>
      <x:c r="M1980" t="str">
        <x:f>IF(K1980="","",IF(L1980=1,1,FIND(CHAR(1),SUBSTITUTE(INDEX($B$3:$B$168,K1980),CHAR(10),CHAR(1),L1980-1))+1))</x:f>
      </x:c>
      <x:c r="N1980" t="str">
        <x:f>IF(K1980="","",IFERROR(FIND(CHAR(1),SUBSTITUTE(INDEX($B$3:$B$168,K1980),CHAR(10),CHAR(1),L1980)),LEN(INDEX($B$3:$B$168,K1980))+1))</x:f>
      </x:c>
    </x:row>
    <x:row r="1981">
      <x:c r="A1981"/>
      <x:c r="B1981"/>
      <x:c r="C1981"/>
      <x:c r="D1981" t="str">
        <x:f>IFERROR(IF(1979&lt;=$O$1,INDEX($A$3:$A$168,MATCH(1979,$I$3:$I$168,0)),IF(1979&lt;=$O$1+$O$2,INDEX($F$3:$F$1994,MATCH(1979-$O$1,$G$3:$G$1994,0)),"")),"")</x:f>
      </x:c>
      <x:c r="E1981" t="str">
        <x:f>IF(K1981="","",IF(N1981&lt;=M1981,"",TRIM(CLEAN(MID(INDEX($B$3:$B$168,K1981),M1981,N1981-M1981)))))</x:f>
      </x:c>
      <x:c r="F1981" t="str">
        <x:f>IF(E1981="","",IF(E1981=TRIM(INDEX($A$3:$A$168,K1981)),"",IF(RIGHT(TRIM(INDEX($A$3:$A$168,K1981)),1)="]",LEFT(TRIM(INDEX($A$3:$A$168,K1981)),LEN(TRIM(INDEX($A$3:$A$168,K1981)))-1)&amp;", "&amp;SUBSTITUTE(SUBSTITUTE(SUBSTITUTE(E1981," [",", "),"[",", "),"]","")&amp;"]",TRIM(INDEX($A$3:$A$168,K1981))&amp;" ["&amp;SUBSTITUTE(SUBSTITUTE(SUBSTITUTE(E1981," [",", "),"[",", "),"]","")&amp;"]")))</x:f>
      </x:c>
      <x:c r="G1981" t="str">
        <x:f>IF(F1981&lt;&gt;"",ROWS($F$3:F1981)-COUNTBLANK($F$3:F1981),"")</x:f>
      </x:c>
      <x:c r="H1981"/>
      <x:c r="I1981"/>
      <x:c r="J1981"/>
      <x:c r="K1981" t="str">
        <x:f>IF(ROW()-ROW($K$2)&lt;=SUM($J$3:$J$168),COUNTIF($H$3:$H$168,"&lt;"&amp;(ROW()-ROW($K$2))),"")</x:f>
      </x:c>
      <x:c r="L1981" t="str">
        <x:f>IF(K1981="","",ROW()-ROW($L$2)-INDEX($H$3:$H$168,K1981))</x:f>
      </x:c>
      <x:c r="M1981" t="str">
        <x:f>IF(K1981="","",IF(L1981=1,1,FIND(CHAR(1),SUBSTITUTE(INDEX($B$3:$B$168,K1981),CHAR(10),CHAR(1),L1981-1))+1))</x:f>
      </x:c>
      <x:c r="N1981" t="str">
        <x:f>IF(K1981="","",IFERROR(FIND(CHAR(1),SUBSTITUTE(INDEX($B$3:$B$168,K1981),CHAR(10),CHAR(1),L1981)),LEN(INDEX($B$3:$B$168,K1981))+1))</x:f>
      </x:c>
    </x:row>
    <x:row r="1982">
      <x:c r="A1982"/>
      <x:c r="B1982"/>
      <x:c r="C1982"/>
      <x:c r="D1982" t="str">
        <x:f>IFERROR(IF(1980&lt;=$O$1,INDEX($A$3:$A$168,MATCH(1980,$I$3:$I$168,0)),IF(1980&lt;=$O$1+$O$2,INDEX($F$3:$F$1994,MATCH(1980-$O$1,$G$3:$G$1994,0)),"")),"")</x:f>
      </x:c>
      <x:c r="E1982" t="str">
        <x:f>IF(K1982="","",IF(N1982&lt;=M1982,"",TRIM(CLEAN(MID(INDEX($B$3:$B$168,K1982),M1982,N1982-M1982)))))</x:f>
      </x:c>
      <x:c r="F1982" t="str">
        <x:f>IF(E1982="","",IF(E1982=TRIM(INDEX($A$3:$A$168,K1982)),"",IF(RIGHT(TRIM(INDEX($A$3:$A$168,K1982)),1)="]",LEFT(TRIM(INDEX($A$3:$A$168,K1982)),LEN(TRIM(INDEX($A$3:$A$168,K1982)))-1)&amp;", "&amp;SUBSTITUTE(SUBSTITUTE(SUBSTITUTE(E1982," [",", "),"[",", "),"]","")&amp;"]",TRIM(INDEX($A$3:$A$168,K1982))&amp;" ["&amp;SUBSTITUTE(SUBSTITUTE(SUBSTITUTE(E1982," [",", "),"[",", "),"]","")&amp;"]")))</x:f>
      </x:c>
      <x:c r="G1982" t="str">
        <x:f>IF(F1982&lt;&gt;"",ROWS($F$3:F1982)-COUNTBLANK($F$3:F1982),"")</x:f>
      </x:c>
      <x:c r="H1982"/>
      <x:c r="I1982"/>
      <x:c r="J1982"/>
      <x:c r="K1982" t="str">
        <x:f>IF(ROW()-ROW($K$2)&lt;=SUM($J$3:$J$168),COUNTIF($H$3:$H$168,"&lt;"&amp;(ROW()-ROW($K$2))),"")</x:f>
      </x:c>
      <x:c r="L1982" t="str">
        <x:f>IF(K1982="","",ROW()-ROW($L$2)-INDEX($H$3:$H$168,K1982))</x:f>
      </x:c>
      <x:c r="M1982" t="str">
        <x:f>IF(K1982="","",IF(L1982=1,1,FIND(CHAR(1),SUBSTITUTE(INDEX($B$3:$B$168,K1982),CHAR(10),CHAR(1),L1982-1))+1))</x:f>
      </x:c>
      <x:c r="N1982" t="str">
        <x:f>IF(K1982="","",IFERROR(FIND(CHAR(1),SUBSTITUTE(INDEX($B$3:$B$168,K1982),CHAR(10),CHAR(1),L1982)),LEN(INDEX($B$3:$B$168,K1982))+1))</x:f>
      </x:c>
    </x:row>
    <x:row r="1983">
      <x:c r="A1983"/>
      <x:c r="B1983"/>
      <x:c r="C1983"/>
      <x:c r="D1983" t="str">
        <x:f>IFERROR(IF(1981&lt;=$O$1,INDEX($A$3:$A$168,MATCH(1981,$I$3:$I$168,0)),IF(1981&lt;=$O$1+$O$2,INDEX($F$3:$F$1994,MATCH(1981-$O$1,$G$3:$G$1994,0)),"")),"")</x:f>
      </x:c>
      <x:c r="E1983" t="str">
        <x:f>IF(K1983="","",IF(N1983&lt;=M1983,"",TRIM(CLEAN(MID(INDEX($B$3:$B$168,K1983),M1983,N1983-M1983)))))</x:f>
      </x:c>
      <x:c r="F1983" t="str">
        <x:f>IF(E1983="","",IF(E1983=TRIM(INDEX($A$3:$A$168,K1983)),"",IF(RIGHT(TRIM(INDEX($A$3:$A$168,K1983)),1)="]",LEFT(TRIM(INDEX($A$3:$A$168,K1983)),LEN(TRIM(INDEX($A$3:$A$168,K1983)))-1)&amp;", "&amp;SUBSTITUTE(SUBSTITUTE(SUBSTITUTE(E1983," [",", "),"[",", "),"]","")&amp;"]",TRIM(INDEX($A$3:$A$168,K1983))&amp;" ["&amp;SUBSTITUTE(SUBSTITUTE(SUBSTITUTE(E1983," [",", "),"[",", "),"]","")&amp;"]")))</x:f>
      </x:c>
      <x:c r="G1983" t="str">
        <x:f>IF(F1983&lt;&gt;"",ROWS($F$3:F1983)-COUNTBLANK($F$3:F1983),"")</x:f>
      </x:c>
      <x:c r="H1983"/>
      <x:c r="I1983"/>
      <x:c r="J1983"/>
      <x:c r="K1983" t="str">
        <x:f>IF(ROW()-ROW($K$2)&lt;=SUM($J$3:$J$168),COUNTIF($H$3:$H$168,"&lt;"&amp;(ROW()-ROW($K$2))),"")</x:f>
      </x:c>
      <x:c r="L1983" t="str">
        <x:f>IF(K1983="","",ROW()-ROW($L$2)-INDEX($H$3:$H$168,K1983))</x:f>
      </x:c>
      <x:c r="M1983" t="str">
        <x:f>IF(K1983="","",IF(L1983=1,1,FIND(CHAR(1),SUBSTITUTE(INDEX($B$3:$B$168,K1983),CHAR(10),CHAR(1),L1983-1))+1))</x:f>
      </x:c>
      <x:c r="N1983" t="str">
        <x:f>IF(K1983="","",IFERROR(FIND(CHAR(1),SUBSTITUTE(INDEX($B$3:$B$168,K1983),CHAR(10),CHAR(1),L1983)),LEN(INDEX($B$3:$B$168,K1983))+1))</x:f>
      </x:c>
    </x:row>
    <x:row r="1984">
      <x:c r="A1984"/>
      <x:c r="B1984"/>
      <x:c r="C1984"/>
      <x:c r="D1984" t="str">
        <x:f>IFERROR(IF(1982&lt;=$O$1,INDEX($A$3:$A$168,MATCH(1982,$I$3:$I$168,0)),IF(1982&lt;=$O$1+$O$2,INDEX($F$3:$F$1994,MATCH(1982-$O$1,$G$3:$G$1994,0)),"")),"")</x:f>
      </x:c>
      <x:c r="E1984" t="str">
        <x:f>IF(K1984="","",IF(N1984&lt;=M1984,"",TRIM(CLEAN(MID(INDEX($B$3:$B$168,K1984),M1984,N1984-M1984)))))</x:f>
      </x:c>
      <x:c r="F1984" t="str">
        <x:f>IF(E1984="","",IF(E1984=TRIM(INDEX($A$3:$A$168,K1984)),"",IF(RIGHT(TRIM(INDEX($A$3:$A$168,K1984)),1)="]",LEFT(TRIM(INDEX($A$3:$A$168,K1984)),LEN(TRIM(INDEX($A$3:$A$168,K1984)))-1)&amp;", "&amp;SUBSTITUTE(SUBSTITUTE(SUBSTITUTE(E1984," [",", "),"[",", "),"]","")&amp;"]",TRIM(INDEX($A$3:$A$168,K1984))&amp;" ["&amp;SUBSTITUTE(SUBSTITUTE(SUBSTITUTE(E1984," [",", "),"[",", "),"]","")&amp;"]")))</x:f>
      </x:c>
      <x:c r="G1984" t="str">
        <x:f>IF(F1984&lt;&gt;"",ROWS($F$3:F1984)-COUNTBLANK($F$3:F1984),"")</x:f>
      </x:c>
      <x:c r="H1984"/>
      <x:c r="I1984"/>
      <x:c r="J1984"/>
      <x:c r="K1984" t="str">
        <x:f>IF(ROW()-ROW($K$2)&lt;=SUM($J$3:$J$168),COUNTIF($H$3:$H$168,"&lt;"&amp;(ROW()-ROW($K$2))),"")</x:f>
      </x:c>
      <x:c r="L1984" t="str">
        <x:f>IF(K1984="","",ROW()-ROW($L$2)-INDEX($H$3:$H$168,K1984))</x:f>
      </x:c>
      <x:c r="M1984" t="str">
        <x:f>IF(K1984="","",IF(L1984=1,1,FIND(CHAR(1),SUBSTITUTE(INDEX($B$3:$B$168,K1984),CHAR(10),CHAR(1),L1984-1))+1))</x:f>
      </x:c>
      <x:c r="N1984" t="str">
        <x:f>IF(K1984="","",IFERROR(FIND(CHAR(1),SUBSTITUTE(INDEX($B$3:$B$168,K1984),CHAR(10),CHAR(1),L1984)),LEN(INDEX($B$3:$B$168,K1984))+1))</x:f>
      </x:c>
    </x:row>
    <x:row r="1985">
      <x:c r="A1985"/>
      <x:c r="B1985"/>
      <x:c r="C1985"/>
      <x:c r="D1985" t="str">
        <x:f>IFERROR(IF(1983&lt;=$O$1,INDEX($A$3:$A$168,MATCH(1983,$I$3:$I$168,0)),IF(1983&lt;=$O$1+$O$2,INDEX($F$3:$F$1994,MATCH(1983-$O$1,$G$3:$G$1994,0)),"")),"")</x:f>
      </x:c>
      <x:c r="E1985" t="str">
        <x:f>IF(K1985="","",IF(N1985&lt;=M1985,"",TRIM(CLEAN(MID(INDEX($B$3:$B$168,K1985),M1985,N1985-M1985)))))</x:f>
      </x:c>
      <x:c r="F1985" t="str">
        <x:f>IF(E1985="","",IF(E1985=TRIM(INDEX($A$3:$A$168,K1985)),"",IF(RIGHT(TRIM(INDEX($A$3:$A$168,K1985)),1)="]",LEFT(TRIM(INDEX($A$3:$A$168,K1985)),LEN(TRIM(INDEX($A$3:$A$168,K1985)))-1)&amp;", "&amp;SUBSTITUTE(SUBSTITUTE(SUBSTITUTE(E1985," [",", "),"[",", "),"]","")&amp;"]",TRIM(INDEX($A$3:$A$168,K1985))&amp;" ["&amp;SUBSTITUTE(SUBSTITUTE(SUBSTITUTE(E1985," [",", "),"[",", "),"]","")&amp;"]")))</x:f>
      </x:c>
      <x:c r="G1985" t="str">
        <x:f>IF(F1985&lt;&gt;"",ROWS($F$3:F1985)-COUNTBLANK($F$3:F1985),"")</x:f>
      </x:c>
      <x:c r="H1985"/>
      <x:c r="I1985"/>
      <x:c r="J1985"/>
      <x:c r="K1985" t="str">
        <x:f>IF(ROW()-ROW($K$2)&lt;=SUM($J$3:$J$168),COUNTIF($H$3:$H$168,"&lt;"&amp;(ROW()-ROW($K$2))),"")</x:f>
      </x:c>
      <x:c r="L1985" t="str">
        <x:f>IF(K1985="","",ROW()-ROW($L$2)-INDEX($H$3:$H$168,K1985))</x:f>
      </x:c>
      <x:c r="M1985" t="str">
        <x:f>IF(K1985="","",IF(L1985=1,1,FIND(CHAR(1),SUBSTITUTE(INDEX($B$3:$B$168,K1985),CHAR(10),CHAR(1),L1985-1))+1))</x:f>
      </x:c>
      <x:c r="N1985" t="str">
        <x:f>IF(K1985="","",IFERROR(FIND(CHAR(1),SUBSTITUTE(INDEX($B$3:$B$168,K1985),CHAR(10),CHAR(1),L1985)),LEN(INDEX($B$3:$B$168,K1985))+1))</x:f>
      </x:c>
    </x:row>
    <x:row r="1986">
      <x:c r="A1986"/>
      <x:c r="B1986"/>
      <x:c r="C1986"/>
      <x:c r="D1986" t="str">
        <x:f>IFERROR(IF(1984&lt;=$O$1,INDEX($A$3:$A$168,MATCH(1984,$I$3:$I$168,0)),IF(1984&lt;=$O$1+$O$2,INDEX($F$3:$F$1994,MATCH(1984-$O$1,$G$3:$G$1994,0)),"")),"")</x:f>
      </x:c>
      <x:c r="E1986" t="str">
        <x:f>IF(K1986="","",IF(N1986&lt;=M1986,"",TRIM(CLEAN(MID(INDEX($B$3:$B$168,K1986),M1986,N1986-M1986)))))</x:f>
      </x:c>
      <x:c r="F1986" t="str">
        <x:f>IF(E1986="","",IF(E1986=TRIM(INDEX($A$3:$A$168,K1986)),"",IF(RIGHT(TRIM(INDEX($A$3:$A$168,K1986)),1)="]",LEFT(TRIM(INDEX($A$3:$A$168,K1986)),LEN(TRIM(INDEX($A$3:$A$168,K1986)))-1)&amp;", "&amp;SUBSTITUTE(SUBSTITUTE(SUBSTITUTE(E1986," [",", "),"[",", "),"]","")&amp;"]",TRIM(INDEX($A$3:$A$168,K1986))&amp;" ["&amp;SUBSTITUTE(SUBSTITUTE(SUBSTITUTE(E1986," [",", "),"[",", "),"]","")&amp;"]")))</x:f>
      </x:c>
      <x:c r="G1986" t="str">
        <x:f>IF(F1986&lt;&gt;"",ROWS($F$3:F1986)-COUNTBLANK($F$3:F1986),"")</x:f>
      </x:c>
      <x:c r="H1986"/>
      <x:c r="I1986"/>
      <x:c r="J1986"/>
      <x:c r="K1986" t="str">
        <x:f>IF(ROW()-ROW($K$2)&lt;=SUM($J$3:$J$168),COUNTIF($H$3:$H$168,"&lt;"&amp;(ROW()-ROW($K$2))),"")</x:f>
      </x:c>
      <x:c r="L1986" t="str">
        <x:f>IF(K1986="","",ROW()-ROW($L$2)-INDEX($H$3:$H$168,K1986))</x:f>
      </x:c>
      <x:c r="M1986" t="str">
        <x:f>IF(K1986="","",IF(L1986=1,1,FIND(CHAR(1),SUBSTITUTE(INDEX($B$3:$B$168,K1986),CHAR(10),CHAR(1),L1986-1))+1))</x:f>
      </x:c>
      <x:c r="N1986" t="str">
        <x:f>IF(K1986="","",IFERROR(FIND(CHAR(1),SUBSTITUTE(INDEX($B$3:$B$168,K1986),CHAR(10),CHAR(1),L1986)),LEN(INDEX($B$3:$B$168,K1986))+1))</x:f>
      </x:c>
    </x:row>
    <x:row r="1987">
      <x:c r="A1987"/>
      <x:c r="B1987"/>
      <x:c r="C1987"/>
      <x:c r="D1987" t="str">
        <x:f>IFERROR(IF(1985&lt;=$O$1,INDEX($A$3:$A$168,MATCH(1985,$I$3:$I$168,0)),IF(1985&lt;=$O$1+$O$2,INDEX($F$3:$F$1994,MATCH(1985-$O$1,$G$3:$G$1994,0)),"")),"")</x:f>
      </x:c>
      <x:c r="E1987" t="str">
        <x:f>IF(K1987="","",IF(N1987&lt;=M1987,"",TRIM(CLEAN(MID(INDEX($B$3:$B$168,K1987),M1987,N1987-M1987)))))</x:f>
      </x:c>
      <x:c r="F1987" t="str">
        <x:f>IF(E1987="","",IF(E1987=TRIM(INDEX($A$3:$A$168,K1987)),"",IF(RIGHT(TRIM(INDEX($A$3:$A$168,K1987)),1)="]",LEFT(TRIM(INDEX($A$3:$A$168,K1987)),LEN(TRIM(INDEX($A$3:$A$168,K1987)))-1)&amp;", "&amp;SUBSTITUTE(SUBSTITUTE(SUBSTITUTE(E1987," [",", "),"[",", "),"]","")&amp;"]",TRIM(INDEX($A$3:$A$168,K1987))&amp;" ["&amp;SUBSTITUTE(SUBSTITUTE(SUBSTITUTE(E1987," [",", "),"[",", "),"]","")&amp;"]")))</x:f>
      </x:c>
      <x:c r="G1987" t="str">
        <x:f>IF(F1987&lt;&gt;"",ROWS($F$3:F1987)-COUNTBLANK($F$3:F1987),"")</x:f>
      </x:c>
      <x:c r="H1987"/>
      <x:c r="I1987"/>
      <x:c r="J1987"/>
      <x:c r="K1987" t="str">
        <x:f>IF(ROW()-ROW($K$2)&lt;=SUM($J$3:$J$168),COUNTIF($H$3:$H$168,"&lt;"&amp;(ROW()-ROW($K$2))),"")</x:f>
      </x:c>
      <x:c r="L1987" t="str">
        <x:f>IF(K1987="","",ROW()-ROW($L$2)-INDEX($H$3:$H$168,K1987))</x:f>
      </x:c>
      <x:c r="M1987" t="str">
        <x:f>IF(K1987="","",IF(L1987=1,1,FIND(CHAR(1),SUBSTITUTE(INDEX($B$3:$B$168,K1987),CHAR(10),CHAR(1),L1987-1))+1))</x:f>
      </x:c>
      <x:c r="N1987" t="str">
        <x:f>IF(K1987="","",IFERROR(FIND(CHAR(1),SUBSTITUTE(INDEX($B$3:$B$168,K1987),CHAR(10),CHAR(1),L1987)),LEN(INDEX($B$3:$B$168,K1987))+1))</x:f>
      </x:c>
    </x:row>
    <x:row r="1988">
      <x:c r="A1988"/>
      <x:c r="B1988"/>
      <x:c r="C1988"/>
      <x:c r="D1988" t="str">
        <x:f>IFERROR(IF(1986&lt;=$O$1,INDEX($A$3:$A$168,MATCH(1986,$I$3:$I$168,0)),IF(1986&lt;=$O$1+$O$2,INDEX($F$3:$F$1994,MATCH(1986-$O$1,$G$3:$G$1994,0)),"")),"")</x:f>
      </x:c>
      <x:c r="E1988" t="str">
        <x:f>IF(K1988="","",IF(N1988&lt;=M1988,"",TRIM(CLEAN(MID(INDEX($B$3:$B$168,K1988),M1988,N1988-M1988)))))</x:f>
      </x:c>
      <x:c r="F1988" t="str">
        <x:f>IF(E1988="","",IF(E1988=TRIM(INDEX($A$3:$A$168,K1988)),"",IF(RIGHT(TRIM(INDEX($A$3:$A$168,K1988)),1)="]",LEFT(TRIM(INDEX($A$3:$A$168,K1988)),LEN(TRIM(INDEX($A$3:$A$168,K1988)))-1)&amp;", "&amp;SUBSTITUTE(SUBSTITUTE(SUBSTITUTE(E1988," [",", "),"[",", "),"]","")&amp;"]",TRIM(INDEX($A$3:$A$168,K1988))&amp;" ["&amp;SUBSTITUTE(SUBSTITUTE(SUBSTITUTE(E1988," [",", "),"[",", "),"]","")&amp;"]")))</x:f>
      </x:c>
      <x:c r="G1988" t="str">
        <x:f>IF(F1988&lt;&gt;"",ROWS($F$3:F1988)-COUNTBLANK($F$3:F1988),"")</x:f>
      </x:c>
      <x:c r="H1988"/>
      <x:c r="I1988"/>
      <x:c r="J1988"/>
      <x:c r="K1988" t="str">
        <x:f>IF(ROW()-ROW($K$2)&lt;=SUM($J$3:$J$168),COUNTIF($H$3:$H$168,"&lt;"&amp;(ROW()-ROW($K$2))),"")</x:f>
      </x:c>
      <x:c r="L1988" t="str">
        <x:f>IF(K1988="","",ROW()-ROW($L$2)-INDEX($H$3:$H$168,K1988))</x:f>
      </x:c>
      <x:c r="M1988" t="str">
        <x:f>IF(K1988="","",IF(L1988=1,1,FIND(CHAR(1),SUBSTITUTE(INDEX($B$3:$B$168,K1988),CHAR(10),CHAR(1),L1988-1))+1))</x:f>
      </x:c>
      <x:c r="N1988" t="str">
        <x:f>IF(K1988="","",IFERROR(FIND(CHAR(1),SUBSTITUTE(INDEX($B$3:$B$168,K1988),CHAR(10),CHAR(1),L1988)),LEN(INDEX($B$3:$B$168,K1988))+1))</x:f>
      </x:c>
    </x:row>
    <x:row r="1989">
      <x:c r="A1989"/>
      <x:c r="B1989"/>
      <x:c r="C1989"/>
      <x:c r="D1989" t="str">
        <x:f>IFERROR(IF(1987&lt;=$O$1,INDEX($A$3:$A$168,MATCH(1987,$I$3:$I$168,0)),IF(1987&lt;=$O$1+$O$2,INDEX($F$3:$F$1994,MATCH(1987-$O$1,$G$3:$G$1994,0)),"")),"")</x:f>
      </x:c>
      <x:c r="E1989" t="str">
        <x:f>IF(K1989="","",IF(N1989&lt;=M1989,"",TRIM(CLEAN(MID(INDEX($B$3:$B$168,K1989),M1989,N1989-M1989)))))</x:f>
      </x:c>
      <x:c r="F1989" t="str">
        <x:f>IF(E1989="","",IF(E1989=TRIM(INDEX($A$3:$A$168,K1989)),"",IF(RIGHT(TRIM(INDEX($A$3:$A$168,K1989)),1)="]",LEFT(TRIM(INDEX($A$3:$A$168,K1989)),LEN(TRIM(INDEX($A$3:$A$168,K1989)))-1)&amp;", "&amp;SUBSTITUTE(SUBSTITUTE(SUBSTITUTE(E1989," [",", "),"[",", "),"]","")&amp;"]",TRIM(INDEX($A$3:$A$168,K1989))&amp;" ["&amp;SUBSTITUTE(SUBSTITUTE(SUBSTITUTE(E1989," [",", "),"[",", "),"]","")&amp;"]")))</x:f>
      </x:c>
      <x:c r="G1989" t="str">
        <x:f>IF(F1989&lt;&gt;"",ROWS($F$3:F1989)-COUNTBLANK($F$3:F1989),"")</x:f>
      </x:c>
      <x:c r="H1989"/>
      <x:c r="I1989"/>
      <x:c r="J1989"/>
      <x:c r="K1989" t="str">
        <x:f>IF(ROW()-ROW($K$2)&lt;=SUM($J$3:$J$168),COUNTIF($H$3:$H$168,"&lt;"&amp;(ROW()-ROW($K$2))),"")</x:f>
      </x:c>
      <x:c r="L1989" t="str">
        <x:f>IF(K1989="","",ROW()-ROW($L$2)-INDEX($H$3:$H$168,K1989))</x:f>
      </x:c>
      <x:c r="M1989" t="str">
        <x:f>IF(K1989="","",IF(L1989=1,1,FIND(CHAR(1),SUBSTITUTE(INDEX($B$3:$B$168,K1989),CHAR(10),CHAR(1),L1989-1))+1))</x:f>
      </x:c>
      <x:c r="N1989" t="str">
        <x:f>IF(K1989="","",IFERROR(FIND(CHAR(1),SUBSTITUTE(INDEX($B$3:$B$168,K1989),CHAR(10),CHAR(1),L1989)),LEN(INDEX($B$3:$B$168,K1989))+1))</x:f>
      </x:c>
    </x:row>
    <x:row r="1990">
      <x:c r="A1990"/>
      <x:c r="B1990"/>
      <x:c r="C1990"/>
      <x:c r="D1990" t="str">
        <x:f>IFERROR(IF(1988&lt;=$O$1,INDEX($A$3:$A$168,MATCH(1988,$I$3:$I$168,0)),IF(1988&lt;=$O$1+$O$2,INDEX($F$3:$F$1994,MATCH(1988-$O$1,$G$3:$G$1994,0)),"")),"")</x:f>
      </x:c>
      <x:c r="E1990" t="str">
        <x:f>IF(K1990="","",IF(N1990&lt;=M1990,"",TRIM(CLEAN(MID(INDEX($B$3:$B$168,K1990),M1990,N1990-M1990)))))</x:f>
      </x:c>
      <x:c r="F1990" t="str">
        <x:f>IF(E1990="","",IF(E1990=TRIM(INDEX($A$3:$A$168,K1990)),"",IF(RIGHT(TRIM(INDEX($A$3:$A$168,K1990)),1)="]",LEFT(TRIM(INDEX($A$3:$A$168,K1990)),LEN(TRIM(INDEX($A$3:$A$168,K1990)))-1)&amp;", "&amp;SUBSTITUTE(SUBSTITUTE(SUBSTITUTE(E1990," [",", "),"[",", "),"]","")&amp;"]",TRIM(INDEX($A$3:$A$168,K1990))&amp;" ["&amp;SUBSTITUTE(SUBSTITUTE(SUBSTITUTE(E1990," [",", "),"[",", "),"]","")&amp;"]")))</x:f>
      </x:c>
      <x:c r="G1990" t="str">
        <x:f>IF(F1990&lt;&gt;"",ROWS($F$3:F1990)-COUNTBLANK($F$3:F1990),"")</x:f>
      </x:c>
      <x:c r="H1990"/>
      <x:c r="I1990"/>
      <x:c r="J1990"/>
      <x:c r="K1990" t="str">
        <x:f>IF(ROW()-ROW($K$2)&lt;=SUM($J$3:$J$168),COUNTIF($H$3:$H$168,"&lt;"&amp;(ROW()-ROW($K$2))),"")</x:f>
      </x:c>
      <x:c r="L1990" t="str">
        <x:f>IF(K1990="","",ROW()-ROW($L$2)-INDEX($H$3:$H$168,K1990))</x:f>
      </x:c>
      <x:c r="M1990" t="str">
        <x:f>IF(K1990="","",IF(L1990=1,1,FIND(CHAR(1),SUBSTITUTE(INDEX($B$3:$B$168,K1990),CHAR(10),CHAR(1),L1990-1))+1))</x:f>
      </x:c>
      <x:c r="N1990" t="str">
        <x:f>IF(K1990="","",IFERROR(FIND(CHAR(1),SUBSTITUTE(INDEX($B$3:$B$168,K1990),CHAR(10),CHAR(1),L1990)),LEN(INDEX($B$3:$B$168,K1990))+1))</x:f>
      </x:c>
    </x:row>
    <x:row r="1991">
      <x:c r="A1991"/>
      <x:c r="B1991"/>
      <x:c r="C1991"/>
      <x:c r="D1991" t="str">
        <x:f>IFERROR(IF(1989&lt;=$O$1,INDEX($A$3:$A$168,MATCH(1989,$I$3:$I$168,0)),IF(1989&lt;=$O$1+$O$2,INDEX($F$3:$F$1994,MATCH(1989-$O$1,$G$3:$G$1994,0)),"")),"")</x:f>
      </x:c>
      <x:c r="E1991" t="str">
        <x:f>IF(K1991="","",IF(N1991&lt;=M1991,"",TRIM(CLEAN(MID(INDEX($B$3:$B$168,K1991),M1991,N1991-M1991)))))</x:f>
      </x:c>
      <x:c r="F1991" t="str">
        <x:f>IF(E1991="","",IF(E1991=TRIM(INDEX($A$3:$A$168,K1991)),"",IF(RIGHT(TRIM(INDEX($A$3:$A$168,K1991)),1)="]",LEFT(TRIM(INDEX($A$3:$A$168,K1991)),LEN(TRIM(INDEX($A$3:$A$168,K1991)))-1)&amp;", "&amp;SUBSTITUTE(SUBSTITUTE(SUBSTITUTE(E1991," [",", "),"[",", "),"]","")&amp;"]",TRIM(INDEX($A$3:$A$168,K1991))&amp;" ["&amp;SUBSTITUTE(SUBSTITUTE(SUBSTITUTE(E1991," [",", "),"[",", "),"]","")&amp;"]")))</x:f>
      </x:c>
      <x:c r="G1991" t="str">
        <x:f>IF(F1991&lt;&gt;"",ROWS($F$3:F1991)-COUNTBLANK($F$3:F1991),"")</x:f>
      </x:c>
      <x:c r="H1991"/>
      <x:c r="I1991"/>
      <x:c r="J1991"/>
      <x:c r="K1991" t="str">
        <x:f>IF(ROW()-ROW($K$2)&lt;=SUM($J$3:$J$168),COUNTIF($H$3:$H$168,"&lt;"&amp;(ROW()-ROW($K$2))),"")</x:f>
      </x:c>
      <x:c r="L1991" t="str">
        <x:f>IF(K1991="","",ROW()-ROW($L$2)-INDEX($H$3:$H$168,K1991))</x:f>
      </x:c>
      <x:c r="M1991" t="str">
        <x:f>IF(K1991="","",IF(L1991=1,1,FIND(CHAR(1),SUBSTITUTE(INDEX($B$3:$B$168,K1991),CHAR(10),CHAR(1),L1991-1))+1))</x:f>
      </x:c>
      <x:c r="N1991" t="str">
        <x:f>IF(K1991="","",IFERROR(FIND(CHAR(1),SUBSTITUTE(INDEX($B$3:$B$168,K1991),CHAR(10),CHAR(1),L1991)),LEN(INDEX($B$3:$B$168,K1991))+1))</x:f>
      </x:c>
    </x:row>
    <x:row r="1992">
      <x:c r="A1992"/>
      <x:c r="B1992"/>
      <x:c r="C1992"/>
      <x:c r="D1992" t="str">
        <x:f>IFERROR(IF(1990&lt;=$O$1,INDEX($A$3:$A$168,MATCH(1990,$I$3:$I$168,0)),IF(1990&lt;=$O$1+$O$2,INDEX($F$3:$F$1994,MATCH(1990-$O$1,$G$3:$G$1994,0)),"")),"")</x:f>
      </x:c>
      <x:c r="E1992" t="str">
        <x:f>IF(K1992="","",IF(N1992&lt;=M1992,"",TRIM(CLEAN(MID(INDEX($B$3:$B$168,K1992),M1992,N1992-M1992)))))</x:f>
      </x:c>
      <x:c r="F1992" t="str">
        <x:f>IF(E1992="","",IF(E1992=TRIM(INDEX($A$3:$A$168,K1992)),"",IF(RIGHT(TRIM(INDEX($A$3:$A$168,K1992)),1)="]",LEFT(TRIM(INDEX($A$3:$A$168,K1992)),LEN(TRIM(INDEX($A$3:$A$168,K1992)))-1)&amp;", "&amp;SUBSTITUTE(SUBSTITUTE(SUBSTITUTE(E1992," [",", "),"[",", "),"]","")&amp;"]",TRIM(INDEX($A$3:$A$168,K1992))&amp;" ["&amp;SUBSTITUTE(SUBSTITUTE(SUBSTITUTE(E1992," [",", "),"[",", "),"]","")&amp;"]")))</x:f>
      </x:c>
      <x:c r="G1992" t="str">
        <x:f>IF(F1992&lt;&gt;"",ROWS($F$3:F1992)-COUNTBLANK($F$3:F1992),"")</x:f>
      </x:c>
      <x:c r="H1992"/>
      <x:c r="I1992"/>
      <x:c r="J1992"/>
      <x:c r="K1992" t="str">
        <x:f>IF(ROW()-ROW($K$2)&lt;=SUM($J$3:$J$168),COUNTIF($H$3:$H$168,"&lt;"&amp;(ROW()-ROW($K$2))),"")</x:f>
      </x:c>
      <x:c r="L1992" t="str">
        <x:f>IF(K1992="","",ROW()-ROW($L$2)-INDEX($H$3:$H$168,K1992))</x:f>
      </x:c>
      <x:c r="M1992" t="str">
        <x:f>IF(K1992="","",IF(L1992=1,1,FIND(CHAR(1),SUBSTITUTE(INDEX($B$3:$B$168,K1992),CHAR(10),CHAR(1),L1992-1))+1))</x:f>
      </x:c>
      <x:c r="N1992" t="str">
        <x:f>IF(K1992="","",IFERROR(FIND(CHAR(1),SUBSTITUTE(INDEX($B$3:$B$168,K1992),CHAR(10),CHAR(1),L1992)),LEN(INDEX($B$3:$B$168,K1992))+1))</x:f>
      </x:c>
    </x:row>
    <x:row r="1993">
      <x:c r="A1993"/>
      <x:c r="B1993"/>
      <x:c r="C1993"/>
      <x:c r="D1993" t="str">
        <x:f>IFERROR(IF(1991&lt;=$O$1,INDEX($A$3:$A$168,MATCH(1991,$I$3:$I$168,0)),IF(1991&lt;=$O$1+$O$2,INDEX($F$3:$F$1994,MATCH(1991-$O$1,$G$3:$G$1994,0)),"")),"")</x:f>
      </x:c>
      <x:c r="E1993" t="str">
        <x:f>IF(K1993="","",IF(N1993&lt;=M1993,"",TRIM(CLEAN(MID(INDEX($B$3:$B$168,K1993),M1993,N1993-M1993)))))</x:f>
      </x:c>
      <x:c r="F1993" t="str">
        <x:f>IF(E1993="","",IF(E1993=TRIM(INDEX($A$3:$A$168,K1993)),"",IF(RIGHT(TRIM(INDEX($A$3:$A$168,K1993)),1)="]",LEFT(TRIM(INDEX($A$3:$A$168,K1993)),LEN(TRIM(INDEX($A$3:$A$168,K1993)))-1)&amp;", "&amp;SUBSTITUTE(SUBSTITUTE(SUBSTITUTE(E1993," [",", "),"[",", "),"]","")&amp;"]",TRIM(INDEX($A$3:$A$168,K1993))&amp;" ["&amp;SUBSTITUTE(SUBSTITUTE(SUBSTITUTE(E1993," [",", "),"[",", "),"]","")&amp;"]")))</x:f>
      </x:c>
      <x:c r="G1993" t="str">
        <x:f>IF(F1993&lt;&gt;"",ROWS($F$3:F1993)-COUNTBLANK($F$3:F1993),"")</x:f>
      </x:c>
      <x:c r="H1993"/>
      <x:c r="I1993"/>
      <x:c r="J1993"/>
      <x:c r="K1993" t="str">
        <x:f>IF(ROW()-ROW($K$2)&lt;=SUM($J$3:$J$168),COUNTIF($H$3:$H$168,"&lt;"&amp;(ROW()-ROW($K$2))),"")</x:f>
      </x:c>
      <x:c r="L1993" t="str">
        <x:f>IF(K1993="","",ROW()-ROW($L$2)-INDEX($H$3:$H$168,K1993))</x:f>
      </x:c>
      <x:c r="M1993" t="str">
        <x:f>IF(K1993="","",IF(L1993=1,1,FIND(CHAR(1),SUBSTITUTE(INDEX($B$3:$B$168,K1993),CHAR(10),CHAR(1),L1993-1))+1))</x:f>
      </x:c>
      <x:c r="N1993" t="str">
        <x:f>IF(K1993="","",IFERROR(FIND(CHAR(1),SUBSTITUTE(INDEX($B$3:$B$168,K1993),CHAR(10),CHAR(1),L1993)),LEN(INDEX($B$3:$B$168,K1993))+1))</x:f>
      </x:c>
    </x:row>
    <x:row r="1994">
      <x:c r="A1994"/>
      <x:c r="B1994"/>
      <x:c r="C1994"/>
      <x:c r="D1994" t="str">
        <x:f>IFERROR(IF(1992&lt;=$O$1,INDEX($A$3:$A$168,MATCH(1992,$I$3:$I$168,0)),IF(1992&lt;=$O$1+$O$2,INDEX($F$3:$F$1994,MATCH(1992-$O$1,$G$3:$G$1994,0)),"")),"")</x:f>
      </x:c>
      <x:c r="E1994" t="str">
        <x:f>IF(K1994="","",IF(N1994&lt;=M1994,"",TRIM(CLEAN(MID(INDEX($B$3:$B$168,K1994),M1994,N1994-M1994)))))</x:f>
      </x:c>
      <x:c r="F1994" t="str">
        <x:f>IF(E1994="","",IF(E1994=TRIM(INDEX($A$3:$A$168,K1994)),"",IF(RIGHT(TRIM(INDEX($A$3:$A$168,K1994)),1)="]",LEFT(TRIM(INDEX($A$3:$A$168,K1994)),LEN(TRIM(INDEX($A$3:$A$168,K1994)))-1)&amp;", "&amp;SUBSTITUTE(SUBSTITUTE(SUBSTITUTE(E1994," [",", "),"[",", "),"]","")&amp;"]",TRIM(INDEX($A$3:$A$168,K1994))&amp;" ["&amp;SUBSTITUTE(SUBSTITUTE(SUBSTITUTE(E1994," [",", "),"[",", "),"]","")&amp;"]")))</x:f>
      </x:c>
      <x:c r="G1994" t="str">
        <x:f>IF(F1994&lt;&gt;"",ROWS($F$3:F1994)-COUNTBLANK($F$3:F1994),"")</x:f>
      </x:c>
      <x:c r="H1994"/>
      <x:c r="I1994"/>
      <x:c r="J1994"/>
      <x:c r="K1994" t="str">
        <x:f>IF(ROW()-ROW($K$2)&lt;=SUM($J$3:$J$168),COUNTIF($H$3:$H$168,"&lt;"&amp;(ROW()-ROW($K$2))),"")</x:f>
      </x:c>
      <x:c r="L1994" t="str">
        <x:f>IF(K1994="","",ROW()-ROW($L$2)-INDEX($H$3:$H$168,K1994))</x:f>
      </x:c>
      <x:c r="M1994" t="str">
        <x:f>IF(K1994="","",IF(L1994=1,1,FIND(CHAR(1),SUBSTITUTE(INDEX($B$3:$B$168,K1994),CHAR(10),CHAR(1),L1994-1))+1))</x:f>
      </x:c>
      <x:c r="N1994" t="str">
        <x:f>IF(K1994="","",IFERROR(FIND(CHAR(1),SUBSTITUTE(INDEX($B$3:$B$168,K1994),CHAR(10),CHAR(1),L1994)),LEN(INDEX($B$3:$B$168,K1994))+1))</x:f>
      </x:c>
    </x:row>
    <x:row r="1995">
      <x:c r="A1995"/>
      <x:c r="B1995"/>
      <x:c r="C1995"/>
      <x:c r="D1995" t="str">
        <x:f>IFERROR(IF(1993&lt;=$O$1,INDEX($A$3:$A$168,MATCH(1993,$I$3:$I$168,0)),IF(1993&lt;=$O$1+$O$2,INDEX($F$3:$F$1994,MATCH(1993-$O$1,$G$3:$G$1994,0)),"")),"")</x:f>
      </x:c>
      <x:c r="E1995"/>
      <x:c r="F1995"/>
      <x:c r="G1995"/>
      <x:c r="H1995"/>
      <x:c r="I1995"/>
      <x:c r="J1995"/>
      <x:c r="K1995"/>
      <x:c r="L1995"/>
      <x:c r="M1995"/>
      <x:c r="N1995"/>
    </x:row>
    <x:row r="1996">
      <x:c r="A1996"/>
      <x:c r="B1996"/>
      <x:c r="C1996"/>
      <x:c r="D1996" t="str">
        <x:f>IFERROR(IF(1994&lt;=$O$1,INDEX($A$3:$A$168,MATCH(1994,$I$3:$I$168,0)),IF(1994&lt;=$O$1+$O$2,INDEX($F$3:$F$1994,MATCH(1994-$O$1,$G$3:$G$1994,0)),"")),"")</x:f>
      </x:c>
      <x:c r="E1996"/>
      <x:c r="F1996"/>
      <x:c r="G1996"/>
      <x:c r="H1996"/>
      <x:c r="I1996"/>
      <x:c r="J1996"/>
      <x:c r="K1996"/>
      <x:c r="L1996"/>
      <x:c r="M1996"/>
      <x:c r="N1996"/>
    </x:row>
    <x:row r="1997">
      <x:c r="A1997"/>
      <x:c r="B1997"/>
      <x:c r="C1997"/>
      <x:c r="D1997" t="str">
        <x:f>IFERROR(IF(1995&lt;=$O$1,INDEX($A$3:$A$168,MATCH(1995,$I$3:$I$168,0)),IF(1995&lt;=$O$1+$O$2,INDEX($F$3:$F$1994,MATCH(1995-$O$1,$G$3:$G$1994,0)),"")),"")</x:f>
      </x:c>
      <x:c r="E1997"/>
      <x:c r="F1997"/>
      <x:c r="G1997"/>
      <x:c r="H1997"/>
      <x:c r="I1997"/>
      <x:c r="J1997"/>
      <x:c r="K1997"/>
      <x:c r="L1997"/>
      <x:c r="M1997"/>
      <x:c r="N1997"/>
    </x:row>
    <x:row r="1998">
      <x:c r="A1998"/>
      <x:c r="B1998"/>
      <x:c r="C1998"/>
      <x:c r="D1998" t="str">
        <x:f>IFERROR(IF(1996&lt;=$O$1,INDEX($A$3:$A$168,MATCH(1996,$I$3:$I$168,0)),IF(1996&lt;=$O$1+$O$2,INDEX($F$3:$F$1994,MATCH(1996-$O$1,$G$3:$G$1994,0)),"")),"")</x:f>
      </x:c>
      <x:c r="E1998"/>
      <x:c r="F1998"/>
      <x:c r="G1998"/>
      <x:c r="H1998"/>
      <x:c r="I1998"/>
      <x:c r="J1998"/>
      <x:c r="K1998"/>
      <x:c r="L1998"/>
      <x:c r="M1998"/>
      <x:c r="N1998"/>
    </x:row>
    <x:row r="1999">
      <x:c r="A1999"/>
      <x:c r="B1999"/>
      <x:c r="C1999"/>
      <x:c r="D1999" t="str">
        <x:f>IFERROR(IF(1997&lt;=$O$1,INDEX($A$3:$A$168,MATCH(1997,$I$3:$I$168,0)),IF(1997&lt;=$O$1+$O$2,INDEX($F$3:$F$1994,MATCH(1997-$O$1,$G$3:$G$1994,0)),"")),"")</x:f>
      </x:c>
      <x:c r="E1999"/>
      <x:c r="F1999"/>
      <x:c r="G1999"/>
      <x:c r="H1999"/>
      <x:c r="I1999"/>
      <x:c r="J1999"/>
      <x:c r="K1999"/>
      <x:c r="L1999"/>
      <x:c r="M1999"/>
      <x:c r="N1999"/>
    </x:row>
    <x:row r="2000">
      <x:c r="A2000"/>
      <x:c r="B2000"/>
      <x:c r="C2000"/>
      <x:c r="D2000" t="str">
        <x:f>IFERROR(IF(1998&lt;=$O$1,INDEX($A$3:$A$168,MATCH(1998,$I$3:$I$168,0)),IF(1998&lt;=$O$1+$O$2,INDEX($F$3:$F$1994,MATCH(1998-$O$1,$G$3:$G$1994,0)),"")),"")</x:f>
      </x:c>
      <x:c r="E2000"/>
      <x:c r="F2000"/>
      <x:c r="G2000"/>
      <x:c r="H2000"/>
      <x:c r="I2000"/>
      <x:c r="J2000"/>
      <x:c r="K2000"/>
      <x:c r="L2000"/>
      <x:c r="M2000"/>
      <x:c r="N2000"/>
    </x:row>
    <x:row r="2001">
      <x:c r="A2001"/>
      <x:c r="B2001"/>
      <x:c r="C2001"/>
      <x:c r="D2001" t="str">
        <x:f>IFERROR(IF(1999&lt;=$O$1,INDEX($A$3:$A$168,MATCH(1999,$I$3:$I$168,0)),IF(1999&lt;=$O$1+$O$2,INDEX($F$3:$F$1994,MATCH(1999-$O$1,$G$3:$G$1994,0)),"")),"")</x:f>
      </x:c>
      <x:c r="E2001"/>
      <x:c r="F2001"/>
      <x:c r="G2001"/>
      <x:c r="H2001"/>
      <x:c r="I2001"/>
      <x:c r="J2001"/>
      <x:c r="K2001"/>
      <x:c r="L2001"/>
      <x:c r="M2001"/>
      <x:c r="N2001"/>
    </x:row>
    <x:row r="2002">
      <x:c r="A2002"/>
      <x:c r="B2002"/>
      <x:c r="C2002"/>
      <x:c r="D2002" t="str">
        <x:f>IFERROR(IF(2000&lt;=$O$1,INDEX($A$3:$A$168,MATCH(2000,$I$3:$I$168,0)),IF(2000&lt;=$O$1+$O$2,INDEX($F$3:$F$1994,MATCH(2000-$O$1,$G$3:$G$1994,0)),"")),"")</x:f>
      </x:c>
      <x:c r="E2002"/>
      <x:c r="F2002"/>
      <x:c r="G2002"/>
      <x:c r="H2002"/>
      <x:c r="I2002"/>
      <x:c r="J2002"/>
      <x:c r="K2002"/>
      <x:c r="L2002"/>
      <x:c r="M2002"/>
      <x:c r="N2002"/>
    </x:row>
    <x:row r="2003">
      <x:c r="A2003"/>
      <x:c r="B2003"/>
      <x:c r="C2003"/>
      <x:c r="D2003" t="str">
        <x:f>IFERROR(IF(2001&lt;=$O$1,INDEX($A$3:$A$168,MATCH(2001,$I$3:$I$168,0)),IF(2001&lt;=$O$1+$O$2,INDEX($F$3:$F$1994,MATCH(2001-$O$1,$G$3:$G$1994,0)),"")),"")</x:f>
      </x:c>
      <x:c r="E2003"/>
      <x:c r="F2003"/>
      <x:c r="G2003"/>
      <x:c r="H2003"/>
      <x:c r="I2003"/>
      <x:c r="J2003"/>
      <x:c r="K2003"/>
      <x:c r="L2003"/>
      <x:c r="M2003"/>
      <x:c r="N2003"/>
    </x:row>
    <x:row r="2004">
      <x:c r="A2004"/>
      <x:c r="B2004"/>
      <x:c r="C2004"/>
      <x:c r="D2004" t="str">
        <x:f>IFERROR(IF(2002&lt;=$O$1,INDEX($A$3:$A$168,MATCH(2002,$I$3:$I$168,0)),IF(2002&lt;=$O$1+$O$2,INDEX($F$3:$F$1994,MATCH(2002-$O$1,$G$3:$G$1994,0)),"")),"")</x:f>
      </x:c>
      <x:c r="E2004"/>
      <x:c r="F2004"/>
      <x:c r="G2004"/>
      <x:c r="H2004"/>
      <x:c r="I2004"/>
      <x:c r="J2004"/>
      <x:c r="K2004"/>
      <x:c r="L2004"/>
      <x:c r="M2004"/>
      <x:c r="N2004"/>
    </x:row>
    <x:row r="2005">
      <x:c r="A2005"/>
      <x:c r="B2005"/>
      <x:c r="C2005"/>
      <x:c r="D2005" t="str">
        <x:f>IFERROR(IF(2003&lt;=$O$1,INDEX($A$3:$A$168,MATCH(2003,$I$3:$I$168,0)),IF(2003&lt;=$O$1+$O$2,INDEX($F$3:$F$1994,MATCH(2003-$O$1,$G$3:$G$1994,0)),"")),"")</x:f>
      </x:c>
      <x:c r="E2005"/>
      <x:c r="F2005"/>
      <x:c r="G2005"/>
      <x:c r="H2005"/>
      <x:c r="I2005"/>
      <x:c r="J2005"/>
      <x:c r="K2005"/>
      <x:c r="L2005"/>
      <x:c r="M2005"/>
      <x:c r="N2005"/>
    </x:row>
    <x:row r="2006">
      <x:c r="A2006"/>
      <x:c r="B2006"/>
      <x:c r="C2006"/>
      <x:c r="D2006" t="str">
        <x:f>IFERROR(IF(2004&lt;=$O$1,INDEX($A$3:$A$168,MATCH(2004,$I$3:$I$168,0)),IF(2004&lt;=$O$1+$O$2,INDEX($F$3:$F$1994,MATCH(2004-$O$1,$G$3:$G$1994,0)),"")),"")</x:f>
      </x:c>
      <x:c r="E2006"/>
      <x:c r="F2006"/>
      <x:c r="G2006"/>
      <x:c r="H2006"/>
      <x:c r="I2006"/>
      <x:c r="J2006"/>
      <x:c r="K2006"/>
      <x:c r="L2006"/>
      <x:c r="M2006"/>
      <x:c r="N2006"/>
    </x:row>
    <x:row r="2007">
      <x:c r="A2007"/>
      <x:c r="B2007"/>
      <x:c r="C2007"/>
      <x:c r="D2007" t="str">
        <x:f>IFERROR(IF(2005&lt;=$O$1,INDEX($A$3:$A$168,MATCH(2005,$I$3:$I$168,0)),IF(2005&lt;=$O$1+$O$2,INDEX($F$3:$F$1994,MATCH(2005-$O$1,$G$3:$G$1994,0)),"")),"")</x:f>
      </x:c>
      <x:c r="E2007"/>
      <x:c r="F2007"/>
      <x:c r="G2007"/>
      <x:c r="H2007"/>
      <x:c r="I2007"/>
      <x:c r="J2007"/>
      <x:c r="K2007"/>
      <x:c r="L2007"/>
      <x:c r="M2007"/>
      <x:c r="N2007"/>
    </x:row>
    <x:row r="2008">
      <x:c r="A2008"/>
      <x:c r="B2008"/>
      <x:c r="C2008"/>
      <x:c r="D2008" t="str">
        <x:f>IFERROR(IF(2006&lt;=$O$1,INDEX($A$3:$A$168,MATCH(2006,$I$3:$I$168,0)),IF(2006&lt;=$O$1+$O$2,INDEX($F$3:$F$1994,MATCH(2006-$O$1,$G$3:$G$1994,0)),"")),"")</x:f>
      </x:c>
      <x:c r="E2008"/>
      <x:c r="F2008"/>
      <x:c r="G2008"/>
      <x:c r="H2008"/>
      <x:c r="I2008"/>
      <x:c r="J2008"/>
      <x:c r="K2008"/>
      <x:c r="L2008"/>
      <x:c r="M2008"/>
      <x:c r="N2008"/>
    </x:row>
    <x:row r="2009">
      <x:c r="A2009"/>
      <x:c r="B2009"/>
      <x:c r="C2009"/>
      <x:c r="D2009" t="str">
        <x:f>IFERROR(IF(2007&lt;=$O$1,INDEX($A$3:$A$168,MATCH(2007,$I$3:$I$168,0)),IF(2007&lt;=$O$1+$O$2,INDEX($F$3:$F$1994,MATCH(2007-$O$1,$G$3:$G$1994,0)),"")),"")</x:f>
      </x:c>
      <x:c r="E2009"/>
      <x:c r="F2009"/>
      <x:c r="G2009"/>
      <x:c r="H2009"/>
      <x:c r="I2009"/>
      <x:c r="J2009"/>
      <x:c r="K2009"/>
      <x:c r="L2009"/>
      <x:c r="M2009"/>
      <x:c r="N2009"/>
    </x:row>
    <x:row r="2010">
      <x:c r="A2010"/>
      <x:c r="B2010"/>
      <x:c r="C2010"/>
      <x:c r="D2010" t="str">
        <x:f>IFERROR(IF(2008&lt;=$O$1,INDEX($A$3:$A$168,MATCH(2008,$I$3:$I$168,0)),IF(2008&lt;=$O$1+$O$2,INDEX($F$3:$F$1994,MATCH(2008-$O$1,$G$3:$G$1994,0)),"")),"")</x:f>
      </x:c>
      <x:c r="E2010"/>
      <x:c r="F2010"/>
      <x:c r="G2010"/>
      <x:c r="H2010"/>
      <x:c r="I2010"/>
      <x:c r="J2010"/>
      <x:c r="K2010"/>
      <x:c r="L2010"/>
      <x:c r="M2010"/>
      <x:c r="N2010"/>
    </x:row>
    <x:row r="2011">
      <x:c r="A2011"/>
      <x:c r="B2011"/>
      <x:c r="C2011"/>
      <x:c r="D2011" t="str">
        <x:f>IFERROR(IF(2009&lt;=$O$1,INDEX($A$3:$A$168,MATCH(2009,$I$3:$I$168,0)),IF(2009&lt;=$O$1+$O$2,INDEX($F$3:$F$1994,MATCH(2009-$O$1,$G$3:$G$1994,0)),"")),"")</x:f>
      </x:c>
      <x:c r="E2011"/>
      <x:c r="F2011"/>
      <x:c r="G2011"/>
      <x:c r="H2011"/>
      <x:c r="I2011"/>
      <x:c r="J2011"/>
      <x:c r="K2011"/>
      <x:c r="L2011"/>
      <x:c r="M2011"/>
      <x:c r="N2011"/>
    </x:row>
    <x:row r="2012">
      <x:c r="A2012"/>
      <x:c r="B2012"/>
      <x:c r="C2012"/>
      <x:c r="D2012" t="str">
        <x:f>IFERROR(IF(2010&lt;=$O$1,INDEX($A$3:$A$168,MATCH(2010,$I$3:$I$168,0)),IF(2010&lt;=$O$1+$O$2,INDEX($F$3:$F$1994,MATCH(2010-$O$1,$G$3:$G$1994,0)),"")),"")</x:f>
      </x:c>
      <x:c r="E2012"/>
      <x:c r="F2012"/>
      <x:c r="G2012"/>
      <x:c r="H2012"/>
      <x:c r="I2012"/>
      <x:c r="J2012"/>
      <x:c r="K2012"/>
      <x:c r="L2012"/>
      <x:c r="M2012"/>
      <x:c r="N2012"/>
    </x:row>
    <x:row r="2013">
      <x:c r="A2013"/>
      <x:c r="B2013"/>
      <x:c r="C2013"/>
      <x:c r="D2013" t="str">
        <x:f>IFERROR(IF(2011&lt;=$O$1,INDEX($A$3:$A$168,MATCH(2011,$I$3:$I$168,0)),IF(2011&lt;=$O$1+$O$2,INDEX($F$3:$F$1994,MATCH(2011-$O$1,$G$3:$G$1994,0)),"")),"")</x:f>
      </x:c>
      <x:c r="E2013"/>
      <x:c r="F2013"/>
      <x:c r="G2013"/>
      <x:c r="H2013"/>
      <x:c r="I2013"/>
      <x:c r="J2013"/>
      <x:c r="K2013"/>
      <x:c r="L2013"/>
      <x:c r="M2013"/>
      <x:c r="N2013"/>
    </x:row>
    <x:row r="2014">
      <x:c r="A2014"/>
      <x:c r="B2014"/>
      <x:c r="C2014"/>
      <x:c r="D2014" t="str">
        <x:f>IFERROR(IF(2012&lt;=$O$1,INDEX($A$3:$A$168,MATCH(2012,$I$3:$I$168,0)),IF(2012&lt;=$O$1+$O$2,INDEX($F$3:$F$1994,MATCH(2012-$O$1,$G$3:$G$1994,0)),"")),"")</x:f>
      </x:c>
      <x:c r="E2014"/>
      <x:c r="F2014"/>
      <x:c r="G2014"/>
      <x:c r="H2014"/>
      <x:c r="I2014"/>
      <x:c r="J2014"/>
      <x:c r="K2014"/>
      <x:c r="L2014"/>
      <x:c r="M2014"/>
      <x:c r="N2014"/>
    </x:row>
    <x:row r="2015">
      <x:c r="A2015"/>
      <x:c r="B2015"/>
      <x:c r="C2015"/>
      <x:c r="D2015" t="str">
        <x:f>IFERROR(IF(2013&lt;=$O$1,INDEX($A$3:$A$168,MATCH(2013,$I$3:$I$168,0)),IF(2013&lt;=$O$1+$O$2,INDEX($F$3:$F$1994,MATCH(2013-$O$1,$G$3:$G$1994,0)),"")),"")</x:f>
      </x:c>
      <x:c r="E2015"/>
      <x:c r="F2015"/>
      <x:c r="G2015"/>
      <x:c r="H2015"/>
      <x:c r="I2015"/>
      <x:c r="J2015"/>
      <x:c r="K2015"/>
      <x:c r="L2015"/>
      <x:c r="M2015"/>
      <x:c r="N2015"/>
    </x:row>
    <x:row r="2016">
      <x:c r="A2016"/>
      <x:c r="B2016"/>
      <x:c r="C2016"/>
      <x:c r="D2016" t="str">
        <x:f>IFERROR(IF(2014&lt;=$O$1,INDEX($A$3:$A$168,MATCH(2014,$I$3:$I$168,0)),IF(2014&lt;=$O$1+$O$2,INDEX($F$3:$F$1994,MATCH(2014-$O$1,$G$3:$G$1994,0)),"")),"")</x:f>
      </x:c>
      <x:c r="E2016"/>
      <x:c r="F2016"/>
      <x:c r="G2016"/>
      <x:c r="H2016"/>
      <x:c r="I2016"/>
      <x:c r="J2016"/>
      <x:c r="K2016"/>
      <x:c r="L2016"/>
      <x:c r="M2016"/>
      <x:c r="N2016"/>
    </x:row>
    <x:row r="2017">
      <x:c r="A2017"/>
      <x:c r="B2017"/>
      <x:c r="C2017"/>
      <x:c r="D2017" t="str">
        <x:f>IFERROR(IF(2015&lt;=$O$1,INDEX($A$3:$A$168,MATCH(2015,$I$3:$I$168,0)),IF(2015&lt;=$O$1+$O$2,INDEX($F$3:$F$1994,MATCH(2015-$O$1,$G$3:$G$1994,0)),"")),"")</x:f>
      </x:c>
      <x:c r="E2017"/>
      <x:c r="F2017"/>
      <x:c r="G2017"/>
      <x:c r="H2017"/>
      <x:c r="I2017"/>
      <x:c r="J2017"/>
      <x:c r="K2017"/>
      <x:c r="L2017"/>
      <x:c r="M2017"/>
      <x:c r="N2017"/>
    </x:row>
    <x:row r="2018">
      <x:c r="A2018"/>
      <x:c r="B2018"/>
      <x:c r="C2018"/>
      <x:c r="D2018" t="str">
        <x:f>IFERROR(IF(2016&lt;=$O$1,INDEX($A$3:$A$168,MATCH(2016,$I$3:$I$168,0)),IF(2016&lt;=$O$1+$O$2,INDEX($F$3:$F$1994,MATCH(2016-$O$1,$G$3:$G$1994,0)),"")),"")</x:f>
      </x:c>
      <x:c r="E2018"/>
      <x:c r="F2018"/>
      <x:c r="G2018"/>
      <x:c r="H2018"/>
      <x:c r="I2018"/>
      <x:c r="J2018"/>
      <x:c r="K2018"/>
      <x:c r="L2018"/>
      <x:c r="M2018"/>
      <x:c r="N2018"/>
    </x:row>
    <x:row r="2019">
      <x:c r="A2019"/>
      <x:c r="B2019"/>
      <x:c r="C2019"/>
      <x:c r="D2019" t="str">
        <x:f>IFERROR(IF(2017&lt;=$O$1,INDEX($A$3:$A$168,MATCH(2017,$I$3:$I$168,0)),IF(2017&lt;=$O$1+$O$2,INDEX($F$3:$F$1994,MATCH(2017-$O$1,$G$3:$G$1994,0)),"")),"")</x:f>
      </x:c>
      <x:c r="E2019"/>
      <x:c r="F2019"/>
      <x:c r="G2019"/>
      <x:c r="H2019"/>
      <x:c r="I2019"/>
      <x:c r="J2019"/>
      <x:c r="K2019"/>
      <x:c r="L2019"/>
      <x:c r="M2019"/>
      <x:c r="N2019"/>
    </x:row>
    <x:row r="2020">
      <x:c r="A2020"/>
      <x:c r="B2020"/>
      <x:c r="C2020"/>
      <x:c r="D2020" t="str">
        <x:f>IFERROR(IF(2018&lt;=$O$1,INDEX($A$3:$A$168,MATCH(2018,$I$3:$I$168,0)),IF(2018&lt;=$O$1+$O$2,INDEX($F$3:$F$1994,MATCH(2018-$O$1,$G$3:$G$1994,0)),"")),"")</x:f>
      </x:c>
      <x:c r="E2020"/>
      <x:c r="F2020"/>
      <x:c r="G2020"/>
      <x:c r="H2020"/>
      <x:c r="I2020"/>
      <x:c r="J2020"/>
      <x:c r="K2020"/>
      <x:c r="L2020"/>
      <x:c r="M2020"/>
      <x:c r="N2020"/>
    </x:row>
    <x:row r="2021">
      <x:c r="A2021"/>
      <x:c r="B2021"/>
      <x:c r="C2021"/>
      <x:c r="D2021" t="str">
        <x:f>IFERROR(IF(2019&lt;=$O$1,INDEX($A$3:$A$168,MATCH(2019,$I$3:$I$168,0)),IF(2019&lt;=$O$1+$O$2,INDEX($F$3:$F$1994,MATCH(2019-$O$1,$G$3:$G$1994,0)),"")),"")</x:f>
      </x:c>
      <x:c r="E2021"/>
      <x:c r="F2021"/>
      <x:c r="G2021"/>
      <x:c r="H2021"/>
      <x:c r="I2021"/>
      <x:c r="J2021"/>
      <x:c r="K2021"/>
      <x:c r="L2021"/>
      <x:c r="M2021"/>
      <x:c r="N2021"/>
    </x:row>
    <x:row r="2022">
      <x:c r="A2022"/>
      <x:c r="B2022"/>
      <x:c r="C2022"/>
      <x:c r="D2022" t="str">
        <x:f>IFERROR(IF(2020&lt;=$O$1,INDEX($A$3:$A$168,MATCH(2020,$I$3:$I$168,0)),IF(2020&lt;=$O$1+$O$2,INDEX($F$3:$F$1994,MATCH(2020-$O$1,$G$3:$G$1994,0)),"")),"")</x:f>
      </x:c>
      <x:c r="E2022"/>
      <x:c r="F2022"/>
      <x:c r="G2022"/>
      <x:c r="H2022"/>
      <x:c r="I2022"/>
      <x:c r="J2022"/>
      <x:c r="K2022"/>
      <x:c r="L2022"/>
      <x:c r="M2022"/>
      <x:c r="N2022"/>
    </x:row>
    <x:row r="2023">
      <x:c r="A2023"/>
      <x:c r="B2023"/>
      <x:c r="C2023"/>
      <x:c r="D2023" t="str">
        <x:f>IFERROR(IF(2021&lt;=$O$1,INDEX($A$3:$A$168,MATCH(2021,$I$3:$I$168,0)),IF(2021&lt;=$O$1+$O$2,INDEX($F$3:$F$1994,MATCH(2021-$O$1,$G$3:$G$1994,0)),"")),"")</x:f>
      </x:c>
      <x:c r="E2023"/>
      <x:c r="F2023"/>
      <x:c r="G2023"/>
      <x:c r="H2023"/>
      <x:c r="I2023"/>
      <x:c r="J2023"/>
      <x:c r="K2023"/>
      <x:c r="L2023"/>
      <x:c r="M2023"/>
      <x:c r="N2023"/>
    </x:row>
    <x:row r="2024">
      <x:c r="A2024"/>
      <x:c r="B2024"/>
      <x:c r="C2024"/>
      <x:c r="D2024" t="str">
        <x:f>IFERROR(IF(2022&lt;=$O$1,INDEX($A$3:$A$168,MATCH(2022,$I$3:$I$168,0)),IF(2022&lt;=$O$1+$O$2,INDEX($F$3:$F$1994,MATCH(2022-$O$1,$G$3:$G$1994,0)),"")),"")</x:f>
      </x:c>
      <x:c r="E2024"/>
      <x:c r="F2024"/>
      <x:c r="G2024"/>
      <x:c r="H2024"/>
      <x:c r="I2024"/>
      <x:c r="J2024"/>
      <x:c r="K2024"/>
      <x:c r="L2024"/>
      <x:c r="M2024"/>
      <x:c r="N2024"/>
    </x:row>
    <x:row r="2025">
      <x:c r="A2025"/>
      <x:c r="B2025"/>
      <x:c r="C2025"/>
      <x:c r="D2025" t="str">
        <x:f>IFERROR(IF(2023&lt;=$O$1,INDEX($A$3:$A$168,MATCH(2023,$I$3:$I$168,0)),IF(2023&lt;=$O$1+$O$2,INDEX($F$3:$F$1994,MATCH(2023-$O$1,$G$3:$G$1994,0)),"")),"")</x:f>
      </x:c>
      <x:c r="E2025"/>
      <x:c r="F2025"/>
      <x:c r="G2025"/>
      <x:c r="H2025"/>
      <x:c r="I2025"/>
      <x:c r="J2025"/>
      <x:c r="K2025"/>
      <x:c r="L2025"/>
      <x:c r="M2025"/>
      <x:c r="N2025"/>
    </x:row>
    <x:row r="2026">
      <x:c r="A2026"/>
      <x:c r="B2026"/>
      <x:c r="C2026"/>
      <x:c r="D2026" t="str">
        <x:f>IFERROR(IF(2024&lt;=$O$1,INDEX($A$3:$A$168,MATCH(2024,$I$3:$I$168,0)),IF(2024&lt;=$O$1+$O$2,INDEX($F$3:$F$1994,MATCH(2024-$O$1,$G$3:$G$1994,0)),"")),"")</x:f>
      </x:c>
      <x:c r="E2026"/>
      <x:c r="F2026"/>
      <x:c r="G2026"/>
      <x:c r="H2026"/>
      <x:c r="I2026"/>
      <x:c r="J2026"/>
      <x:c r="K2026"/>
      <x:c r="L2026"/>
      <x:c r="M2026"/>
      <x:c r="N2026"/>
    </x:row>
    <x:row r="2027">
      <x:c r="A2027"/>
      <x:c r="B2027"/>
      <x:c r="C2027"/>
      <x:c r="D2027" t="str">
        <x:f>IFERROR(IF(2025&lt;=$O$1,INDEX($A$3:$A$168,MATCH(2025,$I$3:$I$168,0)),IF(2025&lt;=$O$1+$O$2,INDEX($F$3:$F$1994,MATCH(2025-$O$1,$G$3:$G$1994,0)),"")),"")</x:f>
      </x:c>
      <x:c r="E2027"/>
      <x:c r="F2027"/>
      <x:c r="G2027"/>
      <x:c r="H2027"/>
      <x:c r="I2027"/>
      <x:c r="J2027"/>
      <x:c r="K2027"/>
      <x:c r="L2027"/>
      <x:c r="M2027"/>
      <x:c r="N2027"/>
    </x:row>
    <x:row r="2028">
      <x:c r="A2028"/>
      <x:c r="B2028"/>
      <x:c r="C2028"/>
      <x:c r="D2028" t="str">
        <x:f>IFERROR(IF(2026&lt;=$O$1,INDEX($A$3:$A$168,MATCH(2026,$I$3:$I$168,0)),IF(2026&lt;=$O$1+$O$2,INDEX($F$3:$F$1994,MATCH(2026-$O$1,$G$3:$G$1994,0)),"")),"")</x:f>
      </x:c>
      <x:c r="E2028"/>
      <x:c r="F2028"/>
      <x:c r="G2028"/>
      <x:c r="H2028"/>
      <x:c r="I2028"/>
      <x:c r="J2028"/>
      <x:c r="K2028"/>
      <x:c r="L2028"/>
      <x:c r="M2028"/>
      <x:c r="N2028"/>
    </x:row>
    <x:row r="2029">
      <x:c r="A2029"/>
      <x:c r="B2029"/>
      <x:c r="C2029"/>
      <x:c r="D2029" t="str">
        <x:f>IFERROR(IF(2027&lt;=$O$1,INDEX($A$3:$A$168,MATCH(2027,$I$3:$I$168,0)),IF(2027&lt;=$O$1+$O$2,INDEX($F$3:$F$1994,MATCH(2027-$O$1,$G$3:$G$1994,0)),"")),"")</x:f>
      </x:c>
      <x:c r="E2029"/>
      <x:c r="F2029"/>
      <x:c r="G2029"/>
      <x:c r="H2029"/>
      <x:c r="I2029"/>
      <x:c r="J2029"/>
      <x:c r="K2029"/>
      <x:c r="L2029"/>
      <x:c r="M2029"/>
      <x:c r="N2029"/>
    </x:row>
    <x:row r="2030">
      <x:c r="A2030"/>
      <x:c r="B2030"/>
      <x:c r="C2030"/>
      <x:c r="D2030" t="str">
        <x:f>IFERROR(IF(2028&lt;=$O$1,INDEX($A$3:$A$168,MATCH(2028,$I$3:$I$168,0)),IF(2028&lt;=$O$1+$O$2,INDEX($F$3:$F$1994,MATCH(2028-$O$1,$G$3:$G$1994,0)),"")),"")</x:f>
      </x:c>
      <x:c r="E2030"/>
      <x:c r="F2030"/>
      <x:c r="G2030"/>
      <x:c r="H2030"/>
      <x:c r="I2030"/>
      <x:c r="J2030"/>
      <x:c r="K2030"/>
      <x:c r="L2030"/>
      <x:c r="M2030"/>
      <x:c r="N2030"/>
    </x:row>
    <x:row r="2031">
      <x:c r="A2031"/>
      <x:c r="B2031"/>
      <x:c r="C2031"/>
      <x:c r="D2031" t="str">
        <x:f>IFERROR(IF(2029&lt;=$O$1,INDEX($A$3:$A$168,MATCH(2029,$I$3:$I$168,0)),IF(2029&lt;=$O$1+$O$2,INDEX($F$3:$F$1994,MATCH(2029-$O$1,$G$3:$G$1994,0)),"")),"")</x:f>
      </x:c>
      <x:c r="E2031"/>
      <x:c r="F2031"/>
      <x:c r="G2031"/>
      <x:c r="H2031"/>
      <x:c r="I2031"/>
      <x:c r="J2031"/>
      <x:c r="K2031"/>
      <x:c r="L2031"/>
      <x:c r="M2031"/>
      <x:c r="N2031"/>
    </x:row>
    <x:row r="2032">
      <x:c r="A2032"/>
      <x:c r="B2032"/>
      <x:c r="C2032"/>
      <x:c r="D2032" t="str">
        <x:f>IFERROR(IF(2030&lt;=$O$1,INDEX($A$3:$A$168,MATCH(2030,$I$3:$I$168,0)),IF(2030&lt;=$O$1+$O$2,INDEX($F$3:$F$1994,MATCH(2030-$O$1,$G$3:$G$1994,0)),"")),"")</x:f>
      </x:c>
      <x:c r="E2032"/>
      <x:c r="F2032"/>
      <x:c r="G2032"/>
      <x:c r="H2032"/>
      <x:c r="I2032"/>
      <x:c r="J2032"/>
      <x:c r="K2032"/>
      <x:c r="L2032"/>
      <x:c r="M2032"/>
      <x:c r="N2032"/>
    </x:row>
    <x:row r="2033">
      <x:c r="A2033"/>
      <x:c r="B2033"/>
      <x:c r="C2033"/>
      <x:c r="D2033" t="str">
        <x:f>IFERROR(IF(2031&lt;=$O$1,INDEX($A$3:$A$168,MATCH(2031,$I$3:$I$168,0)),IF(2031&lt;=$O$1+$O$2,INDEX($F$3:$F$1994,MATCH(2031-$O$1,$G$3:$G$1994,0)),"")),"")</x:f>
      </x:c>
      <x:c r="E2033"/>
      <x:c r="F2033"/>
      <x:c r="G2033"/>
      <x:c r="H2033"/>
      <x:c r="I2033"/>
      <x:c r="J2033"/>
      <x:c r="K2033"/>
      <x:c r="L2033"/>
      <x:c r="M2033"/>
      <x:c r="N2033"/>
    </x:row>
    <x:row r="2034">
      <x:c r="A2034"/>
      <x:c r="B2034"/>
      <x:c r="C2034"/>
      <x:c r="D2034" t="str">
        <x:f>IFERROR(IF(2032&lt;=$O$1,INDEX($A$3:$A$168,MATCH(2032,$I$3:$I$168,0)),IF(2032&lt;=$O$1+$O$2,INDEX($F$3:$F$1994,MATCH(2032-$O$1,$G$3:$G$1994,0)),"")),"")</x:f>
      </x:c>
      <x:c r="E2034"/>
      <x:c r="F2034"/>
      <x:c r="G2034"/>
      <x:c r="H2034"/>
      <x:c r="I2034"/>
      <x:c r="J2034"/>
      <x:c r="K2034"/>
      <x:c r="L2034"/>
      <x:c r="M2034"/>
      <x:c r="N2034"/>
    </x:row>
    <x:row r="2035">
      <x:c r="A2035"/>
      <x:c r="B2035"/>
      <x:c r="C2035"/>
      <x:c r="D2035" t="str">
        <x:f>IFERROR(IF(2033&lt;=$O$1,INDEX($A$3:$A$168,MATCH(2033,$I$3:$I$168,0)),IF(2033&lt;=$O$1+$O$2,INDEX($F$3:$F$1994,MATCH(2033-$O$1,$G$3:$G$1994,0)),"")),"")</x:f>
      </x:c>
      <x:c r="E2035"/>
      <x:c r="F2035"/>
      <x:c r="G2035"/>
      <x:c r="H2035"/>
      <x:c r="I2035"/>
      <x:c r="J2035"/>
      <x:c r="K2035"/>
      <x:c r="L2035"/>
      <x:c r="M2035"/>
      <x:c r="N2035"/>
    </x:row>
    <x:row r="2036">
      <x:c r="A2036"/>
      <x:c r="B2036"/>
      <x:c r="C2036"/>
      <x:c r="D2036" t="str">
        <x:f>IFERROR(IF(2034&lt;=$O$1,INDEX($A$3:$A$168,MATCH(2034,$I$3:$I$168,0)),IF(2034&lt;=$O$1+$O$2,INDEX($F$3:$F$1994,MATCH(2034-$O$1,$G$3:$G$1994,0)),"")),"")</x:f>
      </x:c>
      <x:c r="E2036"/>
      <x:c r="F2036"/>
      <x:c r="G2036"/>
      <x:c r="H2036"/>
      <x:c r="I2036"/>
      <x:c r="J2036"/>
      <x:c r="K2036"/>
      <x:c r="L2036"/>
      <x:c r="M2036"/>
      <x:c r="N2036"/>
    </x:row>
    <x:row r="2037">
      <x:c r="A2037"/>
      <x:c r="B2037"/>
      <x:c r="C2037"/>
      <x:c r="D2037" t="str">
        <x:f>IFERROR(IF(2035&lt;=$O$1,INDEX($A$3:$A$168,MATCH(2035,$I$3:$I$168,0)),IF(2035&lt;=$O$1+$O$2,INDEX($F$3:$F$1994,MATCH(2035-$O$1,$G$3:$G$1994,0)),"")),"")</x:f>
      </x:c>
      <x:c r="E2037"/>
      <x:c r="F2037"/>
      <x:c r="G2037"/>
      <x:c r="H2037"/>
      <x:c r="I2037"/>
      <x:c r="J2037"/>
      <x:c r="K2037"/>
      <x:c r="L2037"/>
      <x:c r="M2037"/>
      <x:c r="N2037"/>
    </x:row>
    <x:row r="2038">
      <x:c r="A2038"/>
      <x:c r="B2038"/>
      <x:c r="C2038"/>
      <x:c r="D2038" t="str">
        <x:f>IFERROR(IF(2036&lt;=$O$1,INDEX($A$3:$A$168,MATCH(2036,$I$3:$I$168,0)),IF(2036&lt;=$O$1+$O$2,INDEX($F$3:$F$1994,MATCH(2036-$O$1,$G$3:$G$1994,0)),"")),"")</x:f>
      </x:c>
      <x:c r="E2038"/>
      <x:c r="F2038"/>
      <x:c r="G2038"/>
      <x:c r="H2038"/>
      <x:c r="I2038"/>
      <x:c r="J2038"/>
      <x:c r="K2038"/>
      <x:c r="L2038"/>
      <x:c r="M2038"/>
      <x:c r="N2038"/>
    </x:row>
    <x:row r="2039">
      <x:c r="A2039"/>
      <x:c r="B2039"/>
      <x:c r="C2039"/>
      <x:c r="D2039" t="str">
        <x:f>IFERROR(IF(2037&lt;=$O$1,INDEX($A$3:$A$168,MATCH(2037,$I$3:$I$168,0)),IF(2037&lt;=$O$1+$O$2,INDEX($F$3:$F$1994,MATCH(2037-$O$1,$G$3:$G$1994,0)),"")),"")</x:f>
      </x:c>
      <x:c r="E2039"/>
      <x:c r="F2039"/>
      <x:c r="G2039"/>
      <x:c r="H2039"/>
      <x:c r="I2039"/>
      <x:c r="J2039"/>
      <x:c r="K2039"/>
      <x:c r="L2039"/>
      <x:c r="M2039"/>
      <x:c r="N2039"/>
    </x:row>
    <x:row r="2040">
      <x:c r="A2040"/>
      <x:c r="B2040"/>
      <x:c r="C2040"/>
      <x:c r="D2040" t="str">
        <x:f>IFERROR(IF(2038&lt;=$O$1,INDEX($A$3:$A$168,MATCH(2038,$I$3:$I$168,0)),IF(2038&lt;=$O$1+$O$2,INDEX($F$3:$F$1994,MATCH(2038-$O$1,$G$3:$G$1994,0)),"")),"")</x:f>
      </x:c>
      <x:c r="E2040"/>
      <x:c r="F2040"/>
      <x:c r="G2040"/>
      <x:c r="H2040"/>
      <x:c r="I2040"/>
      <x:c r="J2040"/>
      <x:c r="K2040"/>
      <x:c r="L2040"/>
      <x:c r="M2040"/>
      <x:c r="N2040"/>
    </x:row>
    <x:row r="2041">
      <x:c r="A2041"/>
      <x:c r="B2041"/>
      <x:c r="C2041"/>
      <x:c r="D2041" t="str">
        <x:f>IFERROR(IF(2039&lt;=$O$1,INDEX($A$3:$A$168,MATCH(2039,$I$3:$I$168,0)),IF(2039&lt;=$O$1+$O$2,INDEX($F$3:$F$1994,MATCH(2039-$O$1,$G$3:$G$1994,0)),"")),"")</x:f>
      </x:c>
      <x:c r="E2041"/>
      <x:c r="F2041"/>
      <x:c r="G2041"/>
      <x:c r="H2041"/>
      <x:c r="I2041"/>
      <x:c r="J2041"/>
      <x:c r="K2041"/>
      <x:c r="L2041"/>
      <x:c r="M2041"/>
      <x:c r="N2041"/>
    </x:row>
    <x:row r="2042">
      <x:c r="A2042"/>
      <x:c r="B2042"/>
      <x:c r="C2042"/>
      <x:c r="D2042" t="str">
        <x:f>IFERROR(IF(2040&lt;=$O$1,INDEX($A$3:$A$168,MATCH(2040,$I$3:$I$168,0)),IF(2040&lt;=$O$1+$O$2,INDEX($F$3:$F$1994,MATCH(2040-$O$1,$G$3:$G$1994,0)),"")),"")</x:f>
      </x:c>
      <x:c r="E2042"/>
      <x:c r="F2042"/>
      <x:c r="G2042"/>
      <x:c r="H2042"/>
      <x:c r="I2042"/>
      <x:c r="J2042"/>
      <x:c r="K2042"/>
      <x:c r="L2042"/>
      <x:c r="M2042"/>
      <x:c r="N2042"/>
    </x:row>
    <x:row r="2043">
      <x:c r="A2043"/>
      <x:c r="B2043"/>
      <x:c r="C2043"/>
      <x:c r="D2043" t="str">
        <x:f>IFERROR(IF(2041&lt;=$O$1,INDEX($A$3:$A$168,MATCH(2041,$I$3:$I$168,0)),IF(2041&lt;=$O$1+$O$2,INDEX($F$3:$F$1994,MATCH(2041-$O$1,$G$3:$G$1994,0)),"")),"")</x:f>
      </x:c>
      <x:c r="E2043"/>
      <x:c r="F2043"/>
      <x:c r="G2043"/>
      <x:c r="H2043"/>
      <x:c r="I2043"/>
      <x:c r="J2043"/>
      <x:c r="K2043"/>
      <x:c r="L2043"/>
      <x:c r="M2043"/>
      <x:c r="N2043"/>
    </x:row>
    <x:row r="2044">
      <x:c r="A2044"/>
      <x:c r="B2044"/>
      <x:c r="C2044"/>
      <x:c r="D2044" t="str">
        <x:f>IFERROR(IF(2042&lt;=$O$1,INDEX($A$3:$A$168,MATCH(2042,$I$3:$I$168,0)),IF(2042&lt;=$O$1+$O$2,INDEX($F$3:$F$1994,MATCH(2042-$O$1,$G$3:$G$1994,0)),"")),"")</x:f>
      </x:c>
      <x:c r="E2044"/>
      <x:c r="F2044"/>
      <x:c r="G2044"/>
      <x:c r="H2044"/>
      <x:c r="I2044"/>
      <x:c r="J2044"/>
      <x:c r="K2044"/>
      <x:c r="L2044"/>
      <x:c r="M2044"/>
      <x:c r="N2044"/>
    </x:row>
    <x:row r="2045">
      <x:c r="A2045"/>
      <x:c r="B2045"/>
      <x:c r="C2045"/>
      <x:c r="D2045" t="str">
        <x:f>IFERROR(IF(2043&lt;=$O$1,INDEX($A$3:$A$168,MATCH(2043,$I$3:$I$168,0)),IF(2043&lt;=$O$1+$O$2,INDEX($F$3:$F$1994,MATCH(2043-$O$1,$G$3:$G$1994,0)),"")),"")</x:f>
      </x:c>
      <x:c r="E2045"/>
      <x:c r="F2045"/>
      <x:c r="G2045"/>
      <x:c r="H2045"/>
      <x:c r="I2045"/>
      <x:c r="J2045"/>
      <x:c r="K2045"/>
      <x:c r="L2045"/>
      <x:c r="M2045"/>
      <x:c r="N2045"/>
    </x:row>
    <x:row r="2046">
      <x:c r="A2046"/>
      <x:c r="B2046"/>
      <x:c r="C2046"/>
      <x:c r="D2046" t="str">
        <x:f>IFERROR(IF(2044&lt;=$O$1,INDEX($A$3:$A$168,MATCH(2044,$I$3:$I$168,0)),IF(2044&lt;=$O$1+$O$2,INDEX($F$3:$F$1994,MATCH(2044-$O$1,$G$3:$G$1994,0)),"")),"")</x:f>
      </x:c>
      <x:c r="E2046"/>
      <x:c r="F2046"/>
      <x:c r="G2046"/>
      <x:c r="H2046"/>
      <x:c r="I2046"/>
      <x:c r="J2046"/>
      <x:c r="K2046"/>
      <x:c r="L2046"/>
      <x:c r="M2046"/>
      <x:c r="N2046"/>
    </x:row>
    <x:row r="2047">
      <x:c r="A2047"/>
      <x:c r="B2047"/>
      <x:c r="C2047"/>
      <x:c r="D2047" t="str">
        <x:f>IFERROR(IF(2045&lt;=$O$1,INDEX($A$3:$A$168,MATCH(2045,$I$3:$I$168,0)),IF(2045&lt;=$O$1+$O$2,INDEX($F$3:$F$1994,MATCH(2045-$O$1,$G$3:$G$1994,0)),"")),"")</x:f>
      </x:c>
      <x:c r="E2047"/>
      <x:c r="F2047"/>
      <x:c r="G2047"/>
      <x:c r="H2047"/>
      <x:c r="I2047"/>
      <x:c r="J2047"/>
      <x:c r="K2047"/>
      <x:c r="L2047"/>
      <x:c r="M2047"/>
      <x:c r="N2047"/>
    </x:row>
    <x:row r="2048">
      <x:c r="A2048"/>
      <x:c r="B2048"/>
      <x:c r="C2048"/>
      <x:c r="D2048" t="str">
        <x:f>IFERROR(IF(2046&lt;=$O$1,INDEX($A$3:$A$168,MATCH(2046,$I$3:$I$168,0)),IF(2046&lt;=$O$1+$O$2,INDEX($F$3:$F$1994,MATCH(2046-$O$1,$G$3:$G$1994,0)),"")),"")</x:f>
      </x:c>
      <x:c r="E2048"/>
      <x:c r="F2048"/>
      <x:c r="G2048"/>
      <x:c r="H2048"/>
      <x:c r="I2048"/>
      <x:c r="J2048"/>
      <x:c r="K2048"/>
      <x:c r="L2048"/>
      <x:c r="M2048"/>
      <x:c r="N2048"/>
    </x:row>
    <x:row r="2049">
      <x:c r="A2049"/>
      <x:c r="B2049"/>
      <x:c r="C2049"/>
      <x:c r="D2049" t="str">
        <x:f>IFERROR(IF(2047&lt;=$O$1,INDEX($A$3:$A$168,MATCH(2047,$I$3:$I$168,0)),IF(2047&lt;=$O$1+$O$2,INDEX($F$3:$F$1994,MATCH(2047-$O$1,$G$3:$G$1994,0)),"")),"")</x:f>
      </x:c>
      <x:c r="E2049"/>
      <x:c r="F2049"/>
      <x:c r="G2049"/>
      <x:c r="H2049"/>
      <x:c r="I2049"/>
      <x:c r="J2049"/>
      <x:c r="K2049"/>
      <x:c r="L2049"/>
      <x:c r="M2049"/>
      <x:c r="N2049"/>
    </x:row>
    <x:row r="2050">
      <x:c r="A2050"/>
      <x:c r="B2050"/>
      <x:c r="C2050"/>
      <x:c r="D2050" t="str">
        <x:f>IFERROR(IF(2048&lt;=$O$1,INDEX($A$3:$A$168,MATCH(2048,$I$3:$I$168,0)),IF(2048&lt;=$O$1+$O$2,INDEX($F$3:$F$1994,MATCH(2048-$O$1,$G$3:$G$1994,0)),"")),"")</x:f>
      </x:c>
      <x:c r="E2050"/>
      <x:c r="F2050"/>
      <x:c r="G2050"/>
      <x:c r="H2050"/>
      <x:c r="I2050"/>
      <x:c r="J2050"/>
      <x:c r="K2050"/>
      <x:c r="L2050"/>
      <x:c r="M2050"/>
      <x:c r="N2050"/>
    </x:row>
    <x:row r="2051">
      <x:c r="A2051"/>
      <x:c r="B2051"/>
      <x:c r="C2051"/>
      <x:c r="D2051" t="str">
        <x:f>IFERROR(IF(2049&lt;=$O$1,INDEX($A$3:$A$168,MATCH(2049,$I$3:$I$168,0)),IF(2049&lt;=$O$1+$O$2,INDEX($F$3:$F$1994,MATCH(2049-$O$1,$G$3:$G$1994,0)),"")),"")</x:f>
      </x:c>
      <x:c r="E2051"/>
      <x:c r="F2051"/>
      <x:c r="G2051"/>
      <x:c r="H2051"/>
      <x:c r="I2051"/>
      <x:c r="J2051"/>
      <x:c r="K2051"/>
      <x:c r="L2051"/>
      <x:c r="M2051"/>
      <x:c r="N2051"/>
    </x:row>
    <x:row r="2052">
      <x:c r="A2052"/>
      <x:c r="B2052"/>
      <x:c r="C2052"/>
      <x:c r="D2052" t="str">
        <x:f>IFERROR(IF(2050&lt;=$O$1,INDEX($A$3:$A$168,MATCH(2050,$I$3:$I$168,0)),IF(2050&lt;=$O$1+$O$2,INDEX($F$3:$F$1994,MATCH(2050-$O$1,$G$3:$G$1994,0)),"")),"")</x:f>
      </x:c>
      <x:c r="E2052"/>
      <x:c r="F2052"/>
      <x:c r="G2052"/>
      <x:c r="H2052"/>
      <x:c r="I2052"/>
      <x:c r="J2052"/>
      <x:c r="K2052"/>
      <x:c r="L2052"/>
      <x:c r="M2052"/>
      <x:c r="N2052"/>
    </x:row>
    <x:row r="2053">
      <x:c r="A2053"/>
      <x:c r="B2053"/>
      <x:c r="C2053"/>
      <x:c r="D2053" t="str">
        <x:f>IFERROR(IF(2051&lt;=$O$1,INDEX($A$3:$A$168,MATCH(2051,$I$3:$I$168,0)),IF(2051&lt;=$O$1+$O$2,INDEX($F$3:$F$1994,MATCH(2051-$O$1,$G$3:$G$1994,0)),"")),"")</x:f>
      </x:c>
      <x:c r="E2053"/>
      <x:c r="F2053"/>
      <x:c r="G2053"/>
      <x:c r="H2053"/>
      <x:c r="I2053"/>
      <x:c r="J2053"/>
      <x:c r="K2053"/>
      <x:c r="L2053"/>
      <x:c r="M2053"/>
      <x:c r="N2053"/>
    </x:row>
    <x:row r="2054">
      <x:c r="A2054"/>
      <x:c r="B2054"/>
      <x:c r="C2054"/>
      <x:c r="D2054" t="str">
        <x:f>IFERROR(IF(2052&lt;=$O$1,INDEX($A$3:$A$168,MATCH(2052,$I$3:$I$168,0)),IF(2052&lt;=$O$1+$O$2,INDEX($F$3:$F$1994,MATCH(2052-$O$1,$G$3:$G$1994,0)),"")),"")</x:f>
      </x:c>
      <x:c r="E2054"/>
      <x:c r="F2054"/>
      <x:c r="G2054"/>
      <x:c r="H2054"/>
      <x:c r="I2054"/>
      <x:c r="J2054"/>
      <x:c r="K2054"/>
      <x:c r="L2054"/>
      <x:c r="M2054"/>
      <x:c r="N2054"/>
    </x:row>
    <x:row r="2055">
      <x:c r="A2055"/>
      <x:c r="B2055"/>
      <x:c r="C2055"/>
      <x:c r="D2055" t="str">
        <x:f>IFERROR(IF(2053&lt;=$O$1,INDEX($A$3:$A$168,MATCH(2053,$I$3:$I$168,0)),IF(2053&lt;=$O$1+$O$2,INDEX($F$3:$F$1994,MATCH(2053-$O$1,$G$3:$G$1994,0)),"")),"")</x:f>
      </x:c>
      <x:c r="E2055"/>
      <x:c r="F2055"/>
      <x:c r="G2055"/>
      <x:c r="H2055"/>
      <x:c r="I2055"/>
      <x:c r="J2055"/>
      <x:c r="K2055"/>
      <x:c r="L2055"/>
      <x:c r="M2055"/>
      <x:c r="N2055"/>
    </x:row>
    <x:row r="2056">
      <x:c r="A2056"/>
      <x:c r="B2056"/>
      <x:c r="C2056"/>
      <x:c r="D2056" t="str">
        <x:f>IFERROR(IF(2054&lt;=$O$1,INDEX($A$3:$A$168,MATCH(2054,$I$3:$I$168,0)),IF(2054&lt;=$O$1+$O$2,INDEX($F$3:$F$1994,MATCH(2054-$O$1,$G$3:$G$1994,0)),"")),"")</x:f>
      </x:c>
      <x:c r="E2056"/>
      <x:c r="F2056"/>
      <x:c r="G2056"/>
      <x:c r="H2056"/>
      <x:c r="I2056"/>
      <x:c r="J2056"/>
      <x:c r="K2056"/>
      <x:c r="L2056"/>
      <x:c r="M2056"/>
      <x:c r="N2056"/>
    </x:row>
    <x:row r="2057">
      <x:c r="A2057"/>
      <x:c r="B2057"/>
      <x:c r="C2057"/>
      <x:c r="D2057" t="str">
        <x:f>IFERROR(IF(2055&lt;=$O$1,INDEX($A$3:$A$168,MATCH(2055,$I$3:$I$168,0)),IF(2055&lt;=$O$1+$O$2,INDEX($F$3:$F$1994,MATCH(2055-$O$1,$G$3:$G$1994,0)),"")),"")</x:f>
      </x:c>
      <x:c r="E2057"/>
      <x:c r="F2057"/>
      <x:c r="G2057"/>
      <x:c r="H2057"/>
      <x:c r="I2057"/>
      <x:c r="J2057"/>
      <x:c r="K2057"/>
      <x:c r="L2057"/>
      <x:c r="M2057"/>
      <x:c r="N2057"/>
    </x:row>
    <x:row r="2058">
      <x:c r="A2058"/>
      <x:c r="B2058"/>
      <x:c r="C2058"/>
      <x:c r="D2058" t="str">
        <x:f>IFERROR(IF(2056&lt;=$O$1,INDEX($A$3:$A$168,MATCH(2056,$I$3:$I$168,0)),IF(2056&lt;=$O$1+$O$2,INDEX($F$3:$F$1994,MATCH(2056-$O$1,$G$3:$G$1994,0)),"")),"")</x:f>
      </x:c>
      <x:c r="E2058"/>
      <x:c r="F2058"/>
      <x:c r="G2058"/>
      <x:c r="H2058"/>
      <x:c r="I2058"/>
      <x:c r="J2058"/>
      <x:c r="K2058"/>
      <x:c r="L2058"/>
      <x:c r="M2058"/>
      <x:c r="N2058"/>
    </x:row>
    <x:row r="2059">
      <x:c r="A2059"/>
      <x:c r="B2059"/>
      <x:c r="C2059"/>
      <x:c r="D2059" t="str">
        <x:f>IFERROR(IF(2057&lt;=$O$1,INDEX($A$3:$A$168,MATCH(2057,$I$3:$I$168,0)),IF(2057&lt;=$O$1+$O$2,INDEX($F$3:$F$1994,MATCH(2057-$O$1,$G$3:$G$1994,0)),"")),"")</x:f>
      </x:c>
      <x:c r="E2059"/>
      <x:c r="F2059"/>
      <x:c r="G2059"/>
      <x:c r="H2059"/>
      <x:c r="I2059"/>
      <x:c r="J2059"/>
      <x:c r="K2059"/>
      <x:c r="L2059"/>
      <x:c r="M2059"/>
      <x:c r="N2059"/>
    </x:row>
    <x:row r="2060">
      <x:c r="A2060"/>
      <x:c r="B2060"/>
      <x:c r="C2060"/>
      <x:c r="D2060" t="str">
        <x:f>IFERROR(IF(2058&lt;=$O$1,INDEX($A$3:$A$168,MATCH(2058,$I$3:$I$168,0)),IF(2058&lt;=$O$1+$O$2,INDEX($F$3:$F$1994,MATCH(2058-$O$1,$G$3:$G$1994,0)),"")),"")</x:f>
      </x:c>
      <x:c r="E2060"/>
      <x:c r="F2060"/>
      <x:c r="G2060"/>
      <x:c r="H2060"/>
      <x:c r="I2060"/>
      <x:c r="J2060"/>
      <x:c r="K2060"/>
      <x:c r="L2060"/>
      <x:c r="M2060"/>
      <x:c r="N2060"/>
    </x:row>
    <x:row r="2061">
      <x:c r="A2061"/>
      <x:c r="B2061"/>
      <x:c r="C2061"/>
      <x:c r="D2061" t="str">
        <x:f>IFERROR(IF(2059&lt;=$O$1,INDEX($A$3:$A$168,MATCH(2059,$I$3:$I$168,0)),IF(2059&lt;=$O$1+$O$2,INDEX($F$3:$F$1994,MATCH(2059-$O$1,$G$3:$G$1994,0)),"")),"")</x:f>
      </x:c>
      <x:c r="E2061"/>
      <x:c r="F2061"/>
      <x:c r="G2061"/>
      <x:c r="H2061"/>
      <x:c r="I2061"/>
      <x:c r="J2061"/>
      <x:c r="K2061"/>
      <x:c r="L2061"/>
      <x:c r="M2061"/>
      <x:c r="N2061"/>
    </x:row>
    <x:row r="2062">
      <x:c r="A2062"/>
      <x:c r="B2062"/>
      <x:c r="C2062"/>
      <x:c r="D2062" t="str">
        <x:f>IFERROR(IF(2060&lt;=$O$1,INDEX($A$3:$A$168,MATCH(2060,$I$3:$I$168,0)),IF(2060&lt;=$O$1+$O$2,INDEX($F$3:$F$1994,MATCH(2060-$O$1,$G$3:$G$1994,0)),"")),"")</x:f>
      </x:c>
      <x:c r="E2062"/>
      <x:c r="F2062"/>
      <x:c r="G2062"/>
      <x:c r="H2062"/>
      <x:c r="I2062"/>
      <x:c r="J2062"/>
      <x:c r="K2062"/>
      <x:c r="L2062"/>
      <x:c r="M2062"/>
      <x:c r="N2062"/>
    </x:row>
    <x:row r="2063">
      <x:c r="A2063"/>
      <x:c r="B2063"/>
      <x:c r="C2063"/>
      <x:c r="D2063" t="str">
        <x:f>IFERROR(IF(2061&lt;=$O$1,INDEX($A$3:$A$168,MATCH(2061,$I$3:$I$168,0)),IF(2061&lt;=$O$1+$O$2,INDEX($F$3:$F$1994,MATCH(2061-$O$1,$G$3:$G$1994,0)),"")),"")</x:f>
      </x:c>
      <x:c r="E2063"/>
      <x:c r="F2063"/>
      <x:c r="G2063"/>
      <x:c r="H2063"/>
      <x:c r="I2063"/>
      <x:c r="J2063"/>
      <x:c r="K2063"/>
      <x:c r="L2063"/>
      <x:c r="M2063"/>
      <x:c r="N2063"/>
    </x:row>
    <x:row r="2064">
      <x:c r="A2064"/>
      <x:c r="B2064"/>
      <x:c r="C2064"/>
      <x:c r="D2064" t="str">
        <x:f>IFERROR(IF(2062&lt;=$O$1,INDEX($A$3:$A$168,MATCH(2062,$I$3:$I$168,0)),IF(2062&lt;=$O$1+$O$2,INDEX($F$3:$F$1994,MATCH(2062-$O$1,$G$3:$G$1994,0)),"")),"")</x:f>
      </x:c>
      <x:c r="E2064"/>
      <x:c r="F2064"/>
      <x:c r="G2064"/>
      <x:c r="H2064"/>
      <x:c r="I2064"/>
      <x:c r="J2064"/>
      <x:c r="K2064"/>
      <x:c r="L2064"/>
      <x:c r="M2064"/>
      <x:c r="N2064"/>
    </x:row>
    <x:row r="2065">
      <x:c r="A2065"/>
      <x:c r="B2065"/>
      <x:c r="C2065"/>
      <x:c r="D2065" t="str">
        <x:f>IFERROR(IF(2063&lt;=$O$1,INDEX($A$3:$A$168,MATCH(2063,$I$3:$I$168,0)),IF(2063&lt;=$O$1+$O$2,INDEX($F$3:$F$1994,MATCH(2063-$O$1,$G$3:$G$1994,0)),"")),"")</x:f>
      </x:c>
      <x:c r="E2065"/>
      <x:c r="F2065"/>
      <x:c r="G2065"/>
      <x:c r="H2065"/>
      <x:c r="I2065"/>
      <x:c r="J2065"/>
      <x:c r="K2065"/>
      <x:c r="L2065"/>
      <x:c r="M2065"/>
      <x:c r="N2065"/>
    </x:row>
    <x:row r="2066">
      <x:c r="A2066"/>
      <x:c r="B2066"/>
      <x:c r="C2066"/>
      <x:c r="D2066" t="str">
        <x:f>IFERROR(IF(2064&lt;=$O$1,INDEX($A$3:$A$168,MATCH(2064,$I$3:$I$168,0)),IF(2064&lt;=$O$1+$O$2,INDEX($F$3:$F$1994,MATCH(2064-$O$1,$G$3:$G$1994,0)),"")),"")</x:f>
      </x:c>
      <x:c r="E2066"/>
      <x:c r="F2066"/>
      <x:c r="G2066"/>
      <x:c r="H2066"/>
      <x:c r="I2066"/>
      <x:c r="J2066"/>
      <x:c r="K2066"/>
      <x:c r="L2066"/>
      <x:c r="M2066"/>
      <x:c r="N2066"/>
    </x:row>
    <x:row r="2067">
      <x:c r="A2067"/>
      <x:c r="B2067"/>
      <x:c r="C2067"/>
      <x:c r="D2067" t="str">
        <x:f>IFERROR(IF(2065&lt;=$O$1,INDEX($A$3:$A$168,MATCH(2065,$I$3:$I$168,0)),IF(2065&lt;=$O$1+$O$2,INDEX($F$3:$F$1994,MATCH(2065-$O$1,$G$3:$G$1994,0)),"")),"")</x:f>
      </x:c>
      <x:c r="E2067"/>
      <x:c r="F2067"/>
      <x:c r="G2067"/>
      <x:c r="H2067"/>
      <x:c r="I2067"/>
      <x:c r="J2067"/>
      <x:c r="K2067"/>
      <x:c r="L2067"/>
      <x:c r="M2067"/>
      <x:c r="N2067"/>
    </x:row>
    <x:row r="2068">
      <x:c r="A2068"/>
      <x:c r="B2068"/>
      <x:c r="C2068"/>
      <x:c r="D2068" t="str">
        <x:f>IFERROR(IF(2066&lt;=$O$1,INDEX($A$3:$A$168,MATCH(2066,$I$3:$I$168,0)),IF(2066&lt;=$O$1+$O$2,INDEX($F$3:$F$1994,MATCH(2066-$O$1,$G$3:$G$1994,0)),"")),"")</x:f>
      </x:c>
      <x:c r="E2068"/>
      <x:c r="F2068"/>
      <x:c r="G2068"/>
      <x:c r="H2068"/>
      <x:c r="I2068"/>
      <x:c r="J2068"/>
      <x:c r="K2068"/>
      <x:c r="L2068"/>
      <x:c r="M2068"/>
      <x:c r="N2068"/>
    </x:row>
    <x:row r="2069">
      <x:c r="A2069"/>
      <x:c r="B2069"/>
      <x:c r="C2069"/>
      <x:c r="D2069" t="str">
        <x:f>IFERROR(IF(2067&lt;=$O$1,INDEX($A$3:$A$168,MATCH(2067,$I$3:$I$168,0)),IF(2067&lt;=$O$1+$O$2,INDEX($F$3:$F$1994,MATCH(2067-$O$1,$G$3:$G$1994,0)),"")),"")</x:f>
      </x:c>
      <x:c r="E2069"/>
      <x:c r="F2069"/>
      <x:c r="G2069"/>
      <x:c r="H2069"/>
      <x:c r="I2069"/>
      <x:c r="J2069"/>
      <x:c r="K2069"/>
      <x:c r="L2069"/>
      <x:c r="M2069"/>
      <x:c r="N2069"/>
    </x:row>
    <x:row r="2070">
      <x:c r="A2070"/>
      <x:c r="B2070"/>
      <x:c r="C2070"/>
      <x:c r="D2070" t="str">
        <x:f>IFERROR(IF(2068&lt;=$O$1,INDEX($A$3:$A$168,MATCH(2068,$I$3:$I$168,0)),IF(2068&lt;=$O$1+$O$2,INDEX($F$3:$F$1994,MATCH(2068-$O$1,$G$3:$G$1994,0)),"")),"")</x:f>
      </x:c>
      <x:c r="E2070"/>
      <x:c r="F2070"/>
      <x:c r="G2070"/>
      <x:c r="H2070"/>
      <x:c r="I2070"/>
      <x:c r="J2070"/>
      <x:c r="K2070"/>
      <x:c r="L2070"/>
      <x:c r="M2070"/>
      <x:c r="N2070"/>
    </x:row>
    <x:row r="2071">
      <x:c r="A2071"/>
      <x:c r="B2071"/>
      <x:c r="C2071"/>
      <x:c r="D2071" t="str">
        <x:f>IFERROR(IF(2069&lt;=$O$1,INDEX($A$3:$A$168,MATCH(2069,$I$3:$I$168,0)),IF(2069&lt;=$O$1+$O$2,INDEX($F$3:$F$1994,MATCH(2069-$O$1,$G$3:$G$1994,0)),"")),"")</x:f>
      </x:c>
      <x:c r="E2071"/>
      <x:c r="F2071"/>
      <x:c r="G2071"/>
      <x:c r="H2071"/>
      <x:c r="I2071"/>
      <x:c r="J2071"/>
      <x:c r="K2071"/>
      <x:c r="L2071"/>
      <x:c r="M2071"/>
      <x:c r="N2071"/>
    </x:row>
    <x:row r="2072">
      <x:c r="A2072"/>
      <x:c r="B2072"/>
      <x:c r="C2072"/>
      <x:c r="D2072" t="str">
        <x:f>IFERROR(IF(2070&lt;=$O$1,INDEX($A$3:$A$168,MATCH(2070,$I$3:$I$168,0)),IF(2070&lt;=$O$1+$O$2,INDEX($F$3:$F$1994,MATCH(2070-$O$1,$G$3:$G$1994,0)),"")),"")</x:f>
      </x:c>
      <x:c r="E2072"/>
      <x:c r="F2072"/>
      <x:c r="G2072"/>
      <x:c r="H2072"/>
      <x:c r="I2072"/>
      <x:c r="J2072"/>
      <x:c r="K2072"/>
      <x:c r="L2072"/>
      <x:c r="M2072"/>
      <x:c r="N2072"/>
    </x:row>
    <x:row r="2073">
      <x:c r="A2073"/>
      <x:c r="B2073"/>
      <x:c r="C2073"/>
      <x:c r="D2073" t="str">
        <x:f>IFERROR(IF(2071&lt;=$O$1,INDEX($A$3:$A$168,MATCH(2071,$I$3:$I$168,0)),IF(2071&lt;=$O$1+$O$2,INDEX($F$3:$F$1994,MATCH(2071-$O$1,$G$3:$G$1994,0)),"")),"")</x:f>
      </x:c>
      <x:c r="E2073"/>
      <x:c r="F2073"/>
      <x:c r="G2073"/>
      <x:c r="H2073"/>
      <x:c r="I2073"/>
      <x:c r="J2073"/>
      <x:c r="K2073"/>
      <x:c r="L2073"/>
      <x:c r="M2073"/>
      <x:c r="N2073"/>
    </x:row>
    <x:row r="2074">
      <x:c r="A2074"/>
      <x:c r="B2074"/>
      <x:c r="C2074"/>
      <x:c r="D2074" t="str">
        <x:f>IFERROR(IF(2072&lt;=$O$1,INDEX($A$3:$A$168,MATCH(2072,$I$3:$I$168,0)),IF(2072&lt;=$O$1+$O$2,INDEX($F$3:$F$1994,MATCH(2072-$O$1,$G$3:$G$1994,0)),"")),"")</x:f>
      </x:c>
      <x:c r="E2074"/>
      <x:c r="F2074"/>
      <x:c r="G2074"/>
      <x:c r="H2074"/>
      <x:c r="I2074"/>
      <x:c r="J2074"/>
      <x:c r="K2074"/>
      <x:c r="L2074"/>
      <x:c r="M2074"/>
      <x:c r="N2074"/>
    </x:row>
    <x:row r="2075">
      <x:c r="A2075"/>
      <x:c r="B2075"/>
      <x:c r="C2075"/>
      <x:c r="D2075" t="str">
        <x:f>IFERROR(IF(2073&lt;=$O$1,INDEX($A$3:$A$168,MATCH(2073,$I$3:$I$168,0)),IF(2073&lt;=$O$1+$O$2,INDEX($F$3:$F$1994,MATCH(2073-$O$1,$G$3:$G$1994,0)),"")),"")</x:f>
      </x:c>
      <x:c r="E2075"/>
      <x:c r="F2075"/>
      <x:c r="G2075"/>
      <x:c r="H2075"/>
      <x:c r="I2075"/>
      <x:c r="J2075"/>
      <x:c r="K2075"/>
      <x:c r="L2075"/>
      <x:c r="M2075"/>
      <x:c r="N2075"/>
    </x:row>
    <x:row r="2076">
      <x:c r="A2076"/>
      <x:c r="B2076"/>
      <x:c r="C2076"/>
      <x:c r="D2076" t="str">
        <x:f>IFERROR(IF(2074&lt;=$O$1,INDEX($A$3:$A$168,MATCH(2074,$I$3:$I$168,0)),IF(2074&lt;=$O$1+$O$2,INDEX($F$3:$F$1994,MATCH(2074-$O$1,$G$3:$G$1994,0)),"")),"")</x:f>
      </x:c>
      <x:c r="E2076"/>
      <x:c r="F2076"/>
      <x:c r="G2076"/>
      <x:c r="H2076"/>
      <x:c r="I2076"/>
      <x:c r="J2076"/>
      <x:c r="K2076"/>
      <x:c r="L2076"/>
      <x:c r="M2076"/>
      <x:c r="N2076"/>
    </x:row>
    <x:row r="2077">
      <x:c r="A2077"/>
      <x:c r="B2077"/>
      <x:c r="C2077"/>
      <x:c r="D2077" t="str">
        <x:f>IFERROR(IF(2075&lt;=$O$1,INDEX($A$3:$A$168,MATCH(2075,$I$3:$I$168,0)),IF(2075&lt;=$O$1+$O$2,INDEX($F$3:$F$1994,MATCH(2075-$O$1,$G$3:$G$1994,0)),"")),"")</x:f>
      </x:c>
      <x:c r="E2077"/>
      <x:c r="F2077"/>
      <x:c r="G2077"/>
      <x:c r="H2077"/>
      <x:c r="I2077"/>
      <x:c r="J2077"/>
      <x:c r="K2077"/>
      <x:c r="L2077"/>
      <x:c r="M2077"/>
      <x:c r="N2077"/>
    </x:row>
    <x:row r="2078">
      <x:c r="A2078"/>
      <x:c r="B2078"/>
      <x:c r="C2078"/>
      <x:c r="D2078" t="str">
        <x:f>IFERROR(IF(2076&lt;=$O$1,INDEX($A$3:$A$168,MATCH(2076,$I$3:$I$168,0)),IF(2076&lt;=$O$1+$O$2,INDEX($F$3:$F$1994,MATCH(2076-$O$1,$G$3:$G$1994,0)),"")),"")</x:f>
      </x:c>
      <x:c r="E2078"/>
      <x:c r="F2078"/>
      <x:c r="G2078"/>
      <x:c r="H2078"/>
      <x:c r="I2078"/>
      <x:c r="J2078"/>
      <x:c r="K2078"/>
      <x:c r="L2078"/>
      <x:c r="M2078"/>
      <x:c r="N2078"/>
    </x:row>
    <x:row r="2079">
      <x:c r="A2079"/>
      <x:c r="B2079"/>
      <x:c r="C2079"/>
      <x:c r="D2079" t="str">
        <x:f>IFERROR(IF(2077&lt;=$O$1,INDEX($A$3:$A$168,MATCH(2077,$I$3:$I$168,0)),IF(2077&lt;=$O$1+$O$2,INDEX($F$3:$F$1994,MATCH(2077-$O$1,$G$3:$G$1994,0)),"")),"")</x:f>
      </x:c>
      <x:c r="E2079"/>
      <x:c r="F2079"/>
      <x:c r="G2079"/>
      <x:c r="H2079"/>
      <x:c r="I2079"/>
      <x:c r="J2079"/>
      <x:c r="K2079"/>
      <x:c r="L2079"/>
      <x:c r="M2079"/>
      <x:c r="N2079"/>
    </x:row>
    <x:row r="2080">
      <x:c r="A2080"/>
      <x:c r="B2080"/>
      <x:c r="C2080"/>
      <x:c r="D2080" t="str">
        <x:f>IFERROR(IF(2078&lt;=$O$1,INDEX($A$3:$A$168,MATCH(2078,$I$3:$I$168,0)),IF(2078&lt;=$O$1+$O$2,INDEX($F$3:$F$1994,MATCH(2078-$O$1,$G$3:$G$1994,0)),"")),"")</x:f>
      </x:c>
      <x:c r="E2080"/>
      <x:c r="F2080"/>
      <x:c r="G2080"/>
      <x:c r="H2080"/>
      <x:c r="I2080"/>
      <x:c r="J2080"/>
      <x:c r="K2080"/>
      <x:c r="L2080"/>
      <x:c r="M2080"/>
      <x:c r="N2080"/>
    </x:row>
    <x:row r="2081">
      <x:c r="A2081"/>
      <x:c r="B2081"/>
      <x:c r="C2081"/>
      <x:c r="D2081" t="str">
        <x:f>IFERROR(IF(2079&lt;=$O$1,INDEX($A$3:$A$168,MATCH(2079,$I$3:$I$168,0)),IF(2079&lt;=$O$1+$O$2,INDEX($F$3:$F$1994,MATCH(2079-$O$1,$G$3:$G$1994,0)),"")),"")</x:f>
      </x:c>
      <x:c r="E2081"/>
      <x:c r="F2081"/>
      <x:c r="G2081"/>
      <x:c r="H2081"/>
      <x:c r="I2081"/>
      <x:c r="J2081"/>
      <x:c r="K2081"/>
      <x:c r="L2081"/>
      <x:c r="M2081"/>
      <x:c r="N2081"/>
    </x:row>
    <x:row r="2082">
      <x:c r="A2082"/>
      <x:c r="B2082"/>
      <x:c r="C2082"/>
      <x:c r="D2082" t="str">
        <x:f>IFERROR(IF(2080&lt;=$O$1,INDEX($A$3:$A$168,MATCH(2080,$I$3:$I$168,0)),IF(2080&lt;=$O$1+$O$2,INDEX($F$3:$F$1994,MATCH(2080-$O$1,$G$3:$G$1994,0)),"")),"")</x:f>
      </x:c>
      <x:c r="E2082"/>
      <x:c r="F2082"/>
      <x:c r="G2082"/>
      <x:c r="H2082"/>
      <x:c r="I2082"/>
      <x:c r="J2082"/>
      <x:c r="K2082"/>
      <x:c r="L2082"/>
      <x:c r="M2082"/>
      <x:c r="N2082"/>
    </x:row>
    <x:row r="2083">
      <x:c r="A2083"/>
      <x:c r="B2083"/>
      <x:c r="C2083"/>
      <x:c r="D2083" t="str">
        <x:f>IFERROR(IF(2081&lt;=$O$1,INDEX($A$3:$A$168,MATCH(2081,$I$3:$I$168,0)),IF(2081&lt;=$O$1+$O$2,INDEX($F$3:$F$1994,MATCH(2081-$O$1,$G$3:$G$1994,0)),"")),"")</x:f>
      </x:c>
      <x:c r="E2083"/>
      <x:c r="F2083"/>
      <x:c r="G2083"/>
      <x:c r="H2083"/>
      <x:c r="I2083"/>
      <x:c r="J2083"/>
      <x:c r="K2083"/>
      <x:c r="L2083"/>
      <x:c r="M2083"/>
      <x:c r="N2083"/>
    </x:row>
    <x:row r="2084">
      <x:c r="A2084"/>
      <x:c r="B2084"/>
      <x:c r="C2084"/>
      <x:c r="D2084" t="str">
        <x:f>IFERROR(IF(2082&lt;=$O$1,INDEX($A$3:$A$168,MATCH(2082,$I$3:$I$168,0)),IF(2082&lt;=$O$1+$O$2,INDEX($F$3:$F$1994,MATCH(2082-$O$1,$G$3:$G$1994,0)),"")),"")</x:f>
      </x:c>
      <x:c r="E2084"/>
      <x:c r="F2084"/>
      <x:c r="G2084"/>
      <x:c r="H2084"/>
      <x:c r="I2084"/>
      <x:c r="J2084"/>
      <x:c r="K2084"/>
      <x:c r="L2084"/>
      <x:c r="M2084"/>
      <x:c r="N2084"/>
    </x:row>
    <x:row r="2085">
      <x:c r="A2085"/>
      <x:c r="B2085"/>
      <x:c r="C2085"/>
      <x:c r="D2085" t="str">
        <x:f>IFERROR(IF(2083&lt;=$O$1,INDEX($A$3:$A$168,MATCH(2083,$I$3:$I$168,0)),IF(2083&lt;=$O$1+$O$2,INDEX($F$3:$F$1994,MATCH(2083-$O$1,$G$3:$G$1994,0)),"")),"")</x:f>
      </x:c>
      <x:c r="E2085"/>
      <x:c r="F2085"/>
      <x:c r="G2085"/>
      <x:c r="H2085"/>
      <x:c r="I2085"/>
      <x:c r="J2085"/>
      <x:c r="K2085"/>
      <x:c r="L2085"/>
      <x:c r="M2085"/>
      <x:c r="N2085"/>
    </x:row>
    <x:row r="2086">
      <x:c r="A2086"/>
      <x:c r="B2086"/>
      <x:c r="C2086"/>
      <x:c r="D2086" t="str">
        <x:f>IFERROR(IF(2084&lt;=$O$1,INDEX($A$3:$A$168,MATCH(2084,$I$3:$I$168,0)),IF(2084&lt;=$O$1+$O$2,INDEX($F$3:$F$1994,MATCH(2084-$O$1,$G$3:$G$1994,0)),"")),"")</x:f>
      </x:c>
      <x:c r="E2086"/>
      <x:c r="F2086"/>
      <x:c r="G2086"/>
      <x:c r="H2086"/>
      <x:c r="I2086"/>
      <x:c r="J2086"/>
      <x:c r="K2086"/>
      <x:c r="L2086"/>
      <x:c r="M2086"/>
      <x:c r="N2086"/>
    </x:row>
    <x:row r="2087">
      <x:c r="A2087"/>
      <x:c r="B2087"/>
      <x:c r="C2087"/>
      <x:c r="D2087" t="str">
        <x:f>IFERROR(IF(2085&lt;=$O$1,INDEX($A$3:$A$168,MATCH(2085,$I$3:$I$168,0)),IF(2085&lt;=$O$1+$O$2,INDEX($F$3:$F$1994,MATCH(2085-$O$1,$G$3:$G$1994,0)),"")),"")</x:f>
      </x:c>
      <x:c r="E2087"/>
      <x:c r="F2087"/>
      <x:c r="G2087"/>
      <x:c r="H2087"/>
      <x:c r="I2087"/>
      <x:c r="J2087"/>
      <x:c r="K2087"/>
      <x:c r="L2087"/>
      <x:c r="M2087"/>
      <x:c r="N2087"/>
    </x:row>
    <x:row r="2088">
      <x:c r="A2088"/>
      <x:c r="B2088"/>
      <x:c r="C2088"/>
      <x:c r="D2088" t="str">
        <x:f>IFERROR(IF(2086&lt;=$O$1,INDEX($A$3:$A$168,MATCH(2086,$I$3:$I$168,0)),IF(2086&lt;=$O$1+$O$2,INDEX($F$3:$F$1994,MATCH(2086-$O$1,$G$3:$G$1994,0)),"")),"")</x:f>
      </x:c>
      <x:c r="E2088"/>
      <x:c r="F2088"/>
      <x:c r="G2088"/>
      <x:c r="H2088"/>
      <x:c r="I2088"/>
      <x:c r="J2088"/>
      <x:c r="K2088"/>
      <x:c r="L2088"/>
      <x:c r="M2088"/>
      <x:c r="N2088"/>
    </x:row>
    <x:row r="2089">
      <x:c r="A2089"/>
      <x:c r="B2089"/>
      <x:c r="C2089"/>
      <x:c r="D2089" t="str">
        <x:f>IFERROR(IF(2087&lt;=$O$1,INDEX($A$3:$A$168,MATCH(2087,$I$3:$I$168,0)),IF(2087&lt;=$O$1+$O$2,INDEX($F$3:$F$1994,MATCH(2087-$O$1,$G$3:$G$1994,0)),"")),"")</x:f>
      </x:c>
      <x:c r="E2089"/>
      <x:c r="F2089"/>
      <x:c r="G2089"/>
      <x:c r="H2089"/>
      <x:c r="I2089"/>
      <x:c r="J2089"/>
      <x:c r="K2089"/>
      <x:c r="L2089"/>
      <x:c r="M2089"/>
      <x:c r="N2089"/>
    </x:row>
    <x:row r="2090">
      <x:c r="A2090"/>
      <x:c r="B2090"/>
      <x:c r="C2090"/>
      <x:c r="D2090" t="str">
        <x:f>IFERROR(IF(2088&lt;=$O$1,INDEX($A$3:$A$168,MATCH(2088,$I$3:$I$168,0)),IF(2088&lt;=$O$1+$O$2,INDEX($F$3:$F$1994,MATCH(2088-$O$1,$G$3:$G$1994,0)),"")),"")</x:f>
      </x:c>
      <x:c r="E2090"/>
      <x:c r="F2090"/>
      <x:c r="G2090"/>
      <x:c r="H2090"/>
      <x:c r="I2090"/>
      <x:c r="J2090"/>
      <x:c r="K2090"/>
      <x:c r="L2090"/>
      <x:c r="M2090"/>
      <x:c r="N2090"/>
    </x:row>
    <x:row r="2091">
      <x:c r="A2091"/>
      <x:c r="B2091"/>
      <x:c r="C2091"/>
      <x:c r="D2091" t="str">
        <x:f>IFERROR(IF(2089&lt;=$O$1,INDEX($A$3:$A$168,MATCH(2089,$I$3:$I$168,0)),IF(2089&lt;=$O$1+$O$2,INDEX($F$3:$F$1994,MATCH(2089-$O$1,$G$3:$G$1994,0)),"")),"")</x:f>
      </x:c>
      <x:c r="E2091"/>
      <x:c r="F2091"/>
      <x:c r="G2091"/>
      <x:c r="H2091"/>
      <x:c r="I2091"/>
      <x:c r="J2091"/>
      <x:c r="K2091"/>
      <x:c r="L2091"/>
      <x:c r="M2091"/>
      <x:c r="N2091"/>
    </x:row>
    <x:row r="2092">
      <x:c r="A2092"/>
      <x:c r="B2092"/>
      <x:c r="C2092"/>
      <x:c r="D2092" t="str">
        <x:f>IFERROR(IF(2090&lt;=$O$1,INDEX($A$3:$A$168,MATCH(2090,$I$3:$I$168,0)),IF(2090&lt;=$O$1+$O$2,INDEX($F$3:$F$1994,MATCH(2090-$O$1,$G$3:$G$1994,0)),"")),"")</x:f>
      </x:c>
      <x:c r="E2092"/>
      <x:c r="F2092"/>
      <x:c r="G2092"/>
      <x:c r="H2092"/>
      <x:c r="I2092"/>
      <x:c r="J2092"/>
      <x:c r="K2092"/>
      <x:c r="L2092"/>
      <x:c r="M2092"/>
      <x:c r="N2092"/>
    </x:row>
    <x:row r="2093">
      <x:c r="A2093"/>
      <x:c r="B2093"/>
      <x:c r="C2093"/>
      <x:c r="D2093" t="str">
        <x:f>IFERROR(IF(2091&lt;=$O$1,INDEX($A$3:$A$168,MATCH(2091,$I$3:$I$168,0)),IF(2091&lt;=$O$1+$O$2,INDEX($F$3:$F$1994,MATCH(2091-$O$1,$G$3:$G$1994,0)),"")),"")</x:f>
      </x:c>
      <x:c r="E2093"/>
      <x:c r="F2093"/>
      <x:c r="G2093"/>
      <x:c r="H2093"/>
      <x:c r="I2093"/>
      <x:c r="J2093"/>
      <x:c r="K2093"/>
      <x:c r="L2093"/>
      <x:c r="M2093"/>
      <x:c r="N2093"/>
    </x:row>
    <x:row r="2094">
      <x:c r="A2094"/>
      <x:c r="B2094"/>
      <x:c r="C2094"/>
      <x:c r="D2094" t="str">
        <x:f>IFERROR(IF(2092&lt;=$O$1,INDEX($A$3:$A$168,MATCH(2092,$I$3:$I$168,0)),IF(2092&lt;=$O$1+$O$2,INDEX($F$3:$F$1994,MATCH(2092-$O$1,$G$3:$G$1994,0)),"")),"")</x:f>
      </x:c>
      <x:c r="E2094"/>
      <x:c r="F2094"/>
      <x:c r="G2094"/>
      <x:c r="H2094"/>
      <x:c r="I2094"/>
      <x:c r="J2094"/>
      <x:c r="K2094"/>
      <x:c r="L2094"/>
      <x:c r="M2094"/>
      <x:c r="N2094"/>
    </x:row>
    <x:row r="2095">
      <x:c r="A2095"/>
      <x:c r="B2095"/>
      <x:c r="C2095"/>
      <x:c r="D2095" t="str">
        <x:f>IFERROR(IF(2093&lt;=$O$1,INDEX($A$3:$A$168,MATCH(2093,$I$3:$I$168,0)),IF(2093&lt;=$O$1+$O$2,INDEX($F$3:$F$1994,MATCH(2093-$O$1,$G$3:$G$1994,0)),"")),"")</x:f>
      </x:c>
      <x:c r="E2095"/>
      <x:c r="F2095"/>
      <x:c r="G2095"/>
      <x:c r="H2095"/>
      <x:c r="I2095"/>
      <x:c r="J2095"/>
      <x:c r="K2095"/>
      <x:c r="L2095"/>
      <x:c r="M2095"/>
      <x:c r="N2095"/>
    </x:row>
    <x:row r="2096">
      <x:c r="A2096"/>
      <x:c r="B2096"/>
      <x:c r="C2096"/>
      <x:c r="D2096" t="str">
        <x:f>IFERROR(IF(2094&lt;=$O$1,INDEX($A$3:$A$168,MATCH(2094,$I$3:$I$168,0)),IF(2094&lt;=$O$1+$O$2,INDEX($F$3:$F$1994,MATCH(2094-$O$1,$G$3:$G$1994,0)),"")),"")</x:f>
      </x:c>
      <x:c r="E2096"/>
      <x:c r="F2096"/>
      <x:c r="G2096"/>
      <x:c r="H2096"/>
      <x:c r="I2096"/>
      <x:c r="J2096"/>
      <x:c r="K2096"/>
      <x:c r="L2096"/>
      <x:c r="M2096"/>
      <x:c r="N2096"/>
    </x:row>
    <x:row r="2097">
      <x:c r="A2097"/>
      <x:c r="B2097"/>
      <x:c r="C2097"/>
      <x:c r="D2097" t="str">
        <x:f>IFERROR(IF(2095&lt;=$O$1,INDEX($A$3:$A$168,MATCH(2095,$I$3:$I$168,0)),IF(2095&lt;=$O$1+$O$2,INDEX($F$3:$F$1994,MATCH(2095-$O$1,$G$3:$G$1994,0)),"")),"")</x:f>
      </x:c>
      <x:c r="E2097"/>
      <x:c r="F2097"/>
      <x:c r="G2097"/>
      <x:c r="H2097"/>
      <x:c r="I2097"/>
      <x:c r="J2097"/>
      <x:c r="K2097"/>
      <x:c r="L2097"/>
      <x:c r="M2097"/>
      <x:c r="N2097"/>
    </x:row>
    <x:row r="2098">
      <x:c r="A2098"/>
      <x:c r="B2098"/>
      <x:c r="C2098"/>
      <x:c r="D2098" t="str">
        <x:f>IFERROR(IF(2096&lt;=$O$1,INDEX($A$3:$A$168,MATCH(2096,$I$3:$I$168,0)),IF(2096&lt;=$O$1+$O$2,INDEX($F$3:$F$1994,MATCH(2096-$O$1,$G$3:$G$1994,0)),"")),"")</x:f>
      </x:c>
      <x:c r="E2098"/>
      <x:c r="F2098"/>
      <x:c r="G2098"/>
      <x:c r="H2098"/>
      <x:c r="I2098"/>
      <x:c r="J2098"/>
      <x:c r="K2098"/>
      <x:c r="L2098"/>
      <x:c r="M2098"/>
      <x:c r="N2098"/>
    </x:row>
    <x:row r="2099">
      <x:c r="A2099"/>
      <x:c r="B2099"/>
      <x:c r="C2099"/>
      <x:c r="D2099" t="str">
        <x:f>IFERROR(IF(2097&lt;=$O$1,INDEX($A$3:$A$168,MATCH(2097,$I$3:$I$168,0)),IF(2097&lt;=$O$1+$O$2,INDEX($F$3:$F$1994,MATCH(2097-$O$1,$G$3:$G$1994,0)),"")),"")</x:f>
      </x:c>
      <x:c r="E2099"/>
      <x:c r="F2099"/>
      <x:c r="G2099"/>
      <x:c r="H2099"/>
      <x:c r="I2099"/>
      <x:c r="J2099"/>
      <x:c r="K2099"/>
      <x:c r="L2099"/>
      <x:c r="M2099"/>
      <x:c r="N2099"/>
    </x:row>
    <x:row r="2100">
      <x:c r="A2100"/>
      <x:c r="B2100"/>
      <x:c r="C2100"/>
      <x:c r="D2100" t="str">
        <x:f>IFERROR(IF(2098&lt;=$O$1,INDEX($A$3:$A$168,MATCH(2098,$I$3:$I$168,0)),IF(2098&lt;=$O$1+$O$2,INDEX($F$3:$F$1994,MATCH(2098-$O$1,$G$3:$G$1994,0)),"")),"")</x:f>
      </x:c>
      <x:c r="E2100"/>
      <x:c r="F2100"/>
      <x:c r="G2100"/>
      <x:c r="H2100"/>
      <x:c r="I2100"/>
      <x:c r="J2100"/>
      <x:c r="K2100"/>
      <x:c r="L2100"/>
      <x:c r="M2100"/>
      <x:c r="N2100"/>
    </x:row>
    <x:row r="2101">
      <x:c r="A2101"/>
      <x:c r="B2101"/>
      <x:c r="C2101"/>
      <x:c r="D2101" t="str">
        <x:f>IFERROR(IF(2099&lt;=$O$1,INDEX($A$3:$A$168,MATCH(2099,$I$3:$I$168,0)),IF(2099&lt;=$O$1+$O$2,INDEX($F$3:$F$1994,MATCH(2099-$O$1,$G$3:$G$1994,0)),"")),"")</x:f>
      </x:c>
      <x:c r="E2101"/>
      <x:c r="F2101"/>
      <x:c r="G2101"/>
      <x:c r="H2101"/>
      <x:c r="I2101"/>
      <x:c r="J2101"/>
      <x:c r="K2101"/>
      <x:c r="L2101"/>
      <x:c r="M2101"/>
      <x:c r="N2101"/>
    </x:row>
    <x:row r="2102">
      <x:c r="A2102"/>
      <x:c r="B2102"/>
      <x:c r="C2102"/>
      <x:c r="D2102" t="str">
        <x:f>IFERROR(IF(2100&lt;=$O$1,INDEX($A$3:$A$168,MATCH(2100,$I$3:$I$168,0)),IF(2100&lt;=$O$1+$O$2,INDEX($F$3:$F$1994,MATCH(2100-$O$1,$G$3:$G$1994,0)),"")),"")</x:f>
      </x:c>
      <x:c r="E2102"/>
      <x:c r="F2102"/>
      <x:c r="G2102"/>
      <x:c r="H2102"/>
      <x:c r="I2102"/>
      <x:c r="J2102"/>
      <x:c r="K2102"/>
      <x:c r="L2102"/>
      <x:c r="M2102"/>
      <x:c r="N2102"/>
    </x:row>
    <x:row r="2103">
      <x:c r="A2103"/>
      <x:c r="B2103"/>
      <x:c r="C2103"/>
      <x:c r="D2103" t="str">
        <x:f>IFERROR(IF(2101&lt;=$O$1,INDEX($A$3:$A$168,MATCH(2101,$I$3:$I$168,0)),IF(2101&lt;=$O$1+$O$2,INDEX($F$3:$F$1994,MATCH(2101-$O$1,$G$3:$G$1994,0)),"")),"")</x:f>
      </x:c>
      <x:c r="E2103"/>
      <x:c r="F2103"/>
      <x:c r="G2103"/>
      <x:c r="H2103"/>
      <x:c r="I2103"/>
      <x:c r="J2103"/>
      <x:c r="K2103"/>
      <x:c r="L2103"/>
      <x:c r="M2103"/>
      <x:c r="N2103"/>
    </x:row>
    <x:row r="2104">
      <x:c r="A2104"/>
      <x:c r="B2104"/>
      <x:c r="C2104"/>
      <x:c r="D2104" t="str">
        <x:f>IFERROR(IF(2102&lt;=$O$1,INDEX($A$3:$A$168,MATCH(2102,$I$3:$I$168,0)),IF(2102&lt;=$O$1+$O$2,INDEX($F$3:$F$1994,MATCH(2102-$O$1,$G$3:$G$1994,0)),"")),"")</x:f>
      </x:c>
      <x:c r="E2104"/>
      <x:c r="F2104"/>
      <x:c r="G2104"/>
      <x:c r="H2104"/>
      <x:c r="I2104"/>
      <x:c r="J2104"/>
      <x:c r="K2104"/>
      <x:c r="L2104"/>
      <x:c r="M2104"/>
      <x:c r="N2104"/>
    </x:row>
    <x:row r="2105">
      <x:c r="A2105"/>
      <x:c r="B2105"/>
      <x:c r="C2105"/>
      <x:c r="D2105" t="str">
        <x:f>IFERROR(IF(2103&lt;=$O$1,INDEX($A$3:$A$168,MATCH(2103,$I$3:$I$168,0)),IF(2103&lt;=$O$1+$O$2,INDEX($F$3:$F$1994,MATCH(2103-$O$1,$G$3:$G$1994,0)),"")),"")</x:f>
      </x:c>
      <x:c r="E2105"/>
      <x:c r="F2105"/>
      <x:c r="G2105"/>
      <x:c r="H2105"/>
      <x:c r="I2105"/>
      <x:c r="J2105"/>
      <x:c r="K2105"/>
      <x:c r="L2105"/>
      <x:c r="M2105"/>
      <x:c r="N2105"/>
    </x:row>
    <x:row r="2106">
      <x:c r="A2106"/>
      <x:c r="B2106"/>
      <x:c r="C2106"/>
      <x:c r="D2106" t="str">
        <x:f>IFERROR(IF(2104&lt;=$O$1,INDEX($A$3:$A$168,MATCH(2104,$I$3:$I$168,0)),IF(2104&lt;=$O$1+$O$2,INDEX($F$3:$F$1994,MATCH(2104-$O$1,$G$3:$G$1994,0)),"")),"")</x:f>
      </x:c>
      <x:c r="E2106"/>
      <x:c r="F2106"/>
      <x:c r="G2106"/>
      <x:c r="H2106"/>
      <x:c r="I2106"/>
      <x:c r="J2106"/>
      <x:c r="K2106"/>
      <x:c r="L2106"/>
      <x:c r="M2106"/>
      <x:c r="N2106"/>
    </x:row>
    <x:row r="2107">
      <x:c r="A2107"/>
      <x:c r="B2107"/>
      <x:c r="C2107"/>
      <x:c r="D2107" t="str">
        <x:f>IFERROR(IF(2105&lt;=$O$1,INDEX($A$3:$A$168,MATCH(2105,$I$3:$I$168,0)),IF(2105&lt;=$O$1+$O$2,INDEX($F$3:$F$1994,MATCH(2105-$O$1,$G$3:$G$1994,0)),"")),"")</x:f>
      </x:c>
      <x:c r="E2107"/>
      <x:c r="F2107"/>
      <x:c r="G2107"/>
      <x:c r="H2107"/>
      <x:c r="I2107"/>
      <x:c r="J2107"/>
      <x:c r="K2107"/>
      <x:c r="L2107"/>
      <x:c r="M2107"/>
      <x:c r="N2107"/>
    </x:row>
    <x:row r="2108">
      <x:c r="A2108"/>
      <x:c r="B2108"/>
      <x:c r="C2108"/>
      <x:c r="D2108" t="str">
        <x:f>IFERROR(IF(2106&lt;=$O$1,INDEX($A$3:$A$168,MATCH(2106,$I$3:$I$168,0)),IF(2106&lt;=$O$1+$O$2,INDEX($F$3:$F$1994,MATCH(2106-$O$1,$G$3:$G$1994,0)),"")),"")</x:f>
      </x:c>
      <x:c r="E2108"/>
      <x:c r="F2108"/>
      <x:c r="G2108"/>
      <x:c r="H2108"/>
      <x:c r="I2108"/>
      <x:c r="J2108"/>
      <x:c r="K2108"/>
      <x:c r="L2108"/>
      <x:c r="M2108"/>
      <x:c r="N2108"/>
    </x:row>
    <x:row r="2109">
      <x:c r="A2109"/>
      <x:c r="B2109"/>
      <x:c r="C2109"/>
      <x:c r="D2109" t="str">
        <x:f>IFERROR(IF(2107&lt;=$O$1,INDEX($A$3:$A$168,MATCH(2107,$I$3:$I$168,0)),IF(2107&lt;=$O$1+$O$2,INDEX($F$3:$F$1994,MATCH(2107-$O$1,$G$3:$G$1994,0)),"")),"")</x:f>
      </x:c>
      <x:c r="E2109"/>
      <x:c r="F2109"/>
      <x:c r="G2109"/>
      <x:c r="H2109"/>
      <x:c r="I2109"/>
      <x:c r="J2109"/>
      <x:c r="K2109"/>
      <x:c r="L2109"/>
      <x:c r="M2109"/>
      <x:c r="N2109"/>
    </x:row>
    <x:row r="2110">
      <x:c r="A2110"/>
      <x:c r="B2110"/>
      <x:c r="C2110"/>
      <x:c r="D2110" t="str">
        <x:f>IFERROR(IF(2108&lt;=$O$1,INDEX($A$3:$A$168,MATCH(2108,$I$3:$I$168,0)),IF(2108&lt;=$O$1+$O$2,INDEX($F$3:$F$1994,MATCH(2108-$O$1,$G$3:$G$1994,0)),"")),"")</x:f>
      </x:c>
      <x:c r="E2110"/>
      <x:c r="F2110"/>
      <x:c r="G2110"/>
      <x:c r="H2110"/>
      <x:c r="I2110"/>
      <x:c r="J2110"/>
      <x:c r="K2110"/>
      <x:c r="L2110"/>
      <x:c r="M2110"/>
      <x:c r="N2110"/>
    </x:row>
    <x:row r="2111">
      <x:c r="A2111"/>
      <x:c r="B2111"/>
      <x:c r="C2111"/>
      <x:c r="D2111" t="str">
        <x:f>IFERROR(IF(2109&lt;=$O$1,INDEX($A$3:$A$168,MATCH(2109,$I$3:$I$168,0)),IF(2109&lt;=$O$1+$O$2,INDEX($F$3:$F$1994,MATCH(2109-$O$1,$G$3:$G$1994,0)),"")),"")</x:f>
      </x:c>
      <x:c r="E2111"/>
      <x:c r="F2111"/>
      <x:c r="G2111"/>
      <x:c r="H2111"/>
      <x:c r="I2111"/>
      <x:c r="J2111"/>
      <x:c r="K2111"/>
      <x:c r="L2111"/>
      <x:c r="M2111"/>
      <x:c r="N2111"/>
    </x:row>
    <x:row r="2112">
      <x:c r="A2112"/>
      <x:c r="B2112"/>
      <x:c r="C2112"/>
      <x:c r="D2112" t="str">
        <x:f>IFERROR(IF(2110&lt;=$O$1,INDEX($A$3:$A$168,MATCH(2110,$I$3:$I$168,0)),IF(2110&lt;=$O$1+$O$2,INDEX($F$3:$F$1994,MATCH(2110-$O$1,$G$3:$G$1994,0)),"")),"")</x:f>
      </x:c>
      <x:c r="E2112"/>
      <x:c r="F2112"/>
      <x:c r="G2112"/>
      <x:c r="H2112"/>
      <x:c r="I2112"/>
      <x:c r="J2112"/>
      <x:c r="K2112"/>
      <x:c r="L2112"/>
      <x:c r="M2112"/>
      <x:c r="N2112"/>
    </x:row>
    <x:row r="2113">
      <x:c r="A2113"/>
      <x:c r="B2113"/>
      <x:c r="C2113"/>
      <x:c r="D2113" t="str">
        <x:f>IFERROR(IF(2111&lt;=$O$1,INDEX($A$3:$A$168,MATCH(2111,$I$3:$I$168,0)),IF(2111&lt;=$O$1+$O$2,INDEX($F$3:$F$1994,MATCH(2111-$O$1,$G$3:$G$1994,0)),"")),"")</x:f>
      </x:c>
      <x:c r="E2113"/>
      <x:c r="F2113"/>
      <x:c r="G2113"/>
      <x:c r="H2113"/>
      <x:c r="I2113"/>
      <x:c r="J2113"/>
      <x:c r="K2113"/>
      <x:c r="L2113"/>
      <x:c r="M2113"/>
      <x:c r="N2113"/>
    </x:row>
    <x:row r="2114">
      <x:c r="A2114"/>
      <x:c r="B2114"/>
      <x:c r="C2114"/>
      <x:c r="D2114" t="str">
        <x:f>IFERROR(IF(2112&lt;=$O$1,INDEX($A$3:$A$168,MATCH(2112,$I$3:$I$168,0)),IF(2112&lt;=$O$1+$O$2,INDEX($F$3:$F$1994,MATCH(2112-$O$1,$G$3:$G$1994,0)),"")),"")</x:f>
      </x:c>
      <x:c r="E2114"/>
      <x:c r="F2114"/>
      <x:c r="G2114"/>
      <x:c r="H2114"/>
      <x:c r="I2114"/>
      <x:c r="J2114"/>
      <x:c r="K2114"/>
      <x:c r="L2114"/>
      <x:c r="M2114"/>
      <x:c r="N2114"/>
    </x:row>
    <x:row r="2115">
      <x:c r="A2115"/>
      <x:c r="B2115"/>
      <x:c r="C2115"/>
      <x:c r="D2115" t="str">
        <x:f>IFERROR(IF(2113&lt;=$O$1,INDEX($A$3:$A$168,MATCH(2113,$I$3:$I$168,0)),IF(2113&lt;=$O$1+$O$2,INDEX($F$3:$F$1994,MATCH(2113-$O$1,$G$3:$G$1994,0)),"")),"")</x:f>
      </x:c>
      <x:c r="E2115"/>
      <x:c r="F2115"/>
      <x:c r="G2115"/>
      <x:c r="H2115"/>
      <x:c r="I2115"/>
      <x:c r="J2115"/>
      <x:c r="K2115"/>
      <x:c r="L2115"/>
      <x:c r="M2115"/>
      <x:c r="N2115"/>
    </x:row>
    <x:row r="2116">
      <x:c r="A2116"/>
      <x:c r="B2116"/>
      <x:c r="C2116"/>
      <x:c r="D2116" t="str">
        <x:f>IFERROR(IF(2114&lt;=$O$1,INDEX($A$3:$A$168,MATCH(2114,$I$3:$I$168,0)),IF(2114&lt;=$O$1+$O$2,INDEX($F$3:$F$1994,MATCH(2114-$O$1,$G$3:$G$1994,0)),"")),"")</x:f>
      </x:c>
      <x:c r="E2116"/>
      <x:c r="F2116"/>
      <x:c r="G2116"/>
      <x:c r="H2116"/>
      <x:c r="I2116"/>
      <x:c r="J2116"/>
      <x:c r="K2116"/>
      <x:c r="L2116"/>
      <x:c r="M2116"/>
      <x:c r="N2116"/>
    </x:row>
    <x:row r="2117">
      <x:c r="A2117"/>
      <x:c r="B2117"/>
      <x:c r="C2117"/>
      <x:c r="D2117" t="str">
        <x:f>IFERROR(IF(2115&lt;=$O$1,INDEX($A$3:$A$168,MATCH(2115,$I$3:$I$168,0)),IF(2115&lt;=$O$1+$O$2,INDEX($F$3:$F$1994,MATCH(2115-$O$1,$G$3:$G$1994,0)),"")),"")</x:f>
      </x:c>
      <x:c r="E2117"/>
      <x:c r="F2117"/>
      <x:c r="G2117"/>
      <x:c r="H2117"/>
      <x:c r="I2117"/>
      <x:c r="J2117"/>
      <x:c r="K2117"/>
      <x:c r="L2117"/>
      <x:c r="M2117"/>
      <x:c r="N2117"/>
    </x:row>
    <x:row r="2118">
      <x:c r="A2118"/>
      <x:c r="B2118"/>
      <x:c r="C2118"/>
      <x:c r="D2118" t="str">
        <x:f>IFERROR(IF(2116&lt;=$O$1,INDEX($A$3:$A$168,MATCH(2116,$I$3:$I$168,0)),IF(2116&lt;=$O$1+$O$2,INDEX($F$3:$F$1994,MATCH(2116-$O$1,$G$3:$G$1994,0)),"")),"")</x:f>
      </x:c>
      <x:c r="E2118"/>
      <x:c r="F2118"/>
      <x:c r="G2118"/>
      <x:c r="H2118"/>
      <x:c r="I2118"/>
      <x:c r="J2118"/>
      <x:c r="K2118"/>
      <x:c r="L2118"/>
      <x:c r="M2118"/>
      <x:c r="N2118"/>
    </x:row>
    <x:row r="2119">
      <x:c r="A2119"/>
      <x:c r="B2119"/>
      <x:c r="C2119"/>
      <x:c r="D2119" t="str">
        <x:f>IFERROR(IF(2117&lt;=$O$1,INDEX($A$3:$A$168,MATCH(2117,$I$3:$I$168,0)),IF(2117&lt;=$O$1+$O$2,INDEX($F$3:$F$1994,MATCH(2117-$O$1,$G$3:$G$1994,0)),"")),"")</x:f>
      </x:c>
      <x:c r="E2119"/>
      <x:c r="F2119"/>
      <x:c r="G2119"/>
      <x:c r="H2119"/>
      <x:c r="I2119"/>
      <x:c r="J2119"/>
      <x:c r="K2119"/>
      <x:c r="L2119"/>
      <x:c r="M2119"/>
      <x:c r="N2119"/>
    </x:row>
    <x:row r="2120">
      <x:c r="A2120"/>
      <x:c r="B2120"/>
      <x:c r="C2120"/>
      <x:c r="D2120" t="str">
        <x:f>IFERROR(IF(2118&lt;=$O$1,INDEX($A$3:$A$168,MATCH(2118,$I$3:$I$168,0)),IF(2118&lt;=$O$1+$O$2,INDEX($F$3:$F$1994,MATCH(2118-$O$1,$G$3:$G$1994,0)),"")),"")</x:f>
      </x:c>
      <x:c r="E2120"/>
      <x:c r="F2120"/>
      <x:c r="G2120"/>
      <x:c r="H2120"/>
      <x:c r="I2120"/>
      <x:c r="J2120"/>
      <x:c r="K2120"/>
      <x:c r="L2120"/>
      <x:c r="M2120"/>
      <x:c r="N2120"/>
    </x:row>
    <x:row r="2121">
      <x:c r="A2121"/>
      <x:c r="B2121"/>
      <x:c r="C2121"/>
      <x:c r="D2121" t="str">
        <x:f>IFERROR(IF(2119&lt;=$O$1,INDEX($A$3:$A$168,MATCH(2119,$I$3:$I$168,0)),IF(2119&lt;=$O$1+$O$2,INDEX($F$3:$F$1994,MATCH(2119-$O$1,$G$3:$G$1994,0)),"")),"")</x:f>
      </x:c>
      <x:c r="E2121"/>
      <x:c r="F2121"/>
      <x:c r="G2121"/>
      <x:c r="H2121"/>
      <x:c r="I2121"/>
      <x:c r="J2121"/>
      <x:c r="K2121"/>
      <x:c r="L2121"/>
      <x:c r="M2121"/>
      <x:c r="N2121"/>
    </x:row>
    <x:row r="2122">
      <x:c r="A2122"/>
      <x:c r="B2122"/>
      <x:c r="C2122"/>
      <x:c r="D2122" t="str">
        <x:f>IFERROR(IF(2120&lt;=$O$1,INDEX($A$3:$A$168,MATCH(2120,$I$3:$I$168,0)),IF(2120&lt;=$O$1+$O$2,INDEX($F$3:$F$1994,MATCH(2120-$O$1,$G$3:$G$1994,0)),"")),"")</x:f>
      </x:c>
      <x:c r="E2122"/>
      <x:c r="F2122"/>
      <x:c r="G2122"/>
      <x:c r="H2122"/>
      <x:c r="I2122"/>
      <x:c r="J2122"/>
      <x:c r="K2122"/>
      <x:c r="L2122"/>
      <x:c r="M2122"/>
      <x:c r="N2122"/>
    </x:row>
    <x:row r="2123">
      <x:c r="A2123"/>
      <x:c r="B2123"/>
      <x:c r="C2123"/>
      <x:c r="D2123" t="str">
        <x:f>IFERROR(IF(2121&lt;=$O$1,INDEX($A$3:$A$168,MATCH(2121,$I$3:$I$168,0)),IF(2121&lt;=$O$1+$O$2,INDEX($F$3:$F$1994,MATCH(2121-$O$1,$G$3:$G$1994,0)),"")),"")</x:f>
      </x:c>
      <x:c r="E2123"/>
      <x:c r="F2123"/>
      <x:c r="G2123"/>
      <x:c r="H2123"/>
      <x:c r="I2123"/>
      <x:c r="J2123"/>
      <x:c r="K2123"/>
      <x:c r="L2123"/>
      <x:c r="M2123"/>
      <x:c r="N2123"/>
    </x:row>
    <x:row r="2124">
      <x:c r="A2124"/>
      <x:c r="B2124"/>
      <x:c r="C2124"/>
      <x:c r="D2124" t="str">
        <x:f>IFERROR(IF(2122&lt;=$O$1,INDEX($A$3:$A$168,MATCH(2122,$I$3:$I$168,0)),IF(2122&lt;=$O$1+$O$2,INDEX($F$3:$F$1994,MATCH(2122-$O$1,$G$3:$G$1994,0)),"")),"")</x:f>
      </x:c>
      <x:c r="E2124"/>
      <x:c r="F2124"/>
      <x:c r="G2124"/>
      <x:c r="H2124"/>
      <x:c r="I2124"/>
      <x:c r="J2124"/>
      <x:c r="K2124"/>
      <x:c r="L2124"/>
      <x:c r="M2124"/>
      <x:c r="N2124"/>
    </x:row>
    <x:row r="2125">
      <x:c r="A2125"/>
      <x:c r="B2125"/>
      <x:c r="C2125"/>
      <x:c r="D2125" t="str">
        <x:f>IFERROR(IF(2123&lt;=$O$1,INDEX($A$3:$A$168,MATCH(2123,$I$3:$I$168,0)),IF(2123&lt;=$O$1+$O$2,INDEX($F$3:$F$1994,MATCH(2123-$O$1,$G$3:$G$1994,0)),"")),"")</x:f>
      </x:c>
      <x:c r="E2125"/>
      <x:c r="F2125"/>
      <x:c r="G2125"/>
      <x:c r="H2125"/>
      <x:c r="I2125"/>
      <x:c r="J2125"/>
      <x:c r="K2125"/>
      <x:c r="L2125"/>
      <x:c r="M2125"/>
      <x:c r="N2125"/>
    </x:row>
    <x:row r="2126">
      <x:c r="A2126"/>
      <x:c r="B2126"/>
      <x:c r="C2126"/>
      <x:c r="D2126" t="str">
        <x:f>IFERROR(IF(2124&lt;=$O$1,INDEX($A$3:$A$168,MATCH(2124,$I$3:$I$168,0)),IF(2124&lt;=$O$1+$O$2,INDEX($F$3:$F$1994,MATCH(2124-$O$1,$G$3:$G$1994,0)),"")),"")</x:f>
      </x:c>
      <x:c r="E2126"/>
      <x:c r="F2126"/>
      <x:c r="G2126"/>
      <x:c r="H2126"/>
      <x:c r="I2126"/>
      <x:c r="J2126"/>
      <x:c r="K2126"/>
      <x:c r="L2126"/>
      <x:c r="M2126"/>
      <x:c r="N2126"/>
    </x:row>
    <x:row r="2127">
      <x:c r="A2127"/>
      <x:c r="B2127"/>
      <x:c r="C2127"/>
      <x:c r="D2127" t="str">
        <x:f>IFERROR(IF(2125&lt;=$O$1,INDEX($A$3:$A$168,MATCH(2125,$I$3:$I$168,0)),IF(2125&lt;=$O$1+$O$2,INDEX($F$3:$F$1994,MATCH(2125-$O$1,$G$3:$G$1994,0)),"")),"")</x:f>
      </x:c>
      <x:c r="E2127"/>
      <x:c r="F2127"/>
      <x:c r="G2127"/>
      <x:c r="H2127"/>
      <x:c r="I2127"/>
      <x:c r="J2127"/>
      <x:c r="K2127"/>
      <x:c r="L2127"/>
      <x:c r="M2127"/>
      <x:c r="N2127"/>
    </x:row>
    <x:row r="2128">
      <x:c r="A2128"/>
      <x:c r="B2128"/>
      <x:c r="C2128"/>
      <x:c r="D2128" t="str">
        <x:f>IFERROR(IF(2126&lt;=$O$1,INDEX($A$3:$A$168,MATCH(2126,$I$3:$I$168,0)),IF(2126&lt;=$O$1+$O$2,INDEX($F$3:$F$1994,MATCH(2126-$O$1,$G$3:$G$1994,0)),"")),"")</x:f>
      </x:c>
      <x:c r="E2128"/>
      <x:c r="F2128"/>
      <x:c r="G2128"/>
      <x:c r="H2128"/>
      <x:c r="I2128"/>
      <x:c r="J2128"/>
      <x:c r="K2128"/>
      <x:c r="L2128"/>
      <x:c r="M2128"/>
      <x:c r="N2128"/>
    </x:row>
    <x:row r="2129">
      <x:c r="A2129"/>
      <x:c r="B2129"/>
      <x:c r="C2129"/>
      <x:c r="D2129" t="str">
        <x:f>IFERROR(IF(2127&lt;=$O$1,INDEX($A$3:$A$168,MATCH(2127,$I$3:$I$168,0)),IF(2127&lt;=$O$1+$O$2,INDEX($F$3:$F$1994,MATCH(2127-$O$1,$G$3:$G$1994,0)),"")),"")</x:f>
      </x:c>
      <x:c r="E2129"/>
      <x:c r="F2129"/>
      <x:c r="G2129"/>
      <x:c r="H2129"/>
      <x:c r="I2129"/>
      <x:c r="J2129"/>
      <x:c r="K2129"/>
      <x:c r="L2129"/>
      <x:c r="M2129"/>
      <x:c r="N2129"/>
    </x:row>
    <x:row r="2130">
      <x:c r="A2130"/>
      <x:c r="B2130"/>
      <x:c r="C2130"/>
      <x:c r="D2130" t="str">
        <x:f>IFERROR(IF(2128&lt;=$O$1,INDEX($A$3:$A$168,MATCH(2128,$I$3:$I$168,0)),IF(2128&lt;=$O$1+$O$2,INDEX($F$3:$F$1994,MATCH(2128-$O$1,$G$3:$G$1994,0)),"")),"")</x:f>
      </x:c>
      <x:c r="E2130"/>
      <x:c r="F2130"/>
      <x:c r="G2130"/>
      <x:c r="H2130"/>
      <x:c r="I2130"/>
      <x:c r="J2130"/>
      <x:c r="K2130"/>
      <x:c r="L2130"/>
      <x:c r="M2130"/>
      <x:c r="N2130"/>
    </x:row>
    <x:row r="2131">
      <x:c r="A2131"/>
      <x:c r="B2131"/>
      <x:c r="C2131"/>
      <x:c r="D2131" t="str">
        <x:f>IFERROR(IF(2129&lt;=$O$1,INDEX($A$3:$A$168,MATCH(2129,$I$3:$I$168,0)),IF(2129&lt;=$O$1+$O$2,INDEX($F$3:$F$1994,MATCH(2129-$O$1,$G$3:$G$1994,0)),"")),"")</x:f>
      </x:c>
      <x:c r="E2131"/>
      <x:c r="F2131"/>
      <x:c r="G2131"/>
      <x:c r="H2131"/>
      <x:c r="I2131"/>
      <x:c r="J2131"/>
      <x:c r="K2131"/>
      <x:c r="L2131"/>
      <x:c r="M2131"/>
      <x:c r="N2131"/>
    </x:row>
    <x:row r="2132">
      <x:c r="A2132"/>
      <x:c r="B2132"/>
      <x:c r="C2132"/>
      <x:c r="D2132" t="str">
        <x:f>IFERROR(IF(2130&lt;=$O$1,INDEX($A$3:$A$168,MATCH(2130,$I$3:$I$168,0)),IF(2130&lt;=$O$1+$O$2,INDEX($F$3:$F$1994,MATCH(2130-$O$1,$G$3:$G$1994,0)),"")),"")</x:f>
      </x:c>
      <x:c r="E2132"/>
      <x:c r="F2132"/>
      <x:c r="G2132"/>
      <x:c r="H2132"/>
      <x:c r="I2132"/>
      <x:c r="J2132"/>
      <x:c r="K2132"/>
      <x:c r="L2132"/>
      <x:c r="M2132"/>
      <x:c r="N2132"/>
    </x:row>
    <x:row r="2133">
      <x:c r="A2133"/>
      <x:c r="B2133"/>
      <x:c r="C2133"/>
      <x:c r="D2133" t="str">
        <x:f>IFERROR(IF(2131&lt;=$O$1,INDEX($A$3:$A$168,MATCH(2131,$I$3:$I$168,0)),IF(2131&lt;=$O$1+$O$2,INDEX($F$3:$F$1994,MATCH(2131-$O$1,$G$3:$G$1994,0)),"")),"")</x:f>
      </x:c>
      <x:c r="E2133"/>
      <x:c r="F2133"/>
      <x:c r="G2133"/>
      <x:c r="H2133"/>
      <x:c r="I2133"/>
      <x:c r="J2133"/>
      <x:c r="K2133"/>
      <x:c r="L2133"/>
      <x:c r="M2133"/>
      <x:c r="N2133"/>
    </x:row>
    <x:row r="2134">
      <x:c r="A2134"/>
      <x:c r="B2134"/>
      <x:c r="C2134"/>
      <x:c r="D2134" t="str">
        <x:f>IFERROR(IF(2132&lt;=$O$1,INDEX($A$3:$A$168,MATCH(2132,$I$3:$I$168,0)),IF(2132&lt;=$O$1+$O$2,INDEX($F$3:$F$1994,MATCH(2132-$O$1,$G$3:$G$1994,0)),"")),"")</x:f>
      </x:c>
      <x:c r="E2134"/>
      <x:c r="F2134"/>
      <x:c r="G2134"/>
      <x:c r="H2134"/>
      <x:c r="I2134"/>
      <x:c r="J2134"/>
      <x:c r="K2134"/>
      <x:c r="L2134"/>
      <x:c r="M2134"/>
      <x:c r="N2134"/>
    </x:row>
    <x:row r="2135">
      <x:c r="A2135"/>
      <x:c r="B2135"/>
      <x:c r="C2135"/>
      <x:c r="D2135" t="str">
        <x:f>IFERROR(IF(2133&lt;=$O$1,INDEX($A$3:$A$168,MATCH(2133,$I$3:$I$168,0)),IF(2133&lt;=$O$1+$O$2,INDEX($F$3:$F$1994,MATCH(2133-$O$1,$G$3:$G$1994,0)),"")),"")</x:f>
      </x:c>
      <x:c r="E2135"/>
      <x:c r="F2135"/>
      <x:c r="G2135"/>
      <x:c r="H2135"/>
      <x:c r="I2135"/>
      <x:c r="J2135"/>
      <x:c r="K2135"/>
      <x:c r="L2135"/>
      <x:c r="M2135"/>
      <x:c r="N2135"/>
    </x:row>
    <x:row r="2136">
      <x:c r="A2136"/>
      <x:c r="B2136"/>
      <x:c r="C2136"/>
      <x:c r="D2136" t="str">
        <x:f>IFERROR(IF(2134&lt;=$O$1,INDEX($A$3:$A$168,MATCH(2134,$I$3:$I$168,0)),IF(2134&lt;=$O$1+$O$2,INDEX($F$3:$F$1994,MATCH(2134-$O$1,$G$3:$G$1994,0)),"")),"")</x:f>
      </x:c>
      <x:c r="E2136"/>
      <x:c r="F2136"/>
      <x:c r="G2136"/>
      <x:c r="H2136"/>
      <x:c r="I2136"/>
      <x:c r="J2136"/>
      <x:c r="K2136"/>
      <x:c r="L2136"/>
      <x:c r="M2136"/>
      <x:c r="N2136"/>
    </x:row>
    <x:row r="2137">
      <x:c r="A2137"/>
      <x:c r="B2137"/>
      <x:c r="C2137"/>
      <x:c r="D2137" t="str">
        <x:f>IFERROR(IF(2135&lt;=$O$1,INDEX($A$3:$A$168,MATCH(2135,$I$3:$I$168,0)),IF(2135&lt;=$O$1+$O$2,INDEX($F$3:$F$1994,MATCH(2135-$O$1,$G$3:$G$1994,0)),"")),"")</x:f>
      </x:c>
      <x:c r="E2137"/>
      <x:c r="F2137"/>
      <x:c r="G2137"/>
      <x:c r="H2137"/>
      <x:c r="I2137"/>
      <x:c r="J2137"/>
      <x:c r="K2137"/>
      <x:c r="L2137"/>
      <x:c r="M2137"/>
      <x:c r="N2137"/>
    </x:row>
    <x:row r="2138">
      <x:c r="A2138"/>
      <x:c r="B2138"/>
      <x:c r="C2138"/>
      <x:c r="D2138" t="str">
        <x:f>IFERROR(IF(2136&lt;=$O$1,INDEX($A$3:$A$168,MATCH(2136,$I$3:$I$168,0)),IF(2136&lt;=$O$1+$O$2,INDEX($F$3:$F$1994,MATCH(2136-$O$1,$G$3:$G$1994,0)),"")),"")</x:f>
      </x:c>
      <x:c r="E2138"/>
      <x:c r="F2138"/>
      <x:c r="G2138"/>
      <x:c r="H2138"/>
      <x:c r="I2138"/>
      <x:c r="J2138"/>
      <x:c r="K2138"/>
      <x:c r="L2138"/>
      <x:c r="M2138"/>
      <x:c r="N2138"/>
    </x:row>
    <x:row r="2139">
      <x:c r="A2139"/>
      <x:c r="B2139"/>
      <x:c r="C2139"/>
      <x:c r="D2139" t="str">
        <x:f>IFERROR(IF(2137&lt;=$O$1,INDEX($A$3:$A$168,MATCH(2137,$I$3:$I$168,0)),IF(2137&lt;=$O$1+$O$2,INDEX($F$3:$F$1994,MATCH(2137-$O$1,$G$3:$G$1994,0)),"")),"")</x:f>
      </x:c>
      <x:c r="E2139"/>
      <x:c r="F2139"/>
      <x:c r="G2139"/>
      <x:c r="H2139"/>
      <x:c r="I2139"/>
      <x:c r="J2139"/>
      <x:c r="K2139"/>
      <x:c r="L2139"/>
      <x:c r="M2139"/>
      <x:c r="N2139"/>
    </x:row>
    <x:row r="2140">
      <x:c r="A2140"/>
      <x:c r="B2140"/>
      <x:c r="C2140"/>
      <x:c r="D2140" t="str">
        <x:f>IFERROR(IF(2138&lt;=$O$1,INDEX($A$3:$A$168,MATCH(2138,$I$3:$I$168,0)),IF(2138&lt;=$O$1+$O$2,INDEX($F$3:$F$1994,MATCH(2138-$O$1,$G$3:$G$1994,0)),"")),"")</x:f>
      </x:c>
      <x:c r="E2140"/>
      <x:c r="F2140"/>
      <x:c r="G2140"/>
      <x:c r="H2140"/>
      <x:c r="I2140"/>
      <x:c r="J2140"/>
      <x:c r="K2140"/>
      <x:c r="L2140"/>
      <x:c r="M2140"/>
      <x:c r="N2140"/>
    </x:row>
    <x:row r="2141">
      <x:c r="A2141"/>
      <x:c r="B2141"/>
      <x:c r="C2141"/>
      <x:c r="D2141" t="str">
        <x:f>IFERROR(IF(2139&lt;=$O$1,INDEX($A$3:$A$168,MATCH(2139,$I$3:$I$168,0)),IF(2139&lt;=$O$1+$O$2,INDEX($F$3:$F$1994,MATCH(2139-$O$1,$G$3:$G$1994,0)),"")),"")</x:f>
      </x:c>
      <x:c r="E2141"/>
      <x:c r="F2141"/>
      <x:c r="G2141"/>
      <x:c r="H2141"/>
      <x:c r="I2141"/>
      <x:c r="J2141"/>
      <x:c r="K2141"/>
      <x:c r="L2141"/>
      <x:c r="M2141"/>
      <x:c r="N2141"/>
    </x:row>
    <x:row r="2142">
      <x:c r="A2142"/>
      <x:c r="B2142"/>
      <x:c r="C2142"/>
      <x:c r="D2142" t="str">
        <x:f>IFERROR(IF(2140&lt;=$O$1,INDEX($A$3:$A$168,MATCH(2140,$I$3:$I$168,0)),IF(2140&lt;=$O$1+$O$2,INDEX($F$3:$F$1994,MATCH(2140-$O$1,$G$3:$G$1994,0)),"")),"")</x:f>
      </x:c>
      <x:c r="E2142"/>
      <x:c r="F2142"/>
      <x:c r="G2142"/>
      <x:c r="H2142"/>
      <x:c r="I2142"/>
      <x:c r="J2142"/>
      <x:c r="K2142"/>
      <x:c r="L2142"/>
      <x:c r="M2142"/>
      <x:c r="N2142"/>
    </x:row>
    <x:row r="2143">
      <x:c r="A2143"/>
      <x:c r="B2143"/>
      <x:c r="C2143"/>
      <x:c r="D2143" t="str">
        <x:f>IFERROR(IF(2141&lt;=$O$1,INDEX($A$3:$A$168,MATCH(2141,$I$3:$I$168,0)),IF(2141&lt;=$O$1+$O$2,INDEX($F$3:$F$1994,MATCH(2141-$O$1,$G$3:$G$1994,0)),"")),"")</x:f>
      </x:c>
      <x:c r="E2143"/>
      <x:c r="F2143"/>
      <x:c r="G2143"/>
      <x:c r="H2143"/>
      <x:c r="I2143"/>
      <x:c r="J2143"/>
      <x:c r="K2143"/>
      <x:c r="L2143"/>
      <x:c r="M2143"/>
      <x:c r="N2143"/>
    </x:row>
    <x:row r="2144">
      <x:c r="A2144"/>
      <x:c r="B2144"/>
      <x:c r="C2144"/>
      <x:c r="D2144" t="str">
        <x:f>IFERROR(IF(2142&lt;=$O$1,INDEX($A$3:$A$168,MATCH(2142,$I$3:$I$168,0)),IF(2142&lt;=$O$1+$O$2,INDEX($F$3:$F$1994,MATCH(2142-$O$1,$G$3:$G$1994,0)),"")),"")</x:f>
      </x:c>
      <x:c r="E2144"/>
      <x:c r="F2144"/>
      <x:c r="G2144"/>
      <x:c r="H2144"/>
      <x:c r="I2144"/>
      <x:c r="J2144"/>
      <x:c r="K2144"/>
      <x:c r="L2144"/>
      <x:c r="M2144"/>
      <x:c r="N2144"/>
    </x:row>
    <x:row r="2145">
      <x:c r="A2145"/>
      <x:c r="B2145"/>
      <x:c r="C2145"/>
      <x:c r="D2145" t="str">
        <x:f>IFERROR(IF(2143&lt;=$O$1,INDEX($A$3:$A$168,MATCH(2143,$I$3:$I$168,0)),IF(2143&lt;=$O$1+$O$2,INDEX($F$3:$F$1994,MATCH(2143-$O$1,$G$3:$G$1994,0)),"")),"")</x:f>
      </x:c>
      <x:c r="E2145"/>
      <x:c r="F2145"/>
      <x:c r="G2145"/>
      <x:c r="H2145"/>
      <x:c r="I2145"/>
      <x:c r="J2145"/>
      <x:c r="K2145"/>
      <x:c r="L2145"/>
      <x:c r="M2145"/>
      <x:c r="N2145"/>
    </x:row>
    <x:row r="2146">
      <x:c r="A2146"/>
      <x:c r="B2146"/>
      <x:c r="C2146"/>
      <x:c r="D2146" t="str">
        <x:f>IFERROR(IF(2144&lt;=$O$1,INDEX($A$3:$A$168,MATCH(2144,$I$3:$I$168,0)),IF(2144&lt;=$O$1+$O$2,INDEX($F$3:$F$1994,MATCH(2144-$O$1,$G$3:$G$1994,0)),"")),"")</x:f>
      </x:c>
      <x:c r="E2146"/>
      <x:c r="F2146"/>
      <x:c r="G2146"/>
      <x:c r="H2146"/>
      <x:c r="I2146"/>
      <x:c r="J2146"/>
      <x:c r="K2146"/>
      <x:c r="L2146"/>
      <x:c r="M2146"/>
      <x:c r="N2146"/>
    </x:row>
    <x:row r="2147">
      <x:c r="A2147"/>
      <x:c r="B2147"/>
      <x:c r="C2147"/>
      <x:c r="D2147" t="str">
        <x:f>IFERROR(IF(2145&lt;=$O$1,INDEX($A$3:$A$168,MATCH(2145,$I$3:$I$168,0)),IF(2145&lt;=$O$1+$O$2,INDEX($F$3:$F$1994,MATCH(2145-$O$1,$G$3:$G$1994,0)),"")),"")</x:f>
      </x:c>
      <x:c r="E2147"/>
      <x:c r="F2147"/>
      <x:c r="G2147"/>
      <x:c r="H2147"/>
      <x:c r="I2147"/>
      <x:c r="J2147"/>
      <x:c r="K2147"/>
      <x:c r="L2147"/>
      <x:c r="M2147"/>
      <x:c r="N2147"/>
    </x:row>
    <x:row r="2148">
      <x:c r="A2148"/>
      <x:c r="B2148"/>
      <x:c r="C2148"/>
      <x:c r="D2148" t="str">
        <x:f>IFERROR(IF(2146&lt;=$O$1,INDEX($A$3:$A$168,MATCH(2146,$I$3:$I$168,0)),IF(2146&lt;=$O$1+$O$2,INDEX($F$3:$F$1994,MATCH(2146-$O$1,$G$3:$G$1994,0)),"")),"")</x:f>
      </x:c>
      <x:c r="E2148"/>
      <x:c r="F2148"/>
      <x:c r="G2148"/>
      <x:c r="H2148"/>
      <x:c r="I2148"/>
      <x:c r="J2148"/>
      <x:c r="K2148"/>
      <x:c r="L2148"/>
      <x:c r="M2148"/>
      <x:c r="N2148"/>
    </x:row>
    <x:row r="2149">
      <x:c r="A2149"/>
      <x:c r="B2149"/>
      <x:c r="C2149"/>
      <x:c r="D2149" t="str">
        <x:f>IFERROR(IF(2147&lt;=$O$1,INDEX($A$3:$A$168,MATCH(2147,$I$3:$I$168,0)),IF(2147&lt;=$O$1+$O$2,INDEX($F$3:$F$1994,MATCH(2147-$O$1,$G$3:$G$1994,0)),"")),"")</x:f>
      </x:c>
      <x:c r="E2149"/>
      <x:c r="F2149"/>
      <x:c r="G2149"/>
      <x:c r="H2149"/>
      <x:c r="I2149"/>
      <x:c r="J2149"/>
      <x:c r="K2149"/>
      <x:c r="L2149"/>
      <x:c r="M2149"/>
      <x:c r="N2149"/>
    </x:row>
    <x:row r="2150">
      <x:c r="A2150"/>
      <x:c r="B2150"/>
      <x:c r="C2150"/>
      <x:c r="D2150" t="str">
        <x:f>IFERROR(IF(2148&lt;=$O$1,INDEX($A$3:$A$168,MATCH(2148,$I$3:$I$168,0)),IF(2148&lt;=$O$1+$O$2,INDEX($F$3:$F$1994,MATCH(2148-$O$1,$G$3:$G$1994,0)),"")),"")</x:f>
      </x:c>
      <x:c r="E2150"/>
      <x:c r="F2150"/>
      <x:c r="G2150"/>
      <x:c r="H2150"/>
      <x:c r="I2150"/>
      <x:c r="J2150"/>
      <x:c r="K2150"/>
      <x:c r="L2150"/>
      <x:c r="M2150"/>
      <x:c r="N2150"/>
    </x:row>
    <x:row r="2151">
      <x:c r="A2151"/>
      <x:c r="B2151"/>
      <x:c r="C2151"/>
      <x:c r="D2151" t="str">
        <x:f>IFERROR(IF(2149&lt;=$O$1,INDEX($A$3:$A$168,MATCH(2149,$I$3:$I$168,0)),IF(2149&lt;=$O$1+$O$2,INDEX($F$3:$F$1994,MATCH(2149-$O$1,$G$3:$G$1994,0)),"")),"")</x:f>
      </x:c>
      <x:c r="E2151"/>
      <x:c r="F2151"/>
      <x:c r="G2151"/>
      <x:c r="H2151"/>
      <x:c r="I2151"/>
      <x:c r="J2151"/>
      <x:c r="K2151"/>
      <x:c r="L2151"/>
      <x:c r="M2151"/>
      <x:c r="N2151"/>
    </x:row>
    <x:row r="2152">
      <x:c r="A2152"/>
      <x:c r="B2152"/>
      <x:c r="C2152"/>
      <x:c r="D2152" t="str">
        <x:f>IFERROR(IF(2150&lt;=$O$1,INDEX($A$3:$A$168,MATCH(2150,$I$3:$I$168,0)),IF(2150&lt;=$O$1+$O$2,INDEX($F$3:$F$1994,MATCH(2150-$O$1,$G$3:$G$1994,0)),"")),"")</x:f>
      </x:c>
      <x:c r="E2152"/>
      <x:c r="F2152"/>
      <x:c r="G2152"/>
      <x:c r="H2152"/>
      <x:c r="I2152"/>
      <x:c r="J2152"/>
      <x:c r="K2152"/>
      <x:c r="L2152"/>
      <x:c r="M2152"/>
      <x:c r="N2152"/>
    </x:row>
    <x:row r="2153">
      <x:c r="A2153"/>
      <x:c r="B2153"/>
      <x:c r="C2153"/>
      <x:c r="D2153" t="str">
        <x:f>IFERROR(IF(2151&lt;=$O$1,INDEX($A$3:$A$168,MATCH(2151,$I$3:$I$168,0)),IF(2151&lt;=$O$1+$O$2,INDEX($F$3:$F$1994,MATCH(2151-$O$1,$G$3:$G$1994,0)),"")),"")</x:f>
      </x:c>
      <x:c r="E2153"/>
      <x:c r="F2153"/>
      <x:c r="G2153"/>
      <x:c r="H2153"/>
      <x:c r="I2153"/>
      <x:c r="J2153"/>
      <x:c r="K2153"/>
      <x:c r="L2153"/>
      <x:c r="M2153"/>
      <x:c r="N2153"/>
    </x:row>
    <x:row r="2154">
      <x:c r="A2154"/>
      <x:c r="B2154"/>
      <x:c r="C2154"/>
      <x:c r="D2154" t="str">
        <x:f>IFERROR(IF(2152&lt;=$O$1,INDEX($A$3:$A$168,MATCH(2152,$I$3:$I$168,0)),IF(2152&lt;=$O$1+$O$2,INDEX($F$3:$F$1994,MATCH(2152-$O$1,$G$3:$G$1994,0)),"")),"")</x:f>
      </x:c>
      <x:c r="E2154"/>
      <x:c r="F2154"/>
      <x:c r="G2154"/>
      <x:c r="H2154"/>
      <x:c r="I2154"/>
      <x:c r="J2154"/>
      <x:c r="K2154"/>
      <x:c r="L2154"/>
      <x:c r="M2154"/>
      <x:c r="N2154"/>
    </x:row>
    <x:row r="2155">
      <x:c r="A2155"/>
      <x:c r="B2155"/>
      <x:c r="C2155"/>
      <x:c r="D2155" t="str">
        <x:f>IFERROR(IF(2153&lt;=$O$1,INDEX($A$3:$A$168,MATCH(2153,$I$3:$I$168,0)),IF(2153&lt;=$O$1+$O$2,INDEX($F$3:$F$1994,MATCH(2153-$O$1,$G$3:$G$1994,0)),"")),"")</x:f>
      </x:c>
      <x:c r="E2155"/>
      <x:c r="F2155"/>
      <x:c r="G2155"/>
      <x:c r="H2155"/>
      <x:c r="I2155"/>
      <x:c r="J2155"/>
      <x:c r="K2155"/>
      <x:c r="L2155"/>
      <x:c r="M2155"/>
      <x:c r="N2155"/>
    </x:row>
    <x:row r="2156">
      <x:c r="A2156"/>
      <x:c r="B2156"/>
      <x:c r="C2156"/>
      <x:c r="D2156" t="str">
        <x:f>IFERROR(IF(2154&lt;=$O$1,INDEX($A$3:$A$168,MATCH(2154,$I$3:$I$168,0)),IF(2154&lt;=$O$1+$O$2,INDEX($F$3:$F$1994,MATCH(2154-$O$1,$G$3:$G$1994,0)),"")),"")</x:f>
      </x:c>
      <x:c r="E2156"/>
      <x:c r="F2156"/>
      <x:c r="G2156"/>
      <x:c r="H2156"/>
      <x:c r="I2156"/>
      <x:c r="J2156"/>
      <x:c r="K2156"/>
      <x:c r="L2156"/>
      <x:c r="M2156"/>
      <x:c r="N2156"/>
    </x:row>
    <x:row r="2157">
      <x:c r="A2157"/>
      <x:c r="B2157"/>
      <x:c r="C2157"/>
      <x:c r="D2157" t="str">
        <x:f>IFERROR(IF(2155&lt;=$O$1,INDEX($A$3:$A$168,MATCH(2155,$I$3:$I$168,0)),IF(2155&lt;=$O$1+$O$2,INDEX($F$3:$F$1994,MATCH(2155-$O$1,$G$3:$G$1994,0)),"")),"")</x:f>
      </x:c>
      <x:c r="E2157"/>
      <x:c r="F2157"/>
      <x:c r="G2157"/>
      <x:c r="H2157"/>
      <x:c r="I2157"/>
      <x:c r="J2157"/>
      <x:c r="K2157"/>
      <x:c r="L2157"/>
      <x:c r="M2157"/>
      <x:c r="N2157"/>
    </x:row>
    <x:row r="2158">
      <x:c r="A2158"/>
      <x:c r="B2158"/>
      <x:c r="C2158"/>
      <x:c r="D2158" t="str">
        <x:f>IFERROR(IF(2156&lt;=$O$1,INDEX($A$3:$A$168,MATCH(2156,$I$3:$I$168,0)),IF(2156&lt;=$O$1+$O$2,INDEX($F$3:$F$1994,MATCH(2156-$O$1,$G$3:$G$1994,0)),"")),"")</x:f>
      </x:c>
      <x:c r="E2158"/>
      <x:c r="F2158"/>
      <x:c r="G2158"/>
      <x:c r="H2158"/>
      <x:c r="I2158"/>
      <x:c r="J2158"/>
      <x:c r="K2158"/>
      <x:c r="L2158"/>
      <x:c r="M2158"/>
      <x:c r="N2158"/>
    </x:row>
    <x:row r="2159">
      <x:c r="A2159"/>
      <x:c r="B2159"/>
      <x:c r="C2159"/>
      <x:c r="D2159" t="str">
        <x:f>IFERROR(IF(2157&lt;=$O$1,INDEX($A$3:$A$168,MATCH(2157,$I$3:$I$168,0)),IF(2157&lt;=$O$1+$O$2,INDEX($F$3:$F$1994,MATCH(2157-$O$1,$G$3:$G$1994,0)),"")),"")</x:f>
      </x:c>
      <x:c r="E2159"/>
      <x:c r="F2159"/>
      <x:c r="G2159"/>
      <x:c r="H2159"/>
      <x:c r="I2159"/>
      <x:c r="J2159"/>
      <x:c r="K2159"/>
      <x:c r="L2159"/>
      <x:c r="M2159"/>
      <x:c r="N2159"/>
    </x:row>
    <x:row r="2160">
      <x:c r="A2160"/>
      <x:c r="B2160"/>
      <x:c r="C2160"/>
      <x:c r="D2160" t="str">
        <x:f>IFERROR(IF(2158&lt;=$O$1,INDEX($A$3:$A$168,MATCH(2158,$I$3:$I$168,0)),IF(2158&lt;=$O$1+$O$2,INDEX($F$3:$F$1994,MATCH(2158-$O$1,$G$3:$G$1994,0)),"")),"")</x:f>
      </x:c>
      <x:c r="E2160"/>
      <x:c r="F2160"/>
      <x:c r="G2160"/>
      <x:c r="H2160"/>
      <x:c r="I2160"/>
      <x:c r="J2160"/>
      <x:c r="K2160"/>
      <x:c r="L2160"/>
      <x:c r="M2160"/>
      <x:c r="N2160"/>
    </x:row>
    <x:row r="2161">
      <x:c r="A2161"/>
      <x:c r="B2161"/>
      <x:c r="C2161"/>
      <x:c r="D2161" t="str">
        <x:f>IFERROR(IF(2159&lt;=$O$1,INDEX($A$3:$A$168,MATCH(2159,$I$3:$I$168,0)),IF(2159&lt;=$O$1+$O$2,INDEX($F$3:$F$1994,MATCH(2159-$O$1,$G$3:$G$1994,0)),"")),"")</x:f>
      </x:c>
      <x:c r="E2161"/>
      <x:c r="F2161"/>
      <x:c r="G2161"/>
      <x:c r="H2161"/>
      <x:c r="I2161"/>
      <x:c r="J2161"/>
      <x:c r="K2161"/>
      <x:c r="L2161"/>
      <x:c r="M2161"/>
      <x:c r="N2161"/>
    </x:row>
    <x:row r="2162">
      <x:c r="A2162"/>
      <x:c r="B2162"/>
      <x:c r="C2162"/>
      <x:c r="D2162" t="str">
        <x:f>IFERROR(IF(2160&lt;=$O$1,INDEX($A$3:$A$168,MATCH(2160,$I$3:$I$168,0)),IF(2160&lt;=$O$1+$O$2,INDEX($F$3:$F$1994,MATCH(2160-$O$1,$G$3:$G$1994,0)),"")),"")</x:f>
      </x:c>
      <x:c r="E2162"/>
      <x:c r="F2162"/>
      <x:c r="G2162"/>
      <x:c r="H2162"/>
      <x:c r="I2162"/>
      <x:c r="J2162"/>
      <x:c r="K2162"/>
      <x:c r="L2162"/>
      <x:c r="M2162"/>
      <x:c r="N2162"/>
    </x:row>
    <x:row r="2163">
      <x:c r="A2163"/>
      <x:c r="B2163"/>
      <x:c r="C2163"/>
      <x:c r="D2163" t="str">
        <x:f>IFERROR(IF(2161&lt;=$O$1,INDEX($A$3:$A$168,MATCH(2161,$I$3:$I$168,0)),IF(2161&lt;=$O$1+$O$2,INDEX($F$3:$F$1994,MATCH(2161-$O$1,$G$3:$G$1994,0)),"")),"")</x:f>
      </x:c>
      <x:c r="E2163"/>
      <x:c r="F2163"/>
      <x:c r="G2163"/>
      <x:c r="H2163"/>
      <x:c r="I2163"/>
      <x:c r="J2163"/>
      <x:c r="K2163"/>
      <x:c r="L2163"/>
      <x:c r="M2163"/>
      <x:c r="N2163"/>
    </x:row>
    <x:row r="2164">
      <x:c r="A2164"/>
      <x:c r="B2164"/>
      <x:c r="C2164"/>
      <x:c r="D2164" t="str">
        <x:f>IFERROR(IF(2162&lt;=$O$1,INDEX($A$3:$A$168,MATCH(2162,$I$3:$I$168,0)),IF(2162&lt;=$O$1+$O$2,INDEX($F$3:$F$1994,MATCH(2162-$O$1,$G$3:$G$1994,0)),"")),"")</x:f>
      </x:c>
      <x:c r="E2164"/>
      <x:c r="F2164"/>
      <x:c r="G2164"/>
      <x:c r="H2164"/>
      <x:c r="I2164"/>
      <x:c r="J2164"/>
      <x:c r="K2164"/>
      <x:c r="L2164"/>
      <x:c r="M2164"/>
      <x:c r="N2164"/>
    </x:row>
    <x:row r="2165">
      <x:c r="A2165"/>
      <x:c r="B2165"/>
      <x:c r="C2165"/>
      <x:c r="D2165" t="str">
        <x:f>IFERROR(IF(2163&lt;=$O$1,INDEX($A$3:$A$168,MATCH(2163,$I$3:$I$168,0)),IF(2163&lt;=$O$1+$O$2,INDEX($F$3:$F$1994,MATCH(2163-$O$1,$G$3:$G$1994,0)),"")),"")</x:f>
      </x:c>
      <x:c r="E2165"/>
      <x:c r="F2165"/>
      <x:c r="G2165"/>
      <x:c r="H2165"/>
      <x:c r="I2165"/>
      <x:c r="J2165"/>
      <x:c r="K2165"/>
      <x:c r="L2165"/>
      <x:c r="M2165"/>
      <x:c r="N2165"/>
    </x:row>
    <x:row r="2166">
      <x:c r="A2166"/>
      <x:c r="B2166"/>
      <x:c r="C2166"/>
      <x:c r="D2166" t="str">
        <x:f>IFERROR(IF(2164&lt;=$O$1,INDEX($A$3:$A$168,MATCH(2164,$I$3:$I$168,0)),IF(2164&lt;=$O$1+$O$2,INDEX($F$3:$F$1994,MATCH(2164-$O$1,$G$3:$G$1994,0)),"")),"")</x:f>
      </x:c>
      <x:c r="E2166"/>
      <x:c r="F2166"/>
      <x:c r="G2166"/>
      <x:c r="H2166"/>
      <x:c r="I2166"/>
      <x:c r="J2166"/>
      <x:c r="K2166"/>
      <x:c r="L2166"/>
      <x:c r="M2166"/>
      <x:c r="N2166"/>
    </x:row>
    <x:row r="2167">
      <x:c r="A2167"/>
      <x:c r="B2167"/>
      <x:c r="C2167"/>
      <x:c r="D2167" t="str">
        <x:f>IFERROR(IF(2165&lt;=$O$1,INDEX($A$3:$A$168,MATCH(2165,$I$3:$I$168,0)),IF(2165&lt;=$O$1+$O$2,INDEX($F$3:$F$1994,MATCH(2165-$O$1,$G$3:$G$1994,0)),"")),"")</x:f>
      </x:c>
      <x:c r="E2167"/>
      <x:c r="F2167"/>
      <x:c r="G2167"/>
      <x:c r="H2167"/>
      <x:c r="I2167"/>
      <x:c r="J2167"/>
      <x:c r="K2167"/>
      <x:c r="L2167"/>
      <x:c r="M2167"/>
      <x:c r="N2167"/>
    </x:row>
    <x:row r="2168">
      <x:c r="A2168"/>
      <x:c r="B2168"/>
      <x:c r="C2168"/>
      <x:c r="D2168" t="str">
        <x:f>IFERROR(IF(2166&lt;=$O$1,INDEX($A$3:$A$168,MATCH(2166,$I$3:$I$168,0)),IF(2166&lt;=$O$1+$O$2,INDEX($F$3:$F$1994,MATCH(2166-$O$1,$G$3:$G$1994,0)),"")),"")</x:f>
      </x:c>
      <x:c r="E2168"/>
      <x:c r="F2168"/>
      <x:c r="G2168"/>
      <x:c r="H2168"/>
      <x:c r="I2168"/>
      <x:c r="J2168"/>
      <x:c r="K2168"/>
      <x:c r="L2168"/>
      <x:c r="M2168"/>
      <x:c r="N2168"/>
    </x:row>
    <x:row r="2169">
      <x:c r="A2169"/>
      <x:c r="B2169"/>
      <x:c r="C2169"/>
      <x:c r="D2169" t="str">
        <x:f>IFERROR(IF(2167&lt;=$O$1,INDEX($A$3:$A$168,MATCH(2167,$I$3:$I$168,0)),IF(2167&lt;=$O$1+$O$2,INDEX($F$3:$F$1994,MATCH(2167-$O$1,$G$3:$G$1994,0)),"")),"")</x:f>
      </x:c>
      <x:c r="E2169"/>
      <x:c r="F2169"/>
      <x:c r="G2169"/>
      <x:c r="H2169"/>
      <x:c r="I2169"/>
      <x:c r="J2169"/>
      <x:c r="K2169"/>
      <x:c r="L2169"/>
      <x:c r="M2169"/>
      <x:c r="N2169"/>
    </x:row>
    <x:row r="2170">
      <x:c r="A2170"/>
      <x:c r="B2170"/>
      <x:c r="C2170"/>
      <x:c r="D2170" t="str">
        <x:f>IFERROR(IF(2168&lt;=$O$1,INDEX($A$3:$A$168,MATCH(2168,$I$3:$I$168,0)),IF(2168&lt;=$O$1+$O$2,INDEX($F$3:$F$1994,MATCH(2168-$O$1,$G$3:$G$1994,0)),"")),"")</x:f>
      </x:c>
      <x:c r="E2170"/>
      <x:c r="F2170"/>
      <x:c r="G2170"/>
      <x:c r="H2170"/>
      <x:c r="I2170"/>
      <x:c r="J2170"/>
      <x:c r="K2170"/>
      <x:c r="L2170"/>
      <x:c r="M2170"/>
      <x:c r="N2170"/>
    </x:row>
    <x:row r="2171">
      <x:c r="A2171"/>
      <x:c r="B2171"/>
      <x:c r="C2171"/>
      <x:c r="D2171" t="str">
        <x:f>IFERROR(IF(2169&lt;=$O$1,INDEX($A$3:$A$168,MATCH(2169,$I$3:$I$168,0)),IF(2169&lt;=$O$1+$O$2,INDEX($F$3:$F$1994,MATCH(2169-$O$1,$G$3:$G$1994,0)),"")),"")</x:f>
      </x:c>
      <x:c r="E2171"/>
      <x:c r="F2171"/>
      <x:c r="G2171"/>
      <x:c r="H2171"/>
      <x:c r="I2171"/>
      <x:c r="J2171"/>
      <x:c r="K2171"/>
      <x:c r="L2171"/>
      <x:c r="M2171"/>
      <x:c r="N2171"/>
    </x:row>
    <x:row r="2172">
      <x:c r="A2172"/>
      <x:c r="B2172"/>
      <x:c r="C2172"/>
      <x:c r="D2172" t="str">
        <x:f>IFERROR(IF(2170&lt;=$O$1,INDEX($A$3:$A$168,MATCH(2170,$I$3:$I$168,0)),IF(2170&lt;=$O$1+$O$2,INDEX($F$3:$F$1994,MATCH(2170-$O$1,$G$3:$G$1994,0)),"")),"")</x:f>
      </x:c>
      <x:c r="E2172"/>
      <x:c r="F2172"/>
      <x:c r="G2172"/>
      <x:c r="H2172"/>
      <x:c r="I2172"/>
      <x:c r="J2172"/>
      <x:c r="K2172"/>
      <x:c r="L2172"/>
      <x:c r="M2172"/>
      <x:c r="N2172"/>
    </x:row>
    <x:row r="2173">
      <x:c r="A2173"/>
      <x:c r="B2173"/>
      <x:c r="C2173"/>
      <x:c r="D2173" t="str">
        <x:f>IFERROR(IF(2171&lt;=$O$1,INDEX($A$3:$A$168,MATCH(2171,$I$3:$I$168,0)),IF(2171&lt;=$O$1+$O$2,INDEX($F$3:$F$1994,MATCH(2171-$O$1,$G$3:$G$1994,0)),"")),"")</x:f>
      </x:c>
      <x:c r="E2173"/>
      <x:c r="F2173"/>
      <x:c r="G2173"/>
      <x:c r="H2173"/>
      <x:c r="I2173"/>
      <x:c r="J2173"/>
      <x:c r="K2173"/>
      <x:c r="L2173"/>
      <x:c r="M2173"/>
      <x:c r="N2173"/>
    </x:row>
    <x:row r="2174">
      <x:c r="A2174"/>
      <x:c r="B2174"/>
      <x:c r="C2174"/>
      <x:c r="D2174" t="str">
        <x:f>IFERROR(IF(2172&lt;=$O$1,INDEX($A$3:$A$168,MATCH(2172,$I$3:$I$168,0)),IF(2172&lt;=$O$1+$O$2,INDEX($F$3:$F$1994,MATCH(2172-$O$1,$G$3:$G$1994,0)),"")),"")</x:f>
      </x:c>
      <x:c r="E2174"/>
      <x:c r="F2174"/>
      <x:c r="G2174"/>
      <x:c r="H2174"/>
      <x:c r="I2174"/>
      <x:c r="J2174"/>
      <x:c r="K2174"/>
      <x:c r="L2174"/>
      <x:c r="M2174"/>
      <x:c r="N2174"/>
    </x:row>
    <x:row r="2175">
      <x:c r="A2175"/>
      <x:c r="B2175"/>
      <x:c r="C2175"/>
      <x:c r="D2175" t="str">
        <x:f>IFERROR(IF(2173&lt;=$O$1,INDEX($A$3:$A$168,MATCH(2173,$I$3:$I$168,0)),IF(2173&lt;=$O$1+$O$2,INDEX($F$3:$F$1994,MATCH(2173-$O$1,$G$3:$G$1994,0)),"")),"")</x:f>
      </x:c>
      <x:c r="E2175"/>
      <x:c r="F2175"/>
      <x:c r="G2175"/>
      <x:c r="H2175"/>
      <x:c r="I2175"/>
      <x:c r="J2175"/>
      <x:c r="K2175"/>
      <x:c r="L2175"/>
      <x:c r="M2175"/>
      <x:c r="N2175"/>
    </x:row>
    <x:row r="2176">
      <x:c r="A2176"/>
      <x:c r="B2176"/>
      <x:c r="C2176"/>
      <x:c r="D2176" t="str">
        <x:f>IFERROR(IF(2174&lt;=$O$1,INDEX($A$3:$A$168,MATCH(2174,$I$3:$I$168,0)),IF(2174&lt;=$O$1+$O$2,INDEX($F$3:$F$1994,MATCH(2174-$O$1,$G$3:$G$1994,0)),"")),"")</x:f>
      </x:c>
      <x:c r="E2176"/>
      <x:c r="F2176"/>
      <x:c r="G2176"/>
      <x:c r="H2176"/>
      <x:c r="I2176"/>
      <x:c r="J2176"/>
      <x:c r="K2176"/>
      <x:c r="L2176"/>
      <x:c r="M2176"/>
      <x:c r="N2176"/>
    </x:row>
    <x:row r="2177">
      <x:c r="A2177"/>
      <x:c r="B2177"/>
      <x:c r="C2177"/>
      <x:c r="D2177" t="str">
        <x:f>IFERROR(IF(2175&lt;=$O$1,INDEX($A$3:$A$168,MATCH(2175,$I$3:$I$168,0)),IF(2175&lt;=$O$1+$O$2,INDEX($F$3:$F$1994,MATCH(2175-$O$1,$G$3:$G$1994,0)),"")),"")</x:f>
      </x:c>
      <x:c r="E2177"/>
      <x:c r="F2177"/>
      <x:c r="G2177"/>
      <x:c r="H2177"/>
      <x:c r="I2177"/>
      <x:c r="J2177"/>
      <x:c r="K2177"/>
      <x:c r="L2177"/>
      <x:c r="M2177"/>
      <x:c r="N2177"/>
    </x:row>
    <x:row r="2178">
      <x:c r="A2178"/>
      <x:c r="B2178"/>
      <x:c r="C2178"/>
      <x:c r="D2178" t="str">
        <x:f>IFERROR(IF(2176&lt;=$O$1,INDEX($A$3:$A$168,MATCH(2176,$I$3:$I$168,0)),IF(2176&lt;=$O$1+$O$2,INDEX($F$3:$F$1994,MATCH(2176-$O$1,$G$3:$G$1994,0)),"")),"")</x:f>
      </x:c>
      <x:c r="E2178"/>
      <x:c r="F2178"/>
      <x:c r="G2178"/>
      <x:c r="H2178"/>
      <x:c r="I2178"/>
      <x:c r="J2178"/>
      <x:c r="K2178"/>
      <x:c r="L2178"/>
      <x:c r="M2178"/>
      <x:c r="N2178"/>
    </x:row>
    <x:row r="2179">
      <x:c r="A2179"/>
      <x:c r="B2179"/>
      <x:c r="C2179"/>
      <x:c r="D2179" t="str">
        <x:f>IFERROR(IF(2177&lt;=$O$1,INDEX($A$3:$A$168,MATCH(2177,$I$3:$I$168,0)),IF(2177&lt;=$O$1+$O$2,INDEX($F$3:$F$1994,MATCH(2177-$O$1,$G$3:$G$1994,0)),"")),"")</x:f>
      </x:c>
      <x:c r="E2179"/>
      <x:c r="F2179"/>
      <x:c r="G2179"/>
      <x:c r="H2179"/>
      <x:c r="I2179"/>
      <x:c r="J2179"/>
      <x:c r="K2179"/>
      <x:c r="L2179"/>
      <x:c r="M2179"/>
      <x:c r="N2179"/>
    </x:row>
    <x:row r="2180">
      <x:c r="A2180"/>
      <x:c r="B2180"/>
      <x:c r="C2180"/>
      <x:c r="D2180" t="str">
        <x:f>IFERROR(IF(2178&lt;=$O$1,INDEX($A$3:$A$168,MATCH(2178,$I$3:$I$168,0)),IF(2178&lt;=$O$1+$O$2,INDEX($F$3:$F$1994,MATCH(2178-$O$1,$G$3:$G$1994,0)),"")),"")</x:f>
      </x:c>
      <x:c r="E2180"/>
      <x:c r="F2180"/>
      <x:c r="G2180"/>
      <x:c r="H2180"/>
      <x:c r="I2180"/>
      <x:c r="J2180"/>
      <x:c r="K2180"/>
      <x:c r="L2180"/>
      <x:c r="M2180"/>
      <x:c r="N2180"/>
    </x:row>
    <x:row r="2181">
      <x:c r="A2181"/>
      <x:c r="B2181"/>
      <x:c r="C2181"/>
      <x:c r="D2181" t="str">
        <x:f>IFERROR(IF(2179&lt;=$O$1,INDEX($A$3:$A$168,MATCH(2179,$I$3:$I$168,0)),IF(2179&lt;=$O$1+$O$2,INDEX($F$3:$F$1994,MATCH(2179-$O$1,$G$3:$G$1994,0)),"")),"")</x:f>
      </x:c>
      <x:c r="E2181"/>
      <x:c r="F2181"/>
      <x:c r="G2181"/>
      <x:c r="H2181"/>
      <x:c r="I2181"/>
      <x:c r="J2181"/>
      <x:c r="K2181"/>
      <x:c r="L2181"/>
      <x:c r="M2181"/>
      <x:c r="N2181"/>
    </x:row>
    <x:row r="2182">
      <x:c r="A2182"/>
      <x:c r="B2182"/>
      <x:c r="C2182"/>
      <x:c r="D2182" t="str">
        <x:f>IFERROR(IF(2180&lt;=$O$1,INDEX($A$3:$A$168,MATCH(2180,$I$3:$I$168,0)),IF(2180&lt;=$O$1+$O$2,INDEX($F$3:$F$1994,MATCH(2180-$O$1,$G$3:$G$1994,0)),"")),"")</x:f>
      </x:c>
      <x:c r="E2182"/>
      <x:c r="F2182"/>
      <x:c r="G2182"/>
      <x:c r="H2182"/>
      <x:c r="I2182"/>
      <x:c r="J2182"/>
      <x:c r="K2182"/>
      <x:c r="L2182"/>
      <x:c r="M2182"/>
      <x:c r="N2182"/>
    </x:row>
    <x:row r="2183">
      <x:c r="A2183"/>
      <x:c r="B2183"/>
      <x:c r="C2183"/>
      <x:c r="D2183" t="str">
        <x:f>IFERROR(IF(2181&lt;=$O$1,INDEX($A$3:$A$168,MATCH(2181,$I$3:$I$168,0)),IF(2181&lt;=$O$1+$O$2,INDEX($F$3:$F$1994,MATCH(2181-$O$1,$G$3:$G$1994,0)),"")),"")</x:f>
      </x:c>
      <x:c r="E2183"/>
      <x:c r="F2183"/>
      <x:c r="G2183"/>
      <x:c r="H2183"/>
      <x:c r="I2183"/>
      <x:c r="J2183"/>
      <x:c r="K2183"/>
      <x:c r="L2183"/>
      <x:c r="M2183"/>
      <x:c r="N2183"/>
    </x:row>
    <x:row r="2184">
      <x:c r="A2184"/>
      <x:c r="B2184"/>
      <x:c r="C2184"/>
      <x:c r="D2184" t="str">
        <x:f>IFERROR(IF(2182&lt;=$O$1,INDEX($A$3:$A$168,MATCH(2182,$I$3:$I$168,0)),IF(2182&lt;=$O$1+$O$2,INDEX($F$3:$F$1994,MATCH(2182-$O$1,$G$3:$G$1994,0)),"")),"")</x:f>
      </x:c>
      <x:c r="E2184"/>
      <x:c r="F2184"/>
      <x:c r="G2184"/>
      <x:c r="H2184"/>
      <x:c r="I2184"/>
      <x:c r="J2184"/>
      <x:c r="K2184"/>
      <x:c r="L2184"/>
      <x:c r="M2184"/>
      <x:c r="N2184"/>
    </x:row>
    <x:row r="2185">
      <x:c r="A2185"/>
      <x:c r="B2185"/>
      <x:c r="C2185"/>
      <x:c r="D2185" t="str">
        <x:f>IFERROR(IF(2183&lt;=$O$1,INDEX($A$3:$A$168,MATCH(2183,$I$3:$I$168,0)),IF(2183&lt;=$O$1+$O$2,INDEX($F$3:$F$1994,MATCH(2183-$O$1,$G$3:$G$1994,0)),"")),"")</x:f>
      </x:c>
      <x:c r="E2185"/>
      <x:c r="F2185"/>
      <x:c r="G2185"/>
      <x:c r="H2185"/>
      <x:c r="I2185"/>
      <x:c r="J2185"/>
      <x:c r="K2185"/>
      <x:c r="L2185"/>
      <x:c r="M2185"/>
      <x:c r="N2185"/>
    </x:row>
    <x:row r="2186">
      <x:c r="A2186"/>
      <x:c r="B2186"/>
      <x:c r="C2186"/>
      <x:c r="D2186" t="str">
        <x:f>IFERROR(IF(2184&lt;=$O$1,INDEX($A$3:$A$168,MATCH(2184,$I$3:$I$168,0)),IF(2184&lt;=$O$1+$O$2,INDEX($F$3:$F$1994,MATCH(2184-$O$1,$G$3:$G$1994,0)),"")),"")</x:f>
      </x:c>
      <x:c r="E2186"/>
      <x:c r="F2186"/>
      <x:c r="G2186"/>
      <x:c r="H2186"/>
      <x:c r="I2186"/>
      <x:c r="J2186"/>
      <x:c r="K2186"/>
      <x:c r="L2186"/>
      <x:c r="M2186"/>
      <x:c r="N2186"/>
    </x:row>
    <x:row r="2187">
      <x:c r="A2187"/>
      <x:c r="B2187"/>
      <x:c r="C2187"/>
      <x:c r="D2187" t="str">
        <x:f>IFERROR(IF(2185&lt;=$O$1,INDEX($A$3:$A$168,MATCH(2185,$I$3:$I$168,0)),IF(2185&lt;=$O$1+$O$2,INDEX($F$3:$F$1994,MATCH(2185-$O$1,$G$3:$G$1994,0)),"")),"")</x:f>
      </x:c>
      <x:c r="E2187"/>
      <x:c r="F2187"/>
      <x:c r="G2187"/>
      <x:c r="H2187"/>
      <x:c r="I2187"/>
      <x:c r="J2187"/>
      <x:c r="K2187"/>
      <x:c r="L2187"/>
      <x:c r="M2187"/>
      <x:c r="N2187"/>
    </x:row>
    <x:row r="2188">
      <x:c r="A2188"/>
      <x:c r="B2188"/>
      <x:c r="C2188"/>
      <x:c r="D2188" t="str">
        <x:f>IFERROR(IF(2186&lt;=$O$1,INDEX($A$3:$A$168,MATCH(2186,$I$3:$I$168,0)),IF(2186&lt;=$O$1+$O$2,INDEX($F$3:$F$1994,MATCH(2186-$O$1,$G$3:$G$1994,0)),"")),"")</x:f>
      </x:c>
      <x:c r="E2188"/>
      <x:c r="F2188"/>
      <x:c r="G2188"/>
      <x:c r="H2188"/>
      <x:c r="I2188"/>
      <x:c r="J2188"/>
      <x:c r="K2188"/>
      <x:c r="L2188"/>
      <x:c r="M2188"/>
      <x:c r="N2188"/>
    </x:row>
    <x:row r="2189">
      <x:c r="A2189"/>
      <x:c r="B2189"/>
      <x:c r="C2189"/>
      <x:c r="D2189" t="str">
        <x:f>IFERROR(IF(2187&lt;=$O$1,INDEX($A$3:$A$168,MATCH(2187,$I$3:$I$168,0)),IF(2187&lt;=$O$1+$O$2,INDEX($F$3:$F$1994,MATCH(2187-$O$1,$G$3:$G$1994,0)),"")),"")</x:f>
      </x:c>
      <x:c r="E2189"/>
      <x:c r="F2189"/>
      <x:c r="G2189"/>
      <x:c r="H2189"/>
      <x:c r="I2189"/>
      <x:c r="J2189"/>
      <x:c r="K2189"/>
      <x:c r="L2189"/>
      <x:c r="M2189"/>
      <x:c r="N2189"/>
    </x:row>
    <x:row r="2190">
      <x:c r="A2190"/>
      <x:c r="B2190"/>
      <x:c r="C2190"/>
      <x:c r="D2190" t="str">
        <x:f>IFERROR(IF(2188&lt;=$O$1,INDEX($A$3:$A$168,MATCH(2188,$I$3:$I$168,0)),IF(2188&lt;=$O$1+$O$2,INDEX($F$3:$F$1994,MATCH(2188-$O$1,$G$3:$G$1994,0)),"")),"")</x:f>
      </x:c>
      <x:c r="E2190"/>
      <x:c r="F2190"/>
      <x:c r="G2190"/>
      <x:c r="H2190"/>
      <x:c r="I2190"/>
      <x:c r="J2190"/>
      <x:c r="K2190"/>
      <x:c r="L2190"/>
      <x:c r="M2190"/>
      <x:c r="N2190"/>
    </x:row>
    <x:row r="2191">
      <x:c r="A2191"/>
      <x:c r="B2191"/>
      <x:c r="C2191"/>
      <x:c r="D2191" t="str">
        <x:f>IFERROR(IF(2189&lt;=$O$1,INDEX($A$3:$A$168,MATCH(2189,$I$3:$I$168,0)),IF(2189&lt;=$O$1+$O$2,INDEX($F$3:$F$1994,MATCH(2189-$O$1,$G$3:$G$1994,0)),"")),"")</x:f>
      </x:c>
      <x:c r="E2191"/>
      <x:c r="F2191"/>
      <x:c r="G2191"/>
      <x:c r="H2191"/>
      <x:c r="I2191"/>
      <x:c r="J2191"/>
      <x:c r="K2191"/>
      <x:c r="L2191"/>
      <x:c r="M2191"/>
      <x:c r="N2191"/>
    </x:row>
    <x:row r="2192">
      <x:c r="A2192"/>
      <x:c r="B2192"/>
      <x:c r="C2192"/>
      <x:c r="D2192" t="str">
        <x:f>IFERROR(IF(2190&lt;=$O$1,INDEX($A$3:$A$168,MATCH(2190,$I$3:$I$168,0)),IF(2190&lt;=$O$1+$O$2,INDEX($F$3:$F$1994,MATCH(2190-$O$1,$G$3:$G$1994,0)),"")),"")</x:f>
      </x:c>
      <x:c r="E2192"/>
      <x:c r="F2192"/>
      <x:c r="G2192"/>
      <x:c r="H2192"/>
      <x:c r="I2192"/>
      <x:c r="J2192"/>
      <x:c r="K2192"/>
      <x:c r="L2192"/>
      <x:c r="M2192"/>
      <x:c r="N2192"/>
    </x:row>
    <x:row r="2193">
      <x:c r="A2193"/>
      <x:c r="B2193"/>
      <x:c r="C2193"/>
      <x:c r="D2193" t="str">
        <x:f>IFERROR(IF(2191&lt;=$O$1,INDEX($A$3:$A$168,MATCH(2191,$I$3:$I$168,0)),IF(2191&lt;=$O$1+$O$2,INDEX($F$3:$F$1994,MATCH(2191-$O$1,$G$3:$G$1994,0)),"")),"")</x:f>
      </x:c>
      <x:c r="E2193"/>
      <x:c r="F2193"/>
      <x:c r="G2193"/>
      <x:c r="H2193"/>
      <x:c r="I2193"/>
      <x:c r="J2193"/>
      <x:c r="K2193"/>
      <x:c r="L2193"/>
      <x:c r="M2193"/>
      <x:c r="N2193"/>
    </x:row>
    <x:row r="2194">
      <x:c r="A2194"/>
      <x:c r="B2194"/>
      <x:c r="C2194"/>
      <x:c r="D2194" t="str">
        <x:f>IFERROR(IF(2192&lt;=$O$1,INDEX($A$3:$A$168,MATCH(2192,$I$3:$I$168,0)),IF(2192&lt;=$O$1+$O$2,INDEX($F$3:$F$1994,MATCH(2192-$O$1,$G$3:$G$1994,0)),"")),"")</x:f>
      </x:c>
      <x:c r="E2194"/>
      <x:c r="F2194"/>
      <x:c r="G2194"/>
      <x:c r="H2194"/>
      <x:c r="I2194"/>
      <x:c r="J2194"/>
      <x:c r="K2194"/>
      <x:c r="L2194"/>
      <x:c r="M2194"/>
      <x:c r="N2194"/>
    </x:row>
    <x:row r="2195">
      <x:c r="A2195"/>
      <x:c r="B2195"/>
      <x:c r="C2195"/>
      <x:c r="D2195" t="str">
        <x:f>IFERROR(IF(2193&lt;=$O$1,INDEX($A$3:$A$168,MATCH(2193,$I$3:$I$168,0)),IF(2193&lt;=$O$1+$O$2,INDEX($F$3:$F$1994,MATCH(2193-$O$1,$G$3:$G$1994,0)),"")),"")</x:f>
      </x:c>
      <x:c r="E2195"/>
      <x:c r="F2195"/>
      <x:c r="G2195"/>
      <x:c r="H2195"/>
      <x:c r="I2195"/>
      <x:c r="J2195"/>
      <x:c r="K2195"/>
      <x:c r="L2195"/>
      <x:c r="M2195"/>
      <x:c r="N2195"/>
    </x:row>
    <x:row r="2196">
      <x:c r="A2196"/>
      <x:c r="B2196"/>
      <x:c r="C2196"/>
      <x:c r="D2196" t="str">
        <x:f>IFERROR(IF(2194&lt;=$O$1,INDEX($A$3:$A$168,MATCH(2194,$I$3:$I$168,0)),IF(2194&lt;=$O$1+$O$2,INDEX($F$3:$F$1994,MATCH(2194-$O$1,$G$3:$G$1994,0)),"")),"")</x:f>
      </x:c>
      <x:c r="E2196"/>
      <x:c r="F2196"/>
      <x:c r="G2196"/>
      <x:c r="H2196"/>
      <x:c r="I2196"/>
      <x:c r="J2196"/>
      <x:c r="K2196"/>
      <x:c r="L2196"/>
      <x:c r="M2196"/>
      <x:c r="N2196"/>
    </x:row>
    <x:row r="2197">
      <x:c r="A2197"/>
      <x:c r="B2197"/>
      <x:c r="C2197"/>
      <x:c r="D2197" t="str">
        <x:f>IFERROR(IF(2195&lt;=$O$1,INDEX($A$3:$A$168,MATCH(2195,$I$3:$I$168,0)),IF(2195&lt;=$O$1+$O$2,INDEX($F$3:$F$1994,MATCH(2195-$O$1,$G$3:$G$1994,0)),"")),"")</x:f>
      </x:c>
      <x:c r="E2197"/>
      <x:c r="F2197"/>
      <x:c r="G2197"/>
      <x:c r="H2197"/>
      <x:c r="I2197"/>
      <x:c r="J2197"/>
      <x:c r="K2197"/>
      <x:c r="L2197"/>
      <x:c r="M2197"/>
      <x:c r="N2197"/>
    </x:row>
    <x:row r="2198">
      <x:c r="A2198"/>
      <x:c r="B2198"/>
      <x:c r="C2198"/>
      <x:c r="D2198" t="str">
        <x:f>IFERROR(IF(2196&lt;=$O$1,INDEX($A$3:$A$168,MATCH(2196,$I$3:$I$168,0)),IF(2196&lt;=$O$1+$O$2,INDEX($F$3:$F$1994,MATCH(2196-$O$1,$G$3:$G$1994,0)),"")),"")</x:f>
      </x:c>
      <x:c r="E2198"/>
      <x:c r="F2198"/>
      <x:c r="G2198"/>
      <x:c r="H2198"/>
      <x:c r="I2198"/>
      <x:c r="J2198"/>
      <x:c r="K2198"/>
      <x:c r="L2198"/>
      <x:c r="M2198"/>
      <x:c r="N2198"/>
    </x:row>
    <x:row r="2199">
      <x:c r="A2199"/>
      <x:c r="B2199"/>
      <x:c r="C2199"/>
      <x:c r="D2199" t="str">
        <x:f>IFERROR(IF(2197&lt;=$O$1,INDEX($A$3:$A$168,MATCH(2197,$I$3:$I$168,0)),IF(2197&lt;=$O$1+$O$2,INDEX($F$3:$F$1994,MATCH(2197-$O$1,$G$3:$G$1994,0)),"")),"")</x:f>
      </x:c>
      <x:c r="E2199"/>
      <x:c r="F2199"/>
      <x:c r="G2199"/>
      <x:c r="H2199"/>
      <x:c r="I2199"/>
      <x:c r="J2199"/>
      <x:c r="K2199"/>
      <x:c r="L2199"/>
      <x:c r="M2199"/>
      <x:c r="N2199"/>
    </x:row>
    <x:row r="2200">
      <x:c r="A2200"/>
      <x:c r="B2200"/>
      <x:c r="C2200"/>
      <x:c r="D2200" t="str">
        <x:f>IFERROR(IF(2198&lt;=$O$1,INDEX($A$3:$A$168,MATCH(2198,$I$3:$I$168,0)),IF(2198&lt;=$O$1+$O$2,INDEX($F$3:$F$1994,MATCH(2198-$O$1,$G$3:$G$1994,0)),"")),"")</x:f>
      </x:c>
      <x:c r="E2200"/>
      <x:c r="F2200"/>
      <x:c r="G2200"/>
      <x:c r="H2200"/>
      <x:c r="I2200"/>
      <x:c r="J2200"/>
      <x:c r="K2200"/>
      <x:c r="L2200"/>
      <x:c r="M2200"/>
      <x:c r="N2200"/>
    </x:row>
    <x:row r="2201">
      <x:c r="A2201"/>
      <x:c r="B2201"/>
      <x:c r="C2201"/>
      <x:c r="D2201" t="str">
        <x:f>IFERROR(IF(2199&lt;=$O$1,INDEX($A$3:$A$168,MATCH(2199,$I$3:$I$168,0)),IF(2199&lt;=$O$1+$O$2,INDEX($F$3:$F$1994,MATCH(2199-$O$1,$G$3:$G$1994,0)),"")),"")</x:f>
      </x:c>
      <x:c r="E2201"/>
      <x:c r="F2201"/>
      <x:c r="G2201"/>
      <x:c r="H2201"/>
      <x:c r="I2201"/>
      <x:c r="J2201"/>
      <x:c r="K2201"/>
      <x:c r="L2201"/>
      <x:c r="M2201"/>
      <x:c r="N2201"/>
    </x:row>
    <x:row r="2202">
      <x:c r="A2202"/>
      <x:c r="B2202"/>
      <x:c r="C2202"/>
      <x:c r="D2202" t="str">
        <x:f>IFERROR(IF(2200&lt;=$O$1,INDEX($A$3:$A$168,MATCH(2200,$I$3:$I$168,0)),IF(2200&lt;=$O$1+$O$2,INDEX($F$3:$F$1994,MATCH(2200-$O$1,$G$3:$G$1994,0)),"")),"")</x:f>
      </x:c>
      <x:c r="E2202"/>
      <x:c r="F2202"/>
      <x:c r="G2202"/>
      <x:c r="H2202"/>
      <x:c r="I2202"/>
      <x:c r="J2202"/>
      <x:c r="K2202"/>
      <x:c r="L2202"/>
      <x:c r="M2202"/>
      <x:c r="N2202"/>
    </x:row>
    <x:row r="2203">
      <x:c r="A2203"/>
      <x:c r="B2203"/>
      <x:c r="C2203"/>
      <x:c r="D2203" t="str">
        <x:f>IFERROR(IF(2201&lt;=$O$1,INDEX($A$3:$A$168,MATCH(2201,$I$3:$I$168,0)),IF(2201&lt;=$O$1+$O$2,INDEX($F$3:$F$1994,MATCH(2201-$O$1,$G$3:$G$1994,0)),"")),"")</x:f>
      </x:c>
      <x:c r="E2203"/>
      <x:c r="F2203"/>
      <x:c r="G2203"/>
      <x:c r="H2203"/>
      <x:c r="I2203"/>
      <x:c r="J2203"/>
      <x:c r="K2203"/>
      <x:c r="L2203"/>
      <x:c r="M2203"/>
      <x:c r="N2203"/>
    </x:row>
    <x:row r="2204">
      <x:c r="A2204"/>
      <x:c r="B2204"/>
      <x:c r="C2204"/>
      <x:c r="D2204" t="str">
        <x:f>IFERROR(IF(2202&lt;=$O$1,INDEX($A$3:$A$168,MATCH(2202,$I$3:$I$168,0)),IF(2202&lt;=$O$1+$O$2,INDEX($F$3:$F$1994,MATCH(2202-$O$1,$G$3:$G$1994,0)),"")),"")</x:f>
      </x:c>
      <x:c r="E2204"/>
      <x:c r="F2204"/>
      <x:c r="G2204"/>
      <x:c r="H2204"/>
      <x:c r="I2204"/>
      <x:c r="J2204"/>
      <x:c r="K2204"/>
      <x:c r="L2204"/>
      <x:c r="M2204"/>
      <x:c r="N2204"/>
    </x:row>
    <x:row r="2205">
      <x:c r="A2205"/>
      <x:c r="B2205"/>
      <x:c r="C2205"/>
      <x:c r="D2205" t="str">
        <x:f>IFERROR(IF(2203&lt;=$O$1,INDEX($A$3:$A$168,MATCH(2203,$I$3:$I$168,0)),IF(2203&lt;=$O$1+$O$2,INDEX($F$3:$F$1994,MATCH(2203-$O$1,$G$3:$G$1994,0)),"")),"")</x:f>
      </x:c>
      <x:c r="E2205"/>
      <x:c r="F2205"/>
      <x:c r="G2205"/>
      <x:c r="H2205"/>
      <x:c r="I2205"/>
      <x:c r="J2205"/>
      <x:c r="K2205"/>
      <x:c r="L2205"/>
      <x:c r="M2205"/>
      <x:c r="N2205"/>
    </x:row>
    <x:row r="2206">
      <x:c r="A2206"/>
      <x:c r="B2206"/>
      <x:c r="C2206"/>
      <x:c r="D2206" t="str">
        <x:f>IFERROR(IF(2204&lt;=$O$1,INDEX($A$3:$A$168,MATCH(2204,$I$3:$I$168,0)),IF(2204&lt;=$O$1+$O$2,INDEX($F$3:$F$1994,MATCH(2204-$O$1,$G$3:$G$1994,0)),"")),"")</x:f>
      </x:c>
      <x:c r="E2206"/>
      <x:c r="F2206"/>
      <x:c r="G2206"/>
      <x:c r="H2206"/>
      <x:c r="I2206"/>
      <x:c r="J2206"/>
      <x:c r="K2206"/>
      <x:c r="L2206"/>
      <x:c r="M2206"/>
      <x:c r="N2206"/>
    </x:row>
    <x:row r="2207">
      <x:c r="A2207"/>
      <x:c r="B2207"/>
      <x:c r="C2207"/>
      <x:c r="D2207" t="str">
        <x:f>IFERROR(IF(2205&lt;=$O$1,INDEX($A$3:$A$168,MATCH(2205,$I$3:$I$168,0)),IF(2205&lt;=$O$1+$O$2,INDEX($F$3:$F$1994,MATCH(2205-$O$1,$G$3:$G$1994,0)),"")),"")</x:f>
      </x:c>
      <x:c r="E2207"/>
      <x:c r="F2207"/>
      <x:c r="G2207"/>
      <x:c r="H2207"/>
      <x:c r="I2207"/>
      <x:c r="J2207"/>
      <x:c r="K2207"/>
      <x:c r="L2207"/>
      <x:c r="M2207"/>
      <x:c r="N2207"/>
    </x:row>
    <x:row r="2208">
      <x:c r="A2208"/>
      <x:c r="B2208"/>
      <x:c r="C2208"/>
      <x:c r="D2208" t="str">
        <x:f>IFERROR(IF(2206&lt;=$O$1,INDEX($A$3:$A$168,MATCH(2206,$I$3:$I$168,0)),IF(2206&lt;=$O$1+$O$2,INDEX($F$3:$F$1994,MATCH(2206-$O$1,$G$3:$G$1994,0)),"")),"")</x:f>
      </x:c>
      <x:c r="E2208"/>
      <x:c r="F2208"/>
      <x:c r="G2208"/>
      <x:c r="H2208"/>
      <x:c r="I2208"/>
      <x:c r="J2208"/>
      <x:c r="K2208"/>
      <x:c r="L2208"/>
      <x:c r="M2208"/>
      <x:c r="N2208"/>
    </x:row>
    <x:row r="2209">
      <x:c r="A2209"/>
      <x:c r="B2209"/>
      <x:c r="C2209"/>
      <x:c r="D2209" t="str">
        <x:f>IFERROR(IF(2207&lt;=$O$1,INDEX($A$3:$A$168,MATCH(2207,$I$3:$I$168,0)),IF(2207&lt;=$O$1+$O$2,INDEX($F$3:$F$1994,MATCH(2207-$O$1,$G$3:$G$1994,0)),"")),"")</x:f>
      </x:c>
      <x:c r="E2209"/>
      <x:c r="F2209"/>
      <x:c r="G2209"/>
      <x:c r="H2209"/>
      <x:c r="I2209"/>
      <x:c r="J2209"/>
      <x:c r="K2209"/>
      <x:c r="L2209"/>
      <x:c r="M2209"/>
      <x:c r="N2209"/>
    </x:row>
    <x:row r="2210">
      <x:c r="A2210"/>
      <x:c r="B2210"/>
      <x:c r="C2210"/>
      <x:c r="D2210" t="str">
        <x:f>IFERROR(IF(2208&lt;=$O$1,INDEX($A$3:$A$168,MATCH(2208,$I$3:$I$168,0)),IF(2208&lt;=$O$1+$O$2,INDEX($F$3:$F$1994,MATCH(2208-$O$1,$G$3:$G$1994,0)),"")),"")</x:f>
      </x:c>
      <x:c r="E2210"/>
      <x:c r="F2210"/>
      <x:c r="G2210"/>
      <x:c r="H2210"/>
      <x:c r="I2210"/>
      <x:c r="J2210"/>
      <x:c r="K2210"/>
      <x:c r="L2210"/>
      <x:c r="M2210"/>
      <x:c r="N2210"/>
    </x:row>
    <x:row r="2211">
      <x:c r="A2211"/>
      <x:c r="B2211"/>
      <x:c r="C2211"/>
      <x:c r="D2211" t="str">
        <x:f>IFERROR(IF(2209&lt;=$O$1,INDEX($A$3:$A$168,MATCH(2209,$I$3:$I$168,0)),IF(2209&lt;=$O$1+$O$2,INDEX($F$3:$F$1994,MATCH(2209-$O$1,$G$3:$G$1994,0)),"")),"")</x:f>
      </x:c>
      <x:c r="E2211"/>
      <x:c r="F2211"/>
      <x:c r="G2211"/>
      <x:c r="H2211"/>
      <x:c r="I2211"/>
      <x:c r="J2211"/>
      <x:c r="K2211"/>
      <x:c r="L2211"/>
      <x:c r="M2211"/>
      <x:c r="N2211"/>
    </x:row>
    <x:row r="2212">
      <x:c r="A2212"/>
      <x:c r="B2212"/>
      <x:c r="C2212"/>
      <x:c r="D2212" t="str">
        <x:f>IFERROR(IF(2210&lt;=$O$1,INDEX($A$3:$A$168,MATCH(2210,$I$3:$I$168,0)),IF(2210&lt;=$O$1+$O$2,INDEX($F$3:$F$1994,MATCH(2210-$O$1,$G$3:$G$1994,0)),"")),"")</x:f>
      </x:c>
      <x:c r="E2212"/>
      <x:c r="F2212"/>
      <x:c r="G2212"/>
      <x:c r="H2212"/>
      <x:c r="I2212"/>
      <x:c r="J2212"/>
      <x:c r="K2212"/>
      <x:c r="L2212"/>
      <x:c r="M2212"/>
      <x:c r="N2212"/>
    </x:row>
    <x:row r="2213">
      <x:c r="A2213"/>
      <x:c r="B2213"/>
      <x:c r="C2213"/>
      <x:c r="D2213" t="str">
        <x:f>IFERROR(IF(2211&lt;=$O$1,INDEX($A$3:$A$168,MATCH(2211,$I$3:$I$168,0)),IF(2211&lt;=$O$1+$O$2,INDEX($F$3:$F$1994,MATCH(2211-$O$1,$G$3:$G$1994,0)),"")),"")</x:f>
      </x:c>
      <x:c r="E2213"/>
      <x:c r="F2213"/>
      <x:c r="G2213"/>
      <x:c r="H2213"/>
      <x:c r="I2213"/>
      <x:c r="J2213"/>
      <x:c r="K2213"/>
      <x:c r="L2213"/>
      <x:c r="M2213"/>
      <x:c r="N2213"/>
    </x:row>
    <x:row r="2214">
      <x:c r="A2214"/>
      <x:c r="B2214"/>
      <x:c r="C2214"/>
      <x:c r="D2214" t="str">
        <x:f>IFERROR(IF(2212&lt;=$O$1,INDEX($A$3:$A$168,MATCH(2212,$I$3:$I$168,0)),IF(2212&lt;=$O$1+$O$2,INDEX($F$3:$F$1994,MATCH(2212-$O$1,$G$3:$G$1994,0)),"")),"")</x:f>
      </x:c>
      <x:c r="E2214"/>
      <x:c r="F2214"/>
      <x:c r="G2214"/>
      <x:c r="H2214"/>
      <x:c r="I2214"/>
      <x:c r="J2214"/>
      <x:c r="K2214"/>
      <x:c r="L2214"/>
      <x:c r="M2214"/>
      <x:c r="N2214"/>
    </x:row>
    <x:row r="2215">
      <x:c r="A2215"/>
      <x:c r="B2215"/>
      <x:c r="C2215"/>
      <x:c r="D2215" t="str">
        <x:f>IFERROR(IF(2213&lt;=$O$1,INDEX($A$3:$A$168,MATCH(2213,$I$3:$I$168,0)),IF(2213&lt;=$O$1+$O$2,INDEX($F$3:$F$1994,MATCH(2213-$O$1,$G$3:$G$1994,0)),"")),"")</x:f>
      </x:c>
      <x:c r="E2215"/>
      <x:c r="F2215"/>
      <x:c r="G2215"/>
      <x:c r="H2215"/>
      <x:c r="I2215"/>
      <x:c r="J2215"/>
      <x:c r="K2215"/>
      <x:c r="L2215"/>
      <x:c r="M2215"/>
      <x:c r="N2215"/>
    </x:row>
    <x:row r="2216">
      <x:c r="A2216"/>
      <x:c r="B2216"/>
      <x:c r="C2216"/>
      <x:c r="D2216" t="str">
        <x:f>IFERROR(IF(2214&lt;=$O$1,INDEX($A$3:$A$168,MATCH(2214,$I$3:$I$168,0)),IF(2214&lt;=$O$1+$O$2,INDEX($F$3:$F$1994,MATCH(2214-$O$1,$G$3:$G$1994,0)),"")),"")</x:f>
      </x:c>
      <x:c r="E2216"/>
      <x:c r="F2216"/>
      <x:c r="G2216"/>
      <x:c r="H2216"/>
      <x:c r="I2216"/>
      <x:c r="J2216"/>
      <x:c r="K2216"/>
      <x:c r="L2216"/>
      <x:c r="M2216"/>
      <x:c r="N2216"/>
    </x:row>
    <x:row r="2217">
      <x:c r="A2217"/>
      <x:c r="B2217"/>
      <x:c r="C2217"/>
      <x:c r="D2217" t="str">
        <x:f>IFERROR(IF(2215&lt;=$O$1,INDEX($A$3:$A$168,MATCH(2215,$I$3:$I$168,0)),IF(2215&lt;=$O$1+$O$2,INDEX($F$3:$F$1994,MATCH(2215-$O$1,$G$3:$G$1994,0)),"")),"")</x:f>
      </x:c>
      <x:c r="E2217"/>
      <x:c r="F2217"/>
      <x:c r="G2217"/>
      <x:c r="H2217"/>
      <x:c r="I2217"/>
      <x:c r="J2217"/>
      <x:c r="K2217"/>
      <x:c r="L2217"/>
      <x:c r="M2217"/>
      <x:c r="N2217"/>
    </x:row>
    <x:row r="2218">
      <x:c r="A2218"/>
      <x:c r="B2218"/>
      <x:c r="C2218"/>
      <x:c r="D2218" t="str">
        <x:f>IFERROR(IF(2216&lt;=$O$1,INDEX($A$3:$A$168,MATCH(2216,$I$3:$I$168,0)),IF(2216&lt;=$O$1+$O$2,INDEX($F$3:$F$1994,MATCH(2216-$O$1,$G$3:$G$1994,0)),"")),"")</x:f>
      </x:c>
      <x:c r="E2218"/>
      <x:c r="F2218"/>
      <x:c r="G2218"/>
      <x:c r="H2218"/>
      <x:c r="I2218"/>
      <x:c r="J2218"/>
      <x:c r="K2218"/>
      <x:c r="L2218"/>
      <x:c r="M2218"/>
      <x:c r="N2218"/>
    </x:row>
    <x:row r="2219">
      <x:c r="A2219"/>
      <x:c r="B2219"/>
      <x:c r="C2219"/>
      <x:c r="D2219" t="str">
        <x:f>IFERROR(IF(2217&lt;=$O$1,INDEX($A$3:$A$168,MATCH(2217,$I$3:$I$168,0)),IF(2217&lt;=$O$1+$O$2,INDEX($F$3:$F$1994,MATCH(2217-$O$1,$G$3:$G$1994,0)),"")),"")</x:f>
      </x:c>
      <x:c r="E2219"/>
      <x:c r="F2219"/>
      <x:c r="G2219"/>
      <x:c r="H2219"/>
      <x:c r="I2219"/>
      <x:c r="J2219"/>
      <x:c r="K2219"/>
      <x:c r="L2219"/>
      <x:c r="M2219"/>
      <x:c r="N2219"/>
    </x:row>
    <x:row r="2220">
      <x:c r="A2220"/>
      <x:c r="B2220"/>
      <x:c r="C2220"/>
      <x:c r="D2220" t="str">
        <x:f>IFERROR(IF(2218&lt;=$O$1,INDEX($A$3:$A$168,MATCH(2218,$I$3:$I$168,0)),IF(2218&lt;=$O$1+$O$2,INDEX($F$3:$F$1994,MATCH(2218-$O$1,$G$3:$G$1994,0)),"")),"")</x:f>
      </x:c>
      <x:c r="E2220"/>
      <x:c r="F2220"/>
      <x:c r="G2220"/>
      <x:c r="H2220"/>
      <x:c r="I2220"/>
      <x:c r="J2220"/>
      <x:c r="K2220"/>
      <x:c r="L2220"/>
      <x:c r="M2220"/>
      <x:c r="N2220"/>
    </x:row>
    <x:row r="2221">
      <x:c r="A2221"/>
      <x:c r="B2221"/>
      <x:c r="C2221"/>
      <x:c r="D2221" t="str">
        <x:f>IFERROR(IF(2219&lt;=$O$1,INDEX($A$3:$A$168,MATCH(2219,$I$3:$I$168,0)),IF(2219&lt;=$O$1+$O$2,INDEX($F$3:$F$1994,MATCH(2219-$O$1,$G$3:$G$1994,0)),"")),"")</x:f>
      </x:c>
      <x:c r="E2221"/>
      <x:c r="F2221"/>
      <x:c r="G2221"/>
      <x:c r="H2221"/>
      <x:c r="I2221"/>
      <x:c r="J2221"/>
      <x:c r="K2221"/>
      <x:c r="L2221"/>
      <x:c r="M2221"/>
      <x:c r="N2221"/>
    </x:row>
    <x:row r="2222">
      <x:c r="A2222"/>
      <x:c r="B2222"/>
      <x:c r="C2222"/>
      <x:c r="D2222" t="str">
        <x:f>IFERROR(IF(2220&lt;=$O$1,INDEX($A$3:$A$168,MATCH(2220,$I$3:$I$168,0)),IF(2220&lt;=$O$1+$O$2,INDEX($F$3:$F$1994,MATCH(2220-$O$1,$G$3:$G$1994,0)),"")),"")</x:f>
      </x:c>
      <x:c r="E2222"/>
      <x:c r="F2222"/>
      <x:c r="G2222"/>
      <x:c r="H2222"/>
      <x:c r="I2222"/>
      <x:c r="J2222"/>
      <x:c r="K2222"/>
      <x:c r="L2222"/>
      <x:c r="M2222"/>
      <x:c r="N2222"/>
    </x:row>
    <x:row r="2223">
      <x:c r="A2223"/>
      <x:c r="B2223"/>
      <x:c r="C2223"/>
      <x:c r="D2223" t="str">
        <x:f>IFERROR(IF(2221&lt;=$O$1,INDEX($A$3:$A$168,MATCH(2221,$I$3:$I$168,0)),IF(2221&lt;=$O$1+$O$2,INDEX($F$3:$F$1994,MATCH(2221-$O$1,$G$3:$G$1994,0)),"")),"")</x:f>
      </x:c>
      <x:c r="E2223"/>
      <x:c r="F2223"/>
      <x:c r="G2223"/>
      <x:c r="H2223"/>
      <x:c r="I2223"/>
      <x:c r="J2223"/>
      <x:c r="K2223"/>
      <x:c r="L2223"/>
      <x:c r="M2223"/>
      <x:c r="N2223"/>
    </x:row>
    <x:row r="2224">
      <x:c r="A2224"/>
      <x:c r="B2224"/>
      <x:c r="C2224"/>
      <x:c r="D2224" t="str">
        <x:f>IFERROR(IF(2222&lt;=$O$1,INDEX($A$3:$A$168,MATCH(2222,$I$3:$I$168,0)),IF(2222&lt;=$O$1+$O$2,INDEX($F$3:$F$1994,MATCH(2222-$O$1,$G$3:$G$1994,0)),"")),"")</x:f>
      </x:c>
      <x:c r="E2224"/>
      <x:c r="F2224"/>
      <x:c r="G2224"/>
      <x:c r="H2224"/>
      <x:c r="I2224"/>
      <x:c r="J2224"/>
      <x:c r="K2224"/>
      <x:c r="L2224"/>
      <x:c r="M2224"/>
      <x:c r="N2224"/>
    </x:row>
    <x:row r="2225">
      <x:c r="A2225"/>
      <x:c r="B2225"/>
      <x:c r="C2225"/>
      <x:c r="D2225" t="str">
        <x:f>IFERROR(IF(2223&lt;=$O$1,INDEX($A$3:$A$168,MATCH(2223,$I$3:$I$168,0)),IF(2223&lt;=$O$1+$O$2,INDEX($F$3:$F$1994,MATCH(2223-$O$1,$G$3:$G$1994,0)),"")),"")</x:f>
      </x:c>
      <x:c r="E2225"/>
      <x:c r="F2225"/>
      <x:c r="G2225"/>
      <x:c r="H2225"/>
      <x:c r="I2225"/>
      <x:c r="J2225"/>
      <x:c r="K2225"/>
      <x:c r="L2225"/>
      <x:c r="M2225"/>
      <x:c r="N2225"/>
    </x:row>
    <x:row r="2226">
      <x:c r="A2226"/>
      <x:c r="B2226"/>
      <x:c r="C2226"/>
      <x:c r="D2226" t="str">
        <x:f>IFERROR(IF(2224&lt;=$O$1,INDEX($A$3:$A$168,MATCH(2224,$I$3:$I$168,0)),IF(2224&lt;=$O$1+$O$2,INDEX($F$3:$F$1994,MATCH(2224-$O$1,$G$3:$G$1994,0)),"")),"")</x:f>
      </x:c>
      <x:c r="E2226"/>
      <x:c r="F2226"/>
      <x:c r="G2226"/>
      <x:c r="H2226"/>
      <x:c r="I2226"/>
      <x:c r="J2226"/>
      <x:c r="K2226"/>
      <x:c r="L2226"/>
      <x:c r="M2226"/>
      <x:c r="N2226"/>
    </x:row>
    <x:row r="2227">
      <x:c r="A2227"/>
      <x:c r="B2227"/>
      <x:c r="C2227"/>
      <x:c r="D2227" t="str">
        <x:f>IFERROR(IF(2225&lt;=$O$1,INDEX($A$3:$A$168,MATCH(2225,$I$3:$I$168,0)),IF(2225&lt;=$O$1+$O$2,INDEX($F$3:$F$1994,MATCH(2225-$O$1,$G$3:$G$1994,0)),"")),"")</x:f>
      </x:c>
      <x:c r="E2227"/>
      <x:c r="F2227"/>
      <x:c r="G2227"/>
      <x:c r="H2227"/>
      <x:c r="I2227"/>
      <x:c r="J2227"/>
      <x:c r="K2227"/>
      <x:c r="L2227"/>
      <x:c r="M2227"/>
      <x:c r="N2227"/>
    </x:row>
    <x:row r="2228">
      <x:c r="A2228"/>
      <x:c r="B2228"/>
      <x:c r="C2228"/>
      <x:c r="D2228" t="str">
        <x:f>IFERROR(IF(2226&lt;=$O$1,INDEX($A$3:$A$168,MATCH(2226,$I$3:$I$168,0)),IF(2226&lt;=$O$1+$O$2,INDEX($F$3:$F$1994,MATCH(2226-$O$1,$G$3:$G$1994,0)),"")),"")</x:f>
      </x:c>
      <x:c r="E2228"/>
      <x:c r="F2228"/>
      <x:c r="G2228"/>
      <x:c r="H2228"/>
      <x:c r="I2228"/>
      <x:c r="J2228"/>
      <x:c r="K2228"/>
      <x:c r="L2228"/>
      <x:c r="M2228"/>
      <x:c r="N2228"/>
    </x:row>
    <x:row r="2229">
      <x:c r="A2229"/>
      <x:c r="B2229"/>
      <x:c r="C2229"/>
      <x:c r="D2229" t="str">
        <x:f>IFERROR(IF(2227&lt;=$O$1,INDEX($A$3:$A$168,MATCH(2227,$I$3:$I$168,0)),IF(2227&lt;=$O$1+$O$2,INDEX($F$3:$F$1994,MATCH(2227-$O$1,$G$3:$G$1994,0)),"")),"")</x:f>
      </x:c>
      <x:c r="E2229"/>
      <x:c r="F2229"/>
      <x:c r="G2229"/>
      <x:c r="H2229"/>
      <x:c r="I2229"/>
      <x:c r="J2229"/>
      <x:c r="K2229"/>
      <x:c r="L2229"/>
      <x:c r="M2229"/>
      <x:c r="N2229"/>
    </x:row>
    <x:row r="2230">
      <x:c r="A2230"/>
      <x:c r="B2230"/>
      <x:c r="C2230"/>
      <x:c r="D2230" t="str">
        <x:f>IFERROR(IF(2228&lt;=$O$1,INDEX($A$3:$A$168,MATCH(2228,$I$3:$I$168,0)),IF(2228&lt;=$O$1+$O$2,INDEX($F$3:$F$1994,MATCH(2228-$O$1,$G$3:$G$1994,0)),"")),"")</x:f>
      </x:c>
      <x:c r="E2230"/>
      <x:c r="F2230"/>
      <x:c r="G2230"/>
      <x:c r="H2230"/>
      <x:c r="I2230"/>
      <x:c r="J2230"/>
      <x:c r="K2230"/>
      <x:c r="L2230"/>
      <x:c r="M2230"/>
      <x:c r="N2230"/>
    </x:row>
    <x:row r="2231">
      <x:c r="A2231"/>
      <x:c r="B2231"/>
      <x:c r="C2231"/>
      <x:c r="D2231" t="str">
        <x:f>IFERROR(IF(2229&lt;=$O$1,INDEX($A$3:$A$168,MATCH(2229,$I$3:$I$168,0)),IF(2229&lt;=$O$1+$O$2,INDEX($F$3:$F$1994,MATCH(2229-$O$1,$G$3:$G$1994,0)),"")),"")</x:f>
      </x:c>
      <x:c r="E2231"/>
      <x:c r="F2231"/>
      <x:c r="G2231"/>
      <x:c r="H2231"/>
      <x:c r="I2231"/>
      <x:c r="J2231"/>
      <x:c r="K2231"/>
      <x:c r="L2231"/>
      <x:c r="M2231"/>
      <x:c r="N2231"/>
    </x:row>
    <x:row r="2232">
      <x:c r="A2232"/>
      <x:c r="B2232"/>
      <x:c r="C2232"/>
      <x:c r="D2232" t="str">
        <x:f>IFERROR(IF(2230&lt;=$O$1,INDEX($A$3:$A$168,MATCH(2230,$I$3:$I$168,0)),IF(2230&lt;=$O$1+$O$2,INDEX($F$3:$F$1994,MATCH(2230-$O$1,$G$3:$G$1994,0)),"")),"")</x:f>
      </x:c>
      <x:c r="E2232"/>
      <x:c r="F2232"/>
      <x:c r="G2232"/>
      <x:c r="H2232"/>
      <x:c r="I2232"/>
      <x:c r="J2232"/>
      <x:c r="K2232"/>
      <x:c r="L2232"/>
      <x:c r="M2232"/>
      <x:c r="N2232"/>
    </x:row>
    <x:row r="2233">
      <x:c r="A2233"/>
      <x:c r="B2233"/>
      <x:c r="C2233"/>
      <x:c r="D2233" t="str">
        <x:f>IFERROR(IF(2231&lt;=$O$1,INDEX($A$3:$A$168,MATCH(2231,$I$3:$I$168,0)),IF(2231&lt;=$O$1+$O$2,INDEX($F$3:$F$1994,MATCH(2231-$O$1,$G$3:$G$1994,0)),"")),"")</x:f>
      </x:c>
      <x:c r="E2233"/>
      <x:c r="F2233"/>
      <x:c r="G2233"/>
      <x:c r="H2233"/>
      <x:c r="I2233"/>
      <x:c r="J2233"/>
      <x:c r="K2233"/>
      <x:c r="L2233"/>
      <x:c r="M2233"/>
      <x:c r="N2233"/>
    </x:row>
    <x:row r="2234">
      <x:c r="A2234"/>
      <x:c r="B2234"/>
      <x:c r="C2234"/>
      <x:c r="D2234" t="str">
        <x:f>IFERROR(IF(2232&lt;=$O$1,INDEX($A$3:$A$168,MATCH(2232,$I$3:$I$168,0)),IF(2232&lt;=$O$1+$O$2,INDEX($F$3:$F$1994,MATCH(2232-$O$1,$G$3:$G$1994,0)),"")),"")</x:f>
      </x:c>
      <x:c r="E2234"/>
      <x:c r="F2234"/>
      <x:c r="G2234"/>
      <x:c r="H2234"/>
      <x:c r="I2234"/>
      <x:c r="J2234"/>
      <x:c r="K2234"/>
      <x:c r="L2234"/>
      <x:c r="M2234"/>
      <x:c r="N2234"/>
    </x:row>
    <x:row r="2235">
      <x:c r="A2235"/>
      <x:c r="B2235"/>
      <x:c r="C2235"/>
      <x:c r="D2235" t="str">
        <x:f>IFERROR(IF(2233&lt;=$O$1,INDEX($A$3:$A$168,MATCH(2233,$I$3:$I$168,0)),IF(2233&lt;=$O$1+$O$2,INDEX($F$3:$F$1994,MATCH(2233-$O$1,$G$3:$G$1994,0)),"")),"")</x:f>
      </x:c>
      <x:c r="E2235"/>
      <x:c r="F2235"/>
      <x:c r="G2235"/>
      <x:c r="H2235"/>
      <x:c r="I2235"/>
      <x:c r="J2235"/>
      <x:c r="K2235"/>
      <x:c r="L2235"/>
      <x:c r="M2235"/>
      <x:c r="N2235"/>
    </x:row>
    <x:row r="2236">
      <x:c r="A2236"/>
      <x:c r="B2236"/>
      <x:c r="C2236"/>
      <x:c r="D2236" t="str">
        <x:f>IFERROR(IF(2234&lt;=$O$1,INDEX($A$3:$A$168,MATCH(2234,$I$3:$I$168,0)),IF(2234&lt;=$O$1+$O$2,INDEX($F$3:$F$1994,MATCH(2234-$O$1,$G$3:$G$1994,0)),"")),"")</x:f>
      </x:c>
      <x:c r="E2236"/>
      <x:c r="F2236"/>
      <x:c r="G2236"/>
      <x:c r="H2236"/>
      <x:c r="I2236"/>
      <x:c r="J2236"/>
      <x:c r="K2236"/>
      <x:c r="L2236"/>
      <x:c r="M2236"/>
      <x:c r="N2236"/>
    </x:row>
    <x:row r="2237">
      <x:c r="A2237"/>
      <x:c r="B2237"/>
      <x:c r="C2237"/>
      <x:c r="D2237" t="str">
        <x:f>IFERROR(IF(2235&lt;=$O$1,INDEX($A$3:$A$168,MATCH(2235,$I$3:$I$168,0)),IF(2235&lt;=$O$1+$O$2,INDEX($F$3:$F$1994,MATCH(2235-$O$1,$G$3:$G$1994,0)),"")),"")</x:f>
      </x:c>
      <x:c r="E2237"/>
      <x:c r="F2237"/>
      <x:c r="G2237"/>
      <x:c r="H2237"/>
      <x:c r="I2237"/>
      <x:c r="J2237"/>
      <x:c r="K2237"/>
      <x:c r="L2237"/>
      <x:c r="M2237"/>
      <x:c r="N2237"/>
    </x:row>
    <x:row r="2238">
      <x:c r="A2238"/>
      <x:c r="B2238"/>
      <x:c r="C2238"/>
      <x:c r="D2238" t="str">
        <x:f>IFERROR(IF(2236&lt;=$O$1,INDEX($A$3:$A$168,MATCH(2236,$I$3:$I$168,0)),IF(2236&lt;=$O$1+$O$2,INDEX($F$3:$F$1994,MATCH(2236-$O$1,$G$3:$G$1994,0)),"")),"")</x:f>
      </x:c>
      <x:c r="E2238"/>
      <x:c r="F2238"/>
      <x:c r="G2238"/>
      <x:c r="H2238"/>
      <x:c r="I2238"/>
      <x:c r="J2238"/>
      <x:c r="K2238"/>
      <x:c r="L2238"/>
      <x:c r="M2238"/>
      <x:c r="N2238"/>
    </x:row>
    <x:row r="2239">
      <x:c r="A2239"/>
      <x:c r="B2239"/>
      <x:c r="C2239"/>
      <x:c r="D2239" t="str">
        <x:f>IFERROR(IF(2237&lt;=$O$1,INDEX($A$3:$A$168,MATCH(2237,$I$3:$I$168,0)),IF(2237&lt;=$O$1+$O$2,INDEX($F$3:$F$1994,MATCH(2237-$O$1,$G$3:$G$1994,0)),"")),"")</x:f>
      </x:c>
      <x:c r="E2239"/>
      <x:c r="F2239"/>
      <x:c r="G2239"/>
      <x:c r="H2239"/>
      <x:c r="I2239"/>
      <x:c r="J2239"/>
      <x:c r="K2239"/>
      <x:c r="L2239"/>
      <x:c r="M2239"/>
      <x:c r="N2239"/>
    </x:row>
    <x:row r="2240">
      <x:c r="A2240"/>
      <x:c r="B2240"/>
      <x:c r="C2240"/>
      <x:c r="D2240" t="str">
        <x:f>IFERROR(IF(2238&lt;=$O$1,INDEX($A$3:$A$168,MATCH(2238,$I$3:$I$168,0)),IF(2238&lt;=$O$1+$O$2,INDEX($F$3:$F$1994,MATCH(2238-$O$1,$G$3:$G$1994,0)),"")),"")</x:f>
      </x:c>
      <x:c r="E2240"/>
      <x:c r="F2240"/>
      <x:c r="G2240"/>
      <x:c r="H2240"/>
      <x:c r="I2240"/>
      <x:c r="J2240"/>
      <x:c r="K2240"/>
      <x:c r="L2240"/>
      <x:c r="M2240"/>
      <x:c r="N2240"/>
    </x:row>
    <x:row r="2241">
      <x:c r="A2241"/>
      <x:c r="B2241"/>
      <x:c r="C2241"/>
      <x:c r="D2241" t="str">
        <x:f>IFERROR(IF(2239&lt;=$O$1,INDEX($A$3:$A$168,MATCH(2239,$I$3:$I$168,0)),IF(2239&lt;=$O$1+$O$2,INDEX($F$3:$F$1994,MATCH(2239-$O$1,$G$3:$G$1994,0)),"")),"")</x:f>
      </x:c>
      <x:c r="E2241"/>
      <x:c r="F2241"/>
      <x:c r="G2241"/>
      <x:c r="H2241"/>
      <x:c r="I2241"/>
      <x:c r="J2241"/>
      <x:c r="K2241"/>
      <x:c r="L2241"/>
      <x:c r="M2241"/>
      <x:c r="N2241"/>
    </x:row>
    <x:row r="2242">
      <x:c r="A2242"/>
      <x:c r="B2242"/>
      <x:c r="C2242"/>
      <x:c r="D2242" t="str">
        <x:f>IFERROR(IF(2240&lt;=$O$1,INDEX($A$3:$A$168,MATCH(2240,$I$3:$I$168,0)),IF(2240&lt;=$O$1+$O$2,INDEX($F$3:$F$1994,MATCH(2240-$O$1,$G$3:$G$1994,0)),"")),"")</x:f>
      </x:c>
      <x:c r="E2242"/>
      <x:c r="F2242"/>
      <x:c r="G2242"/>
      <x:c r="H2242"/>
      <x:c r="I2242"/>
      <x:c r="J2242"/>
      <x:c r="K2242"/>
      <x:c r="L2242"/>
      <x:c r="M2242"/>
      <x:c r="N2242"/>
    </x:row>
    <x:row r="2243">
      <x:c r="A2243"/>
      <x:c r="B2243"/>
      <x:c r="C2243"/>
      <x:c r="D2243" t="str">
        <x:f>IFERROR(IF(2241&lt;=$O$1,INDEX($A$3:$A$168,MATCH(2241,$I$3:$I$168,0)),IF(2241&lt;=$O$1+$O$2,INDEX($F$3:$F$1994,MATCH(2241-$O$1,$G$3:$G$1994,0)),"")),"")</x:f>
      </x:c>
      <x:c r="E2243"/>
      <x:c r="F2243"/>
      <x:c r="G2243"/>
      <x:c r="H2243"/>
      <x:c r="I2243"/>
      <x:c r="J2243"/>
      <x:c r="K2243"/>
      <x:c r="L2243"/>
      <x:c r="M2243"/>
      <x:c r="N2243"/>
    </x:row>
    <x:row r="2244">
      <x:c r="A2244"/>
      <x:c r="B2244"/>
      <x:c r="C2244"/>
      <x:c r="D2244" t="str">
        <x:f>IFERROR(IF(2242&lt;=$O$1,INDEX($A$3:$A$168,MATCH(2242,$I$3:$I$168,0)),IF(2242&lt;=$O$1+$O$2,INDEX($F$3:$F$1994,MATCH(2242-$O$1,$G$3:$G$1994,0)),"")),"")</x:f>
      </x:c>
      <x:c r="E2244"/>
      <x:c r="F2244"/>
      <x:c r="G2244"/>
      <x:c r="H2244"/>
      <x:c r="I2244"/>
      <x:c r="J2244"/>
      <x:c r="K2244"/>
      <x:c r="L2244"/>
      <x:c r="M2244"/>
      <x:c r="N2244"/>
    </x:row>
    <x:row r="2245">
      <x:c r="A2245"/>
      <x:c r="B2245"/>
      <x:c r="C2245"/>
      <x:c r="D2245" t="str">
        <x:f>IFERROR(IF(2243&lt;=$O$1,INDEX($A$3:$A$168,MATCH(2243,$I$3:$I$168,0)),IF(2243&lt;=$O$1+$O$2,INDEX($F$3:$F$1994,MATCH(2243-$O$1,$G$3:$G$1994,0)),"")),"")</x:f>
      </x:c>
      <x:c r="E2245"/>
      <x:c r="F2245"/>
      <x:c r="G2245"/>
      <x:c r="H2245"/>
      <x:c r="I2245"/>
      <x:c r="J2245"/>
      <x:c r="K2245"/>
      <x:c r="L2245"/>
      <x:c r="M2245"/>
      <x:c r="N2245"/>
    </x:row>
    <x:row r="2246">
      <x:c r="A2246"/>
      <x:c r="B2246"/>
      <x:c r="C2246"/>
      <x:c r="D2246" t="str">
        <x:f>IFERROR(IF(2244&lt;=$O$1,INDEX($A$3:$A$168,MATCH(2244,$I$3:$I$168,0)),IF(2244&lt;=$O$1+$O$2,INDEX($F$3:$F$1994,MATCH(2244-$O$1,$G$3:$G$1994,0)),"")),"")</x:f>
      </x:c>
      <x:c r="E2246"/>
      <x:c r="F2246"/>
      <x:c r="G2246"/>
      <x:c r="H2246"/>
      <x:c r="I2246"/>
      <x:c r="J2246"/>
      <x:c r="K2246"/>
      <x:c r="L2246"/>
      <x:c r="M2246"/>
      <x:c r="N2246"/>
    </x:row>
    <x:row r="2247">
      <x:c r="A2247"/>
      <x:c r="B2247"/>
      <x:c r="C2247"/>
      <x:c r="D2247" t="str">
        <x:f>IFERROR(IF(2245&lt;=$O$1,INDEX($A$3:$A$168,MATCH(2245,$I$3:$I$168,0)),IF(2245&lt;=$O$1+$O$2,INDEX($F$3:$F$1994,MATCH(2245-$O$1,$G$3:$G$1994,0)),"")),"")</x:f>
      </x:c>
      <x:c r="E2247"/>
      <x:c r="F2247"/>
      <x:c r="G2247"/>
      <x:c r="H2247"/>
      <x:c r="I2247"/>
      <x:c r="J2247"/>
      <x:c r="K2247"/>
      <x:c r="L2247"/>
      <x:c r="M2247"/>
      <x:c r="N2247"/>
    </x:row>
    <x:row r="2248">
      <x:c r="A2248"/>
      <x:c r="B2248"/>
      <x:c r="C2248"/>
      <x:c r="D2248" t="str">
        <x:f>IFERROR(IF(2246&lt;=$O$1,INDEX($A$3:$A$168,MATCH(2246,$I$3:$I$168,0)),IF(2246&lt;=$O$1+$O$2,INDEX($F$3:$F$1994,MATCH(2246-$O$1,$G$3:$G$1994,0)),"")),"")</x:f>
      </x:c>
      <x:c r="E2248"/>
      <x:c r="F2248"/>
      <x:c r="G2248"/>
      <x:c r="H2248"/>
      <x:c r="I2248"/>
      <x:c r="J2248"/>
      <x:c r="K2248"/>
      <x:c r="L2248"/>
      <x:c r="M2248"/>
      <x:c r="N2248"/>
    </x:row>
    <x:row r="2249">
      <x:c r="A2249"/>
      <x:c r="B2249"/>
      <x:c r="C2249"/>
      <x:c r="D2249" t="str">
        <x:f>IFERROR(IF(2247&lt;=$O$1,INDEX($A$3:$A$168,MATCH(2247,$I$3:$I$168,0)),IF(2247&lt;=$O$1+$O$2,INDEX($F$3:$F$1994,MATCH(2247-$O$1,$G$3:$G$1994,0)),"")),"")</x:f>
      </x:c>
      <x:c r="E2249"/>
      <x:c r="F2249"/>
      <x:c r="G2249"/>
      <x:c r="H2249"/>
      <x:c r="I2249"/>
      <x:c r="J2249"/>
      <x:c r="K2249"/>
      <x:c r="L2249"/>
      <x:c r="M2249"/>
      <x:c r="N2249"/>
    </x:row>
    <x:row r="2250">
      <x:c r="A2250"/>
      <x:c r="B2250"/>
      <x:c r="C2250"/>
      <x:c r="D2250" t="str">
        <x:f>IFERROR(IF(2248&lt;=$O$1,INDEX($A$3:$A$168,MATCH(2248,$I$3:$I$168,0)),IF(2248&lt;=$O$1+$O$2,INDEX($F$3:$F$1994,MATCH(2248-$O$1,$G$3:$G$1994,0)),"")),"")</x:f>
      </x:c>
      <x:c r="E2250"/>
      <x:c r="F2250"/>
      <x:c r="G2250"/>
      <x:c r="H2250"/>
      <x:c r="I2250"/>
      <x:c r="J2250"/>
      <x:c r="K2250"/>
      <x:c r="L2250"/>
      <x:c r="M2250"/>
      <x:c r="N2250"/>
    </x:row>
    <x:row r="2251">
      <x:c r="A2251"/>
      <x:c r="B2251"/>
      <x:c r="C2251"/>
      <x:c r="D2251" t="str">
        <x:f>IFERROR(IF(2249&lt;=$O$1,INDEX($A$3:$A$168,MATCH(2249,$I$3:$I$168,0)),IF(2249&lt;=$O$1+$O$2,INDEX($F$3:$F$1994,MATCH(2249-$O$1,$G$3:$G$1994,0)),"")),"")</x:f>
      </x:c>
      <x:c r="E2251"/>
      <x:c r="F2251"/>
      <x:c r="G2251"/>
      <x:c r="H2251"/>
      <x:c r="I2251"/>
      <x:c r="J2251"/>
      <x:c r="K2251"/>
      <x:c r="L2251"/>
      <x:c r="M2251"/>
      <x:c r="N2251"/>
    </x:row>
    <x:row r="2252">
      <x:c r="A2252"/>
      <x:c r="B2252"/>
      <x:c r="C2252"/>
      <x:c r="D2252" t="str">
        <x:f>IFERROR(IF(2250&lt;=$O$1,INDEX($A$3:$A$168,MATCH(2250,$I$3:$I$168,0)),IF(2250&lt;=$O$1+$O$2,INDEX($F$3:$F$1994,MATCH(2250-$O$1,$G$3:$G$1994,0)),"")),"")</x:f>
      </x:c>
      <x:c r="E2252"/>
      <x:c r="F2252"/>
      <x:c r="G2252"/>
      <x:c r="H2252"/>
      <x:c r="I2252"/>
      <x:c r="J2252"/>
      <x:c r="K2252"/>
      <x:c r="L2252"/>
      <x:c r="M2252"/>
      <x:c r="N2252"/>
    </x:row>
    <x:row r="2253">
      <x:c r="A2253"/>
      <x:c r="B2253"/>
      <x:c r="C2253"/>
      <x:c r="D2253" t="str">
        <x:f>IFERROR(IF(2251&lt;=$O$1,INDEX($A$3:$A$168,MATCH(2251,$I$3:$I$168,0)),IF(2251&lt;=$O$1+$O$2,INDEX($F$3:$F$1994,MATCH(2251-$O$1,$G$3:$G$1994,0)),"")),"")</x:f>
      </x:c>
      <x:c r="E2253"/>
      <x:c r="F2253"/>
      <x:c r="G2253"/>
      <x:c r="H2253"/>
      <x:c r="I2253"/>
      <x:c r="J2253"/>
      <x:c r="K2253"/>
      <x:c r="L2253"/>
      <x:c r="M2253"/>
      <x:c r="N2253"/>
    </x:row>
    <x:row r="2254">
      <x:c r="A2254"/>
      <x:c r="B2254"/>
      <x:c r="C2254"/>
      <x:c r="D2254" t="str">
        <x:f>IFERROR(IF(2252&lt;=$O$1,INDEX($A$3:$A$168,MATCH(2252,$I$3:$I$168,0)),IF(2252&lt;=$O$1+$O$2,INDEX($F$3:$F$1994,MATCH(2252-$O$1,$G$3:$G$1994,0)),"")),"")</x:f>
      </x:c>
      <x:c r="E2254"/>
      <x:c r="F2254"/>
      <x:c r="G2254"/>
      <x:c r="H2254"/>
      <x:c r="I2254"/>
      <x:c r="J2254"/>
      <x:c r="K2254"/>
      <x:c r="L2254"/>
      <x:c r="M2254"/>
      <x:c r="N2254"/>
    </x:row>
    <x:row r="2255">
      <x:c r="A2255"/>
      <x:c r="B2255"/>
      <x:c r="C2255"/>
      <x:c r="D2255" t="str">
        <x:f>IFERROR(IF(2253&lt;=$O$1,INDEX($A$3:$A$168,MATCH(2253,$I$3:$I$168,0)),IF(2253&lt;=$O$1+$O$2,INDEX($F$3:$F$1994,MATCH(2253-$O$1,$G$3:$G$1994,0)),"")),"")</x:f>
      </x:c>
      <x:c r="E2255"/>
      <x:c r="F2255"/>
      <x:c r="G2255"/>
      <x:c r="H2255"/>
      <x:c r="I2255"/>
      <x:c r="J2255"/>
      <x:c r="K2255"/>
      <x:c r="L2255"/>
      <x:c r="M2255"/>
      <x:c r="N2255"/>
    </x:row>
    <x:row r="2256">
      <x:c r="A2256"/>
      <x:c r="B2256"/>
      <x:c r="C2256"/>
      <x:c r="D2256" t="str">
        <x:f>IFERROR(IF(2254&lt;=$O$1,INDEX($A$3:$A$168,MATCH(2254,$I$3:$I$168,0)),IF(2254&lt;=$O$1+$O$2,INDEX($F$3:$F$1994,MATCH(2254-$O$1,$G$3:$G$1994,0)),"")),"")</x:f>
      </x:c>
      <x:c r="E2256"/>
      <x:c r="F2256"/>
      <x:c r="G2256"/>
      <x:c r="H2256"/>
      <x:c r="I2256"/>
      <x:c r="J2256"/>
      <x:c r="K2256"/>
      <x:c r="L2256"/>
      <x:c r="M2256"/>
      <x:c r="N2256"/>
    </x:row>
    <x:row r="2257">
      <x:c r="A2257"/>
      <x:c r="B2257"/>
      <x:c r="C2257"/>
      <x:c r="D2257" t="str">
        <x:f>IFERROR(IF(2255&lt;=$O$1,INDEX($A$3:$A$168,MATCH(2255,$I$3:$I$168,0)),IF(2255&lt;=$O$1+$O$2,INDEX($F$3:$F$1994,MATCH(2255-$O$1,$G$3:$G$1994,0)),"")),"")</x:f>
      </x:c>
      <x:c r="E2257"/>
      <x:c r="F2257"/>
      <x:c r="G2257"/>
      <x:c r="H2257"/>
      <x:c r="I2257"/>
      <x:c r="J2257"/>
      <x:c r="K2257"/>
      <x:c r="L2257"/>
      <x:c r="M2257"/>
      <x:c r="N2257"/>
    </x:row>
    <x:row r="2258">
      <x:c r="A2258"/>
      <x:c r="B2258"/>
      <x:c r="C2258"/>
      <x:c r="D2258" t="str">
        <x:f>IFERROR(IF(2256&lt;=$O$1,INDEX($A$3:$A$168,MATCH(2256,$I$3:$I$168,0)),IF(2256&lt;=$O$1+$O$2,INDEX($F$3:$F$1994,MATCH(2256-$O$1,$G$3:$G$1994,0)),"")),"")</x:f>
      </x:c>
      <x:c r="E2258"/>
      <x:c r="F2258"/>
      <x:c r="G2258"/>
      <x:c r="H2258"/>
      <x:c r="I2258"/>
      <x:c r="J2258"/>
      <x:c r="K2258"/>
      <x:c r="L2258"/>
      <x:c r="M2258"/>
      <x:c r="N2258"/>
    </x:row>
    <x:row r="2259">
      <x:c r="A2259"/>
      <x:c r="B2259"/>
      <x:c r="C2259"/>
      <x:c r="D2259" t="str">
        <x:f>IFERROR(IF(2257&lt;=$O$1,INDEX($A$3:$A$168,MATCH(2257,$I$3:$I$168,0)),IF(2257&lt;=$O$1+$O$2,INDEX($F$3:$F$1994,MATCH(2257-$O$1,$G$3:$G$1994,0)),"")),"")</x:f>
      </x:c>
      <x:c r="E2259"/>
      <x:c r="F2259"/>
      <x:c r="G2259"/>
      <x:c r="H2259"/>
      <x:c r="I2259"/>
      <x:c r="J2259"/>
      <x:c r="K2259"/>
      <x:c r="L2259"/>
      <x:c r="M2259"/>
      <x:c r="N2259"/>
    </x:row>
    <x:row r="2260">
      <x:c r="A2260"/>
      <x:c r="B2260"/>
      <x:c r="C2260"/>
      <x:c r="D2260" t="str">
        <x:f>IFERROR(IF(2258&lt;=$O$1,INDEX($A$3:$A$168,MATCH(2258,$I$3:$I$168,0)),IF(2258&lt;=$O$1+$O$2,INDEX($F$3:$F$1994,MATCH(2258-$O$1,$G$3:$G$1994,0)),"")),"")</x:f>
      </x:c>
      <x:c r="E2260"/>
      <x:c r="F2260"/>
      <x:c r="G2260"/>
      <x:c r="H2260"/>
      <x:c r="I2260"/>
      <x:c r="J2260"/>
      <x:c r="K2260"/>
      <x:c r="L2260"/>
      <x:c r="M2260"/>
      <x:c r="N2260"/>
    </x:row>
    <x:row r="2261">
      <x:c r="A2261"/>
      <x:c r="B2261"/>
      <x:c r="C2261"/>
      <x:c r="D2261" t="str">
        <x:f>IFERROR(IF(2259&lt;=$O$1,INDEX($A$3:$A$168,MATCH(2259,$I$3:$I$168,0)),IF(2259&lt;=$O$1+$O$2,INDEX($F$3:$F$1994,MATCH(2259-$O$1,$G$3:$G$1994,0)),"")),"")</x:f>
      </x:c>
      <x:c r="E2261"/>
      <x:c r="F2261"/>
      <x:c r="G2261"/>
      <x:c r="H2261"/>
      <x:c r="I2261"/>
      <x:c r="J2261"/>
      <x:c r="K2261"/>
      <x:c r="L2261"/>
      <x:c r="M2261"/>
      <x:c r="N2261"/>
    </x:row>
    <x:row r="2262">
      <x:c r="A2262"/>
      <x:c r="B2262"/>
      <x:c r="C2262"/>
      <x:c r="D2262" t="str">
        <x:f>IFERROR(IF(2260&lt;=$O$1,INDEX($A$3:$A$168,MATCH(2260,$I$3:$I$168,0)),IF(2260&lt;=$O$1+$O$2,INDEX($F$3:$F$1994,MATCH(2260-$O$1,$G$3:$G$1994,0)),"")),"")</x:f>
      </x:c>
      <x:c r="E2262"/>
      <x:c r="F2262"/>
      <x:c r="G2262"/>
      <x:c r="H2262"/>
      <x:c r="I2262"/>
      <x:c r="J2262"/>
      <x:c r="K2262"/>
      <x:c r="L2262"/>
      <x:c r="M2262"/>
      <x:c r="N2262"/>
    </x:row>
    <x:row r="2263">
      <x:c r="A2263"/>
      <x:c r="B2263"/>
      <x:c r="C2263"/>
      <x:c r="D2263" t="str">
        <x:f>IFERROR(IF(2261&lt;=$O$1,INDEX($A$3:$A$168,MATCH(2261,$I$3:$I$168,0)),IF(2261&lt;=$O$1+$O$2,INDEX($F$3:$F$1994,MATCH(2261-$O$1,$G$3:$G$1994,0)),"")),"")</x:f>
      </x:c>
      <x:c r="E2263"/>
      <x:c r="F2263"/>
      <x:c r="G2263"/>
      <x:c r="H2263"/>
      <x:c r="I2263"/>
      <x:c r="J2263"/>
      <x:c r="K2263"/>
      <x:c r="L2263"/>
      <x:c r="M2263"/>
      <x:c r="N2263"/>
    </x:row>
    <x:row r="2264">
      <x:c r="A2264"/>
      <x:c r="B2264"/>
      <x:c r="C2264"/>
      <x:c r="D2264" t="str">
        <x:f>IFERROR(IF(2262&lt;=$O$1,INDEX($A$3:$A$168,MATCH(2262,$I$3:$I$168,0)),IF(2262&lt;=$O$1+$O$2,INDEX($F$3:$F$1994,MATCH(2262-$O$1,$G$3:$G$1994,0)),"")),"")</x:f>
      </x:c>
      <x:c r="E2264"/>
      <x:c r="F2264"/>
      <x:c r="G2264"/>
      <x:c r="H2264"/>
      <x:c r="I2264"/>
      <x:c r="J2264"/>
      <x:c r="K2264"/>
      <x:c r="L2264"/>
      <x:c r="M2264"/>
      <x:c r="N2264"/>
    </x:row>
    <x:row r="2265">
      <x:c r="A2265"/>
      <x:c r="B2265"/>
      <x:c r="C2265"/>
      <x:c r="D2265" t="str">
        <x:f>IFERROR(IF(2263&lt;=$O$1,INDEX($A$3:$A$168,MATCH(2263,$I$3:$I$168,0)),IF(2263&lt;=$O$1+$O$2,INDEX($F$3:$F$1994,MATCH(2263-$O$1,$G$3:$G$1994,0)),"")),"")</x:f>
      </x:c>
      <x:c r="E2265"/>
      <x:c r="F2265"/>
      <x:c r="G2265"/>
      <x:c r="H2265"/>
      <x:c r="I2265"/>
      <x:c r="J2265"/>
      <x:c r="K2265"/>
      <x:c r="L2265"/>
      <x:c r="M2265"/>
      <x:c r="N2265"/>
    </x:row>
    <x:row r="2266">
      <x:c r="A2266"/>
      <x:c r="B2266"/>
      <x:c r="C2266"/>
      <x:c r="D2266" t="str">
        <x:f>IFERROR(IF(2264&lt;=$O$1,INDEX($A$3:$A$168,MATCH(2264,$I$3:$I$168,0)),IF(2264&lt;=$O$1+$O$2,INDEX($F$3:$F$1994,MATCH(2264-$O$1,$G$3:$G$1994,0)),"")),"")</x:f>
      </x:c>
      <x:c r="E2266"/>
      <x:c r="F2266"/>
      <x:c r="G2266"/>
      <x:c r="H2266"/>
      <x:c r="I2266"/>
      <x:c r="J2266"/>
      <x:c r="K2266"/>
      <x:c r="L2266"/>
      <x:c r="M2266"/>
      <x:c r="N2266"/>
    </x:row>
    <x:row r="2267">
      <x:c r="A2267"/>
      <x:c r="B2267"/>
      <x:c r="C2267"/>
      <x:c r="D2267" t="str">
        <x:f>IFERROR(IF(2265&lt;=$O$1,INDEX($A$3:$A$168,MATCH(2265,$I$3:$I$168,0)),IF(2265&lt;=$O$1+$O$2,INDEX($F$3:$F$1994,MATCH(2265-$O$1,$G$3:$G$1994,0)),"")),"")</x:f>
      </x:c>
      <x:c r="E2267"/>
      <x:c r="F2267"/>
      <x:c r="G2267"/>
      <x:c r="H2267"/>
      <x:c r="I2267"/>
      <x:c r="J2267"/>
      <x:c r="K2267"/>
      <x:c r="L2267"/>
      <x:c r="M2267"/>
      <x:c r="N2267"/>
    </x:row>
    <x:row r="2268">
      <x:c r="A2268"/>
      <x:c r="B2268"/>
      <x:c r="C2268"/>
      <x:c r="D2268" t="str">
        <x:f>IFERROR(IF(2266&lt;=$O$1,INDEX($A$3:$A$168,MATCH(2266,$I$3:$I$168,0)),IF(2266&lt;=$O$1+$O$2,INDEX($F$3:$F$1994,MATCH(2266-$O$1,$G$3:$G$1994,0)),"")),"")</x:f>
      </x:c>
      <x:c r="E2268"/>
      <x:c r="F2268"/>
      <x:c r="G2268"/>
      <x:c r="H2268"/>
      <x:c r="I2268"/>
      <x:c r="J2268"/>
      <x:c r="K2268"/>
      <x:c r="L2268"/>
      <x:c r="M2268"/>
      <x:c r="N2268"/>
    </x:row>
    <x:row r="2269">
      <x:c r="A2269"/>
      <x:c r="B2269"/>
      <x:c r="C2269"/>
      <x:c r="D2269" t="str">
        <x:f>IFERROR(IF(2267&lt;=$O$1,INDEX($A$3:$A$168,MATCH(2267,$I$3:$I$168,0)),IF(2267&lt;=$O$1+$O$2,INDEX($F$3:$F$1994,MATCH(2267-$O$1,$G$3:$G$1994,0)),"")),"")</x:f>
      </x:c>
      <x:c r="E2269"/>
      <x:c r="F2269"/>
      <x:c r="G2269"/>
      <x:c r="H2269"/>
      <x:c r="I2269"/>
      <x:c r="J2269"/>
      <x:c r="K2269"/>
      <x:c r="L2269"/>
      <x:c r="M2269"/>
      <x:c r="N2269"/>
    </x:row>
    <x:row r="2270">
      <x:c r="A2270"/>
      <x:c r="B2270"/>
      <x:c r="C2270"/>
      <x:c r="D2270" t="str">
        <x:f>IFERROR(IF(2268&lt;=$O$1,INDEX($A$3:$A$168,MATCH(2268,$I$3:$I$168,0)),IF(2268&lt;=$O$1+$O$2,INDEX($F$3:$F$1994,MATCH(2268-$O$1,$G$3:$G$1994,0)),"")),"")</x:f>
      </x:c>
      <x:c r="E2270"/>
      <x:c r="F2270"/>
      <x:c r="G2270"/>
      <x:c r="H2270"/>
      <x:c r="I2270"/>
      <x:c r="J2270"/>
      <x:c r="K2270"/>
      <x:c r="L2270"/>
      <x:c r="M2270"/>
      <x:c r="N2270"/>
    </x:row>
    <x:row r="2271">
      <x:c r="A2271"/>
      <x:c r="B2271"/>
      <x:c r="C2271"/>
      <x:c r="D2271" t="str">
        <x:f>IFERROR(IF(2269&lt;=$O$1,INDEX($A$3:$A$168,MATCH(2269,$I$3:$I$168,0)),IF(2269&lt;=$O$1+$O$2,INDEX($F$3:$F$1994,MATCH(2269-$O$1,$G$3:$G$1994,0)),"")),"")</x:f>
      </x:c>
      <x:c r="E2271"/>
      <x:c r="F2271"/>
      <x:c r="G2271"/>
      <x:c r="H2271"/>
      <x:c r="I2271"/>
      <x:c r="J2271"/>
      <x:c r="K2271"/>
      <x:c r="L2271"/>
      <x:c r="M2271"/>
      <x:c r="N2271"/>
    </x:row>
    <x:row r="2272">
      <x:c r="A2272"/>
      <x:c r="B2272"/>
      <x:c r="C2272"/>
      <x:c r="D2272" t="str">
        <x:f>IFERROR(IF(2270&lt;=$O$1,INDEX($A$3:$A$168,MATCH(2270,$I$3:$I$168,0)),IF(2270&lt;=$O$1+$O$2,INDEX($F$3:$F$1994,MATCH(2270-$O$1,$G$3:$G$1994,0)),"")),"")</x:f>
      </x:c>
      <x:c r="E2272"/>
      <x:c r="F2272"/>
      <x:c r="G2272"/>
      <x:c r="H2272"/>
      <x:c r="I2272"/>
      <x:c r="J2272"/>
      <x:c r="K2272"/>
      <x:c r="L2272"/>
      <x:c r="M2272"/>
      <x:c r="N2272"/>
    </x:row>
    <x:row r="2273">
      <x:c r="A2273"/>
      <x:c r="B2273"/>
      <x:c r="C2273"/>
      <x:c r="D2273" t="str">
        <x:f>IFERROR(IF(2271&lt;=$O$1,INDEX($A$3:$A$168,MATCH(2271,$I$3:$I$168,0)),IF(2271&lt;=$O$1+$O$2,INDEX($F$3:$F$1994,MATCH(2271-$O$1,$G$3:$G$1994,0)),"")),"")</x:f>
      </x:c>
      <x:c r="E2273"/>
      <x:c r="F2273"/>
      <x:c r="G2273"/>
      <x:c r="H2273"/>
      <x:c r="I2273"/>
      <x:c r="J2273"/>
      <x:c r="K2273"/>
      <x:c r="L2273"/>
      <x:c r="M2273"/>
      <x:c r="N2273"/>
    </x:row>
    <x:row r="2274">
      <x:c r="A2274"/>
      <x:c r="B2274"/>
      <x:c r="C2274"/>
      <x:c r="D2274" t="str">
        <x:f>IFERROR(IF(2272&lt;=$O$1,INDEX($A$3:$A$168,MATCH(2272,$I$3:$I$168,0)),IF(2272&lt;=$O$1+$O$2,INDEX($F$3:$F$1994,MATCH(2272-$O$1,$G$3:$G$1994,0)),"")),"")</x:f>
      </x:c>
      <x:c r="E2274"/>
      <x:c r="F2274"/>
      <x:c r="G2274"/>
      <x:c r="H2274"/>
      <x:c r="I2274"/>
      <x:c r="J2274"/>
      <x:c r="K2274"/>
      <x:c r="L2274"/>
      <x:c r="M2274"/>
      <x:c r="N2274"/>
    </x:row>
    <x:row r="2275">
      <x:c r="A2275"/>
      <x:c r="B2275"/>
      <x:c r="C2275"/>
      <x:c r="D2275" t="str">
        <x:f>IFERROR(IF(2273&lt;=$O$1,INDEX($A$3:$A$168,MATCH(2273,$I$3:$I$168,0)),IF(2273&lt;=$O$1+$O$2,INDEX($F$3:$F$1994,MATCH(2273-$O$1,$G$3:$G$1994,0)),"")),"")</x:f>
      </x:c>
      <x:c r="E2275"/>
      <x:c r="F2275"/>
      <x:c r="G2275"/>
      <x:c r="H2275"/>
      <x:c r="I2275"/>
      <x:c r="J2275"/>
      <x:c r="K2275"/>
      <x:c r="L2275"/>
      <x:c r="M2275"/>
      <x:c r="N2275"/>
    </x:row>
    <x:row r="2276">
      <x:c r="A2276"/>
      <x:c r="B2276"/>
      <x:c r="C2276"/>
      <x:c r="D2276" t="str">
        <x:f>IFERROR(IF(2274&lt;=$O$1,INDEX($A$3:$A$168,MATCH(2274,$I$3:$I$168,0)),IF(2274&lt;=$O$1+$O$2,INDEX($F$3:$F$1994,MATCH(2274-$O$1,$G$3:$G$1994,0)),"")),"")</x:f>
      </x:c>
      <x:c r="E2276"/>
      <x:c r="F2276"/>
      <x:c r="G2276"/>
      <x:c r="H2276"/>
      <x:c r="I2276"/>
      <x:c r="J2276"/>
      <x:c r="K2276"/>
      <x:c r="L2276"/>
      <x:c r="M2276"/>
      <x:c r="N2276"/>
    </x:row>
    <x:row r="2277">
      <x:c r="A2277"/>
      <x:c r="B2277"/>
      <x:c r="C2277"/>
      <x:c r="D2277" t="str">
        <x:f>IFERROR(IF(2275&lt;=$O$1,INDEX($A$3:$A$168,MATCH(2275,$I$3:$I$168,0)),IF(2275&lt;=$O$1+$O$2,INDEX($F$3:$F$1994,MATCH(2275-$O$1,$G$3:$G$1994,0)),"")),"")</x:f>
      </x:c>
      <x:c r="E2277"/>
      <x:c r="F2277"/>
      <x:c r="G2277"/>
      <x:c r="H2277"/>
      <x:c r="I2277"/>
      <x:c r="J2277"/>
      <x:c r="K2277"/>
      <x:c r="L2277"/>
      <x:c r="M2277"/>
      <x:c r="N2277"/>
    </x:row>
    <x:row r="2278">
      <x:c r="A2278"/>
      <x:c r="B2278"/>
      <x:c r="C2278"/>
      <x:c r="D2278" t="str">
        <x:f>IFERROR(IF(2276&lt;=$O$1,INDEX($A$3:$A$168,MATCH(2276,$I$3:$I$168,0)),IF(2276&lt;=$O$1+$O$2,INDEX($F$3:$F$1994,MATCH(2276-$O$1,$G$3:$G$1994,0)),"")),"")</x:f>
      </x:c>
      <x:c r="E2278"/>
      <x:c r="F2278"/>
      <x:c r="G2278"/>
      <x:c r="H2278"/>
      <x:c r="I2278"/>
      <x:c r="J2278"/>
      <x:c r="K2278"/>
      <x:c r="L2278"/>
      <x:c r="M2278"/>
      <x:c r="N2278"/>
    </x:row>
    <x:row r="2279">
      <x:c r="A2279"/>
      <x:c r="B2279"/>
      <x:c r="C2279"/>
      <x:c r="D2279" t="str">
        <x:f>IFERROR(IF(2277&lt;=$O$1,INDEX($A$3:$A$168,MATCH(2277,$I$3:$I$168,0)),IF(2277&lt;=$O$1+$O$2,INDEX($F$3:$F$1994,MATCH(2277-$O$1,$G$3:$G$1994,0)),"")),"")</x:f>
      </x:c>
      <x:c r="E2279"/>
      <x:c r="F2279"/>
      <x:c r="G2279"/>
      <x:c r="H2279"/>
      <x:c r="I2279"/>
      <x:c r="J2279"/>
      <x:c r="K2279"/>
      <x:c r="L2279"/>
      <x:c r="M2279"/>
      <x:c r="N2279"/>
    </x:row>
    <x:row r="2280">
      <x:c r="A2280"/>
      <x:c r="B2280"/>
      <x:c r="C2280"/>
      <x:c r="D2280" t="str">
        <x:f>IFERROR(IF(2278&lt;=$O$1,INDEX($A$3:$A$168,MATCH(2278,$I$3:$I$168,0)),IF(2278&lt;=$O$1+$O$2,INDEX($F$3:$F$1994,MATCH(2278-$O$1,$G$3:$G$1994,0)),"")),"")</x:f>
      </x:c>
      <x:c r="E2280"/>
      <x:c r="F2280"/>
      <x:c r="G2280"/>
      <x:c r="H2280"/>
      <x:c r="I2280"/>
      <x:c r="J2280"/>
      <x:c r="K2280"/>
      <x:c r="L2280"/>
      <x:c r="M2280"/>
      <x:c r="N2280"/>
    </x:row>
    <x:row r="2281">
      <x:c r="A2281"/>
      <x:c r="B2281"/>
      <x:c r="C2281"/>
      <x:c r="D2281" t="str">
        <x:f>IFERROR(IF(2279&lt;=$O$1,INDEX($A$3:$A$168,MATCH(2279,$I$3:$I$168,0)),IF(2279&lt;=$O$1+$O$2,INDEX($F$3:$F$1994,MATCH(2279-$O$1,$G$3:$G$1994,0)),"")),"")</x:f>
      </x:c>
      <x:c r="E2281"/>
      <x:c r="F2281"/>
      <x:c r="G2281"/>
      <x:c r="H2281"/>
      <x:c r="I2281"/>
      <x:c r="J2281"/>
      <x:c r="K2281"/>
      <x:c r="L2281"/>
      <x:c r="M2281"/>
      <x:c r="N2281"/>
    </x:row>
    <x:row r="2282">
      <x:c r="A2282"/>
      <x:c r="B2282"/>
      <x:c r="C2282"/>
      <x:c r="D2282" t="str">
        <x:f>IFERROR(IF(2280&lt;=$O$1,INDEX($A$3:$A$168,MATCH(2280,$I$3:$I$168,0)),IF(2280&lt;=$O$1+$O$2,INDEX($F$3:$F$1994,MATCH(2280-$O$1,$G$3:$G$1994,0)),"")),"")</x:f>
      </x:c>
      <x:c r="E2282"/>
      <x:c r="F2282"/>
      <x:c r="G2282"/>
      <x:c r="H2282"/>
      <x:c r="I2282"/>
      <x:c r="J2282"/>
      <x:c r="K2282"/>
      <x:c r="L2282"/>
      <x:c r="M2282"/>
      <x:c r="N2282"/>
    </x:row>
    <x:row r="2283">
      <x:c r="A2283"/>
      <x:c r="B2283"/>
      <x:c r="C2283"/>
      <x:c r="D2283" t="str">
        <x:f>IFERROR(IF(2281&lt;=$O$1,INDEX($A$3:$A$168,MATCH(2281,$I$3:$I$168,0)),IF(2281&lt;=$O$1+$O$2,INDEX($F$3:$F$1994,MATCH(2281-$O$1,$G$3:$G$1994,0)),"")),"")</x:f>
      </x:c>
      <x:c r="E2283"/>
      <x:c r="F2283"/>
      <x:c r="G2283"/>
      <x:c r="H2283"/>
      <x:c r="I2283"/>
      <x:c r="J2283"/>
      <x:c r="K2283"/>
      <x:c r="L2283"/>
      <x:c r="M2283"/>
      <x:c r="N2283"/>
    </x:row>
    <x:row r="2284">
      <x:c r="A2284"/>
      <x:c r="B2284"/>
      <x:c r="C2284"/>
      <x:c r="D2284" t="str">
        <x:f>IFERROR(IF(2282&lt;=$O$1,INDEX($A$3:$A$168,MATCH(2282,$I$3:$I$168,0)),IF(2282&lt;=$O$1+$O$2,INDEX($F$3:$F$1994,MATCH(2282-$O$1,$G$3:$G$1994,0)),"")),"")</x:f>
      </x:c>
      <x:c r="E2284"/>
      <x:c r="F2284"/>
      <x:c r="G2284"/>
      <x:c r="H2284"/>
      <x:c r="I2284"/>
      <x:c r="J2284"/>
      <x:c r="K2284"/>
      <x:c r="L2284"/>
      <x:c r="M2284"/>
      <x:c r="N2284"/>
    </x:row>
    <x:row r="2285">
      <x:c r="A2285"/>
      <x:c r="B2285"/>
      <x:c r="C2285"/>
      <x:c r="D2285" t="str">
        <x:f>IFERROR(IF(2283&lt;=$O$1,INDEX($A$3:$A$168,MATCH(2283,$I$3:$I$168,0)),IF(2283&lt;=$O$1+$O$2,INDEX($F$3:$F$1994,MATCH(2283-$O$1,$G$3:$G$1994,0)),"")),"")</x:f>
      </x:c>
      <x:c r="E2285"/>
      <x:c r="F2285"/>
      <x:c r="G2285"/>
      <x:c r="H2285"/>
      <x:c r="I2285"/>
      <x:c r="J2285"/>
      <x:c r="K2285"/>
      <x:c r="L2285"/>
      <x:c r="M2285"/>
      <x:c r="N2285"/>
    </x:row>
    <x:row r="2286">
      <x:c r="A2286"/>
      <x:c r="B2286"/>
      <x:c r="C2286"/>
      <x:c r="D2286" t="str">
        <x:f>IFERROR(IF(2284&lt;=$O$1,INDEX($A$3:$A$168,MATCH(2284,$I$3:$I$168,0)),IF(2284&lt;=$O$1+$O$2,INDEX($F$3:$F$1994,MATCH(2284-$O$1,$G$3:$G$1994,0)),"")),"")</x:f>
      </x:c>
      <x:c r="E2286"/>
      <x:c r="F2286"/>
      <x:c r="G2286"/>
      <x:c r="H2286"/>
      <x:c r="I2286"/>
      <x:c r="J2286"/>
      <x:c r="K2286"/>
      <x:c r="L2286"/>
      <x:c r="M2286"/>
      <x:c r="N2286"/>
    </x:row>
    <x:row r="2287">
      <x:c r="A2287"/>
      <x:c r="B2287"/>
      <x:c r="C2287"/>
      <x:c r="D2287" t="str">
        <x:f>IFERROR(IF(2285&lt;=$O$1,INDEX($A$3:$A$168,MATCH(2285,$I$3:$I$168,0)),IF(2285&lt;=$O$1+$O$2,INDEX($F$3:$F$1994,MATCH(2285-$O$1,$G$3:$G$1994,0)),"")),"")</x:f>
      </x:c>
      <x:c r="E2287"/>
      <x:c r="F2287"/>
      <x:c r="G2287"/>
      <x:c r="H2287"/>
      <x:c r="I2287"/>
      <x:c r="J2287"/>
      <x:c r="K2287"/>
      <x:c r="L2287"/>
      <x:c r="M2287"/>
      <x:c r="N2287"/>
    </x:row>
    <x:row r="2288">
      <x:c r="A2288"/>
      <x:c r="B2288"/>
      <x:c r="C2288"/>
      <x:c r="D2288" t="str">
        <x:f>IFERROR(IF(2286&lt;=$O$1,INDEX($A$3:$A$168,MATCH(2286,$I$3:$I$168,0)),IF(2286&lt;=$O$1+$O$2,INDEX($F$3:$F$1994,MATCH(2286-$O$1,$G$3:$G$1994,0)),"")),"")</x:f>
      </x:c>
      <x:c r="E2288"/>
      <x:c r="F2288"/>
      <x:c r="G2288"/>
      <x:c r="H2288"/>
      <x:c r="I2288"/>
      <x:c r="J2288"/>
      <x:c r="K2288"/>
      <x:c r="L2288"/>
      <x:c r="M2288"/>
      <x:c r="N2288"/>
    </x:row>
    <x:row r="2289">
      <x:c r="A2289"/>
      <x:c r="B2289"/>
      <x:c r="C2289"/>
      <x:c r="D2289" t="str">
        <x:f>IFERROR(IF(2287&lt;=$O$1,INDEX($A$3:$A$168,MATCH(2287,$I$3:$I$168,0)),IF(2287&lt;=$O$1+$O$2,INDEX($F$3:$F$1994,MATCH(2287-$O$1,$G$3:$G$1994,0)),"")),"")</x:f>
      </x:c>
      <x:c r="E2289"/>
      <x:c r="F2289"/>
      <x:c r="G2289"/>
      <x:c r="H2289"/>
      <x:c r="I2289"/>
      <x:c r="J2289"/>
      <x:c r="K2289"/>
      <x:c r="L2289"/>
      <x:c r="M2289"/>
      <x:c r="N2289"/>
    </x:row>
    <x:row r="2290">
      <x:c r="A2290"/>
      <x:c r="B2290"/>
      <x:c r="C2290"/>
      <x:c r="D2290" t="str">
        <x:f>IFERROR(IF(2288&lt;=$O$1,INDEX($A$3:$A$168,MATCH(2288,$I$3:$I$168,0)),IF(2288&lt;=$O$1+$O$2,INDEX($F$3:$F$1994,MATCH(2288-$O$1,$G$3:$G$1994,0)),"")),"")</x:f>
      </x:c>
      <x:c r="E2290"/>
      <x:c r="F2290"/>
      <x:c r="G2290"/>
      <x:c r="H2290"/>
      <x:c r="I2290"/>
      <x:c r="J2290"/>
      <x:c r="K2290"/>
      <x:c r="L2290"/>
      <x:c r="M2290"/>
      <x:c r="N2290"/>
    </x:row>
    <x:row r="2291">
      <x:c r="A2291"/>
      <x:c r="B2291"/>
      <x:c r="C2291"/>
      <x:c r="D2291" t="str">
        <x:f>IFERROR(IF(2289&lt;=$O$1,INDEX($A$3:$A$168,MATCH(2289,$I$3:$I$168,0)),IF(2289&lt;=$O$1+$O$2,INDEX($F$3:$F$1994,MATCH(2289-$O$1,$G$3:$G$1994,0)),"")),"")</x:f>
      </x:c>
      <x:c r="E2291"/>
      <x:c r="F2291"/>
      <x:c r="G2291"/>
      <x:c r="H2291"/>
      <x:c r="I2291"/>
      <x:c r="J2291"/>
      <x:c r="K2291"/>
      <x:c r="L2291"/>
      <x:c r="M2291"/>
      <x:c r="N2291"/>
    </x:row>
    <x:row r="2292">
      <x:c r="A2292"/>
      <x:c r="B2292"/>
      <x:c r="C2292"/>
      <x:c r="D2292" t="str">
        <x:f>IFERROR(IF(2290&lt;=$O$1,INDEX($A$3:$A$168,MATCH(2290,$I$3:$I$168,0)),IF(2290&lt;=$O$1+$O$2,INDEX($F$3:$F$1994,MATCH(2290-$O$1,$G$3:$G$1994,0)),"")),"")</x:f>
      </x:c>
      <x:c r="E2292"/>
      <x:c r="F2292"/>
      <x:c r="G2292"/>
      <x:c r="H2292"/>
      <x:c r="I2292"/>
      <x:c r="J2292"/>
      <x:c r="K2292"/>
      <x:c r="L2292"/>
      <x:c r="M2292"/>
      <x:c r="N2292"/>
    </x:row>
    <x:row r="2293">
      <x:c r="A2293"/>
      <x:c r="B2293"/>
      <x:c r="C2293"/>
      <x:c r="D2293" t="str">
        <x:f>IFERROR(IF(2291&lt;=$O$1,INDEX($A$3:$A$168,MATCH(2291,$I$3:$I$168,0)),IF(2291&lt;=$O$1+$O$2,INDEX($F$3:$F$1994,MATCH(2291-$O$1,$G$3:$G$1994,0)),"")),"")</x:f>
      </x:c>
      <x:c r="E2293"/>
      <x:c r="F2293"/>
      <x:c r="G2293"/>
      <x:c r="H2293"/>
      <x:c r="I2293"/>
      <x:c r="J2293"/>
      <x:c r="K2293"/>
      <x:c r="L2293"/>
      <x:c r="M2293"/>
      <x:c r="N2293"/>
    </x:row>
    <x:row r="2294">
      <x:c r="A2294"/>
      <x:c r="B2294"/>
      <x:c r="C2294"/>
      <x:c r="D2294" t="str">
        <x:f>IFERROR(IF(2292&lt;=$O$1,INDEX($A$3:$A$168,MATCH(2292,$I$3:$I$168,0)),IF(2292&lt;=$O$1+$O$2,INDEX($F$3:$F$1994,MATCH(2292-$O$1,$G$3:$G$1994,0)),"")),"")</x:f>
      </x:c>
      <x:c r="E2294"/>
      <x:c r="F2294"/>
      <x:c r="G2294"/>
      <x:c r="H2294"/>
      <x:c r="I2294"/>
      <x:c r="J2294"/>
      <x:c r="K2294"/>
      <x:c r="L2294"/>
      <x:c r="M2294"/>
      <x:c r="N2294"/>
    </x:row>
    <x:row r="2295">
      <x:c r="A2295"/>
      <x:c r="B2295"/>
      <x:c r="C2295"/>
      <x:c r="D2295" t="str">
        <x:f>IFERROR(IF(2293&lt;=$O$1,INDEX($A$3:$A$168,MATCH(2293,$I$3:$I$168,0)),IF(2293&lt;=$O$1+$O$2,INDEX($F$3:$F$1994,MATCH(2293-$O$1,$G$3:$G$1994,0)),"")),"")</x:f>
      </x:c>
      <x:c r="E2295"/>
      <x:c r="F2295"/>
      <x:c r="G2295"/>
      <x:c r="H2295"/>
      <x:c r="I2295"/>
      <x:c r="J2295"/>
      <x:c r="K2295"/>
      <x:c r="L2295"/>
      <x:c r="M2295"/>
      <x:c r="N2295"/>
    </x:row>
    <x:row r="2296">
      <x:c r="A2296"/>
      <x:c r="B2296"/>
      <x:c r="C2296"/>
      <x:c r="D2296" t="str">
        <x:f>IFERROR(IF(2294&lt;=$O$1,INDEX($A$3:$A$168,MATCH(2294,$I$3:$I$168,0)),IF(2294&lt;=$O$1+$O$2,INDEX($F$3:$F$1994,MATCH(2294-$O$1,$G$3:$G$1994,0)),"")),"")</x:f>
      </x:c>
      <x:c r="E2296"/>
      <x:c r="F2296"/>
      <x:c r="G2296"/>
      <x:c r="H2296"/>
      <x:c r="I2296"/>
      <x:c r="J2296"/>
      <x:c r="K2296"/>
      <x:c r="L2296"/>
      <x:c r="M2296"/>
      <x:c r="N2296"/>
    </x:row>
    <x:row r="2297">
      <x:c r="A2297"/>
      <x:c r="B2297"/>
      <x:c r="C2297"/>
      <x:c r="D2297" t="str">
        <x:f>IFERROR(IF(2295&lt;=$O$1,INDEX($A$3:$A$168,MATCH(2295,$I$3:$I$168,0)),IF(2295&lt;=$O$1+$O$2,INDEX($F$3:$F$1994,MATCH(2295-$O$1,$G$3:$G$1994,0)),"")),"")</x:f>
      </x:c>
      <x:c r="E2297"/>
      <x:c r="F2297"/>
      <x:c r="G2297"/>
      <x:c r="H2297"/>
      <x:c r="I2297"/>
      <x:c r="J2297"/>
      <x:c r="K2297"/>
      <x:c r="L2297"/>
      <x:c r="M2297"/>
      <x:c r="N2297"/>
    </x:row>
    <x:row r="2298">
      <x:c r="A2298"/>
      <x:c r="B2298"/>
      <x:c r="C2298"/>
      <x:c r="D2298" t="str">
        <x:f>IFERROR(IF(2296&lt;=$O$1,INDEX($A$3:$A$168,MATCH(2296,$I$3:$I$168,0)),IF(2296&lt;=$O$1+$O$2,INDEX($F$3:$F$1994,MATCH(2296-$O$1,$G$3:$G$1994,0)),"")),"")</x:f>
      </x:c>
      <x:c r="E2298"/>
      <x:c r="F2298"/>
      <x:c r="G2298"/>
      <x:c r="H2298"/>
      <x:c r="I2298"/>
      <x:c r="J2298"/>
      <x:c r="K2298"/>
      <x:c r="L2298"/>
      <x:c r="M2298"/>
      <x:c r="N2298"/>
    </x:row>
    <x:row r="2299">
      <x:c r="A2299"/>
      <x:c r="B2299"/>
      <x:c r="C2299"/>
      <x:c r="D2299" t="str">
        <x:f>IFERROR(IF(2297&lt;=$O$1,INDEX($A$3:$A$168,MATCH(2297,$I$3:$I$168,0)),IF(2297&lt;=$O$1+$O$2,INDEX($F$3:$F$1994,MATCH(2297-$O$1,$G$3:$G$1994,0)),"")),"")</x:f>
      </x:c>
      <x:c r="E2299"/>
      <x:c r="F2299"/>
      <x:c r="G2299"/>
      <x:c r="H2299"/>
      <x:c r="I2299"/>
      <x:c r="J2299"/>
      <x:c r="K2299"/>
      <x:c r="L2299"/>
      <x:c r="M2299"/>
      <x:c r="N2299"/>
    </x:row>
    <x:row r="2300">
      <x:c r="A2300"/>
      <x:c r="B2300"/>
      <x:c r="C2300"/>
      <x:c r="D2300" t="str">
        <x:f>IFERROR(IF(2298&lt;=$O$1,INDEX($A$3:$A$168,MATCH(2298,$I$3:$I$168,0)),IF(2298&lt;=$O$1+$O$2,INDEX($F$3:$F$1994,MATCH(2298-$O$1,$G$3:$G$1994,0)),"")),"")</x:f>
      </x:c>
      <x:c r="E2300"/>
      <x:c r="F2300"/>
      <x:c r="G2300"/>
      <x:c r="H2300"/>
      <x:c r="I2300"/>
      <x:c r="J2300"/>
      <x:c r="K2300"/>
      <x:c r="L2300"/>
      <x:c r="M2300"/>
      <x:c r="N2300"/>
    </x:row>
    <x:row r="2301">
      <x:c r="A2301"/>
      <x:c r="B2301"/>
      <x:c r="C2301"/>
      <x:c r="D2301" t="str">
        <x:f>IFERROR(IF(2299&lt;=$O$1,INDEX($A$3:$A$168,MATCH(2299,$I$3:$I$168,0)),IF(2299&lt;=$O$1+$O$2,INDEX($F$3:$F$1994,MATCH(2299-$O$1,$G$3:$G$1994,0)),"")),"")</x:f>
      </x:c>
      <x:c r="E2301"/>
      <x:c r="F2301"/>
      <x:c r="G2301"/>
      <x:c r="H2301"/>
      <x:c r="I2301"/>
      <x:c r="J2301"/>
      <x:c r="K2301"/>
      <x:c r="L2301"/>
      <x:c r="M2301"/>
      <x:c r="N2301"/>
    </x:row>
    <x:row r="2302">
      <x:c r="A2302"/>
      <x:c r="B2302"/>
      <x:c r="C2302"/>
      <x:c r="D2302" t="str">
        <x:f>IFERROR(IF(2300&lt;=$O$1,INDEX($A$3:$A$168,MATCH(2300,$I$3:$I$168,0)),IF(2300&lt;=$O$1+$O$2,INDEX($F$3:$F$1994,MATCH(2300-$O$1,$G$3:$G$1994,0)),"")),"")</x:f>
      </x:c>
      <x:c r="E2302"/>
      <x:c r="F2302"/>
      <x:c r="G2302"/>
      <x:c r="H2302"/>
      <x:c r="I2302"/>
      <x:c r="J2302"/>
      <x:c r="K2302"/>
      <x:c r="L2302"/>
      <x:c r="M2302"/>
      <x:c r="N2302"/>
    </x:row>
    <x:row r="2303">
      <x:c r="A2303"/>
      <x:c r="B2303"/>
      <x:c r="C2303"/>
      <x:c r="D2303" t="str">
        <x:f>IFERROR(IF(2301&lt;=$O$1,INDEX($A$3:$A$168,MATCH(2301,$I$3:$I$168,0)),IF(2301&lt;=$O$1+$O$2,INDEX($F$3:$F$1994,MATCH(2301-$O$1,$G$3:$G$1994,0)),"")),"")</x:f>
      </x:c>
      <x:c r="E2303"/>
      <x:c r="F2303"/>
      <x:c r="G2303"/>
      <x:c r="H2303"/>
      <x:c r="I2303"/>
      <x:c r="J2303"/>
      <x:c r="K2303"/>
      <x:c r="L2303"/>
      <x:c r="M2303"/>
      <x:c r="N2303"/>
    </x:row>
    <x:row r="2304">
      <x:c r="A2304"/>
      <x:c r="B2304"/>
      <x:c r="C2304"/>
      <x:c r="D2304" t="str">
        <x:f>IFERROR(IF(2302&lt;=$O$1,INDEX($A$3:$A$168,MATCH(2302,$I$3:$I$168,0)),IF(2302&lt;=$O$1+$O$2,INDEX($F$3:$F$1994,MATCH(2302-$O$1,$G$3:$G$1994,0)),"")),"")</x:f>
      </x:c>
      <x:c r="E2304"/>
      <x:c r="F2304"/>
      <x:c r="G2304"/>
      <x:c r="H2304"/>
      <x:c r="I2304"/>
      <x:c r="J2304"/>
      <x:c r="K2304"/>
      <x:c r="L2304"/>
      <x:c r="M2304"/>
      <x:c r="N2304"/>
    </x:row>
    <x:row r="2305">
      <x:c r="A2305"/>
      <x:c r="B2305"/>
      <x:c r="C2305"/>
      <x:c r="D2305" t="str">
        <x:f>IFERROR(IF(2303&lt;=$O$1,INDEX($A$3:$A$168,MATCH(2303,$I$3:$I$168,0)),IF(2303&lt;=$O$1+$O$2,INDEX($F$3:$F$1994,MATCH(2303-$O$1,$G$3:$G$1994,0)),"")),"")</x:f>
      </x:c>
      <x:c r="E2305"/>
      <x:c r="F2305"/>
      <x:c r="G2305"/>
      <x:c r="H2305"/>
      <x:c r="I2305"/>
      <x:c r="J2305"/>
      <x:c r="K2305"/>
      <x:c r="L2305"/>
      <x:c r="M2305"/>
      <x:c r="N2305"/>
    </x:row>
    <x:row r="2306">
      <x:c r="A2306"/>
      <x:c r="B2306"/>
      <x:c r="C2306"/>
      <x:c r="D2306" t="str">
        <x:f>IFERROR(IF(2304&lt;=$O$1,INDEX($A$3:$A$168,MATCH(2304,$I$3:$I$168,0)),IF(2304&lt;=$O$1+$O$2,INDEX($F$3:$F$1994,MATCH(2304-$O$1,$G$3:$G$1994,0)),"")),"")</x:f>
      </x:c>
      <x:c r="E2306"/>
      <x:c r="F2306"/>
      <x:c r="G2306"/>
      <x:c r="H2306"/>
      <x:c r="I2306"/>
      <x:c r="J2306"/>
      <x:c r="K2306"/>
      <x:c r="L2306"/>
      <x:c r="M2306"/>
      <x:c r="N2306"/>
    </x:row>
    <x:row r="2307">
      <x:c r="A2307"/>
      <x:c r="B2307"/>
      <x:c r="C2307"/>
      <x:c r="D2307" t="str">
        <x:f>IFERROR(IF(2305&lt;=$O$1,INDEX($A$3:$A$168,MATCH(2305,$I$3:$I$168,0)),IF(2305&lt;=$O$1+$O$2,INDEX($F$3:$F$1994,MATCH(2305-$O$1,$G$3:$G$1994,0)),"")),"")</x:f>
      </x:c>
      <x:c r="E2307"/>
      <x:c r="F2307"/>
      <x:c r="G2307"/>
      <x:c r="H2307"/>
      <x:c r="I2307"/>
      <x:c r="J2307"/>
      <x:c r="K2307"/>
      <x:c r="L2307"/>
      <x:c r="M2307"/>
      <x:c r="N2307"/>
    </x:row>
    <x:row r="2308">
      <x:c r="A2308"/>
      <x:c r="B2308"/>
      <x:c r="C2308"/>
      <x:c r="D2308" t="str">
        <x:f>IFERROR(IF(2306&lt;=$O$1,INDEX($A$3:$A$168,MATCH(2306,$I$3:$I$168,0)),IF(2306&lt;=$O$1+$O$2,INDEX($F$3:$F$1994,MATCH(2306-$O$1,$G$3:$G$1994,0)),"")),"")</x:f>
      </x:c>
      <x:c r="E2308"/>
      <x:c r="F2308"/>
      <x:c r="G2308"/>
      <x:c r="H2308"/>
      <x:c r="I2308"/>
      <x:c r="J2308"/>
      <x:c r="K2308"/>
      <x:c r="L2308"/>
      <x:c r="M2308"/>
      <x:c r="N2308"/>
    </x:row>
    <x:row r="2309">
      <x:c r="A2309"/>
      <x:c r="B2309"/>
      <x:c r="C2309"/>
      <x:c r="D2309" t="str">
        <x:f>IFERROR(IF(2307&lt;=$O$1,INDEX($A$3:$A$168,MATCH(2307,$I$3:$I$168,0)),IF(2307&lt;=$O$1+$O$2,INDEX($F$3:$F$1994,MATCH(2307-$O$1,$G$3:$G$1994,0)),"")),"")</x:f>
      </x:c>
      <x:c r="E2309"/>
      <x:c r="F2309"/>
      <x:c r="G2309"/>
      <x:c r="H2309"/>
      <x:c r="I2309"/>
      <x:c r="J2309"/>
      <x:c r="K2309"/>
      <x:c r="L2309"/>
      <x:c r="M2309"/>
      <x:c r="N2309"/>
    </x:row>
    <x:row r="2310">
      <x:c r="A2310"/>
      <x:c r="B2310"/>
      <x:c r="C2310"/>
      <x:c r="D2310" t="str">
        <x:f>IFERROR(IF(2308&lt;=$O$1,INDEX($A$3:$A$168,MATCH(2308,$I$3:$I$168,0)),IF(2308&lt;=$O$1+$O$2,INDEX($F$3:$F$1994,MATCH(2308-$O$1,$G$3:$G$1994,0)),"")),"")</x:f>
      </x:c>
      <x:c r="E2310"/>
      <x:c r="F2310"/>
      <x:c r="G2310"/>
      <x:c r="H2310"/>
      <x:c r="I2310"/>
      <x:c r="J2310"/>
      <x:c r="K2310"/>
      <x:c r="L2310"/>
      <x:c r="M2310"/>
      <x:c r="N2310"/>
    </x:row>
    <x:row r="2311">
      <x:c r="A2311"/>
      <x:c r="B2311"/>
      <x:c r="C2311"/>
      <x:c r="D2311" t="str">
        <x:f>IFERROR(IF(2309&lt;=$O$1,INDEX($A$3:$A$168,MATCH(2309,$I$3:$I$168,0)),IF(2309&lt;=$O$1+$O$2,INDEX($F$3:$F$1994,MATCH(2309-$O$1,$G$3:$G$1994,0)),"")),"")</x:f>
      </x:c>
      <x:c r="E2311"/>
      <x:c r="F2311"/>
      <x:c r="G2311"/>
      <x:c r="H2311"/>
      <x:c r="I2311"/>
      <x:c r="J2311"/>
      <x:c r="K2311"/>
      <x:c r="L2311"/>
      <x:c r="M2311"/>
      <x:c r="N2311"/>
    </x:row>
    <x:row r="2312">
      <x:c r="A2312"/>
      <x:c r="B2312"/>
      <x:c r="C2312"/>
      <x:c r="D2312" t="str">
        <x:f>IFERROR(IF(2310&lt;=$O$1,INDEX($A$3:$A$168,MATCH(2310,$I$3:$I$168,0)),IF(2310&lt;=$O$1+$O$2,INDEX($F$3:$F$1994,MATCH(2310-$O$1,$G$3:$G$1994,0)),"")),"")</x:f>
      </x:c>
      <x:c r="E2312"/>
      <x:c r="F2312"/>
      <x:c r="G2312"/>
      <x:c r="H2312"/>
      <x:c r="I2312"/>
      <x:c r="J2312"/>
      <x:c r="K2312"/>
      <x:c r="L2312"/>
      <x:c r="M2312"/>
      <x:c r="N2312"/>
    </x:row>
    <x:row r="2313">
      <x:c r="A2313"/>
      <x:c r="B2313"/>
      <x:c r="C2313"/>
      <x:c r="D2313" t="str">
        <x:f>IFERROR(IF(2311&lt;=$O$1,INDEX($A$3:$A$168,MATCH(2311,$I$3:$I$168,0)),IF(2311&lt;=$O$1+$O$2,INDEX($F$3:$F$1994,MATCH(2311-$O$1,$G$3:$G$1994,0)),"")),"")</x:f>
      </x:c>
      <x:c r="E2313"/>
      <x:c r="F2313"/>
      <x:c r="G2313"/>
      <x:c r="H2313"/>
      <x:c r="I2313"/>
      <x:c r="J2313"/>
      <x:c r="K2313"/>
      <x:c r="L2313"/>
      <x:c r="M2313"/>
      <x:c r="N2313"/>
    </x:row>
    <x:row r="2314">
      <x:c r="A2314"/>
      <x:c r="B2314"/>
      <x:c r="C2314"/>
      <x:c r="D2314" t="str">
        <x:f>IFERROR(IF(2312&lt;=$O$1,INDEX($A$3:$A$168,MATCH(2312,$I$3:$I$168,0)),IF(2312&lt;=$O$1+$O$2,INDEX($F$3:$F$1994,MATCH(2312-$O$1,$G$3:$G$1994,0)),"")),"")</x:f>
      </x:c>
      <x:c r="E2314"/>
      <x:c r="F2314"/>
      <x:c r="G2314"/>
      <x:c r="H2314"/>
      <x:c r="I2314"/>
      <x:c r="J2314"/>
      <x:c r="K2314"/>
      <x:c r="L2314"/>
      <x:c r="M2314"/>
      <x:c r="N2314"/>
    </x:row>
    <x:row r="2315">
      <x:c r="A2315"/>
      <x:c r="B2315"/>
      <x:c r="C2315"/>
      <x:c r="D2315" t="str">
        <x:f>IFERROR(IF(2313&lt;=$O$1,INDEX($A$3:$A$168,MATCH(2313,$I$3:$I$168,0)),IF(2313&lt;=$O$1+$O$2,INDEX($F$3:$F$1994,MATCH(2313-$O$1,$G$3:$G$1994,0)),"")),"")</x:f>
      </x:c>
      <x:c r="E2315"/>
      <x:c r="F2315"/>
      <x:c r="G2315"/>
      <x:c r="H2315"/>
      <x:c r="I2315"/>
      <x:c r="J2315"/>
      <x:c r="K2315"/>
      <x:c r="L2315"/>
      <x:c r="M2315"/>
      <x:c r="N2315"/>
    </x:row>
    <x:row r="2316">
      <x:c r="A2316"/>
      <x:c r="B2316"/>
      <x:c r="C2316"/>
      <x:c r="D2316" t="str">
        <x:f>IFERROR(IF(2314&lt;=$O$1,INDEX($A$3:$A$168,MATCH(2314,$I$3:$I$168,0)),IF(2314&lt;=$O$1+$O$2,INDEX($F$3:$F$1994,MATCH(2314-$O$1,$G$3:$G$1994,0)),"")),"")</x:f>
      </x:c>
      <x:c r="E2316"/>
      <x:c r="F2316"/>
      <x:c r="G2316"/>
      <x:c r="H2316"/>
      <x:c r="I2316"/>
      <x:c r="J2316"/>
      <x:c r="K2316"/>
      <x:c r="L2316"/>
      <x:c r="M2316"/>
      <x:c r="N2316"/>
    </x:row>
    <x:row r="2317">
      <x:c r="A2317"/>
      <x:c r="B2317"/>
      <x:c r="C2317"/>
      <x:c r="D2317" t="str">
        <x:f>IFERROR(IF(2315&lt;=$O$1,INDEX($A$3:$A$168,MATCH(2315,$I$3:$I$168,0)),IF(2315&lt;=$O$1+$O$2,INDEX($F$3:$F$1994,MATCH(2315-$O$1,$G$3:$G$1994,0)),"")),"")</x:f>
      </x:c>
      <x:c r="E2317"/>
      <x:c r="F2317"/>
      <x:c r="G2317"/>
      <x:c r="H2317"/>
      <x:c r="I2317"/>
      <x:c r="J2317"/>
      <x:c r="K2317"/>
      <x:c r="L2317"/>
      <x:c r="M2317"/>
      <x:c r="N2317"/>
    </x:row>
    <x:row r="2318">
      <x:c r="A2318"/>
      <x:c r="B2318"/>
      <x:c r="C2318"/>
      <x:c r="D2318" t="str">
        <x:f>IFERROR(IF(2316&lt;=$O$1,INDEX($A$3:$A$168,MATCH(2316,$I$3:$I$168,0)),IF(2316&lt;=$O$1+$O$2,INDEX($F$3:$F$1994,MATCH(2316-$O$1,$G$3:$G$1994,0)),"")),"")</x:f>
      </x:c>
      <x:c r="E2318"/>
      <x:c r="F2318"/>
      <x:c r="G2318"/>
      <x:c r="H2318"/>
      <x:c r="I2318"/>
      <x:c r="J2318"/>
      <x:c r="K2318"/>
      <x:c r="L2318"/>
      <x:c r="M2318"/>
      <x:c r="N2318"/>
    </x:row>
    <x:row r="2319">
      <x:c r="A2319"/>
      <x:c r="B2319"/>
      <x:c r="C2319"/>
      <x:c r="D2319" t="str">
        <x:f>IFERROR(IF(2317&lt;=$O$1,INDEX($A$3:$A$168,MATCH(2317,$I$3:$I$168,0)),IF(2317&lt;=$O$1+$O$2,INDEX($F$3:$F$1994,MATCH(2317-$O$1,$G$3:$G$1994,0)),"")),"")</x:f>
      </x:c>
      <x:c r="E2319"/>
      <x:c r="F2319"/>
      <x:c r="G2319"/>
      <x:c r="H2319"/>
      <x:c r="I2319"/>
      <x:c r="J2319"/>
      <x:c r="K2319"/>
      <x:c r="L2319"/>
      <x:c r="M2319"/>
      <x:c r="N2319"/>
    </x:row>
    <x:row r="2320">
      <x:c r="A2320"/>
      <x:c r="B2320"/>
      <x:c r="C2320"/>
      <x:c r="D2320" t="str">
        <x:f>IFERROR(IF(2318&lt;=$O$1,INDEX($A$3:$A$168,MATCH(2318,$I$3:$I$168,0)),IF(2318&lt;=$O$1+$O$2,INDEX($F$3:$F$1994,MATCH(2318-$O$1,$G$3:$G$1994,0)),"")),"")</x:f>
      </x:c>
      <x:c r="E2320"/>
      <x:c r="F2320"/>
      <x:c r="G2320"/>
      <x:c r="H2320"/>
      <x:c r="I2320"/>
      <x:c r="J2320"/>
      <x:c r="K2320"/>
      <x:c r="L2320"/>
      <x:c r="M2320"/>
      <x:c r="N2320"/>
    </x:row>
    <x:row r="2321">
      <x:c r="A2321"/>
      <x:c r="B2321"/>
      <x:c r="C2321"/>
      <x:c r="D2321" t="str">
        <x:f>IFERROR(IF(2319&lt;=$O$1,INDEX($A$3:$A$168,MATCH(2319,$I$3:$I$168,0)),IF(2319&lt;=$O$1+$O$2,INDEX($F$3:$F$1994,MATCH(2319-$O$1,$G$3:$G$1994,0)),"")),"")</x:f>
      </x:c>
      <x:c r="E2321"/>
      <x:c r="F2321"/>
      <x:c r="G2321"/>
      <x:c r="H2321"/>
      <x:c r="I2321"/>
      <x:c r="J2321"/>
      <x:c r="K2321"/>
      <x:c r="L2321"/>
      <x:c r="M2321"/>
      <x:c r="N2321"/>
    </x:row>
    <x:row r="2322">
      <x:c r="A2322"/>
      <x:c r="B2322"/>
      <x:c r="C2322"/>
      <x:c r="D2322" t="str">
        <x:f>IFERROR(IF(2320&lt;=$O$1,INDEX($A$3:$A$168,MATCH(2320,$I$3:$I$168,0)),IF(2320&lt;=$O$1+$O$2,INDEX($F$3:$F$1994,MATCH(2320-$O$1,$G$3:$G$1994,0)),"")),"")</x:f>
      </x:c>
      <x:c r="E2322"/>
      <x:c r="F2322"/>
      <x:c r="G2322"/>
      <x:c r="H2322"/>
      <x:c r="I2322"/>
      <x:c r="J2322"/>
      <x:c r="K2322"/>
      <x:c r="L2322"/>
      <x:c r="M2322"/>
      <x:c r="N2322"/>
    </x:row>
    <x:row r="2323">
      <x:c r="A2323"/>
      <x:c r="B2323"/>
      <x:c r="C2323"/>
      <x:c r="D2323" t="str">
        <x:f>IFERROR(IF(2321&lt;=$O$1,INDEX($A$3:$A$168,MATCH(2321,$I$3:$I$168,0)),IF(2321&lt;=$O$1+$O$2,INDEX($F$3:$F$1994,MATCH(2321-$O$1,$G$3:$G$1994,0)),"")),"")</x:f>
      </x:c>
      <x:c r="E2323"/>
      <x:c r="F2323"/>
      <x:c r="G2323"/>
      <x:c r="H2323"/>
      <x:c r="I2323"/>
      <x:c r="J2323"/>
      <x:c r="K2323"/>
      <x:c r="L2323"/>
      <x:c r="M2323"/>
      <x:c r="N2323"/>
    </x:row>
    <x:row r="2324">
      <x:c r="A2324"/>
      <x:c r="B2324"/>
      <x:c r="C2324"/>
      <x:c r="D2324" t="str">
        <x:f>IFERROR(IF(2322&lt;=$O$1,INDEX($A$3:$A$168,MATCH(2322,$I$3:$I$168,0)),IF(2322&lt;=$O$1+$O$2,INDEX($F$3:$F$1994,MATCH(2322-$O$1,$G$3:$G$1994,0)),"")),"")</x:f>
      </x:c>
      <x:c r="E2324"/>
      <x:c r="F2324"/>
      <x:c r="G2324"/>
      <x:c r="H2324"/>
      <x:c r="I2324"/>
      <x:c r="J2324"/>
      <x:c r="K2324"/>
      <x:c r="L2324"/>
      <x:c r="M2324"/>
      <x:c r="N2324"/>
    </x:row>
    <x:row r="2325">
      <x:c r="A2325"/>
      <x:c r="B2325"/>
      <x:c r="C2325"/>
      <x:c r="D2325" t="str">
        <x:f>IFERROR(IF(2323&lt;=$O$1,INDEX($A$3:$A$168,MATCH(2323,$I$3:$I$168,0)),IF(2323&lt;=$O$1+$O$2,INDEX($F$3:$F$1994,MATCH(2323-$O$1,$G$3:$G$1994,0)),"")),"")</x:f>
      </x:c>
      <x:c r="E2325"/>
      <x:c r="F2325"/>
      <x:c r="G2325"/>
      <x:c r="H2325"/>
      <x:c r="I2325"/>
      <x:c r="J2325"/>
      <x:c r="K2325"/>
      <x:c r="L2325"/>
      <x:c r="M2325"/>
      <x:c r="N2325"/>
    </x:row>
    <x:row r="2326">
      <x:c r="A2326"/>
      <x:c r="B2326"/>
      <x:c r="C2326"/>
      <x:c r="D2326" t="str">
        <x:f>IFERROR(IF(2324&lt;=$O$1,INDEX($A$3:$A$168,MATCH(2324,$I$3:$I$168,0)),IF(2324&lt;=$O$1+$O$2,INDEX($F$3:$F$1994,MATCH(2324-$O$1,$G$3:$G$1994,0)),"")),"")</x:f>
      </x:c>
      <x:c r="E2326"/>
      <x:c r="F2326"/>
      <x:c r="G2326"/>
      <x:c r="H2326"/>
      <x:c r="I2326"/>
      <x:c r="J2326"/>
      <x:c r="K2326"/>
      <x:c r="L2326"/>
      <x:c r="M2326"/>
      <x:c r="N2326"/>
    </x:row>
    <x:row r="2327">
      <x:c r="A2327"/>
      <x:c r="B2327"/>
      <x:c r="C2327"/>
      <x:c r="D2327" t="str">
        <x:f>IFERROR(IF(2325&lt;=$O$1,INDEX($A$3:$A$168,MATCH(2325,$I$3:$I$168,0)),IF(2325&lt;=$O$1+$O$2,INDEX($F$3:$F$1994,MATCH(2325-$O$1,$G$3:$G$1994,0)),"")),"")</x:f>
      </x:c>
      <x:c r="E2327"/>
      <x:c r="F2327"/>
      <x:c r="G2327"/>
      <x:c r="H2327"/>
      <x:c r="I2327"/>
      <x:c r="J2327"/>
      <x:c r="K2327"/>
      <x:c r="L2327"/>
      <x:c r="M2327"/>
      <x:c r="N2327"/>
    </x:row>
    <x:row r="2328">
      <x:c r="A2328"/>
      <x:c r="B2328"/>
      <x:c r="C2328"/>
      <x:c r="D2328" t="str">
        <x:f>IFERROR(IF(2326&lt;=$O$1,INDEX($A$3:$A$168,MATCH(2326,$I$3:$I$168,0)),IF(2326&lt;=$O$1+$O$2,INDEX($F$3:$F$1994,MATCH(2326-$O$1,$G$3:$G$1994,0)),"")),"")</x:f>
      </x:c>
      <x:c r="E2328"/>
      <x:c r="F2328"/>
      <x:c r="G2328"/>
      <x:c r="H2328"/>
      <x:c r="I2328"/>
      <x:c r="J2328"/>
      <x:c r="K2328"/>
      <x:c r="L2328"/>
      <x:c r="M2328"/>
      <x:c r="N2328"/>
    </x:row>
  </x:sheetData>
  <x:mergeCells>
    <x:mergeCell ref="A1:C1"/>
  </x:mergeCells>
  <x:pageMargins left="0.7" right="0.7" top="0.75" bottom="0.75" header="0.3" footer="0.3"/>
  <x:legacyDrawing xmlns:r="http://schemas.openxmlformats.org/officeDocument/2006/relationships" r:id="R3625c4468ea04d97"/>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18.5" hidden="0" customWidth="1"/>
    <x:col min="3" max="3" width="38.83203125" hidden="0" customWidth="1"/>
    <x:col min="4" max="4" width="18.33203125" hidden="0" customWidth="1"/>
    <x:col min="5" max="5" width="12" hidden="0" customWidth="1"/>
    <x:col min="6" max="6" width="15" hidden="0" customWidth="1"/>
    <x:col min="7" max="7" width="15" hidden="0" customWidth="1"/>
    <x:col min="8" max="8" width="15" hidden="0" customWidth="1"/>
    <x:col min="9" max="9" width="19.6640625" hidden="0" customWidth="1"/>
    <x:col min="10" max="10" width="15" hidden="0" customWidth="1"/>
    <x:col min="11" max="11" width="15" hidden="0" customWidth="1"/>
    <x:col min="12" max="12" width="15" hidden="0" customWidth="1"/>
    <x:col min="13" max="13" width="15" hidden="0" customWidth="1"/>
    <x:col min="14" max="14" width="15" hidden="0" customWidth="1"/>
    <x:col min="15" max="15" width="15.6640625" hidden="0" customWidth="1"/>
    <x:col min="16" max="16" width="15" hidden="0" customWidth="1"/>
    <x:col min="17" max="17" width="15" hidden="0" customWidth="1"/>
    <x:col min="18" max="18" width="11.83203125" hidden="0" customWidth="1"/>
    <x:col min="19" max="19" width="8.83203125" hidden="0" customWidth="1"/>
    <x:col min="20" max="20" width="8.83203125" hidden="0" customWidth="1"/>
    <x:col min="21" max="21" width="8.83203125" hidden="0" customWidth="1"/>
    <x:col min="22" max="22" width="8.83203125" hidden="0" customWidth="1"/>
    <x:col min="23" max="23" width="8.83203125" hidden="0" customWidth="1"/>
    <x:col min="24" max="24" width="8.83203125" hidden="0" customWidth="1"/>
    <x:col min="25" max="25" width="8.83203125" hidden="0" customWidth="1"/>
    <x:col min="26" max="26" width="8.83203125" hidden="0" customWidth="1"/>
    <x:col min="27" max="27" width="8.83203125" hidden="0" customWidth="1"/>
    <x:col min="28" max="28" width="8.83203125" hidden="0" customWidth="1"/>
    <x:col min="29" max="29" width="8.83203125" hidden="0" customWidth="1"/>
    <x:col min="30" max="30" width="8.83203125" hidden="0" customWidth="1"/>
    <x:col min="31" max="31" width="8.83203125" hidden="0" customWidth="1"/>
    <x:col min="32" max="32" width="8.83203125" hidden="0" customWidth="1"/>
    <x:col min="33" max="33" width="8.83203125" hidden="0" customWidth="1"/>
    <x:col min="34" max="34" width="8.83203125" hidden="0" customWidth="1"/>
    <x:col min="35" max="35" width="8.83203125" hidden="0" customWidth="1"/>
    <x:col min="36" max="36" width="8.83203125" hidden="0" customWidth="1"/>
    <x:col min="37" max="37" width="8.83203125" hidden="0" customWidth="1"/>
    <x:col min="38" max="38" width="8.83203125" hidden="0" customWidth="1"/>
    <x:col min="39" max="39" width="8.83203125" hidden="0" customWidth="1"/>
    <x:col min="40" max="40" width="8.83203125" hidden="0" customWidth="1"/>
    <x:col min="41" max="41" width="8.83203125" hidden="0" customWidth="1"/>
    <x:col min="42" max="42" width="8.83203125" hidden="0" customWidth="1"/>
    <x:col min="43" max="43" width="8.83203125" hidden="0" customWidth="1"/>
    <x:col min="44" max="44" width="8.83203125" hidden="0" customWidth="1"/>
    <x:col min="45" max="45" width="8.83203125" hidden="0" customWidth="1"/>
    <x:col min="46" max="46" width="8.83203125" hidden="0" customWidth="1"/>
    <x:col min="47" max="47" width="8.83203125" hidden="0" customWidth="1"/>
    <x:col min="48" max="48" width="8.83203125" hidden="0" customWidth="1"/>
    <x:col min="49" max="49" width="8.83203125" hidden="0" customWidth="1"/>
    <x:col min="50" max="50" width="8.83203125" hidden="0" customWidth="1"/>
    <x:col min="51" max="51" width="8.83203125" hidden="0" customWidth="1"/>
    <x:col min="52" max="52" width="8.83203125" hidden="0" customWidth="1"/>
    <x:col min="53" max="53" width="8.83203125" hidden="0" customWidth="1"/>
    <x:col min="54" max="54" width="8.83203125" hidden="0" customWidth="1"/>
    <x:col min="55" max="55" width="8.83203125" hidden="0" customWidth="1"/>
    <x:col min="56" max="56" width="8.83203125" hidden="0" customWidth="1"/>
    <x:col min="57" max="57" width="8.83203125" hidden="0" customWidth="1"/>
    <x:col min="58" max="58" width="8.83203125" hidden="0" customWidth="1"/>
    <x:col min="59" max="59" width="8.83203125" hidden="0" customWidth="1"/>
    <x:col min="60" max="60" width="8.83203125" hidden="0" customWidth="1"/>
    <x:col min="61" max="61" width="8.83203125" hidden="0" customWidth="1"/>
    <x:col min="62" max="62" width="8.83203125" hidden="0" customWidth="1"/>
    <x:col min="63" max="63" width="8.83203125" hidden="0" customWidth="1"/>
    <x:col min="64" max="64" width="8.83203125" hidden="0" customWidth="1"/>
    <x:col min="65" max="65" width="8.83203125" hidden="0" customWidth="1"/>
    <x:col min="66" max="66" width="8.83203125" hidden="0" customWidth="1"/>
    <x:col min="67" max="67" width="8.83203125" hidden="0" customWidth="1"/>
    <x:col min="68" max="68" width="8.83203125" hidden="0" customWidth="1"/>
    <x:col min="69" max="69" width="8.83203125" hidden="0" customWidth="1"/>
    <x:col min="70" max="70" width="8.83203125" hidden="0" customWidth="1"/>
    <x:col min="71" max="71" width="8.83203125" hidden="0" customWidth="1"/>
    <x:col min="72" max="72" width="8.83203125" hidden="0" customWidth="1"/>
    <x:col min="73" max="73" width="8.83203125" hidden="0" customWidth="1"/>
    <x:col min="74" max="74" width="8.83203125" hidden="0" customWidth="1"/>
    <x:col min="75" max="75" width="8.83203125" hidden="0" customWidth="1"/>
    <x:col min="76" max="76" width="8.83203125" hidden="0" customWidth="1"/>
    <x:col min="77" max="77" width="8.83203125" hidden="0" customWidth="1"/>
    <x:col min="78" max="78" width="8.83203125" hidden="0" customWidth="1"/>
    <x:col min="79" max="79" width="8.83203125" hidden="0" customWidth="1"/>
    <x:col min="80" max="80" width="8.83203125" hidden="0" customWidth="1"/>
    <x:col min="81" max="81" width="8.83203125" hidden="0" customWidth="1"/>
    <x:col min="82" max="82" width="8.83203125" hidden="0" customWidth="1"/>
    <x:col min="83" max="83" width="8.83203125" hidden="0" customWidth="1"/>
    <x:col min="84" max="84" width="8.83203125" hidden="0" customWidth="1"/>
    <x:col min="85" max="85" width="8.83203125" hidden="0" customWidth="1"/>
    <x:col min="86" max="86" width="8.83203125" hidden="0" customWidth="1"/>
    <x:col min="87" max="87" width="8.83203125" hidden="0" customWidth="1"/>
    <x:col min="88" max="88" width="8.83203125" hidden="0" customWidth="1"/>
    <x:col min="89" max="89" width="8.83203125" hidden="0" customWidth="1"/>
    <x:col min="90" max="90" width="8.83203125" hidden="0" customWidth="1"/>
    <x:col min="91" max="91" width="8.83203125" hidden="0" customWidth="1"/>
    <x:col min="92" max="92" width="8.83203125" hidden="0" customWidth="1"/>
    <x:col min="93" max="93" width="8.83203125" hidden="0" customWidth="1"/>
    <x:col min="94" max="94" width="8.83203125" hidden="0" customWidth="1"/>
    <x:col min="95" max="95" width="8.83203125" hidden="0" customWidth="1"/>
    <x:col min="96" max="96" width="8.83203125" hidden="0" customWidth="1"/>
    <x:col min="97" max="97" width="8.83203125" hidden="0" customWidth="1"/>
    <x:col min="98" max="98" width="8.83203125" hidden="0" customWidth="1"/>
    <x:col min="99" max="99" width="8.83203125" hidden="0" customWidth="1"/>
    <x:col min="100" max="100" width="8.83203125" hidden="0" customWidth="1"/>
    <x:col min="101" max="101" width="8.83203125" hidden="0" customWidth="1"/>
    <x:col min="102" max="102" width="8.83203125" hidden="0" customWidth="1"/>
    <x:col min="103" max="103" width="8.83203125" hidden="0" customWidth="1"/>
    <x:col min="104" max="104" width="8.83203125" hidden="0" customWidth="1"/>
    <x:col min="105" max="105" width="8.83203125" hidden="0" customWidth="1"/>
    <x:col min="106" max="106" width="8.83203125" hidden="0" customWidth="1"/>
    <x:col min="107" max="107" width="8.83203125" hidden="0" customWidth="1"/>
    <x:col min="108" max="108" width="8.83203125" hidden="0" customWidth="1"/>
    <x:col min="109" max="109" width="8.83203125" hidden="0" customWidth="1"/>
    <x:col min="110" max="110" width="8.83203125" hidden="0" customWidth="1"/>
    <x:col min="111" max="111" width="8.83203125" hidden="0" customWidth="1"/>
    <x:col min="112" max="112" width="8.83203125" hidden="0" customWidth="1"/>
    <x:col min="113" max="113" width="8.83203125" hidden="0" customWidth="1"/>
    <x:col min="114" max="114" width="8.83203125" hidden="0" customWidth="1"/>
    <x:col min="115" max="115" width="8.83203125" hidden="0" customWidth="1"/>
    <x:col min="116" max="116" width="8.83203125" hidden="0" customWidth="1"/>
    <x:col min="117" max="117" width="8.83203125" hidden="0" customWidth="1"/>
    <x:col min="118" max="118" width="8.83203125" hidden="0" customWidth="1"/>
    <x:col min="119" max="119" width="8.83203125" hidden="0" customWidth="1"/>
    <x:col min="120" max="120" width="8.83203125" hidden="0" customWidth="1"/>
    <x:col min="121" max="121" width="8.83203125" hidden="0" customWidth="1"/>
    <x:col min="122" max="122" width="8.83203125" hidden="0" customWidth="1"/>
    <x:col min="123" max="123" width="8.83203125" hidden="0" customWidth="1"/>
    <x:col min="124" max="124" width="8.83203125" hidden="0" customWidth="1"/>
    <x:col min="125" max="125" width="8.83203125" hidden="0" customWidth="1"/>
    <x:col min="126" max="126" width="8.83203125" hidden="0" customWidth="1"/>
    <x:col min="127" max="127" width="8.83203125" hidden="0" customWidth="1"/>
    <x:col min="128" max="128" width="8.83203125" hidden="0" customWidth="1"/>
    <x:col min="129" max="129" width="8.83203125" hidden="0" customWidth="1"/>
    <x:col min="130" max="130" width="8.83203125" hidden="0" customWidth="1"/>
    <x:col min="131" max="131" width="8.83203125" hidden="0" customWidth="1"/>
    <x:col min="132" max="132" width="8.83203125" hidden="0" customWidth="1"/>
    <x:col min="133" max="133" width="8.83203125" hidden="0" customWidth="1"/>
    <x:col min="134" max="134" width="8.83203125" hidden="0" customWidth="1"/>
    <x:col min="135" max="135" width="8.83203125" hidden="0" customWidth="1"/>
    <x:col min="136" max="136" width="8.83203125" hidden="0" customWidth="1"/>
    <x:col min="137" max="137" width="8.83203125" hidden="0" customWidth="1"/>
    <x:col min="138" max="138" width="8.83203125" hidden="0" customWidth="1"/>
    <x:col min="139" max="139" width="8.83203125" hidden="0" customWidth="1"/>
    <x:col min="140" max="140" width="8.83203125" hidden="0" customWidth="1"/>
    <x:col min="141" max="141" width="8.83203125" hidden="0" customWidth="1"/>
    <x:col min="142" max="142" width="8.83203125" hidden="0" customWidth="1"/>
    <x:col min="143" max="143" width="8.83203125" hidden="0" customWidth="1"/>
    <x:col min="144" max="144" width="8.83203125" hidden="0" customWidth="1"/>
    <x:col min="145" max="145" width="8.83203125" hidden="0" customWidth="1"/>
    <x:col min="146" max="146" width="8.83203125" hidden="0" customWidth="1"/>
    <x:col min="147" max="147" width="8.83203125" hidden="0" customWidth="1"/>
    <x:col min="148" max="148" width="8.83203125" hidden="0" customWidth="1"/>
    <x:col min="149" max="149" width="8.83203125" hidden="0" customWidth="1"/>
    <x:col min="150" max="150" width="8.83203125" hidden="0" customWidth="1"/>
    <x:col min="151" max="151" width="8.83203125" hidden="0" customWidth="1"/>
    <x:col min="152" max="152" width="8.83203125" hidden="0" customWidth="1"/>
    <x:col min="153" max="153" width="8.83203125" hidden="0" customWidth="1"/>
    <x:col min="154" max="154" width="8.83203125" hidden="0" customWidth="1"/>
    <x:col min="155" max="155" width="8.83203125" hidden="0" customWidth="1"/>
    <x:col min="156" max="156" width="8.83203125" hidden="0" customWidth="1"/>
    <x:col min="157" max="157" width="8.83203125" hidden="0" customWidth="1"/>
    <x:col min="158" max="158" width="8.83203125" hidden="0" customWidth="1"/>
    <x:col min="159" max="159" width="8.83203125" hidden="0" customWidth="1"/>
    <x:col min="160" max="160" width="8.83203125" hidden="0" customWidth="1"/>
    <x:col min="161" max="161" width="8.83203125" hidden="0" customWidth="1"/>
    <x:col min="162" max="162" width="8.83203125" hidden="0" customWidth="1"/>
    <x:col min="163" max="163" width="8.83203125" hidden="0" customWidth="1"/>
    <x:col min="164" max="164" width="8.83203125" hidden="0" customWidth="1"/>
    <x:col min="165" max="165" width="8.83203125" hidden="0" customWidth="1"/>
    <x:col min="166" max="166" width="8.83203125" hidden="0" customWidth="1"/>
    <x:col min="167" max="167" width="8.83203125" hidden="0" customWidth="1"/>
    <x:col min="168" max="168" width="8.83203125" hidden="0" customWidth="1"/>
    <x:col min="169" max="169" width="8.83203125" hidden="0" customWidth="1"/>
    <x:col min="170" max="170" width="8.83203125" hidden="0" customWidth="1"/>
    <x:col min="171" max="171" width="8.83203125" hidden="0" customWidth="1"/>
    <x:col min="172" max="172" width="8.83203125" hidden="0" customWidth="1"/>
    <x:col min="173" max="173" width="8.83203125" hidden="0" customWidth="1"/>
    <x:col min="174" max="174" width="8.83203125" hidden="0" customWidth="1"/>
    <x:col min="175" max="175" width="8.83203125" hidden="0" customWidth="1"/>
    <x:col min="176" max="176" width="8.83203125" hidden="0" customWidth="1"/>
    <x:col min="177" max="177" width="8.83203125" hidden="0" customWidth="1"/>
    <x:col min="178" max="178" width="8.83203125" hidden="0" customWidth="1"/>
    <x:col min="179" max="179" width="8.83203125" hidden="0" customWidth="1"/>
    <x:col min="180" max="180" width="8.83203125" hidden="0" customWidth="1"/>
    <x:col min="181" max="181" width="8.83203125" hidden="0" customWidth="1"/>
    <x:col min="182" max="182" width="8.83203125" hidden="0" customWidth="1"/>
    <x:col min="183" max="183" width="8.83203125" hidden="0" customWidth="1"/>
    <x:col min="184" max="184" width="8.83203125" hidden="0" customWidth="1"/>
    <x:col min="185" max="185" width="8.83203125" hidden="0" customWidth="1"/>
    <x:col min="186" max="186" width="8.83203125" hidden="0" customWidth="1"/>
    <x:col min="187" max="187" width="8.83203125" hidden="0" customWidth="1"/>
    <x:col min="188" max="188" width="8.83203125" hidden="0" customWidth="1"/>
    <x:col min="189" max="189" width="8.83203125" hidden="0" customWidth="1"/>
    <x:col min="190" max="190" width="8.83203125" hidden="0" customWidth="1"/>
    <x:col min="191" max="191" width="8.83203125" hidden="0" customWidth="1"/>
    <x:col min="192" max="192" width="8.83203125" hidden="0" customWidth="1"/>
    <x:col min="193" max="193" width="8.83203125" hidden="0" customWidth="1"/>
    <x:col min="194" max="194" width="8.83203125" hidden="0" customWidth="1"/>
    <x:col min="195" max="195" width="8.83203125" hidden="0" customWidth="1"/>
    <x:col min="196" max="196" width="8.83203125" hidden="0" customWidth="1"/>
    <x:col min="197" max="197" width="8.83203125" hidden="0" customWidth="1"/>
    <x:col min="198" max="198" width="8.83203125" hidden="0" customWidth="1"/>
    <x:col min="199" max="199" width="8.83203125" hidden="0" customWidth="1"/>
    <x:col min="200" max="200" width="8.83203125" hidden="0" customWidth="1"/>
    <x:col min="201" max="201" width="8.83203125" hidden="0" customWidth="1"/>
    <x:col min="202" max="202" width="8.83203125" hidden="0" customWidth="1"/>
    <x:col min="203" max="203" width="8.83203125" hidden="0" customWidth="1"/>
    <x:col min="204" max="204" width="8.83203125" hidden="0" customWidth="1"/>
    <x:col min="205" max="205" width="8.83203125" hidden="0" customWidth="1"/>
    <x:col min="206" max="206" width="8.83203125" hidden="0" customWidth="1"/>
    <x:col min="207" max="207" width="8.83203125" hidden="0" customWidth="1"/>
    <x:col min="208" max="208" width="8.83203125" hidden="0" customWidth="1"/>
    <x:col min="209" max="209" width="8.83203125" hidden="0" customWidth="1"/>
    <x:col min="210" max="210" width="8.83203125" hidden="0" customWidth="1"/>
    <x:col min="211" max="211" width="8.83203125" hidden="0" customWidth="1"/>
    <x:col min="212" max="212" width="8.83203125" hidden="0" customWidth="1"/>
    <x:col min="213" max="213" width="8.83203125" hidden="0" customWidth="1"/>
    <x:col min="214" max="214" width="8.83203125" hidden="0" customWidth="1"/>
    <x:col min="215" max="215" width="8.83203125" hidden="0" customWidth="1"/>
    <x:col min="216" max="216" width="8.83203125" hidden="0" customWidth="1"/>
    <x:col min="217" max="217" width="8.83203125" hidden="0" customWidth="1"/>
    <x:col min="218" max="218" width="8.83203125" hidden="0" customWidth="1"/>
    <x:col min="219" max="219" width="8.83203125" hidden="0" customWidth="1"/>
    <x:col min="220" max="220" width="8.83203125" hidden="0" customWidth="1"/>
    <x:col min="221" max="221" width="8.83203125" hidden="0" customWidth="1"/>
    <x:col min="222" max="222" width="8.83203125" hidden="0" customWidth="1"/>
    <x:col min="223" max="223" width="8.83203125" hidden="0" customWidth="1"/>
    <x:col min="224" max="224" width="8.83203125" hidden="0" customWidth="1"/>
    <x:col min="225" max="225" width="8.83203125" hidden="0" customWidth="1"/>
    <x:col min="226" max="226" width="8.83203125" hidden="0" customWidth="1"/>
    <x:col min="227" max="227" width="8.83203125" hidden="0" customWidth="1"/>
    <x:col min="228" max="228" width="8.83203125" hidden="0" customWidth="1"/>
    <x:col min="229" max="229" width="8.83203125" hidden="0" customWidth="1"/>
    <x:col min="230" max="230" width="8.83203125" hidden="0" customWidth="1"/>
    <x:col min="231" max="231" width="8.83203125" hidden="0" customWidth="1"/>
    <x:col min="232" max="232" width="8.83203125" hidden="0" customWidth="1"/>
    <x:col min="233" max="233" width="8.83203125" hidden="0" customWidth="1"/>
    <x:col min="234" max="234" width="8.83203125" hidden="0" customWidth="1"/>
    <x:col min="235" max="235" width="8.83203125" hidden="0" customWidth="1"/>
    <x:col min="236" max="236" width="8.83203125" hidden="0" customWidth="1"/>
    <x:col min="237" max="237" width="8.83203125" hidden="0" customWidth="1"/>
    <x:col min="238" max="238" width="8.83203125" hidden="0" customWidth="1"/>
    <x:col min="239" max="239" width="8.83203125" hidden="0" customWidth="1"/>
    <x:col min="240" max="240" width="8.83203125" hidden="0" customWidth="1"/>
    <x:col min="241" max="241" width="8.83203125" hidden="0" customWidth="1"/>
    <x:col min="242" max="242" width="8.83203125" hidden="0" customWidth="1"/>
    <x:col min="243" max="243" width="8.83203125" hidden="0" customWidth="1"/>
    <x:col min="244" max="244" width="8.83203125" hidden="0" customWidth="1"/>
    <x:col min="245" max="245" width="8.83203125" hidden="0" customWidth="1"/>
    <x:col min="246" max="246" width="8.83203125" hidden="0" customWidth="1"/>
    <x:col min="247" max="247" width="8.83203125" hidden="0" customWidth="1"/>
    <x:col min="248" max="248" width="8.83203125" hidden="0" customWidth="1"/>
    <x:col min="249" max="249" width="8.83203125" hidden="0" customWidth="1"/>
    <x:col min="250" max="250" width="8.83203125" hidden="0" customWidth="1"/>
    <x:col min="251" max="251" width="8.83203125" hidden="0" customWidth="1"/>
    <x:col min="252" max="252" width="8.83203125" hidden="0" customWidth="1"/>
    <x:col min="253" max="253" width="8.83203125" hidden="0" customWidth="1"/>
    <x:col min="254" max="254" width="8.83203125" hidden="0" customWidth="1"/>
    <x:col min="255" max="255" width="8.83203125" hidden="0" customWidth="1"/>
    <x:col min="256" max="256" width="8.83203125" hidden="0" customWidth="1"/>
    <x:col min="257" max="257" width="8.83203125" hidden="0" customWidth="1"/>
    <x:col min="258" max="258" width="8.83203125" hidden="0" customWidth="1"/>
    <x:col min="259" max="259" width="8.83203125" hidden="0" customWidth="1"/>
    <x:col min="260" max="260" width="8.83203125" hidden="0" customWidth="1"/>
    <x:col min="261" max="261" width="8.83203125" hidden="0" customWidth="1"/>
    <x:col min="262" max="262" width="8.83203125" hidden="0" customWidth="1"/>
    <x:col min="263" max="263" width="8.83203125" hidden="0" customWidth="1"/>
    <x:col min="264" max="264" width="8.83203125" hidden="0" customWidth="1"/>
    <x:col min="265" max="265" width="8.83203125" hidden="0" customWidth="1"/>
    <x:col min="266" max="266" width="8.83203125" hidden="0" customWidth="1"/>
    <x:col min="267" max="267" width="8.83203125" hidden="0" customWidth="1"/>
    <x:col min="268" max="268" width="8.83203125" hidden="0" customWidth="1"/>
    <x:col min="269" max="269" width="8.83203125" hidden="0" customWidth="1"/>
    <x:col min="270" max="270" width="8.83203125" hidden="0" customWidth="1"/>
    <x:col min="271" max="271" width="8.83203125" hidden="0" customWidth="1"/>
    <x:col min="272" max="272" width="8.83203125" hidden="0" customWidth="1"/>
    <x:col min="273" max="273" width="8.83203125" hidden="0" customWidth="1"/>
    <x:col min="274" max="274" width="8.83203125" hidden="0" customWidth="1"/>
    <x:col min="275" max="275" width="8.83203125" hidden="0" customWidth="1"/>
    <x:col min="276" max="276" width="8.83203125" hidden="0" customWidth="1"/>
    <x:col min="277" max="277" width="8.83203125" hidden="0" customWidth="1"/>
    <x:col min="278" max="278" width="8.83203125" hidden="0" customWidth="1"/>
    <x:col min="279" max="279" width="8.83203125" hidden="0" customWidth="1"/>
    <x:col min="280" max="280" width="8.83203125" hidden="0" customWidth="1"/>
    <x:col min="281" max="281" width="8.83203125" hidden="0" customWidth="1"/>
    <x:col min="282" max="282" width="8.83203125" hidden="0" customWidth="1"/>
    <x:col min="283" max="283" width="8.83203125" hidden="0" customWidth="1"/>
    <x:col min="284" max="284" width="8.83203125" hidden="0" customWidth="1"/>
    <x:col min="285" max="285" width="8.83203125" hidden="0" customWidth="1"/>
    <x:col min="286" max="286" width="8.83203125" hidden="0" customWidth="1"/>
    <x:col min="287" max="287" width="8.83203125" hidden="0" customWidth="1"/>
    <x:col min="288" max="288" width="8.83203125" hidden="0" customWidth="1"/>
    <x:col min="289" max="289" width="8.83203125" hidden="0" customWidth="1"/>
    <x:col min="290" max="290" width="8.83203125" hidden="0" customWidth="1"/>
    <x:col min="291" max="291" width="8.83203125" hidden="0" customWidth="1"/>
    <x:col min="292" max="292" width="8.83203125" hidden="0" customWidth="1"/>
    <x:col min="293" max="293" width="8.83203125" hidden="0" customWidth="1"/>
    <x:col min="294" max="294" width="8.83203125" hidden="0" customWidth="1"/>
    <x:col min="295" max="295" width="8.83203125" hidden="0" customWidth="1"/>
    <x:col min="296" max="296" width="8.83203125" hidden="0" customWidth="1"/>
    <x:col min="297" max="297" width="8.83203125" hidden="0" customWidth="1"/>
    <x:col min="298" max="298" width="8.83203125" hidden="0" customWidth="1"/>
    <x:col min="299" max="299" width="8.83203125" hidden="0" customWidth="1"/>
    <x:col min="300" max="300" width="8.83203125" hidden="0" customWidth="1"/>
    <x:col min="301" max="301" width="8.83203125" hidden="0" customWidth="1"/>
    <x:col min="302" max="302" width="8.83203125" hidden="0" customWidth="1"/>
    <x:col min="303" max="303" width="8.83203125" hidden="0" customWidth="1"/>
    <x:col min="304" max="304" width="8.83203125" hidden="0" customWidth="1"/>
    <x:col min="305" max="305" width="8.83203125" hidden="0" customWidth="1"/>
    <x:col min="306" max="306" width="8.83203125" hidden="0" customWidth="1"/>
    <x:col min="307" max="307" width="8.83203125" hidden="0" customWidth="1"/>
    <x:col min="308" max="308" width="8.83203125" hidden="0" customWidth="1"/>
    <x:col min="309" max="309" width="8.83203125" hidden="0" customWidth="1"/>
    <x:col min="310" max="310" width="8.83203125" hidden="0" customWidth="1"/>
    <x:col min="311" max="311" width="8.83203125" hidden="0" customWidth="1"/>
    <x:col min="312" max="312" width="8.83203125" hidden="0" customWidth="1"/>
    <x:col min="313" max="313" width="8.83203125" hidden="0" customWidth="1"/>
    <x:col min="314" max="314" width="8.83203125" hidden="0" customWidth="1"/>
    <x:col min="315" max="315" width="8.83203125" hidden="0" customWidth="1"/>
    <x:col min="316" max="316" width="8.83203125" hidden="0" customWidth="1"/>
    <x:col min="317" max="317" width="8.83203125" hidden="0" customWidth="1"/>
    <x:col min="318" max="318" width="8.83203125" hidden="0" customWidth="1"/>
    <x:col min="319" max="319" width="8.83203125" hidden="0" customWidth="1"/>
    <x:col min="320" max="320" width="8.83203125" hidden="0" customWidth="1"/>
    <x:col min="321" max="321" width="8.83203125" hidden="0" customWidth="1"/>
    <x:col min="322" max="322" width="8.83203125" hidden="0" customWidth="1"/>
    <x:col min="323" max="323" width="8.83203125" hidden="0" customWidth="1"/>
    <x:col min="324" max="324" width="8.83203125" hidden="0" customWidth="1"/>
    <x:col min="325" max="325" width="8.83203125" hidden="0" customWidth="1"/>
    <x:col min="326" max="326" width="8.83203125" hidden="0" customWidth="1"/>
    <x:col min="327" max="327" width="8.83203125" hidden="0" customWidth="1"/>
    <x:col min="328" max="328" width="8.83203125" hidden="0" customWidth="1"/>
    <x:col min="329" max="329" width="8.83203125" hidden="0" customWidth="1"/>
    <x:col min="330" max="330" width="8.83203125" hidden="0" customWidth="1"/>
    <x:col min="331" max="331" width="8.83203125" hidden="0" customWidth="1"/>
    <x:col min="332" max="332" width="8.83203125" hidden="0" customWidth="1"/>
    <x:col min="333" max="333" width="8.83203125" hidden="0" customWidth="1"/>
    <x:col min="334" max="334" width="8.83203125" hidden="0" customWidth="1"/>
    <x:col min="335" max="335" width="8.83203125" hidden="0" customWidth="1"/>
    <x:col min="336" max="336" width="8.83203125" hidden="0" customWidth="1"/>
    <x:col min="337" max="337" width="8.83203125" hidden="0" customWidth="1"/>
    <x:col min="338" max="338" width="8.83203125" hidden="0" customWidth="1"/>
    <x:col min="339" max="339" width="8.83203125" hidden="0" customWidth="1"/>
    <x:col min="340" max="340" width="8.83203125" hidden="0" customWidth="1"/>
    <x:col min="341" max="341" width="8.83203125" hidden="0" customWidth="1"/>
    <x:col min="342" max="342" width="8.83203125" hidden="0" customWidth="1"/>
    <x:col min="343" max="343" width="8.83203125" hidden="0" customWidth="1"/>
    <x:col min="344" max="344" width="8.83203125" hidden="0" customWidth="1"/>
    <x:col min="345" max="345" width="8.83203125" hidden="0" customWidth="1"/>
    <x:col min="346" max="346" width="8.83203125" hidden="0" customWidth="1"/>
    <x:col min="347" max="347" width="8.83203125" hidden="0" customWidth="1"/>
    <x:col min="348" max="348" width="8.83203125" hidden="0" customWidth="1"/>
    <x:col min="349" max="349" width="8.83203125" hidden="0" customWidth="1"/>
    <x:col min="350" max="350" width="8.83203125" hidden="0" customWidth="1"/>
    <x:col min="351" max="351" width="8.83203125" hidden="0" customWidth="1"/>
    <x:col min="352" max="352" width="8.83203125" hidden="0" customWidth="1"/>
    <x:col min="353" max="353" width="8.83203125" hidden="0" customWidth="1"/>
    <x:col min="354" max="354" width="8.83203125" hidden="0" customWidth="1"/>
    <x:col min="355" max="355" width="8.83203125" hidden="0" customWidth="1"/>
    <x:col min="356" max="356" width="8.83203125" hidden="0" customWidth="1"/>
    <x:col min="357" max="357" width="8.83203125" hidden="0" customWidth="1"/>
    <x:col min="358" max="358" width="8.83203125" hidden="0" customWidth="1"/>
    <x:col min="359" max="359" width="8.83203125" hidden="0" customWidth="1"/>
    <x:col min="360" max="360" width="8.83203125" hidden="0" customWidth="1"/>
    <x:col min="361" max="361" width="8.83203125" hidden="0" customWidth="1"/>
    <x:col min="362" max="362" width="8.83203125" hidden="0" customWidth="1"/>
    <x:col min="363" max="363" width="8.83203125" hidden="0" customWidth="1"/>
    <x:col min="364" max="364" width="8.83203125" hidden="0" customWidth="1"/>
    <x:col min="365" max="365" width="8.83203125" hidden="0" customWidth="1"/>
    <x:col min="366" max="366" width="8.83203125" hidden="0" customWidth="1"/>
    <x:col min="367" max="367" width="8.83203125" hidden="0" customWidth="1"/>
    <x:col min="368" max="368" width="8.83203125" hidden="0" customWidth="1"/>
    <x:col min="369" max="369" width="8.83203125" hidden="0" customWidth="1"/>
    <x:col min="370" max="370" width="8.83203125" hidden="0" customWidth="1"/>
    <x:col min="371" max="371" width="8.83203125" hidden="0" customWidth="1"/>
    <x:col min="372" max="372" width="8.83203125" hidden="0" customWidth="1"/>
    <x:col min="373" max="373" width="8.83203125" hidden="0" customWidth="1"/>
    <x:col min="374" max="374" width="8.83203125" hidden="0" customWidth="1"/>
    <x:col min="375" max="375" width="8.83203125" hidden="0" customWidth="1"/>
    <x:col min="376" max="376" width="8.83203125" hidden="0" customWidth="1"/>
    <x:col min="377" max="377" width="8.83203125" hidden="0" customWidth="1"/>
    <x:col min="378" max="378" width="8.83203125" hidden="0" customWidth="1"/>
    <x:col min="379" max="379" width="8.83203125" hidden="0" customWidth="1"/>
    <x:col min="380" max="380" width="8.83203125" hidden="0" customWidth="1"/>
    <x:col min="381" max="381" width="8.83203125" hidden="0" customWidth="1"/>
    <x:col min="382" max="382" width="8.83203125" hidden="0" customWidth="1"/>
    <x:col min="383" max="383" width="8.83203125" hidden="0" customWidth="1"/>
    <x:col min="384" max="384" width="8.83203125" hidden="0" customWidth="1"/>
    <x:col min="385" max="385" width="8.83203125" hidden="0" customWidth="1"/>
    <x:col min="386" max="386" width="8.83203125" hidden="0" customWidth="1"/>
    <x:col min="387" max="387" width="8.83203125" hidden="0" customWidth="1"/>
    <x:col min="388" max="388" width="8.83203125" hidden="0" customWidth="1"/>
    <x:col min="389" max="389" width="8.83203125" hidden="0" customWidth="1"/>
    <x:col min="390" max="390" width="8.83203125" hidden="0" customWidth="1"/>
    <x:col min="391" max="391" width="8.83203125" hidden="0" customWidth="1"/>
    <x:col min="392" max="392" width="8.83203125" hidden="0" customWidth="1"/>
    <x:col min="393" max="393" width="8.83203125" hidden="0" customWidth="1"/>
    <x:col min="394" max="394" width="8.83203125" hidden="0" customWidth="1"/>
    <x:col min="395" max="395" width="8.83203125" hidden="0" customWidth="1"/>
    <x:col min="396" max="396" width="8.83203125" hidden="0" customWidth="1"/>
    <x:col min="397" max="397" width="8.83203125" hidden="0" customWidth="1"/>
    <x:col min="398" max="398" width="8.83203125" hidden="0" customWidth="1"/>
    <x:col min="399" max="399" width="8.83203125" hidden="0" customWidth="1"/>
    <x:col min="400" max="400" width="8.83203125" hidden="0" customWidth="1"/>
    <x:col min="401" max="401" width="8.83203125" hidden="0" customWidth="1"/>
    <x:col min="402" max="402" width="8.83203125" hidden="0" customWidth="1"/>
    <x:col min="403" max="403" width="8.83203125" hidden="0" customWidth="1"/>
    <x:col min="404" max="404" width="8.83203125" hidden="0" customWidth="1"/>
    <x:col min="405" max="405" width="8.83203125" hidden="0" customWidth="1"/>
    <x:col min="406" max="406" width="8.83203125" hidden="0" customWidth="1"/>
    <x:col min="407" max="407" width="8.83203125" hidden="0" customWidth="1"/>
    <x:col min="408" max="408" width="8.83203125" hidden="0" customWidth="1"/>
    <x:col min="409" max="409" width="8.83203125" hidden="0" customWidth="1"/>
    <x:col min="410" max="410" width="8.83203125" hidden="0" customWidth="1"/>
    <x:col min="411" max="411" width="8.83203125" hidden="0" customWidth="1"/>
    <x:col min="412" max="412" width="8.83203125" hidden="0" customWidth="1"/>
    <x:col min="413" max="413" width="8.83203125" hidden="0" customWidth="1"/>
    <x:col min="414" max="414" width="8.83203125" hidden="0" customWidth="1"/>
    <x:col min="415" max="415" width="8.83203125" hidden="0" customWidth="1"/>
    <x:col min="416" max="416" width="8.83203125" hidden="0" customWidth="1"/>
    <x:col min="417" max="417" width="8.83203125" hidden="0" customWidth="1"/>
    <x:col min="418" max="418" width="8.83203125" hidden="0" customWidth="1"/>
    <x:col min="419" max="419" width="8.83203125" hidden="0" customWidth="1"/>
    <x:col min="420" max="420" width="8.83203125" hidden="0" customWidth="1"/>
    <x:col min="421" max="421" width="8.83203125" hidden="0" customWidth="1"/>
    <x:col min="422" max="422" width="8.83203125" hidden="0" customWidth="1"/>
    <x:col min="423" max="423" width="8.83203125" hidden="0" customWidth="1"/>
    <x:col min="424" max="424" width="8.83203125" hidden="0" customWidth="1"/>
    <x:col min="425" max="425" width="8.83203125" hidden="0" customWidth="1"/>
    <x:col min="426" max="426" width="8.83203125" hidden="0" customWidth="1"/>
    <x:col min="427" max="427" width="8.83203125" hidden="0" customWidth="1"/>
    <x:col min="428" max="428" width="8.83203125" hidden="0" customWidth="1"/>
    <x:col min="429" max="429" width="8.83203125" hidden="0" customWidth="1"/>
    <x:col min="430" max="430" width="8.83203125" hidden="0" customWidth="1"/>
    <x:col min="431" max="431" width="8.83203125" hidden="0" customWidth="1"/>
    <x:col min="432" max="432" width="8.83203125" hidden="0" customWidth="1"/>
    <x:col min="433" max="433" width="8.83203125" hidden="0" customWidth="1"/>
    <x:col min="434" max="434" width="8.83203125" hidden="0" customWidth="1"/>
    <x:col min="435" max="435" width="8.83203125" hidden="0" customWidth="1"/>
    <x:col min="436" max="436" width="8.83203125" hidden="0" customWidth="1"/>
    <x:col min="437" max="437" width="8.83203125" hidden="0" customWidth="1"/>
    <x:col min="438" max="438" width="8.83203125" hidden="0" customWidth="1"/>
    <x:col min="439" max="439" width="8.83203125" hidden="0" customWidth="1"/>
    <x:col min="440" max="440" width="8.83203125" hidden="0" customWidth="1"/>
    <x:col min="441" max="441" width="8.83203125" hidden="0" customWidth="1"/>
    <x:col min="442" max="442" width="8.83203125" hidden="0" customWidth="1"/>
    <x:col min="443" max="443" width="8.83203125" hidden="0" customWidth="1"/>
    <x:col min="444" max="444" width="8.83203125" hidden="0" customWidth="1"/>
    <x:col min="445" max="445" width="8.83203125" hidden="0" customWidth="1"/>
    <x:col min="446" max="446" width="8.83203125" hidden="0" customWidth="1"/>
    <x:col min="447" max="447" width="8.83203125" hidden="0" customWidth="1"/>
    <x:col min="448" max="448" width="8.83203125" hidden="0" customWidth="1"/>
    <x:col min="449" max="449" width="8.83203125" hidden="0" customWidth="1"/>
    <x:col min="450" max="450" width="8.83203125" hidden="0" customWidth="1"/>
    <x:col min="451" max="451" width="8.83203125" hidden="0" customWidth="1"/>
    <x:col min="452" max="452" width="8.83203125" hidden="0" customWidth="1"/>
    <x:col min="453" max="453" width="8.83203125" hidden="0" customWidth="1"/>
    <x:col min="454" max="454" width="8.83203125" hidden="0" customWidth="1"/>
    <x:col min="455" max="455" width="8.83203125" hidden="0" customWidth="1"/>
    <x:col min="456" max="456" width="8.83203125" hidden="0" customWidth="1"/>
    <x:col min="457" max="457" width="8.83203125" hidden="0" customWidth="1"/>
    <x:col min="458" max="458" width="8.83203125" hidden="0" customWidth="1"/>
    <x:col min="459" max="459" width="8.83203125" hidden="0" customWidth="1"/>
    <x:col min="460" max="460" width="8.83203125" hidden="0" customWidth="1"/>
    <x:col min="461" max="461" width="8.83203125" hidden="0" customWidth="1"/>
    <x:col min="462" max="462" width="8.83203125" hidden="0" customWidth="1"/>
    <x:col min="463" max="463" width="8.83203125" hidden="0" customWidth="1"/>
    <x:col min="464" max="464" width="8.83203125" hidden="0" customWidth="1"/>
    <x:col min="465" max="465" width="8.83203125" hidden="0" customWidth="1"/>
    <x:col min="466" max="466" width="8.83203125" hidden="0" customWidth="1"/>
    <x:col min="467" max="467" width="8.83203125" hidden="0" customWidth="1"/>
    <x:col min="468" max="468" width="8.83203125" hidden="0" customWidth="1"/>
    <x:col min="469" max="469" width="8.83203125" hidden="0" customWidth="1"/>
    <x:col min="470" max="470" width="8.83203125" hidden="0" customWidth="1"/>
    <x:col min="471" max="471" width="8.83203125" hidden="0" customWidth="1"/>
    <x:col min="472" max="472" width="8.83203125" hidden="0" customWidth="1"/>
    <x:col min="473" max="473" width="8.83203125" hidden="0" customWidth="1"/>
    <x:col min="474" max="474" width="8.83203125" hidden="0" customWidth="1"/>
    <x:col min="475" max="475" width="8.83203125" hidden="0" customWidth="1"/>
    <x:col min="476" max="476" width="8.83203125" hidden="0" customWidth="1"/>
    <x:col min="477" max="477" width="8.83203125" hidden="0" customWidth="1"/>
    <x:col min="478" max="478" width="8.83203125" hidden="0" customWidth="1"/>
    <x:col min="479" max="479" width="8.83203125" hidden="0" customWidth="1"/>
    <x:col min="480" max="480" width="8.83203125" hidden="0" customWidth="1"/>
    <x:col min="481" max="481" width="8.83203125" hidden="0" customWidth="1"/>
    <x:col min="482" max="482" width="8.83203125" hidden="0" customWidth="1"/>
    <x:col min="483" max="483" width="8.83203125" hidden="0" customWidth="1"/>
    <x:col min="484" max="484" width="8.83203125" hidden="0" customWidth="1"/>
    <x:col min="485" max="485" width="8.83203125" hidden="0" customWidth="1"/>
    <x:col min="486" max="486" width="8.83203125" hidden="0" customWidth="1"/>
    <x:col min="487" max="487" width="8.83203125" hidden="0" customWidth="1"/>
    <x:col min="488" max="488" width="8.83203125" hidden="0" customWidth="1"/>
    <x:col min="489" max="489" width="8.83203125" hidden="0" customWidth="1"/>
    <x:col min="490" max="490" width="8.83203125" hidden="0" customWidth="1"/>
    <x:col min="491" max="491" width="8.83203125" hidden="0" customWidth="1"/>
    <x:col min="492" max="492" width="8.83203125" hidden="0" customWidth="1"/>
    <x:col min="493" max="493" width="8.83203125" hidden="0" customWidth="1"/>
    <x:col min="494" max="494" width="8.83203125" hidden="0" customWidth="1"/>
    <x:col min="495" max="495" width="8.83203125" hidden="0" customWidth="1"/>
    <x:col min="496" max="496" width="8.83203125" hidden="0" customWidth="1"/>
    <x:col min="497" max="497" width="8.83203125" hidden="0" customWidth="1"/>
    <x:col min="498" max="498" width="8.83203125" hidden="0" customWidth="1"/>
    <x:col min="499" max="499" width="8.83203125" hidden="0" customWidth="1"/>
    <x:col min="500" max="500" width="8.83203125" hidden="0" customWidth="1"/>
    <x:col min="501" max="501" width="8.83203125" hidden="0" customWidth="1"/>
    <x:col min="502" max="502" width="8.83203125" hidden="0" customWidth="1"/>
    <x:col min="503" max="503" width="8.83203125" hidden="0" customWidth="1"/>
    <x:col min="504" max="504" width="8.83203125" hidden="0" customWidth="1"/>
    <x:col min="505" max="505" width="8.83203125" hidden="0" customWidth="1"/>
    <x:col min="506" max="506" width="8.83203125" hidden="0" customWidth="1"/>
    <x:col min="507" max="507" width="8.83203125" hidden="0" customWidth="1"/>
    <x:col min="508" max="508" width="8.83203125" hidden="0" customWidth="1"/>
    <x:col min="509" max="509" width="8.83203125" hidden="0" customWidth="1"/>
    <x:col min="510" max="510" width="8.83203125" hidden="0" customWidth="1"/>
    <x:col min="511" max="511" width="8.83203125" hidden="0" customWidth="1"/>
    <x:col min="512" max="512" width="8.83203125" hidden="0" customWidth="1"/>
    <x:col min="513" max="513" width="8.83203125" hidden="0" customWidth="1"/>
    <x:col min="514" max="514" width="8.83203125" hidden="0" customWidth="1"/>
    <x:col min="515" max="515" width="8.83203125" hidden="0" customWidth="1"/>
    <x:col min="516" max="516" width="8.83203125" hidden="0" customWidth="1"/>
    <x:col min="517" max="517" width="8.83203125" hidden="0" customWidth="1"/>
    <x:col min="518" max="518" width="8.83203125" hidden="0" customWidth="1"/>
    <x:col min="519" max="519" width="8.83203125" hidden="0" customWidth="1"/>
    <x:col min="520" max="520" width="8.83203125" hidden="0" customWidth="1"/>
    <x:col min="521" max="521" width="8.83203125" hidden="0" customWidth="1"/>
    <x:col min="522" max="522" width="8.83203125" hidden="0" customWidth="1"/>
    <x:col min="523" max="523" width="8.83203125" hidden="0" customWidth="1"/>
    <x:col min="524" max="524" width="8.83203125" hidden="0" customWidth="1"/>
    <x:col min="525" max="525" width="8.83203125" hidden="0" customWidth="1"/>
    <x:col min="526" max="526" width="8.83203125" hidden="0" customWidth="1"/>
    <x:col min="527" max="527" width="8.83203125" hidden="0" customWidth="1"/>
    <x:col min="528" max="528" width="8.83203125" hidden="0" customWidth="1"/>
    <x:col min="529" max="529" width="8.83203125" hidden="0" customWidth="1"/>
    <x:col min="530" max="530" width="8.83203125" hidden="0" customWidth="1"/>
    <x:col min="531" max="531" width="8.83203125" hidden="0" customWidth="1"/>
    <x:col min="532" max="532" width="8.83203125" hidden="0" customWidth="1"/>
    <x:col min="533" max="533" width="8.83203125" hidden="0" customWidth="1"/>
    <x:col min="534" max="534" width="8.83203125" hidden="0" customWidth="1"/>
    <x:col min="535" max="535" width="8.83203125" hidden="0" customWidth="1"/>
    <x:col min="536" max="536" width="8.83203125" hidden="0" customWidth="1"/>
    <x:col min="537" max="537" width="8.83203125" hidden="0" customWidth="1"/>
    <x:col min="538" max="538" width="8.83203125" hidden="0" customWidth="1"/>
    <x:col min="539" max="539" width="8.83203125" hidden="0" customWidth="1"/>
    <x:col min="540" max="540" width="8.83203125" hidden="0" customWidth="1"/>
    <x:col min="541" max="541" width="8.83203125" hidden="0" customWidth="1"/>
    <x:col min="542" max="542" width="8.83203125" hidden="0" customWidth="1"/>
    <x:col min="543" max="543" width="8.83203125" hidden="0" customWidth="1"/>
    <x:col min="544" max="544" width="8.83203125" hidden="0" customWidth="1"/>
    <x:col min="545" max="545" width="8.83203125" hidden="0" customWidth="1"/>
    <x:col min="546" max="546" width="8.83203125" hidden="0" customWidth="1"/>
    <x:col min="547" max="547" width="8.83203125" hidden="0" customWidth="1"/>
    <x:col min="548" max="548" width="8.83203125" hidden="0" customWidth="1"/>
    <x:col min="549" max="549" width="8.83203125" hidden="0" customWidth="1"/>
    <x:col min="550" max="550" width="8.83203125" hidden="0" customWidth="1"/>
    <x:col min="551" max="551" width="8.83203125" hidden="0" customWidth="1"/>
    <x:col min="552" max="552" width="8.83203125" hidden="0" customWidth="1"/>
    <x:col min="553" max="553" width="8.83203125" hidden="0" customWidth="1"/>
    <x:col min="554" max="554" width="8.83203125" hidden="0" customWidth="1"/>
    <x:col min="555" max="555" width="8.83203125" hidden="0" customWidth="1"/>
    <x:col min="556" max="556" width="8.83203125" hidden="0" customWidth="1"/>
    <x:col min="557" max="557" width="8.83203125" hidden="0" customWidth="1"/>
    <x:col min="558" max="558" width="8.83203125" hidden="0" customWidth="1"/>
    <x:col min="559" max="559" width="8.83203125" hidden="0" customWidth="1"/>
    <x:col min="560" max="560" width="8.83203125" hidden="0" customWidth="1"/>
    <x:col min="561" max="561" width="8.83203125" hidden="0" customWidth="1"/>
    <x:col min="562" max="562" width="8.83203125" hidden="0" customWidth="1"/>
    <x:col min="563" max="563" width="8.83203125" hidden="0" customWidth="1"/>
    <x:col min="564" max="564" width="8.83203125" hidden="0" customWidth="1"/>
    <x:col min="565" max="565" width="8.83203125" hidden="0" customWidth="1"/>
    <x:col min="566" max="566" width="8.83203125" hidden="0" customWidth="1"/>
    <x:col min="567" max="567" width="8.83203125" hidden="0" customWidth="1"/>
    <x:col min="568" max="568" width="8.83203125" hidden="0" customWidth="1"/>
    <x:col min="569" max="569" width="8.83203125" hidden="0" customWidth="1"/>
    <x:col min="570" max="570" width="8.83203125" hidden="0" customWidth="1"/>
    <x:col min="571" max="571" width="8.83203125" hidden="0" customWidth="1"/>
    <x:col min="572" max="572" width="8.83203125" hidden="0" customWidth="1"/>
    <x:col min="573" max="573" width="8.83203125" hidden="0" customWidth="1"/>
    <x:col min="574" max="574" width="8.83203125" hidden="0" customWidth="1"/>
    <x:col min="575" max="575" width="8.83203125" hidden="0" customWidth="1"/>
    <x:col min="576" max="576" width="8.83203125" hidden="0" customWidth="1"/>
    <x:col min="577" max="577" width="8.83203125" hidden="0" customWidth="1"/>
    <x:col min="578" max="578" width="8.83203125" hidden="0" customWidth="1"/>
    <x:col min="579" max="579" width="8.83203125" hidden="0" customWidth="1"/>
    <x:col min="580" max="580" width="8.83203125" hidden="0" customWidth="1"/>
    <x:col min="581" max="581" width="8.83203125" hidden="0" customWidth="1"/>
    <x:col min="582" max="582" width="8.83203125" hidden="0" customWidth="1"/>
    <x:col min="583" max="583" width="8.83203125" hidden="0" customWidth="1"/>
    <x:col min="584" max="584" width="8.83203125" hidden="0" customWidth="1"/>
    <x:col min="585" max="585" width="8.83203125" hidden="0" customWidth="1"/>
    <x:col min="586" max="586" width="8.83203125" hidden="0" customWidth="1"/>
    <x:col min="587" max="587" width="8.83203125" hidden="0" customWidth="1"/>
    <x:col min="588" max="588" width="8.83203125" hidden="0" customWidth="1"/>
    <x:col min="589" max="589" width="8.83203125" hidden="0" customWidth="1"/>
    <x:col min="590" max="590" width="8.83203125" hidden="0" customWidth="1"/>
    <x:col min="591" max="591" width="8.83203125" hidden="0" customWidth="1"/>
    <x:col min="592" max="592" width="8.83203125" hidden="0" customWidth="1"/>
    <x:col min="593" max="593" width="8.83203125" hidden="0" customWidth="1"/>
    <x:col min="594" max="594" width="8.83203125" hidden="0" customWidth="1"/>
    <x:col min="595" max="595" width="8.83203125" hidden="0" customWidth="1"/>
    <x:col min="596" max="596" width="8.83203125" hidden="0" customWidth="1"/>
    <x:col min="597" max="597" width="8.83203125" hidden="0" customWidth="1"/>
    <x:col min="598" max="598" width="8.83203125" hidden="0" customWidth="1"/>
    <x:col min="599" max="599" width="8.83203125" hidden="0" customWidth="1"/>
    <x:col min="600" max="600" width="8.83203125" hidden="0" customWidth="1"/>
    <x:col min="601" max="601" width="8.83203125" hidden="0" customWidth="1"/>
    <x:col min="602" max="602" width="8.83203125" hidden="0" customWidth="1"/>
    <x:col min="603" max="603" width="8.83203125" hidden="0" customWidth="1"/>
    <x:col min="604" max="604" width="8.83203125" hidden="0" customWidth="1"/>
    <x:col min="605" max="605" width="8.83203125" hidden="0" customWidth="1"/>
    <x:col min="606" max="606" width="8.83203125" hidden="0" customWidth="1"/>
    <x:col min="607" max="607" width="8.83203125" hidden="0" customWidth="1"/>
    <x:col min="608" max="608" width="8.83203125" hidden="0" customWidth="1"/>
    <x:col min="609" max="609" width="8.83203125" hidden="0" customWidth="1"/>
    <x:col min="610" max="610" width="8.83203125" hidden="0" customWidth="1"/>
    <x:col min="611" max="611" width="8.83203125" hidden="0" customWidth="1"/>
    <x:col min="612" max="612" width="8.83203125" hidden="0" customWidth="1"/>
    <x:col min="613" max="613" width="8.83203125" hidden="0" customWidth="1"/>
    <x:col min="614" max="614" width="8.83203125" hidden="0" customWidth="1"/>
    <x:col min="615" max="615" width="8.83203125" hidden="0" customWidth="1"/>
    <x:col min="616" max="616" width="8.83203125" hidden="0" customWidth="1"/>
    <x:col min="617" max="617" width="8.83203125" hidden="0" customWidth="1"/>
    <x:col min="618" max="618" width="8.83203125" hidden="0" customWidth="1"/>
    <x:col min="619" max="619" width="8.83203125" hidden="0" customWidth="1"/>
    <x:col min="620" max="620" width="8.83203125" hidden="0" customWidth="1"/>
    <x:col min="621" max="621" width="8.83203125" hidden="0" customWidth="1"/>
    <x:col min="622" max="622" width="8.83203125" hidden="0" customWidth="1"/>
    <x:col min="623" max="623" width="8.83203125" hidden="0" customWidth="1"/>
    <x:col min="624" max="624" width="8.83203125" hidden="0" customWidth="1"/>
    <x:col min="625" max="625" width="8.83203125" hidden="0" customWidth="1"/>
    <x:col min="626" max="626" width="8.83203125" hidden="0" customWidth="1"/>
    <x:col min="627" max="627" width="8.83203125" hidden="0" customWidth="1"/>
    <x:col min="628" max="628" width="8.83203125" hidden="0" customWidth="1"/>
    <x:col min="629" max="629" width="8.83203125" hidden="0" customWidth="1"/>
    <x:col min="630" max="630" width="8.83203125" hidden="0" customWidth="1"/>
    <x:col min="631" max="631" width="8.83203125" hidden="0" customWidth="1"/>
    <x:col min="632" max="632" width="8.83203125" hidden="0" customWidth="1"/>
    <x:col min="633" max="633" width="8.83203125" hidden="0" customWidth="1"/>
    <x:col min="634" max="634" width="8.83203125" hidden="0" customWidth="1"/>
    <x:col min="635" max="635" width="8.83203125" hidden="0" customWidth="1"/>
    <x:col min="636" max="636" width="8.83203125" hidden="0" customWidth="1"/>
    <x:col min="637" max="637" width="8.83203125" hidden="0" customWidth="1"/>
    <x:col min="638" max="638" width="8.83203125" hidden="0" customWidth="1"/>
    <x:col min="639" max="639" width="8.83203125" hidden="0" customWidth="1"/>
    <x:col min="640" max="640" width="8.83203125" hidden="0" customWidth="1"/>
    <x:col min="641" max="641" width="8.83203125" hidden="0" customWidth="1"/>
    <x:col min="642" max="642" width="8.83203125" hidden="0" customWidth="1"/>
    <x:col min="643" max="643" width="8.83203125" hidden="0" customWidth="1"/>
    <x:col min="644" max="644" width="8.83203125" hidden="0" customWidth="1"/>
    <x:col min="645" max="645" width="8.83203125" hidden="0" customWidth="1"/>
    <x:col min="646" max="646" width="8.83203125" hidden="0" customWidth="1"/>
    <x:col min="647" max="647" width="8.83203125" hidden="0" customWidth="1"/>
    <x:col min="648" max="648" width="8.83203125" hidden="0" customWidth="1"/>
    <x:col min="649" max="649" width="8.83203125" hidden="0" customWidth="1"/>
    <x:col min="650" max="650" width="8.83203125" hidden="0" customWidth="1"/>
    <x:col min="651" max="651" width="8.83203125" hidden="0" customWidth="1"/>
    <x:col min="652" max="652" width="8.83203125" hidden="0" customWidth="1"/>
    <x:col min="653" max="653" width="8.83203125" hidden="0" customWidth="1"/>
    <x:col min="654" max="654" width="8.83203125" hidden="0" customWidth="1"/>
    <x:col min="655" max="655" width="8.83203125" hidden="0" customWidth="1"/>
    <x:col min="656" max="656" width="8.83203125" hidden="0" customWidth="1"/>
    <x:col min="657" max="657" width="8.83203125" hidden="0" customWidth="1"/>
    <x:col min="658" max="658" width="8.83203125" hidden="0" customWidth="1"/>
    <x:col min="659" max="659" width="8.83203125" hidden="0" customWidth="1"/>
    <x:col min="660" max="660" width="8.83203125" hidden="0" customWidth="1"/>
    <x:col min="661" max="661" width="8.83203125" hidden="0" customWidth="1"/>
    <x:col min="662" max="662" width="8.83203125" hidden="0" customWidth="1"/>
    <x:col min="663" max="663" width="8.83203125" hidden="0" customWidth="1"/>
    <x:col min="664" max="664" width="8.83203125" hidden="0" customWidth="1"/>
    <x:col min="665" max="665" width="8.83203125" hidden="0" customWidth="1"/>
    <x:col min="666" max="666" width="8.83203125" hidden="0" customWidth="1"/>
    <x:col min="667" max="667" width="8.83203125" hidden="0" customWidth="1"/>
    <x:col min="668" max="668" width="8.83203125" hidden="0" customWidth="1"/>
    <x:col min="669" max="669" width="8.83203125" hidden="0" customWidth="1"/>
    <x:col min="670" max="670" width="8.83203125" hidden="0" customWidth="1"/>
    <x:col min="671" max="671" width="8.83203125" hidden="0" customWidth="1"/>
    <x:col min="672" max="672" width="8.83203125" hidden="0" customWidth="1"/>
    <x:col min="673" max="673" width="8.83203125" hidden="0" customWidth="1"/>
    <x:col min="674" max="674" width="8.83203125" hidden="0" customWidth="1"/>
    <x:col min="675" max="675" width="8.83203125" hidden="0" customWidth="1"/>
    <x:col min="676" max="676" width="8.83203125" hidden="0" customWidth="1"/>
    <x:col min="677" max="677" width="8.83203125" hidden="0" customWidth="1"/>
    <x:col min="678" max="678" width="8.83203125" hidden="0" customWidth="1"/>
    <x:col min="679" max="679" width="8.83203125" hidden="0" customWidth="1"/>
    <x:col min="680" max="680" width="8.83203125" hidden="0" customWidth="1"/>
    <x:col min="681" max="681" width="8.83203125" hidden="0" customWidth="1"/>
    <x:col min="682" max="682" width="8.83203125" hidden="0" customWidth="1"/>
    <x:col min="683" max="683" width="8.83203125" hidden="0" customWidth="1"/>
    <x:col min="684" max="684" width="8.83203125" hidden="0" customWidth="1"/>
    <x:col min="685" max="685" width="8.83203125" hidden="0" customWidth="1"/>
    <x:col min="686" max="686" width="8.83203125" hidden="0" customWidth="1"/>
    <x:col min="687" max="687" width="8.83203125" hidden="0" customWidth="1"/>
    <x:col min="688" max="688" width="8.83203125" hidden="0" customWidth="1"/>
    <x:col min="689" max="689" width="8.83203125" hidden="0" customWidth="1"/>
    <x:col min="690" max="690" width="8.83203125" hidden="0" customWidth="1"/>
    <x:col min="691" max="691" width="8.83203125" hidden="0" customWidth="1"/>
    <x:col min="692" max="692" width="8.83203125" hidden="0" customWidth="1"/>
    <x:col min="693" max="693" width="8.83203125" hidden="0" customWidth="1"/>
    <x:col min="694" max="694" width="8.83203125" hidden="0" customWidth="1"/>
    <x:col min="695" max="695" width="8.83203125" hidden="0" customWidth="1"/>
    <x:col min="696" max="696" width="8.83203125" hidden="0" customWidth="1"/>
    <x:col min="697" max="697" width="8.83203125" hidden="0" customWidth="1"/>
    <x:col min="698" max="698" width="8.83203125" hidden="0" customWidth="1"/>
    <x:col min="699" max="699" width="8.83203125" hidden="0" customWidth="1"/>
    <x:col min="700" max="700" width="8.83203125" hidden="0" customWidth="1"/>
    <x:col min="701" max="701" width="8.83203125" hidden="0" customWidth="1"/>
    <x:col min="702" max="702" width="8.83203125" hidden="0" customWidth="1"/>
    <x:col min="703" max="703" width="8.83203125" hidden="0" customWidth="1"/>
    <x:col min="704" max="704" width="8.83203125" hidden="0" customWidth="1"/>
    <x:col min="705" max="705" width="8.83203125" hidden="0" customWidth="1"/>
    <x:col min="706" max="706" width="8.83203125" hidden="0" customWidth="1"/>
    <x:col min="707" max="707" width="8.83203125" hidden="0" customWidth="1"/>
    <x:col min="708" max="708" width="8.83203125" hidden="0" customWidth="1"/>
    <x:col min="709" max="709" width="8.83203125" hidden="0" customWidth="1"/>
    <x:col min="710" max="710" width="8.83203125" hidden="0" customWidth="1"/>
    <x:col min="711" max="711" width="8.83203125" hidden="0" customWidth="1"/>
    <x:col min="712" max="712" width="8.83203125" hidden="0" customWidth="1"/>
    <x:col min="713" max="713" width="8.83203125" hidden="0" customWidth="1"/>
    <x:col min="714" max="714" width="8.83203125" hidden="0" customWidth="1"/>
    <x:col min="715" max="715" width="8.83203125" hidden="0" customWidth="1"/>
    <x:col min="716" max="716" width="8.83203125" hidden="0" customWidth="1"/>
    <x:col min="717" max="717" width="8.83203125" hidden="0" customWidth="1"/>
    <x:col min="718" max="718" width="8.83203125" hidden="0" customWidth="1"/>
    <x:col min="719" max="719" width="8.83203125" hidden="0" customWidth="1"/>
    <x:col min="720" max="720" width="8.83203125" hidden="0" customWidth="1"/>
    <x:col min="721" max="721" width="8.83203125" hidden="0" customWidth="1"/>
    <x:col min="722" max="722" width="8.83203125" hidden="0" customWidth="1"/>
    <x:col min="723" max="723" width="8.83203125" hidden="0" customWidth="1"/>
    <x:col min="724" max="724" width="8.83203125" hidden="0" customWidth="1"/>
    <x:col min="725" max="725" width="8.83203125" hidden="0" customWidth="1"/>
    <x:col min="726" max="726" width="8.83203125" hidden="0" customWidth="1"/>
    <x:col min="727" max="727" width="8.83203125" hidden="0" customWidth="1"/>
    <x:col min="728" max="728" width="8.83203125" hidden="0" customWidth="1"/>
    <x:col min="729" max="729" width="8.83203125" hidden="0" customWidth="1"/>
    <x:col min="730" max="730" width="8.83203125" hidden="0" customWidth="1"/>
    <x:col min="731" max="731" width="8.83203125" hidden="0" customWidth="1"/>
    <x:col min="732" max="732" width="8.83203125" hidden="0" customWidth="1"/>
    <x:col min="733" max="733" width="8.83203125" hidden="0" customWidth="1"/>
    <x:col min="734" max="734" width="8.83203125" hidden="0" customWidth="1"/>
    <x:col min="735" max="735" width="8.83203125" hidden="0" customWidth="1"/>
    <x:col min="736" max="736" width="8.83203125" hidden="0" customWidth="1"/>
    <x:col min="737" max="737" width="8.83203125" hidden="0" customWidth="1"/>
    <x:col min="738" max="738" width="8.83203125" hidden="0" customWidth="1"/>
    <x:col min="739" max="739" width="8.83203125" hidden="0" customWidth="1"/>
    <x:col min="740" max="740" width="8.83203125" hidden="0" customWidth="1"/>
    <x:col min="741" max="741" width="8.83203125" hidden="0" customWidth="1"/>
    <x:col min="742" max="742" width="8.83203125" hidden="0" customWidth="1"/>
    <x:col min="743" max="743" width="8.83203125" hidden="0" customWidth="1"/>
    <x:col min="744" max="744" width="8.83203125" hidden="0" customWidth="1"/>
    <x:col min="745" max="745" width="8.83203125" hidden="0" customWidth="1"/>
    <x:col min="746" max="746" width="8.83203125" hidden="0" customWidth="1"/>
    <x:col min="747" max="747" width="8.83203125" hidden="0" customWidth="1"/>
    <x:col min="748" max="748" width="8.83203125" hidden="0" customWidth="1"/>
    <x:col min="749" max="749" width="8.83203125" hidden="0" customWidth="1"/>
    <x:col min="750" max="750" width="8.83203125" hidden="0" customWidth="1"/>
    <x:col min="751" max="751" width="8.83203125" hidden="0" customWidth="1"/>
    <x:col min="752" max="752" width="8.83203125" hidden="0" customWidth="1"/>
    <x:col min="753" max="753" width="8.83203125" hidden="0" customWidth="1"/>
    <x:col min="754" max="754" width="8.83203125" hidden="0" customWidth="1"/>
    <x:col min="755" max="755" width="8.83203125" hidden="0" customWidth="1"/>
    <x:col min="756" max="756" width="8.83203125" hidden="0" customWidth="1"/>
    <x:col min="757" max="757" width="8.83203125" hidden="0" customWidth="1"/>
    <x:col min="758" max="758" width="8.83203125" hidden="0" customWidth="1"/>
    <x:col min="759" max="759" width="8.83203125" hidden="0" customWidth="1"/>
    <x:col min="760" max="760" width="8.83203125" hidden="0" customWidth="1"/>
    <x:col min="761" max="761" width="8.83203125" hidden="0" customWidth="1"/>
    <x:col min="762" max="762" width="8.83203125" hidden="0" customWidth="1"/>
    <x:col min="763" max="763" width="8.83203125" hidden="0" customWidth="1"/>
    <x:col min="764" max="764" width="8.83203125" hidden="0" customWidth="1"/>
    <x:col min="765" max="765" width="8.83203125" hidden="0" customWidth="1"/>
    <x:col min="766" max="766" width="8.83203125" hidden="0" customWidth="1"/>
    <x:col min="767" max="767" width="8.83203125" hidden="0" customWidth="1"/>
    <x:col min="768" max="768" width="8.83203125" hidden="0" customWidth="1"/>
    <x:col min="769" max="769" width="8.83203125" hidden="0" customWidth="1"/>
    <x:col min="770" max="770" width="8.83203125" hidden="0" customWidth="1"/>
    <x:col min="771" max="771" width="8.83203125" hidden="0" customWidth="1"/>
    <x:col min="772" max="772" width="8.83203125" hidden="0" customWidth="1"/>
    <x:col min="773" max="773" width="8.83203125" hidden="0" customWidth="1"/>
    <x:col min="774" max="774" width="8.83203125" hidden="0" customWidth="1"/>
    <x:col min="775" max="775" width="8.83203125" hidden="0" customWidth="1"/>
    <x:col min="776" max="776" width="8.83203125" hidden="0" customWidth="1"/>
    <x:col min="777" max="777" width="8.83203125" hidden="0" customWidth="1"/>
    <x:col min="778" max="778" width="8.83203125" hidden="0" customWidth="1"/>
    <x:col min="779" max="779" width="8.83203125" hidden="0" customWidth="1"/>
    <x:col min="780" max="780" width="8.83203125" hidden="0" customWidth="1"/>
    <x:col min="781" max="781" width="8.83203125" hidden="0" customWidth="1"/>
    <x:col min="782" max="782" width="8.83203125" hidden="0" customWidth="1"/>
    <x:col min="783" max="783" width="8.83203125" hidden="0" customWidth="1"/>
    <x:col min="784" max="784" width="8.83203125" hidden="0" customWidth="1"/>
    <x:col min="785" max="785" width="8.83203125" hidden="0" customWidth="1"/>
    <x:col min="786" max="786" width="8.83203125" hidden="0" customWidth="1"/>
    <x:col min="787" max="787" width="8.83203125" hidden="0" customWidth="1"/>
    <x:col min="788" max="788" width="8.83203125" hidden="0" customWidth="1"/>
    <x:col min="789" max="789" width="8.83203125" hidden="0" customWidth="1"/>
    <x:col min="790" max="790" width="8.83203125" hidden="0" customWidth="1"/>
    <x:col min="791" max="791" width="8.83203125" hidden="0" customWidth="1"/>
    <x:col min="792" max="792" width="8.83203125" hidden="0" customWidth="1"/>
    <x:col min="793" max="793" width="8.83203125" hidden="0" customWidth="1"/>
    <x:col min="794" max="794" width="8.83203125" hidden="0" customWidth="1"/>
    <x:col min="795" max="795" width="8.83203125" hidden="0" customWidth="1"/>
    <x:col min="796" max="796" width="8.83203125" hidden="0" customWidth="1"/>
    <x:col min="797" max="797" width="8.83203125" hidden="0" customWidth="1"/>
    <x:col min="798" max="798" width="8.83203125" hidden="0" customWidth="1"/>
    <x:col min="799" max="799" width="8.83203125" hidden="0" customWidth="1"/>
    <x:col min="800" max="800" width="8.83203125" hidden="0" customWidth="1"/>
    <x:col min="801" max="801" width="8.83203125" hidden="0" customWidth="1"/>
    <x:col min="802" max="802" width="8.83203125" hidden="0" customWidth="1"/>
    <x:col min="803" max="803" width="8.83203125" hidden="0" customWidth="1"/>
    <x:col min="804" max="804" width="8.83203125" hidden="0" customWidth="1"/>
    <x:col min="805" max="805" width="8.83203125" hidden="0" customWidth="1"/>
    <x:col min="806" max="806" width="8.83203125" hidden="0" customWidth="1"/>
    <x:col min="807" max="807" width="8.83203125" hidden="0" customWidth="1"/>
    <x:col min="808" max="808" width="8.83203125" hidden="0" customWidth="1"/>
    <x:col min="809" max="809" width="8.83203125" hidden="0" customWidth="1"/>
    <x:col min="810" max="810" width="8.83203125" hidden="0" customWidth="1"/>
    <x:col min="811" max="811" width="8.83203125" hidden="0" customWidth="1"/>
    <x:col min="812" max="812" width="8.83203125" hidden="0" customWidth="1"/>
    <x:col min="813" max="813" width="8.83203125" hidden="0" customWidth="1"/>
    <x:col min="814" max="814" width="8.83203125" hidden="0" customWidth="1"/>
    <x:col min="815" max="815" width="8.83203125" hidden="0" customWidth="1"/>
    <x:col min="816" max="816" width="8.83203125" hidden="0" customWidth="1"/>
    <x:col min="817" max="817" width="8.83203125" hidden="0" customWidth="1"/>
    <x:col min="818" max="818" width="8.83203125" hidden="0" customWidth="1"/>
    <x:col min="819" max="819" width="8.83203125" hidden="0" customWidth="1"/>
    <x:col min="820" max="820" width="8.83203125" hidden="0" customWidth="1"/>
    <x:col min="821" max="821" width="8.83203125" hidden="0" customWidth="1"/>
    <x:col min="822" max="822" width="8.83203125" hidden="0" customWidth="1"/>
    <x:col min="823" max="823" width="8.83203125" hidden="0" customWidth="1"/>
    <x:col min="824" max="824" width="8.83203125" hidden="0" customWidth="1"/>
    <x:col min="825" max="825" width="8.83203125" hidden="0" customWidth="1"/>
    <x:col min="826" max="826" width="8.83203125" hidden="0" customWidth="1"/>
    <x:col min="827" max="827" width="8.83203125" hidden="0" customWidth="1"/>
    <x:col min="828" max="828" width="8.83203125" hidden="0" customWidth="1"/>
    <x:col min="829" max="829" width="8.83203125" hidden="0" customWidth="1"/>
    <x:col min="830" max="830" width="8.83203125" hidden="0" customWidth="1"/>
    <x:col min="831" max="831" width="8.83203125" hidden="0" customWidth="1"/>
    <x:col min="832" max="832" width="8.83203125" hidden="0" customWidth="1"/>
    <x:col min="833" max="833" width="8.83203125" hidden="0" customWidth="1"/>
    <x:col min="834" max="834" width="8.83203125" hidden="0" customWidth="1"/>
    <x:col min="835" max="835" width="8.83203125" hidden="0" customWidth="1"/>
    <x:col min="836" max="836" width="8.83203125" hidden="0" customWidth="1"/>
    <x:col min="837" max="837" width="8.83203125" hidden="0" customWidth="1"/>
    <x:col min="838" max="838" width="8.83203125" hidden="0" customWidth="1"/>
    <x:col min="839" max="839" width="8.83203125" hidden="0" customWidth="1"/>
    <x:col min="840" max="840" width="8.83203125" hidden="0" customWidth="1"/>
    <x:col min="841" max="841" width="8.83203125" hidden="0" customWidth="1"/>
    <x:col min="842" max="842" width="8.83203125" hidden="0" customWidth="1"/>
    <x:col min="843" max="843" width="8.83203125" hidden="0" customWidth="1"/>
    <x:col min="844" max="844" width="8.83203125" hidden="0" customWidth="1"/>
    <x:col min="845" max="845" width="8.83203125" hidden="0" customWidth="1"/>
    <x:col min="846" max="846" width="8.83203125" hidden="0" customWidth="1"/>
    <x:col min="847" max="847" width="8.83203125" hidden="0" customWidth="1"/>
    <x:col min="848" max="848" width="8.83203125" hidden="0" customWidth="1"/>
    <x:col min="849" max="849" width="8.83203125" hidden="0" customWidth="1"/>
    <x:col min="850" max="850" width="8.83203125" hidden="0" customWidth="1"/>
    <x:col min="851" max="851" width="8.83203125" hidden="0" customWidth="1"/>
    <x:col min="852" max="852" width="8.83203125" hidden="0" customWidth="1"/>
    <x:col min="853" max="853" width="8.83203125" hidden="0" customWidth="1"/>
    <x:col min="854" max="854" width="8.83203125" hidden="0" customWidth="1"/>
    <x:col min="855" max="855" width="8.83203125" hidden="0" customWidth="1"/>
    <x:col min="856" max="856" width="8.83203125" hidden="0" customWidth="1"/>
    <x:col min="857" max="857" width="8.83203125" hidden="0" customWidth="1"/>
    <x:col min="858" max="858" width="8.83203125" hidden="0" customWidth="1"/>
    <x:col min="859" max="859" width="8.83203125" hidden="0" customWidth="1"/>
    <x:col min="860" max="860" width="8.83203125" hidden="0" customWidth="1"/>
    <x:col min="861" max="861" width="8.83203125" hidden="0" customWidth="1"/>
    <x:col min="862" max="862" width="8.83203125" hidden="0" customWidth="1"/>
    <x:col min="863" max="863" width="8.83203125" hidden="0" customWidth="1"/>
    <x:col min="864" max="864" width="8.83203125" hidden="0" customWidth="1"/>
    <x:col min="865" max="865" width="8.83203125" hidden="0" customWidth="1"/>
    <x:col min="866" max="866" width="8.83203125" hidden="0" customWidth="1"/>
    <x:col min="867" max="867" width="8.83203125" hidden="0" customWidth="1"/>
    <x:col min="868" max="868" width="8.83203125" hidden="0" customWidth="1"/>
    <x:col min="869" max="869" width="8.83203125" hidden="0" customWidth="1"/>
    <x:col min="870" max="870" width="8.83203125" hidden="0" customWidth="1"/>
    <x:col min="871" max="871" width="8.83203125" hidden="0" customWidth="1"/>
    <x:col min="872" max="872" width="8.83203125" hidden="0" customWidth="1"/>
    <x:col min="873" max="873" width="8.83203125" hidden="0" customWidth="1"/>
    <x:col min="874" max="874" width="8.83203125" hidden="0" customWidth="1"/>
    <x:col min="875" max="875" width="8.83203125" hidden="0" customWidth="1"/>
    <x:col min="876" max="876" width="8.83203125" hidden="0" customWidth="1"/>
    <x:col min="877" max="877" width="8.83203125" hidden="0" customWidth="1"/>
    <x:col min="878" max="878" width="8.83203125" hidden="0" customWidth="1"/>
    <x:col min="879" max="879" width="8.83203125" hidden="0" customWidth="1"/>
    <x:col min="880" max="880" width="8.83203125" hidden="0" customWidth="1"/>
    <x:col min="881" max="881" width="8.83203125" hidden="0" customWidth="1"/>
    <x:col min="882" max="882" width="8.83203125" hidden="0" customWidth="1"/>
    <x:col min="883" max="883" width="8.83203125" hidden="0" customWidth="1"/>
    <x:col min="884" max="884" width="8.83203125" hidden="0" customWidth="1"/>
    <x:col min="885" max="885" width="8.83203125" hidden="0" customWidth="1"/>
    <x:col min="886" max="886" width="8.83203125" hidden="0" customWidth="1"/>
    <x:col min="887" max="887" width="8.83203125" hidden="0" customWidth="1"/>
    <x:col min="888" max="888" width="8.83203125" hidden="0" customWidth="1"/>
    <x:col min="889" max="889" width="8.83203125" hidden="0" customWidth="1"/>
    <x:col min="890" max="890" width="8.83203125" hidden="0" customWidth="1"/>
    <x:col min="891" max="891" width="8.83203125" hidden="0" customWidth="1"/>
    <x:col min="892" max="892" width="8.83203125" hidden="0" customWidth="1"/>
    <x:col min="893" max="893" width="8.83203125" hidden="0" customWidth="1"/>
    <x:col min="894" max="894" width="8.83203125" hidden="0" customWidth="1"/>
    <x:col min="895" max="895" width="8.83203125" hidden="0" customWidth="1"/>
    <x:col min="896" max="896" width="8.83203125" hidden="0" customWidth="1"/>
    <x:col min="897" max="897" width="8.83203125" hidden="0" customWidth="1"/>
    <x:col min="898" max="898" width="8.83203125" hidden="0" customWidth="1"/>
    <x:col min="899" max="899" width="8.83203125" hidden="0" customWidth="1"/>
    <x:col min="900" max="900" width="8.83203125" hidden="0" customWidth="1"/>
    <x:col min="901" max="901" width="8.83203125" hidden="0" customWidth="1"/>
    <x:col min="902" max="902" width="8.83203125" hidden="0" customWidth="1"/>
    <x:col min="903" max="903" width="8.83203125" hidden="0" customWidth="1"/>
    <x:col min="904" max="904" width="8.83203125" hidden="0" customWidth="1"/>
    <x:col min="905" max="905" width="8.83203125" hidden="0" customWidth="1"/>
    <x:col min="906" max="906" width="8.83203125" hidden="0" customWidth="1"/>
    <x:col min="907" max="907" width="8.83203125" hidden="0" customWidth="1"/>
    <x:col min="908" max="908" width="8.83203125" hidden="0" customWidth="1"/>
    <x:col min="909" max="909" width="8.83203125" hidden="0" customWidth="1"/>
    <x:col min="910" max="910" width="8.83203125" hidden="0" customWidth="1"/>
    <x:col min="911" max="911" width="8.83203125" hidden="0" customWidth="1"/>
    <x:col min="912" max="912" width="8.83203125" hidden="0" customWidth="1"/>
    <x:col min="913" max="913" width="8.83203125" hidden="0" customWidth="1"/>
    <x:col min="914" max="914" width="8.83203125" hidden="0" customWidth="1"/>
    <x:col min="915" max="915" width="8.83203125" hidden="0" customWidth="1"/>
    <x:col min="916" max="916" width="8.83203125" hidden="0" customWidth="1"/>
    <x:col min="917" max="917" width="8.83203125" hidden="0" customWidth="1"/>
    <x:col min="918" max="918" width="8.83203125" hidden="0" customWidth="1"/>
    <x:col min="919" max="919" width="8.83203125" hidden="0" customWidth="1"/>
    <x:col min="920" max="920" width="8.83203125" hidden="0" customWidth="1"/>
    <x:col min="921" max="921" width="8.83203125" hidden="0" customWidth="1"/>
    <x:col min="922" max="922" width="8.83203125" hidden="0" customWidth="1"/>
    <x:col min="923" max="923" width="8.83203125" hidden="0" customWidth="1"/>
    <x:col min="924" max="924" width="8.83203125" hidden="0" customWidth="1"/>
    <x:col min="925" max="925" width="8.83203125" hidden="0" customWidth="1"/>
    <x:col min="926" max="926" width="8.83203125" hidden="0" customWidth="1"/>
    <x:col min="927" max="927" width="8.83203125" hidden="0" customWidth="1"/>
    <x:col min="928" max="928" width="8.83203125" hidden="0" customWidth="1"/>
    <x:col min="929" max="929" width="8.83203125" hidden="0" customWidth="1"/>
    <x:col min="930" max="930" width="8.83203125" hidden="0" customWidth="1"/>
    <x:col min="931" max="931" width="8.83203125" hidden="0" customWidth="1"/>
    <x:col min="932" max="932" width="8.83203125" hidden="0" customWidth="1"/>
    <x:col min="933" max="933" width="8.83203125" hidden="0" customWidth="1"/>
    <x:col min="934" max="934" width="8.83203125" hidden="0" customWidth="1"/>
    <x:col min="935" max="935" width="8.83203125" hidden="0" customWidth="1"/>
    <x:col min="936" max="936" width="8.83203125" hidden="0" customWidth="1"/>
    <x:col min="937" max="937" width="8.83203125" hidden="0" customWidth="1"/>
    <x:col min="938" max="938" width="8.83203125" hidden="0" customWidth="1"/>
    <x:col min="939" max="939" width="8.83203125" hidden="0" customWidth="1"/>
    <x:col min="940" max="940" width="8.83203125" hidden="0" customWidth="1"/>
    <x:col min="941" max="941" width="8.83203125" hidden="0" customWidth="1"/>
    <x:col min="942" max="942" width="8.83203125" hidden="0" customWidth="1"/>
    <x:col min="943" max="943" width="8.83203125" hidden="0" customWidth="1"/>
    <x:col min="944" max="944" width="8.83203125" hidden="0" customWidth="1"/>
    <x:col min="945" max="945" width="8.83203125" hidden="0" customWidth="1"/>
    <x:col min="946" max="946" width="8.83203125" hidden="0" customWidth="1"/>
    <x:col min="947" max="947" width="8.83203125" hidden="0" customWidth="1"/>
    <x:col min="948" max="948" width="8.83203125" hidden="0" customWidth="1"/>
    <x:col min="949" max="949" width="8.83203125" hidden="0" customWidth="1"/>
    <x:col min="950" max="950" width="8.83203125" hidden="0" customWidth="1"/>
    <x:col min="951" max="951" width="8.83203125" hidden="0" customWidth="1"/>
    <x:col min="952" max="952" width="8.83203125" hidden="0" customWidth="1"/>
    <x:col min="953" max="953" width="8.83203125" hidden="0" customWidth="1"/>
    <x:col min="954" max="954" width="8.83203125" hidden="0" customWidth="1"/>
    <x:col min="955" max="955" width="8.83203125" hidden="0" customWidth="1"/>
    <x:col min="956" max="956" width="8.83203125" hidden="0" customWidth="1"/>
    <x:col min="957" max="957" width="8.83203125" hidden="0" customWidth="1"/>
    <x:col min="958" max="958" width="8.83203125" hidden="0" customWidth="1"/>
    <x:col min="959" max="959" width="8.83203125" hidden="0" customWidth="1"/>
    <x:col min="960" max="960" width="8.83203125" hidden="0" customWidth="1"/>
    <x:col min="961" max="961" width="8.83203125" hidden="0" customWidth="1"/>
    <x:col min="962" max="962" width="8.83203125" hidden="0" customWidth="1"/>
    <x:col min="963" max="963" width="8.83203125" hidden="0" customWidth="1"/>
    <x:col min="964" max="964" width="8.83203125" hidden="0" customWidth="1"/>
    <x:col min="965" max="965" width="8.83203125" hidden="0" customWidth="1"/>
    <x:col min="966" max="966" width="8.83203125" hidden="0" customWidth="1"/>
    <x:col min="967" max="967" width="8.83203125" hidden="0" customWidth="1"/>
    <x:col min="968" max="968" width="8.83203125" hidden="0" customWidth="1"/>
    <x:col min="969" max="969" width="8.83203125" hidden="0" customWidth="1"/>
    <x:col min="970" max="970" width="8.83203125" hidden="0" customWidth="1"/>
    <x:col min="971" max="971" width="8.83203125" hidden="0" customWidth="1"/>
    <x:col min="972" max="972" width="8.83203125" hidden="0" customWidth="1"/>
    <x:col min="973" max="973" width="8.83203125" hidden="0" customWidth="1"/>
    <x:col min="974" max="974" width="8.83203125" hidden="0" customWidth="1"/>
    <x:col min="975" max="975" width="8.83203125" hidden="0" customWidth="1"/>
    <x:col min="976" max="976" width="8.83203125" hidden="0" customWidth="1"/>
    <x:col min="977" max="977" width="8.83203125" hidden="0" customWidth="1"/>
    <x:col min="978" max="978" width="8.83203125" hidden="0" customWidth="1"/>
    <x:col min="979" max="979" width="8.83203125" hidden="0" customWidth="1"/>
    <x:col min="980" max="980" width="8.83203125" hidden="0" customWidth="1"/>
    <x:col min="981" max="981" width="8.83203125" hidden="0" customWidth="1"/>
    <x:col min="982" max="982" width="8.83203125" hidden="0" customWidth="1"/>
    <x:col min="983" max="983" width="8.83203125" hidden="0" customWidth="1"/>
    <x:col min="984" max="984" width="8.83203125" hidden="0" customWidth="1"/>
    <x:col min="985" max="985" width="8.83203125" hidden="0" customWidth="1"/>
    <x:col min="986" max="986" width="8.83203125" hidden="0" customWidth="1"/>
    <x:col min="987" max="987" width="8.83203125" hidden="0" customWidth="1"/>
    <x:col min="988" max="988" width="8.83203125" hidden="0" customWidth="1"/>
    <x:col min="989" max="989" width="8.83203125" hidden="0" customWidth="1"/>
    <x:col min="990" max="990" width="8.83203125" hidden="0" customWidth="1"/>
    <x:col min="991" max="991" width="8.83203125" hidden="0" customWidth="1"/>
    <x:col min="992" max="992" width="8.83203125" hidden="0" customWidth="1"/>
    <x:col min="993" max="993" width="8.83203125" hidden="0" customWidth="1"/>
    <x:col min="994" max="994" width="8.83203125" hidden="0" customWidth="1"/>
    <x:col min="995" max="995" width="8.83203125" hidden="0" customWidth="1"/>
    <x:col min="996" max="996" width="8.83203125" hidden="0" customWidth="1"/>
    <x:col min="997" max="997" width="8.83203125" hidden="0" customWidth="1"/>
    <x:col min="998" max="998" width="8.83203125" hidden="0" customWidth="1"/>
    <x:col min="999" max="999" width="8.83203125" hidden="0" customWidth="1"/>
    <x:col min="1000" max="1000" width="8.83203125" hidden="0" customWidth="1"/>
    <x:col min="1001" max="1001" width="8.83203125" hidden="0" customWidth="1"/>
    <x:col min="1002" max="1002" width="8.83203125" hidden="0" customWidth="1"/>
    <x:col min="1003" max="1003" width="8.83203125" hidden="0" customWidth="1"/>
    <x:col min="1004" max="1004" width="8.83203125" hidden="0" customWidth="1"/>
    <x:col min="1005" max="1005" width="8.83203125" hidden="0" customWidth="1"/>
    <x:col min="1006" max="1006" width="8.83203125" hidden="0" customWidth="1"/>
    <x:col min="1007" max="1007" width="8.83203125" hidden="0" customWidth="1"/>
    <x:col min="1008" max="1008" width="8.83203125" hidden="0" customWidth="1"/>
    <x:col min="1009" max="1009" width="8.83203125" hidden="0" customWidth="1"/>
    <x:col min="1010" max="1010" width="8.83203125" hidden="0" customWidth="1"/>
    <x:col min="1011" max="1011" width="8.83203125" hidden="0" customWidth="1"/>
    <x:col min="1012" max="1012" width="8.83203125" hidden="0" customWidth="1"/>
    <x:col min="1013" max="1013" width="8.83203125" hidden="0" customWidth="1"/>
    <x:col min="1014" max="1014" width="8.83203125" hidden="0" customWidth="1"/>
    <x:col min="1015" max="1015" width="8.83203125" hidden="0" customWidth="1"/>
    <x:col min="1016" max="1016" width="8.83203125" hidden="0" customWidth="1"/>
    <x:col min="1017" max="1017" width="8.83203125" hidden="0" customWidth="1"/>
    <x:col min="1018" max="1018" width="8.83203125" hidden="0" customWidth="1"/>
    <x:col min="1019" max="1019" width="8.83203125" hidden="0" customWidth="1"/>
    <x:col min="1020" max="1020" width="8.83203125" hidden="0" customWidth="1"/>
    <x:col min="1021" max="1021" width="8.83203125" hidden="0" customWidth="1"/>
    <x:col min="1022" max="1022" width="8.83203125" hidden="0" customWidth="1"/>
    <x:col min="1023" max="1023" width="8.83203125" hidden="0" customWidth="1"/>
    <x:col min="1024" max="1024" width="8.83203125" hidden="0" customWidth="1"/>
    <x:col min="1025" max="1025" width="8.83203125" hidden="0" customWidth="1"/>
    <x:col min="1026" max="1026" width="8.83203125" hidden="0" customWidth="1"/>
    <x:col min="1027" max="1027" width="8.83203125" hidden="0" customWidth="1"/>
    <x:col min="1028" max="1028" width="8.83203125" hidden="0" customWidth="1"/>
    <x:col min="1029" max="1029" width="8.83203125" hidden="0" customWidth="1"/>
    <x:col min="1030" max="1030" width="8.83203125" hidden="0" customWidth="1"/>
    <x:col min="1031" max="1031" width="8.83203125" hidden="0" customWidth="1"/>
    <x:col min="1032" max="1032" width="8.83203125" hidden="0" customWidth="1"/>
    <x:col min="1033" max="1033" width="8.83203125" hidden="0" customWidth="1"/>
    <x:col min="1034" max="1034" width="8.83203125" hidden="0" customWidth="1"/>
    <x:col min="1035" max="1035" width="8.83203125" hidden="0" customWidth="1"/>
    <x:col min="1036" max="1036" width="8.83203125" hidden="0" customWidth="1"/>
    <x:col min="1037" max="1037" width="8.83203125" hidden="0" customWidth="1"/>
    <x:col min="1038" max="1038" width="8.83203125" hidden="0" customWidth="1"/>
    <x:col min="1039" max="1039" width="8.83203125" hidden="0" customWidth="1"/>
    <x:col min="1040" max="1040" width="8.83203125" hidden="0" customWidth="1"/>
    <x:col min="1041" max="1041" width="8.83203125" hidden="0" customWidth="1"/>
    <x:col min="1042" max="1042" width="8.83203125" hidden="0" customWidth="1"/>
    <x:col min="1043" max="1043" width="8.83203125" hidden="0" customWidth="1"/>
    <x:col min="1044" max="1044" width="8.83203125" hidden="0" customWidth="1"/>
    <x:col min="1045" max="1045" width="8.83203125" hidden="0" customWidth="1"/>
    <x:col min="1046" max="1046" width="8.83203125" hidden="0" customWidth="1"/>
    <x:col min="1047" max="1047" width="8.83203125" hidden="0" customWidth="1"/>
    <x:col min="1048" max="1048" width="8.83203125" hidden="0" customWidth="1"/>
    <x:col min="1049" max="1049" width="8.83203125" hidden="0" customWidth="1"/>
    <x:col min="1050" max="1050" width="8.83203125" hidden="0" customWidth="1"/>
    <x:col min="1051" max="1051" width="8.83203125" hidden="0" customWidth="1"/>
    <x:col min="1052" max="1052" width="8.83203125" hidden="0" customWidth="1"/>
    <x:col min="1053" max="1053" width="8.83203125" hidden="0" customWidth="1"/>
    <x:col min="1054" max="1054" width="8.83203125" hidden="0" customWidth="1"/>
    <x:col min="1055" max="1055" width="8.83203125" hidden="0" customWidth="1"/>
    <x:col min="1056" max="1056" width="8.83203125" hidden="0" customWidth="1"/>
    <x:col min="1057" max="1057" width="8.83203125" hidden="0" customWidth="1"/>
    <x:col min="1058" max="1058" width="8.83203125" hidden="0" customWidth="1"/>
    <x:col min="1059" max="1059" width="8.83203125" hidden="0" customWidth="1"/>
    <x:col min="1060" max="1060" width="8.83203125" hidden="0" customWidth="1"/>
    <x:col min="1061" max="1061" width="8.83203125" hidden="0" customWidth="1"/>
    <x:col min="1062" max="1062" width="8.83203125" hidden="0" customWidth="1"/>
    <x:col min="1063" max="1063" width="8.83203125" hidden="0" customWidth="1"/>
    <x:col min="1064" max="1064" width="8.83203125" hidden="0" customWidth="1"/>
    <x:col min="1065" max="1065" width="8.83203125" hidden="0" customWidth="1"/>
    <x:col min="1066" max="1066" width="8.83203125" hidden="0" customWidth="1"/>
    <x:col min="1067" max="1067" width="8.83203125" hidden="0" customWidth="1"/>
    <x:col min="1068" max="1068" width="8.83203125" hidden="0" customWidth="1"/>
    <x:col min="1069" max="1069" width="8.83203125" hidden="0" customWidth="1"/>
    <x:col min="1070" max="1070" width="8.83203125" hidden="0" customWidth="1"/>
    <x:col min="1071" max="1071" width="8.83203125" hidden="0" customWidth="1"/>
    <x:col min="1072" max="1072" width="8.83203125" hidden="0" customWidth="1"/>
    <x:col min="1073" max="1073" width="8.83203125" hidden="0" customWidth="1"/>
    <x:col min="1074" max="1074" width="8.83203125" hidden="0" customWidth="1"/>
    <x:col min="1075" max="1075" width="8.83203125" hidden="0" customWidth="1"/>
    <x:col min="1076" max="1076" width="8.83203125" hidden="0" customWidth="1"/>
    <x:col min="1077" max="1077" width="8.83203125" hidden="0" customWidth="1"/>
    <x:col min="1078" max="1078" width="8.83203125" hidden="0" customWidth="1"/>
    <x:col min="1079" max="1079" width="8.83203125" hidden="0" customWidth="1"/>
    <x:col min="1080" max="1080" width="8.83203125" hidden="0" customWidth="1"/>
    <x:col min="1081" max="1081" width="8.83203125" hidden="0" customWidth="1"/>
    <x:col min="1082" max="1082" width="8.83203125" hidden="0" customWidth="1"/>
    <x:col min="1083" max="1083" width="8.83203125" hidden="0" customWidth="1"/>
    <x:col min="1084" max="1084" width="8.83203125" hidden="0" customWidth="1"/>
    <x:col min="1085" max="1085" width="8.83203125" hidden="0" customWidth="1"/>
    <x:col min="1086" max="1086" width="8.83203125" hidden="0" customWidth="1"/>
    <x:col min="1087" max="1087" width="8.83203125" hidden="0" customWidth="1"/>
    <x:col min="1088" max="1088" width="8.83203125" hidden="0" customWidth="1"/>
    <x:col min="1089" max="1089" width="8.83203125" hidden="0" customWidth="1"/>
    <x:col min="1090" max="1090" width="8.83203125" hidden="0" customWidth="1"/>
    <x:col min="1091" max="1091" width="8.83203125" hidden="0" customWidth="1"/>
    <x:col min="1092" max="1092" width="8.83203125" hidden="0" customWidth="1"/>
    <x:col min="1093" max="1093" width="8.83203125" hidden="0" customWidth="1"/>
    <x:col min="1094" max="1094" width="8.83203125" hidden="0" customWidth="1"/>
    <x:col min="1095" max="1095" width="8.83203125" hidden="0" customWidth="1"/>
    <x:col min="1096" max="1096" width="8.83203125" hidden="0" customWidth="1"/>
    <x:col min="1097" max="1097" width="8.83203125" hidden="0" customWidth="1"/>
    <x:col min="1098" max="1098" width="8.83203125" hidden="0" customWidth="1"/>
    <x:col min="1099" max="1099" width="8.83203125" hidden="0" customWidth="1"/>
    <x:col min="1100" max="1100" width="8.83203125" hidden="0" customWidth="1"/>
    <x:col min="1101" max="1101" width="8.83203125" hidden="0" customWidth="1"/>
    <x:col min="1102" max="1102" width="8.83203125" hidden="0" customWidth="1"/>
    <x:col min="1103" max="1103" width="8.83203125" hidden="0" customWidth="1"/>
    <x:col min="1104" max="1104" width="8.83203125" hidden="0" customWidth="1"/>
    <x:col min="1105" max="1105" width="8.83203125" hidden="0" customWidth="1"/>
    <x:col min="1106" max="1106" width="8.83203125" hidden="0" customWidth="1"/>
    <x:col min="1107" max="1107" width="8.83203125" hidden="0" customWidth="1"/>
    <x:col min="1108" max="1108" width="8.83203125" hidden="0" customWidth="1"/>
    <x:col min="1109" max="1109" width="8.83203125" hidden="0" customWidth="1"/>
    <x:col min="1110" max="1110" width="8.83203125" hidden="0" customWidth="1"/>
    <x:col min="1111" max="1111" width="8.83203125" hidden="0" customWidth="1"/>
    <x:col min="1112" max="1112" width="8.83203125" hidden="0" customWidth="1"/>
    <x:col min="1113" max="1113" width="8.83203125" hidden="0" customWidth="1"/>
    <x:col min="1114" max="1114" width="8.83203125" hidden="0" customWidth="1"/>
    <x:col min="1115" max="1115" width="8.83203125" hidden="0" customWidth="1"/>
    <x:col min="1116" max="1116" width="8.83203125" hidden="0" customWidth="1"/>
    <x:col min="1117" max="1117" width="8.83203125" hidden="0" customWidth="1"/>
    <x:col min="1118" max="1118" width="8.83203125" hidden="0" customWidth="1"/>
    <x:col min="1119" max="1119" width="8.83203125" hidden="0" customWidth="1"/>
    <x:col min="1120" max="1120" width="8.83203125" hidden="0" customWidth="1"/>
    <x:col min="1121" max="1121" width="8.83203125" hidden="0" customWidth="1"/>
    <x:col min="1122" max="1122" width="8.83203125" hidden="0" customWidth="1"/>
    <x:col min="1123" max="1123" width="8.83203125" hidden="0" customWidth="1"/>
    <x:col min="1124" max="1124" width="8.83203125" hidden="0" customWidth="1"/>
    <x:col min="1125" max="1125" width="8.83203125" hidden="0" customWidth="1"/>
    <x:col min="1126" max="1126" width="8.83203125" hidden="0" customWidth="1"/>
    <x:col min="1127" max="1127" width="8.83203125" hidden="0" customWidth="1"/>
    <x:col min="1128" max="1128" width="8.83203125" hidden="0" customWidth="1"/>
    <x:col min="1129" max="1129" width="8.83203125" hidden="0" customWidth="1"/>
    <x:col min="1130" max="1130" width="8.83203125" hidden="0" customWidth="1"/>
    <x:col min="1131" max="1131" width="8.83203125" hidden="0" customWidth="1"/>
    <x:col min="1132" max="1132" width="8.83203125" hidden="0" customWidth="1"/>
    <x:col min="1133" max="1133" width="8.83203125" hidden="0" customWidth="1"/>
    <x:col min="1134" max="1134" width="8.83203125" hidden="0" customWidth="1"/>
    <x:col min="1135" max="1135" width="8.83203125" hidden="0" customWidth="1"/>
    <x:col min="1136" max="1136" width="8.83203125" hidden="0" customWidth="1"/>
    <x:col min="1137" max="1137" width="8.83203125" hidden="0" customWidth="1"/>
    <x:col min="1138" max="1138" width="8.83203125" hidden="0" customWidth="1"/>
    <x:col min="1139" max="1139" width="8.83203125" hidden="0" customWidth="1"/>
    <x:col min="1140" max="1140" width="8.83203125" hidden="0" customWidth="1"/>
    <x:col min="1141" max="1141" width="8.83203125" hidden="0" customWidth="1"/>
    <x:col min="1142" max="1142" width="8.83203125" hidden="0" customWidth="1"/>
    <x:col min="1143" max="1143" width="8.83203125" hidden="0" customWidth="1"/>
    <x:col min="1144" max="1144" width="8.83203125" hidden="0" customWidth="1"/>
    <x:col min="1145" max="1145" width="8.83203125" hidden="0" customWidth="1"/>
    <x:col min="1146" max="1146" width="8.83203125" hidden="0" customWidth="1"/>
    <x:col min="1147" max="1147" width="8.83203125" hidden="0" customWidth="1"/>
    <x:col min="1148" max="1148" width="8.83203125" hidden="0" customWidth="1"/>
    <x:col min="1149" max="1149" width="8.83203125" hidden="0" customWidth="1"/>
    <x:col min="1150" max="1150" width="8.83203125" hidden="0" customWidth="1"/>
    <x:col min="1151" max="1151" width="8.83203125" hidden="0" customWidth="1"/>
    <x:col min="1152" max="1152" width="8.83203125" hidden="0" customWidth="1"/>
    <x:col min="1153" max="1153" width="8.83203125" hidden="0" customWidth="1"/>
    <x:col min="1154" max="1154" width="8.83203125" hidden="0" customWidth="1"/>
    <x:col min="1155" max="1155" width="8.83203125" hidden="0" customWidth="1"/>
    <x:col min="1156" max="1156" width="8.83203125" hidden="0" customWidth="1"/>
    <x:col min="1157" max="1157" width="8.83203125" hidden="0" customWidth="1"/>
    <x:col min="1158" max="1158" width="8.83203125" hidden="0" customWidth="1"/>
    <x:col min="1159" max="1159" width="8.83203125" hidden="0" customWidth="1"/>
    <x:col min="1160" max="1160" width="8.83203125" hidden="0" customWidth="1"/>
    <x:col min="1161" max="1161" width="8.83203125" hidden="0" customWidth="1"/>
    <x:col min="1162" max="1162" width="8.83203125" hidden="0" customWidth="1"/>
    <x:col min="1163" max="1163" width="8.83203125" hidden="0" customWidth="1"/>
    <x:col min="1164" max="1164" width="8.83203125" hidden="0" customWidth="1"/>
    <x:col min="1165" max="1165" width="8.83203125" hidden="0" customWidth="1"/>
    <x:col min="1166" max="1166" width="8.83203125" hidden="0" customWidth="1"/>
    <x:col min="1167" max="1167" width="8.83203125" hidden="0" customWidth="1"/>
    <x:col min="1168" max="1168" width="8.83203125" hidden="0" customWidth="1"/>
    <x:col min="1169" max="1169" width="8.83203125" hidden="0" customWidth="1"/>
    <x:col min="1170" max="1170" width="8.83203125" hidden="0" customWidth="1"/>
    <x:col min="1171" max="1171" width="8.83203125" hidden="0" customWidth="1"/>
    <x:col min="1172" max="1172" width="8.83203125" hidden="0" customWidth="1"/>
    <x:col min="1173" max="1173" width="8.83203125" hidden="0" customWidth="1"/>
    <x:col min="1174" max="1174" width="8.83203125" hidden="0" customWidth="1"/>
    <x:col min="1175" max="1175" width="8.83203125" hidden="0" customWidth="1"/>
    <x:col min="1176" max="1176" width="8.83203125" hidden="0" customWidth="1"/>
    <x:col min="1177" max="1177" width="8.83203125" hidden="0" customWidth="1"/>
    <x:col min="1178" max="1178" width="8.83203125" hidden="0" customWidth="1"/>
    <x:col min="1179" max="1179" width="8.83203125" hidden="0" customWidth="1"/>
    <x:col min="1180" max="1180" width="8.83203125" hidden="0" customWidth="1"/>
    <x:col min="1181" max="1181" width="8.83203125" hidden="0" customWidth="1"/>
    <x:col min="1182" max="1182" width="8.83203125" hidden="0" customWidth="1"/>
    <x:col min="1183" max="1183" width="8.83203125" hidden="0" customWidth="1"/>
    <x:col min="1184" max="1184" width="8.83203125" hidden="0" customWidth="1"/>
    <x:col min="1185" max="1185" width="8.83203125" hidden="0" customWidth="1"/>
    <x:col min="1186" max="1186" width="8.83203125" hidden="0" customWidth="1"/>
    <x:col min="1187" max="1187" width="8.83203125" hidden="0" customWidth="1"/>
    <x:col min="1188" max="1188" width="8.83203125" hidden="0" customWidth="1"/>
    <x:col min="1189" max="1189" width="8.83203125" hidden="0" customWidth="1"/>
    <x:col min="1190" max="1190" width="8.83203125" hidden="0" customWidth="1"/>
    <x:col min="1191" max="1191" width="8.83203125" hidden="0" customWidth="1"/>
    <x:col min="1192" max="1192" width="8.83203125" hidden="0" customWidth="1"/>
    <x:col min="1193" max="1193" width="8.83203125" hidden="0" customWidth="1"/>
    <x:col min="1194" max="1194" width="8.83203125" hidden="0" customWidth="1"/>
    <x:col min="1195" max="1195" width="8.83203125" hidden="0" customWidth="1"/>
    <x:col min="1196" max="1196" width="8.83203125" hidden="0" customWidth="1"/>
    <x:col min="1197" max="1197" width="8.83203125" hidden="0" customWidth="1"/>
    <x:col min="1198" max="1198" width="8.83203125" hidden="0" customWidth="1"/>
    <x:col min="1199" max="1199" width="8.83203125" hidden="0" customWidth="1"/>
    <x:col min="1200" max="1200" width="8.83203125" hidden="0" customWidth="1"/>
    <x:col min="1201" max="1201" width="8.83203125" hidden="0" customWidth="1"/>
    <x:col min="1202" max="1202" width="8.83203125" hidden="0" customWidth="1"/>
    <x:col min="1203" max="1203" width="8.83203125" hidden="0" customWidth="1"/>
    <x:col min="1204" max="1204" width="8.83203125" hidden="0" customWidth="1"/>
    <x:col min="1205" max="1205" width="8.83203125" hidden="0" customWidth="1"/>
    <x:col min="1206" max="1206" width="8.83203125" hidden="0" customWidth="1"/>
    <x:col min="1207" max="1207" width="8.83203125" hidden="0" customWidth="1"/>
    <x:col min="1208" max="1208" width="8.83203125" hidden="0" customWidth="1"/>
    <x:col min="1209" max="1209" width="8.83203125" hidden="0" customWidth="1"/>
    <x:col min="1210" max="1210" width="8.83203125" hidden="0" customWidth="1"/>
    <x:col min="1211" max="1211" width="8.83203125" hidden="0" customWidth="1"/>
    <x:col min="1212" max="1212" width="8.83203125" hidden="0" customWidth="1"/>
    <x:col min="1213" max="1213" width="8.83203125" hidden="0" customWidth="1"/>
    <x:col min="1214" max="1214" width="8.83203125" hidden="0" customWidth="1"/>
    <x:col min="1215" max="1215" width="8.83203125" hidden="0" customWidth="1"/>
    <x:col min="1216" max="1216" width="8.83203125" hidden="0" customWidth="1"/>
    <x:col min="1217" max="1217" width="8.83203125" hidden="0" customWidth="1"/>
    <x:col min="1218" max="1218" width="8.83203125" hidden="0" customWidth="1"/>
    <x:col min="1219" max="1219" width="8.83203125" hidden="0" customWidth="1"/>
    <x:col min="1220" max="1220" width="8.83203125" hidden="0" customWidth="1"/>
    <x:col min="1221" max="1221" width="8.83203125" hidden="0" customWidth="1"/>
    <x:col min="1222" max="1222" width="8.83203125" hidden="0" customWidth="1"/>
    <x:col min="1223" max="1223" width="8.83203125" hidden="0" customWidth="1"/>
    <x:col min="1224" max="1224" width="8.83203125" hidden="0" customWidth="1"/>
    <x:col min="1225" max="1225" width="8.83203125" hidden="0" customWidth="1"/>
    <x:col min="1226" max="1226" width="8.83203125" hidden="0" customWidth="1"/>
    <x:col min="1227" max="1227" width="8.83203125" hidden="0" customWidth="1"/>
    <x:col min="1228" max="1228" width="8.83203125" hidden="0" customWidth="1"/>
    <x:col min="1229" max="1229" width="8.83203125" hidden="0" customWidth="1"/>
    <x:col min="1230" max="1230" width="8.83203125" hidden="0" customWidth="1"/>
    <x:col min="1231" max="1231" width="8.83203125" hidden="0" customWidth="1"/>
    <x:col min="1232" max="1232" width="8.83203125" hidden="0" customWidth="1"/>
    <x:col min="1233" max="1233" width="8.83203125" hidden="0" customWidth="1"/>
    <x:col min="1234" max="1234" width="8.83203125" hidden="0" customWidth="1"/>
    <x:col min="1235" max="1235" width="8.83203125" hidden="0" customWidth="1"/>
    <x:col min="1236" max="1236" width="8.83203125" hidden="0" customWidth="1"/>
    <x:col min="1237" max="1237" width="8.83203125" hidden="0" customWidth="1"/>
    <x:col min="1238" max="1238" width="8.83203125" hidden="0" customWidth="1"/>
    <x:col min="1239" max="1239" width="8.83203125" hidden="0" customWidth="1"/>
    <x:col min="1240" max="1240" width="8.83203125" hidden="0" customWidth="1"/>
    <x:col min="1241" max="1241" width="8.83203125" hidden="0" customWidth="1"/>
    <x:col min="1242" max="1242" width="8.83203125" hidden="0" customWidth="1"/>
    <x:col min="1243" max="1243" width="8.83203125" hidden="0" customWidth="1"/>
    <x:col min="1244" max="1244" width="8.83203125" hidden="0" customWidth="1"/>
    <x:col min="1245" max="1245" width="8.83203125" hidden="0" customWidth="1"/>
    <x:col min="1246" max="1246" width="8.83203125" hidden="0" customWidth="1"/>
    <x:col min="1247" max="1247" width="8.83203125" hidden="0" customWidth="1"/>
    <x:col min="1248" max="1248" width="8.83203125" hidden="0" customWidth="1"/>
    <x:col min="1249" max="1249" width="8.83203125" hidden="0" customWidth="1"/>
    <x:col min="1250" max="1250" width="8.83203125" hidden="0" customWidth="1"/>
    <x:col min="1251" max="1251" width="8.83203125" hidden="0" customWidth="1"/>
    <x:col min="1252" max="1252" width="8.83203125" hidden="0" customWidth="1"/>
    <x:col min="1253" max="1253" width="8.83203125" hidden="0" customWidth="1"/>
    <x:col min="1254" max="1254" width="8.83203125" hidden="0" customWidth="1"/>
    <x:col min="1255" max="1255" width="8.83203125" hidden="0" customWidth="1"/>
    <x:col min="1256" max="1256" width="8.83203125" hidden="0" customWidth="1"/>
    <x:col min="1257" max="1257" width="8.83203125" hidden="0" customWidth="1"/>
    <x:col min="1258" max="1258" width="8.83203125" hidden="0" customWidth="1"/>
    <x:col min="1259" max="1259" width="8.83203125" hidden="0" customWidth="1"/>
    <x:col min="1260" max="1260" width="8.83203125" hidden="0" customWidth="1"/>
    <x:col min="1261" max="1261" width="8.83203125" hidden="0" customWidth="1"/>
    <x:col min="1262" max="1262" width="8.83203125" hidden="0" customWidth="1"/>
    <x:col min="1263" max="1263" width="8.83203125" hidden="0" customWidth="1"/>
    <x:col min="1264" max="1264" width="8.83203125" hidden="0" customWidth="1"/>
    <x:col min="1265" max="1265" width="8.83203125" hidden="0" customWidth="1"/>
    <x:col min="1266" max="1266" width="8.83203125" hidden="0" customWidth="1"/>
    <x:col min="1267" max="1267" width="8.83203125" hidden="0" customWidth="1"/>
    <x:col min="1268" max="1268" width="8.83203125" hidden="0" customWidth="1"/>
    <x:col min="1269" max="1269" width="8.83203125" hidden="0" customWidth="1"/>
    <x:col min="1270" max="1270" width="8.83203125" hidden="0" customWidth="1"/>
    <x:col min="1271" max="1271" width="8.83203125" hidden="0" customWidth="1"/>
    <x:col min="1272" max="1272" width="8.83203125" hidden="0" customWidth="1"/>
    <x:col min="1273" max="1273" width="8.83203125" hidden="0" customWidth="1"/>
    <x:col min="1274" max="1274" width="8.83203125" hidden="0" customWidth="1"/>
    <x:col min="1275" max="1275" width="8.83203125" hidden="0" customWidth="1"/>
    <x:col min="1276" max="1276" width="8.83203125" hidden="0" customWidth="1"/>
    <x:col min="1277" max="1277" width="8.83203125" hidden="0" customWidth="1"/>
    <x:col min="1278" max="1278" width="8.83203125" hidden="0" customWidth="1"/>
    <x:col min="1279" max="1279" width="8.83203125" hidden="0" customWidth="1"/>
    <x:col min="1280" max="1280" width="8.83203125" hidden="0" customWidth="1"/>
    <x:col min="1281" max="1281" width="8.83203125" hidden="0" customWidth="1"/>
    <x:col min="1282" max="1282" width="8.83203125" hidden="0" customWidth="1"/>
    <x:col min="1283" max="1283" width="8.83203125" hidden="0" customWidth="1"/>
    <x:col min="1284" max="1284" width="8.83203125" hidden="0" customWidth="1"/>
    <x:col min="1285" max="1285" width="8.83203125" hidden="0" customWidth="1"/>
    <x:col min="1286" max="1286" width="8.83203125" hidden="0" customWidth="1"/>
    <x:col min="1287" max="1287" width="8.83203125" hidden="0" customWidth="1"/>
    <x:col min="1288" max="1288" width="8.83203125" hidden="0" customWidth="1"/>
    <x:col min="1289" max="1289" width="8.83203125" hidden="0" customWidth="1"/>
    <x:col min="1290" max="1290" width="8.83203125" hidden="0" customWidth="1"/>
    <x:col min="1291" max="1291" width="8.83203125" hidden="0" customWidth="1"/>
    <x:col min="1292" max="1292" width="8.83203125" hidden="0" customWidth="1"/>
    <x:col min="1293" max="1293" width="8.83203125" hidden="0" customWidth="1"/>
    <x:col min="1294" max="1294" width="8.83203125" hidden="0" customWidth="1"/>
    <x:col min="1295" max="1295" width="8.83203125" hidden="0" customWidth="1"/>
    <x:col min="1296" max="1296" width="8.83203125" hidden="0" customWidth="1"/>
    <x:col min="1297" max="1297" width="8.83203125" hidden="0" customWidth="1"/>
    <x:col min="1298" max="1298" width="8.83203125" hidden="0" customWidth="1"/>
    <x:col min="1299" max="1299" width="8.83203125" hidden="0" customWidth="1"/>
    <x:col min="1300" max="1300" width="8.83203125" hidden="0" customWidth="1"/>
    <x:col min="1301" max="1301" width="8.83203125" hidden="0" customWidth="1"/>
    <x:col min="1302" max="1302" width="8.83203125" hidden="0" customWidth="1"/>
    <x:col min="1303" max="1303" width="8.83203125" hidden="0" customWidth="1"/>
    <x:col min="1304" max="1304" width="8.83203125" hidden="0" customWidth="1"/>
    <x:col min="1305" max="1305" width="8.83203125" hidden="0" customWidth="1"/>
    <x:col min="1306" max="1306" width="8.83203125" hidden="0" customWidth="1"/>
    <x:col min="1307" max="1307" width="8.83203125" hidden="0" customWidth="1"/>
    <x:col min="1308" max="1308" width="8.83203125" hidden="0" customWidth="1"/>
    <x:col min="1309" max="1309" width="8.83203125" hidden="0" customWidth="1"/>
    <x:col min="1310" max="1310" width="8.83203125" hidden="0" customWidth="1"/>
    <x:col min="1311" max="1311" width="8.83203125" hidden="0" customWidth="1"/>
    <x:col min="1312" max="1312" width="8.83203125" hidden="0" customWidth="1"/>
    <x:col min="1313" max="1313" width="8.83203125" hidden="0" customWidth="1"/>
    <x:col min="1314" max="1314" width="8.83203125" hidden="0" customWidth="1"/>
    <x:col min="1315" max="1315" width="8.83203125" hidden="0" customWidth="1"/>
    <x:col min="1316" max="1316" width="8.83203125" hidden="0" customWidth="1"/>
    <x:col min="1317" max="1317" width="8.83203125" hidden="0" customWidth="1"/>
    <x:col min="1318" max="1318" width="8.83203125" hidden="0" customWidth="1"/>
    <x:col min="1319" max="1319" width="8.83203125" hidden="0" customWidth="1"/>
    <x:col min="1320" max="1320" width="8.83203125" hidden="0" customWidth="1"/>
    <x:col min="1321" max="1321" width="8.83203125" hidden="0" customWidth="1"/>
    <x:col min="1322" max="1322" width="8.83203125" hidden="0" customWidth="1"/>
    <x:col min="1323" max="1323" width="8.83203125" hidden="0" customWidth="1"/>
    <x:col min="1324" max="1324" width="8.83203125" hidden="0" customWidth="1"/>
    <x:col min="1325" max="1325" width="8.83203125" hidden="0" customWidth="1"/>
    <x:col min="1326" max="1326" width="8.83203125" hidden="0" customWidth="1"/>
    <x:col min="1327" max="1327" width="8.83203125" hidden="0" customWidth="1"/>
    <x:col min="1328" max="1328" width="8.83203125" hidden="0" customWidth="1"/>
    <x:col min="1329" max="1329" width="8.83203125" hidden="0" customWidth="1"/>
    <x:col min="1330" max="1330" width="8.83203125" hidden="0" customWidth="1"/>
    <x:col min="1331" max="1331" width="8.83203125" hidden="0" customWidth="1"/>
    <x:col min="1332" max="1332" width="8.83203125" hidden="0" customWidth="1"/>
    <x:col min="1333" max="1333" width="8.83203125" hidden="0" customWidth="1"/>
    <x:col min="1334" max="1334" width="8.83203125" hidden="0" customWidth="1"/>
    <x:col min="1335" max="1335" width="8.83203125" hidden="0" customWidth="1"/>
    <x:col min="1336" max="1336" width="8.83203125" hidden="0" customWidth="1"/>
    <x:col min="1337" max="1337" width="8.83203125" hidden="0" customWidth="1"/>
    <x:col min="1338" max="1338" width="8.83203125" hidden="0" customWidth="1"/>
    <x:col min="1339" max="1339" width="8.83203125" hidden="0" customWidth="1"/>
    <x:col min="1340" max="1340" width="8.83203125" hidden="0" customWidth="1"/>
    <x:col min="1341" max="1341" width="8.83203125" hidden="0" customWidth="1"/>
    <x:col min="1342" max="1342" width="8.83203125" hidden="0" customWidth="1"/>
    <x:col min="1343" max="1343" width="8.83203125" hidden="0" customWidth="1"/>
    <x:col min="1344" max="1344" width="8.83203125" hidden="0" customWidth="1"/>
    <x:col min="1345" max="1345" width="8.83203125" hidden="0" customWidth="1"/>
    <x:col min="1346" max="1346" width="8.83203125" hidden="0" customWidth="1"/>
    <x:col min="1347" max="1347" width="8.83203125" hidden="0" customWidth="1"/>
    <x:col min="1348" max="1348" width="8.83203125" hidden="0" customWidth="1"/>
    <x:col min="1349" max="1349" width="8.83203125" hidden="0" customWidth="1"/>
    <x:col min="1350" max="1350" width="8.83203125" hidden="0" customWidth="1"/>
    <x:col min="1351" max="1351" width="8.83203125" hidden="0" customWidth="1"/>
    <x:col min="1352" max="1352" width="8.83203125" hidden="0" customWidth="1"/>
    <x:col min="1353" max="1353" width="8.83203125" hidden="0" customWidth="1"/>
    <x:col min="1354" max="1354" width="8.83203125" hidden="0" customWidth="1"/>
    <x:col min="1355" max="1355" width="8.83203125" hidden="0" customWidth="1"/>
    <x:col min="1356" max="1356" width="8.83203125" hidden="0" customWidth="1"/>
    <x:col min="1357" max="1357" width="8.83203125" hidden="0" customWidth="1"/>
    <x:col min="1358" max="1358" width="8.83203125" hidden="0" customWidth="1"/>
    <x:col min="1359" max="1359" width="8.83203125" hidden="0" customWidth="1"/>
    <x:col min="1360" max="1360" width="8.83203125" hidden="0" customWidth="1"/>
    <x:col min="1361" max="1361" width="8.83203125" hidden="0" customWidth="1"/>
    <x:col min="1362" max="1362" width="8.83203125" hidden="0" customWidth="1"/>
    <x:col min="1363" max="1363" width="8.83203125" hidden="0" customWidth="1"/>
    <x:col min="1364" max="1364" width="8.83203125" hidden="0" customWidth="1"/>
    <x:col min="1365" max="1365" width="8.83203125" hidden="0" customWidth="1"/>
    <x:col min="1366" max="1366" width="8.83203125" hidden="0" customWidth="1"/>
    <x:col min="1367" max="1367" width="8.83203125" hidden="0" customWidth="1"/>
    <x:col min="1368" max="1368" width="8.83203125" hidden="0" customWidth="1"/>
    <x:col min="1369" max="1369" width="8.83203125" hidden="0" customWidth="1"/>
    <x:col min="1370" max="1370" width="8.83203125" hidden="0" customWidth="1"/>
    <x:col min="1371" max="1371" width="8.83203125" hidden="0" customWidth="1"/>
    <x:col min="1372" max="1372" width="8.83203125" hidden="0" customWidth="1"/>
    <x:col min="1373" max="1373" width="8.83203125" hidden="0" customWidth="1"/>
    <x:col min="1374" max="1374" width="8.83203125" hidden="0" customWidth="1"/>
    <x:col min="1375" max="1375" width="8.83203125" hidden="0" customWidth="1"/>
    <x:col min="1376" max="1376" width="8.83203125" hidden="0" customWidth="1"/>
    <x:col min="1377" max="1377" width="8.83203125" hidden="0" customWidth="1"/>
    <x:col min="1378" max="1378" width="8.83203125" hidden="0" customWidth="1"/>
    <x:col min="1379" max="1379" width="8.83203125" hidden="0" customWidth="1"/>
    <x:col min="1380" max="1380" width="8.83203125" hidden="0" customWidth="1"/>
    <x:col min="1381" max="1381" width="8.83203125" hidden="0" customWidth="1"/>
    <x:col min="1382" max="1382" width="8.83203125" hidden="0" customWidth="1"/>
    <x:col min="1383" max="1383" width="8.83203125" hidden="0" customWidth="1"/>
    <x:col min="1384" max="1384" width="8.83203125" hidden="0" customWidth="1"/>
    <x:col min="1385" max="1385" width="8.83203125" hidden="0" customWidth="1"/>
    <x:col min="1386" max="1386" width="8.83203125" hidden="0" customWidth="1"/>
    <x:col min="1387" max="1387" width="8.83203125" hidden="0" customWidth="1"/>
    <x:col min="1388" max="1388" width="8.83203125" hidden="0" customWidth="1"/>
    <x:col min="1389" max="1389" width="8.83203125" hidden="0" customWidth="1"/>
    <x:col min="1390" max="1390" width="8.83203125" hidden="0" customWidth="1"/>
    <x:col min="1391" max="1391" width="8.83203125" hidden="0" customWidth="1"/>
    <x:col min="1392" max="1392" width="8.83203125" hidden="0" customWidth="1"/>
    <x:col min="1393" max="1393" width="8.83203125" hidden="0" customWidth="1"/>
    <x:col min="1394" max="1394" width="8.83203125" hidden="0" customWidth="1"/>
    <x:col min="1395" max="1395" width="8.83203125" hidden="0" customWidth="1"/>
    <x:col min="1396" max="1396" width="8.83203125" hidden="0" customWidth="1"/>
    <x:col min="1397" max="1397" width="8.83203125" hidden="0" customWidth="1"/>
    <x:col min="1398" max="1398" width="8.83203125" hidden="0" customWidth="1"/>
    <x:col min="1399" max="1399" width="8.83203125" hidden="0" customWidth="1"/>
    <x:col min="1400" max="1400" width="8.83203125" hidden="0" customWidth="1"/>
    <x:col min="1401" max="1401" width="8.83203125" hidden="0" customWidth="1"/>
    <x:col min="1402" max="1402" width="8.83203125" hidden="0" customWidth="1"/>
    <x:col min="1403" max="1403" width="8.83203125" hidden="0" customWidth="1"/>
    <x:col min="1404" max="1404" width="8.83203125" hidden="0" customWidth="1"/>
    <x:col min="1405" max="1405" width="8.83203125" hidden="0" customWidth="1"/>
    <x:col min="1406" max="1406" width="8.83203125" hidden="0" customWidth="1"/>
    <x:col min="1407" max="1407" width="8.83203125" hidden="0" customWidth="1"/>
    <x:col min="1408" max="1408" width="8.83203125" hidden="0" customWidth="1"/>
    <x:col min="1409" max="1409" width="8.83203125" hidden="0" customWidth="1"/>
    <x:col min="1410" max="1410" width="8.83203125" hidden="0" customWidth="1"/>
    <x:col min="1411" max="1411" width="8.83203125" hidden="0" customWidth="1"/>
    <x:col min="1412" max="1412" width="8.83203125" hidden="0" customWidth="1"/>
    <x:col min="1413" max="1413" width="8.83203125" hidden="0" customWidth="1"/>
    <x:col min="1414" max="1414" width="8.83203125" hidden="0" customWidth="1"/>
    <x:col min="1415" max="1415" width="8.83203125" hidden="0" customWidth="1"/>
    <x:col min="1416" max="1416" width="8.83203125" hidden="0" customWidth="1"/>
    <x:col min="1417" max="1417" width="8.83203125" hidden="0" customWidth="1"/>
    <x:col min="1418" max="1418" width="8.83203125" hidden="0" customWidth="1"/>
    <x:col min="1419" max="1419" width="8.83203125" hidden="0" customWidth="1"/>
    <x:col min="1420" max="1420" width="8.83203125" hidden="0" customWidth="1"/>
    <x:col min="1421" max="1421" width="8.83203125" hidden="0" customWidth="1"/>
    <x:col min="1422" max="1422" width="8.83203125" hidden="0" customWidth="1"/>
    <x:col min="1423" max="1423" width="8.83203125" hidden="0" customWidth="1"/>
    <x:col min="1424" max="1424" width="8.83203125" hidden="0" customWidth="1"/>
    <x:col min="1425" max="1425" width="8.83203125" hidden="0" customWidth="1"/>
    <x:col min="1426" max="1426" width="8.83203125" hidden="0" customWidth="1"/>
    <x:col min="1427" max="1427" width="8.83203125" hidden="0" customWidth="1"/>
    <x:col min="1428" max="1428" width="8.83203125" hidden="0" customWidth="1"/>
    <x:col min="1429" max="1429" width="8.83203125" hidden="0" customWidth="1"/>
    <x:col min="1430" max="1430" width="8.83203125" hidden="0" customWidth="1"/>
    <x:col min="1431" max="1431" width="8.83203125" hidden="0" customWidth="1"/>
    <x:col min="1432" max="1432" width="8.83203125" hidden="0" customWidth="1"/>
    <x:col min="1433" max="1433" width="8.83203125" hidden="0" customWidth="1"/>
    <x:col min="1434" max="1434" width="8.83203125" hidden="0" customWidth="1"/>
    <x:col min="1435" max="1435" width="8.83203125" hidden="0" customWidth="1"/>
    <x:col min="1436" max="1436" width="8.83203125" hidden="0" customWidth="1"/>
    <x:col min="1437" max="1437" width="8.83203125" hidden="0" customWidth="1"/>
    <x:col min="1438" max="1438" width="8.83203125" hidden="0" customWidth="1"/>
    <x:col min="1439" max="1439" width="8.83203125" hidden="0" customWidth="1"/>
    <x:col min="1440" max="1440" width="8.83203125" hidden="0" customWidth="1"/>
    <x:col min="1441" max="1441" width="8.83203125" hidden="0" customWidth="1"/>
    <x:col min="1442" max="1442" width="8.83203125" hidden="0" customWidth="1"/>
    <x:col min="1443" max="1443" width="8.83203125" hidden="0" customWidth="1"/>
    <x:col min="1444" max="1444" width="8.83203125" hidden="0" customWidth="1"/>
    <x:col min="1445" max="1445" width="8.83203125" hidden="0" customWidth="1"/>
    <x:col min="1446" max="1446" width="8.83203125" hidden="0" customWidth="1"/>
    <x:col min="1447" max="1447" width="8.83203125" hidden="0" customWidth="1"/>
    <x:col min="1448" max="1448" width="8.83203125" hidden="0" customWidth="1"/>
    <x:col min="1449" max="1449" width="8.83203125" hidden="0" customWidth="1"/>
    <x:col min="1450" max="1450" width="8.83203125" hidden="0" customWidth="1"/>
    <x:col min="1451" max="1451" width="8.83203125" hidden="0" customWidth="1"/>
    <x:col min="1452" max="1452" width="8.83203125" hidden="0" customWidth="1"/>
    <x:col min="1453" max="1453" width="8.83203125" hidden="0" customWidth="1"/>
    <x:col min="1454" max="1454" width="8.83203125" hidden="0" customWidth="1"/>
    <x:col min="1455" max="1455" width="8.83203125" hidden="0" customWidth="1"/>
    <x:col min="1456" max="1456" width="8.83203125" hidden="0" customWidth="1"/>
    <x:col min="1457" max="1457" width="8.83203125" hidden="0" customWidth="1"/>
    <x:col min="1458" max="1458" width="8.83203125" hidden="0" customWidth="1"/>
    <x:col min="1459" max="1459" width="8.83203125" hidden="0" customWidth="1"/>
    <x:col min="1460" max="1460" width="8.83203125" hidden="0" customWidth="1"/>
    <x:col min="1461" max="1461" width="8.83203125" hidden="0" customWidth="1"/>
    <x:col min="1462" max="1462" width="8.83203125" hidden="0" customWidth="1"/>
    <x:col min="1463" max="1463" width="8.83203125" hidden="0" customWidth="1"/>
    <x:col min="1464" max="1464" width="8.83203125" hidden="0" customWidth="1"/>
    <x:col min="1465" max="1465" width="8.83203125" hidden="0" customWidth="1"/>
    <x:col min="1466" max="1466" width="8.83203125" hidden="0" customWidth="1"/>
    <x:col min="1467" max="1467" width="8.83203125" hidden="0" customWidth="1"/>
    <x:col min="1468" max="1468" width="8.83203125" hidden="0" customWidth="1"/>
    <x:col min="1469" max="1469" width="8.83203125" hidden="0" customWidth="1"/>
    <x:col min="1470" max="1470" width="8.83203125" hidden="0" customWidth="1"/>
    <x:col min="1471" max="1471" width="8.83203125" hidden="0" customWidth="1"/>
    <x:col min="1472" max="1472" width="8.83203125" hidden="0" customWidth="1"/>
    <x:col min="1473" max="1473" width="8.83203125" hidden="0" customWidth="1"/>
    <x:col min="1474" max="1474" width="8.83203125" hidden="0" customWidth="1"/>
    <x:col min="1475" max="1475" width="8.83203125" hidden="0" customWidth="1"/>
    <x:col min="1476" max="1476" width="8.83203125" hidden="0" customWidth="1"/>
    <x:col min="1477" max="1477" width="8.83203125" hidden="0" customWidth="1"/>
    <x:col min="1478" max="1478" width="8.83203125" hidden="0" customWidth="1"/>
    <x:col min="1479" max="1479" width="8.83203125" hidden="0" customWidth="1"/>
    <x:col min="1480" max="1480" width="8.83203125" hidden="0" customWidth="1"/>
    <x:col min="1481" max="1481" width="8.83203125" hidden="0" customWidth="1"/>
    <x:col min="1482" max="1482" width="8.83203125" hidden="0" customWidth="1"/>
    <x:col min="1483" max="1483" width="8.83203125" hidden="0" customWidth="1"/>
    <x:col min="1484" max="1484" width="8.83203125" hidden="0" customWidth="1"/>
    <x:col min="1485" max="1485" width="8.83203125" hidden="0" customWidth="1"/>
    <x:col min="1486" max="1486" width="8.83203125" hidden="0" customWidth="1"/>
    <x:col min="1487" max="1487" width="8.83203125" hidden="0" customWidth="1"/>
    <x:col min="1488" max="1488" width="8.83203125" hidden="0" customWidth="1"/>
    <x:col min="1489" max="1489" width="8.83203125" hidden="0" customWidth="1"/>
    <x:col min="1490" max="1490" width="8.83203125" hidden="0" customWidth="1"/>
    <x:col min="1491" max="1491" width="8.83203125" hidden="0" customWidth="1"/>
    <x:col min="1492" max="1492" width="8.83203125" hidden="0" customWidth="1"/>
    <x:col min="1493" max="1493" width="8.83203125" hidden="0" customWidth="1"/>
    <x:col min="1494" max="1494" width="8.83203125" hidden="0" customWidth="1"/>
    <x:col min="1495" max="1495" width="8.83203125" hidden="0" customWidth="1"/>
    <x:col min="1496" max="1496" width="8.83203125" hidden="0" customWidth="1"/>
    <x:col min="1497" max="1497" width="8.83203125" hidden="0" customWidth="1"/>
    <x:col min="1498" max="1498" width="8.83203125" hidden="0" customWidth="1"/>
    <x:col min="1499" max="1499" width="8.83203125" hidden="0" customWidth="1"/>
    <x:col min="1500" max="1500" width="8.83203125" hidden="0" customWidth="1"/>
    <x:col min="1501" max="1501" width="8.83203125" hidden="0" customWidth="1"/>
    <x:col min="1502" max="1502" width="8.83203125" hidden="0" customWidth="1"/>
    <x:col min="1503" max="1503" width="8.83203125" hidden="0" customWidth="1"/>
    <x:col min="1504" max="1504" width="8.83203125" hidden="0" customWidth="1"/>
    <x:col min="1505" max="1505" width="8.83203125" hidden="0" customWidth="1"/>
    <x:col min="1506" max="1506" width="8.83203125" hidden="0" customWidth="1"/>
    <x:col min="1507" max="1507" width="8.83203125" hidden="0" customWidth="1"/>
    <x:col min="1508" max="1508" width="8.83203125" hidden="0" customWidth="1"/>
    <x:col min="1509" max="1509" width="8.83203125" hidden="0" customWidth="1"/>
    <x:col min="1510" max="1510" width="8.83203125" hidden="0" customWidth="1"/>
    <x:col min="1511" max="1511" width="8.83203125" hidden="0" customWidth="1"/>
    <x:col min="1512" max="1512" width="8.83203125" hidden="0" customWidth="1"/>
    <x:col min="1513" max="1513" width="8.83203125" hidden="0" customWidth="1"/>
    <x:col min="1514" max="1514" width="8.83203125" hidden="0" customWidth="1"/>
    <x:col min="1515" max="1515" width="8.83203125" hidden="0" customWidth="1"/>
    <x:col min="1516" max="1516" width="8.83203125" hidden="0" customWidth="1"/>
    <x:col min="1517" max="1517" width="8.83203125" hidden="0" customWidth="1"/>
    <x:col min="1518" max="1518" width="8.83203125" hidden="0" customWidth="1"/>
    <x:col min="1519" max="1519" width="8.83203125" hidden="0" customWidth="1"/>
    <x:col min="1520" max="1520" width="8.83203125" hidden="0" customWidth="1"/>
    <x:col min="1521" max="1521" width="8.83203125" hidden="0" customWidth="1"/>
    <x:col min="1522" max="1522" width="8.83203125" hidden="0" customWidth="1"/>
    <x:col min="1523" max="1523" width="8.83203125" hidden="0" customWidth="1"/>
    <x:col min="1524" max="1524" width="8.83203125" hidden="0" customWidth="1"/>
    <x:col min="1525" max="1525" width="8.83203125" hidden="0" customWidth="1"/>
    <x:col min="1526" max="1526" width="8.83203125" hidden="0" customWidth="1"/>
    <x:col min="1527" max="1527" width="8.83203125" hidden="0" customWidth="1"/>
    <x:col min="1528" max="1528" width="8.83203125" hidden="0" customWidth="1"/>
    <x:col min="1529" max="1529" width="8.83203125" hidden="0" customWidth="1"/>
    <x:col min="1530" max="1530" width="8.83203125" hidden="0" customWidth="1"/>
    <x:col min="1531" max="1531" width="8.83203125" hidden="0" customWidth="1"/>
    <x:col min="1532" max="1532" width="8.83203125" hidden="0" customWidth="1"/>
    <x:col min="1533" max="1533" width="8.83203125" hidden="0" customWidth="1"/>
    <x:col min="1534" max="1534" width="8.83203125" hidden="0" customWidth="1"/>
    <x:col min="1535" max="1535" width="8.83203125" hidden="0" customWidth="1"/>
    <x:col min="1536" max="1536" width="8.83203125" hidden="0" customWidth="1"/>
    <x:col min="1537" max="1537" width="8.83203125" hidden="0" customWidth="1"/>
    <x:col min="1538" max="1538" width="8.83203125" hidden="0" customWidth="1"/>
    <x:col min="1539" max="1539" width="8.83203125" hidden="0" customWidth="1"/>
    <x:col min="1540" max="1540" width="8.83203125" hidden="0" customWidth="1"/>
    <x:col min="1541" max="1541" width="8.83203125" hidden="0" customWidth="1"/>
    <x:col min="1542" max="1542" width="8.83203125" hidden="0" customWidth="1"/>
    <x:col min="1543" max="1543" width="8.83203125" hidden="0" customWidth="1"/>
    <x:col min="1544" max="1544" width="8.83203125" hidden="0" customWidth="1"/>
    <x:col min="1545" max="1545" width="8.83203125" hidden="0" customWidth="1"/>
    <x:col min="1546" max="1546" width="8.83203125" hidden="0" customWidth="1"/>
    <x:col min="1547" max="1547" width="8.83203125" hidden="0" customWidth="1"/>
    <x:col min="1548" max="1548" width="8.83203125" hidden="0" customWidth="1"/>
    <x:col min="1549" max="1549" width="8.83203125" hidden="0" customWidth="1"/>
    <x:col min="1550" max="1550" width="8.83203125" hidden="0" customWidth="1"/>
    <x:col min="1551" max="1551" width="8.83203125" hidden="0" customWidth="1"/>
    <x:col min="1552" max="1552" width="8.83203125" hidden="0" customWidth="1"/>
    <x:col min="1553" max="1553" width="8.83203125" hidden="0" customWidth="1"/>
    <x:col min="1554" max="1554" width="8.83203125" hidden="0" customWidth="1"/>
    <x:col min="1555" max="1555" width="8.83203125" hidden="0" customWidth="1"/>
    <x:col min="1556" max="1556" width="8.83203125" hidden="0" customWidth="1"/>
    <x:col min="1557" max="1557" width="8.83203125" hidden="0" customWidth="1"/>
    <x:col min="1558" max="1558" width="8.83203125" hidden="0" customWidth="1"/>
    <x:col min="1559" max="1559" width="8.83203125" hidden="0" customWidth="1"/>
    <x:col min="1560" max="1560" width="8.83203125" hidden="0" customWidth="1"/>
    <x:col min="1561" max="1561" width="8.83203125" hidden="0" customWidth="1"/>
    <x:col min="1562" max="1562" width="8.83203125" hidden="0" customWidth="1"/>
    <x:col min="1563" max="1563" width="8.83203125" hidden="0" customWidth="1"/>
    <x:col min="1564" max="1564" width="8.83203125" hidden="0" customWidth="1"/>
    <x:col min="1565" max="1565" width="8.83203125" hidden="0" customWidth="1"/>
    <x:col min="1566" max="1566" width="8.83203125" hidden="0" customWidth="1"/>
    <x:col min="1567" max="1567" width="8.83203125" hidden="0" customWidth="1"/>
    <x:col min="1568" max="1568" width="8.83203125" hidden="0" customWidth="1"/>
    <x:col min="1569" max="1569" width="8.83203125" hidden="0" customWidth="1"/>
    <x:col min="1570" max="1570" width="8.83203125" hidden="0" customWidth="1"/>
    <x:col min="1571" max="1571" width="8.83203125" hidden="0" customWidth="1"/>
    <x:col min="1572" max="1572" width="8.83203125" hidden="0" customWidth="1"/>
    <x:col min="1573" max="1573" width="8.83203125" hidden="0" customWidth="1"/>
    <x:col min="1574" max="1574" width="8.83203125" hidden="0" customWidth="1"/>
    <x:col min="1575" max="1575" width="8.83203125" hidden="0" customWidth="1"/>
    <x:col min="1576" max="1576" width="8.83203125" hidden="0" customWidth="1"/>
    <x:col min="1577" max="1577" width="8.83203125" hidden="0" customWidth="1"/>
    <x:col min="1578" max="1578" width="8.83203125" hidden="0" customWidth="1"/>
    <x:col min="1579" max="1579" width="8.83203125" hidden="0" customWidth="1"/>
    <x:col min="1580" max="1580" width="8.83203125" hidden="0" customWidth="1"/>
    <x:col min="1581" max="1581" width="8.83203125" hidden="0" customWidth="1"/>
    <x:col min="1582" max="1582" width="8.83203125" hidden="0" customWidth="1"/>
    <x:col min="1583" max="1583" width="8.83203125" hidden="0" customWidth="1"/>
    <x:col min="1584" max="1584" width="8.83203125" hidden="0" customWidth="1"/>
    <x:col min="1585" max="1585" width="8.83203125" hidden="0" customWidth="1"/>
    <x:col min="1586" max="1586" width="8.83203125" hidden="0" customWidth="1"/>
    <x:col min="1587" max="1587" width="8.83203125" hidden="0" customWidth="1"/>
    <x:col min="1588" max="1588" width="8.83203125" hidden="0" customWidth="1"/>
    <x:col min="1589" max="1589" width="8.83203125" hidden="0" customWidth="1"/>
    <x:col min="1590" max="1590" width="8.83203125" hidden="0" customWidth="1"/>
    <x:col min="1591" max="1591" width="8.83203125" hidden="0" customWidth="1"/>
    <x:col min="1592" max="1592" width="8.83203125" hidden="0" customWidth="1"/>
    <x:col min="1593" max="1593" width="8.83203125" hidden="0" customWidth="1"/>
    <x:col min="1594" max="1594" width="8.83203125" hidden="0" customWidth="1"/>
    <x:col min="1595" max="1595" width="8.83203125" hidden="0" customWidth="1"/>
    <x:col min="1596" max="1596" width="8.83203125" hidden="0" customWidth="1"/>
    <x:col min="1597" max="1597" width="8.83203125" hidden="0" customWidth="1"/>
    <x:col min="1598" max="1598" width="8.83203125" hidden="0" customWidth="1"/>
    <x:col min="1599" max="1599" width="8.83203125" hidden="0" customWidth="1"/>
    <x:col min="1600" max="1600" width="8.83203125" hidden="0" customWidth="1"/>
    <x:col min="1601" max="1601" width="8.83203125" hidden="0" customWidth="1"/>
    <x:col min="1602" max="1602" width="8.83203125" hidden="0" customWidth="1"/>
    <x:col min="1603" max="1603" width="8.83203125" hidden="0" customWidth="1"/>
    <x:col min="1604" max="1604" width="8.83203125" hidden="0" customWidth="1"/>
    <x:col min="1605" max="1605" width="8.83203125" hidden="0" customWidth="1"/>
    <x:col min="1606" max="1606" width="8.83203125" hidden="0" customWidth="1"/>
    <x:col min="1607" max="1607" width="8.83203125" hidden="0" customWidth="1"/>
    <x:col min="1608" max="1608" width="8.83203125" hidden="0" customWidth="1"/>
    <x:col min="1609" max="1609" width="8.83203125" hidden="0" customWidth="1"/>
    <x:col min="1610" max="1610" width="8.83203125" hidden="0" customWidth="1"/>
    <x:col min="1611" max="1611" width="8.83203125" hidden="0" customWidth="1"/>
    <x:col min="1612" max="1612" width="8.83203125" hidden="0" customWidth="1"/>
    <x:col min="1613" max="1613" width="8.83203125" hidden="0" customWidth="1"/>
    <x:col min="1614" max="1614" width="8.83203125" hidden="0" customWidth="1"/>
    <x:col min="1615" max="1615" width="8.83203125" hidden="0" customWidth="1"/>
    <x:col min="1616" max="1616" width="8.83203125" hidden="0" customWidth="1"/>
    <x:col min="1617" max="1617" width="8.83203125" hidden="0" customWidth="1"/>
    <x:col min="1618" max="1618" width="8.83203125" hidden="0" customWidth="1"/>
    <x:col min="1619" max="1619" width="8.83203125" hidden="0" customWidth="1"/>
    <x:col min="1620" max="1620" width="8.83203125" hidden="0" customWidth="1"/>
    <x:col min="1621" max="1621" width="8.83203125" hidden="0" customWidth="1"/>
    <x:col min="1622" max="1622" width="8.83203125" hidden="0" customWidth="1"/>
    <x:col min="1623" max="1623" width="8.83203125" hidden="0" customWidth="1"/>
    <x:col min="1624" max="1624" width="8.83203125" hidden="0" customWidth="1"/>
    <x:col min="1625" max="1625" width="8.83203125" hidden="0" customWidth="1"/>
    <x:col min="1626" max="1626" width="8.83203125" hidden="0" customWidth="1"/>
    <x:col min="1627" max="1627" width="8.83203125" hidden="0" customWidth="1"/>
    <x:col min="1628" max="1628" width="8.83203125" hidden="0" customWidth="1"/>
    <x:col min="1629" max="1629" width="8.83203125" hidden="0" customWidth="1"/>
    <x:col min="1630" max="1630" width="8.83203125" hidden="0" customWidth="1"/>
    <x:col min="1631" max="1631" width="8.83203125" hidden="0" customWidth="1"/>
    <x:col min="1632" max="1632" width="8.83203125" hidden="0" customWidth="1"/>
    <x:col min="1633" max="1633" width="8.83203125" hidden="0" customWidth="1"/>
    <x:col min="1634" max="1634" width="8.83203125" hidden="0" customWidth="1"/>
    <x:col min="1635" max="1635" width="8.83203125" hidden="0" customWidth="1"/>
    <x:col min="1636" max="1636" width="8.83203125" hidden="0" customWidth="1"/>
    <x:col min="1637" max="1637" width="8.83203125" hidden="0" customWidth="1"/>
    <x:col min="1638" max="1638" width="8.83203125" hidden="0" customWidth="1"/>
    <x:col min="1639" max="1639" width="8.83203125" hidden="0" customWidth="1"/>
    <x:col min="1640" max="1640" width="8.83203125" hidden="0" customWidth="1"/>
    <x:col min="1641" max="1641" width="8.83203125" hidden="0" customWidth="1"/>
    <x:col min="1642" max="1642" width="8.83203125" hidden="0" customWidth="1"/>
    <x:col min="1643" max="1643" width="8.83203125" hidden="0" customWidth="1"/>
    <x:col min="1644" max="1644" width="8.83203125" hidden="0" customWidth="1"/>
    <x:col min="1645" max="1645" width="8.83203125" hidden="0" customWidth="1"/>
    <x:col min="1646" max="1646" width="8.83203125" hidden="0" customWidth="1"/>
    <x:col min="1647" max="1647" width="8.83203125" hidden="0" customWidth="1"/>
    <x:col min="1648" max="1648" width="8.83203125" hidden="0" customWidth="1"/>
    <x:col min="1649" max="1649" width="8.83203125" hidden="0" customWidth="1"/>
    <x:col min="1650" max="1650" width="8.83203125" hidden="0" customWidth="1"/>
    <x:col min="1651" max="1651" width="8.83203125" hidden="0" customWidth="1"/>
    <x:col min="1652" max="1652" width="8.83203125" hidden="0" customWidth="1"/>
    <x:col min="1653" max="1653" width="8.83203125" hidden="0" customWidth="1"/>
    <x:col min="1654" max="1654" width="8.83203125" hidden="0" customWidth="1"/>
    <x:col min="1655" max="1655" width="8.83203125" hidden="0" customWidth="1"/>
    <x:col min="1656" max="1656" width="8.83203125" hidden="0" customWidth="1"/>
    <x:col min="1657" max="1657" width="8.83203125" hidden="0" customWidth="1"/>
    <x:col min="1658" max="1658" width="8.83203125" hidden="0" customWidth="1"/>
    <x:col min="1659" max="1659" width="8.83203125" hidden="0" customWidth="1"/>
    <x:col min="1660" max="1660" width="8.83203125" hidden="0" customWidth="1"/>
    <x:col min="1661" max="1661" width="8.83203125" hidden="0" customWidth="1"/>
    <x:col min="1662" max="1662" width="8.83203125" hidden="0" customWidth="1"/>
    <x:col min="1663" max="1663" width="8.83203125" hidden="0" customWidth="1"/>
    <x:col min="1664" max="1664" width="8.83203125" hidden="0" customWidth="1"/>
    <x:col min="1665" max="1665" width="8.83203125" hidden="0" customWidth="1"/>
    <x:col min="1666" max="1666" width="8.83203125" hidden="0" customWidth="1"/>
    <x:col min="1667" max="1667" width="8.83203125" hidden="0" customWidth="1"/>
    <x:col min="1668" max="1668" width="8.83203125" hidden="0" customWidth="1"/>
    <x:col min="1669" max="1669" width="8.83203125" hidden="0" customWidth="1"/>
    <x:col min="1670" max="1670" width="8.83203125" hidden="0" customWidth="1"/>
    <x:col min="1671" max="1671" width="8.83203125" hidden="0" customWidth="1"/>
    <x:col min="1672" max="1672" width="8.83203125" hidden="0" customWidth="1"/>
    <x:col min="1673" max="1673" width="8.83203125" hidden="0" customWidth="1"/>
    <x:col min="1674" max="1674" width="8.83203125" hidden="0" customWidth="1"/>
    <x:col min="1675" max="1675" width="8.83203125" hidden="0" customWidth="1"/>
    <x:col min="1676" max="1676" width="8.83203125" hidden="0" customWidth="1"/>
    <x:col min="1677" max="1677" width="8.83203125" hidden="0" customWidth="1"/>
    <x:col min="1678" max="1678" width="8.83203125" hidden="0" customWidth="1"/>
    <x:col min="1679" max="1679" width="8.83203125" hidden="0" customWidth="1"/>
    <x:col min="1680" max="1680" width="8.83203125" hidden="0" customWidth="1"/>
    <x:col min="1681" max="1681" width="8.83203125" hidden="0" customWidth="1"/>
    <x:col min="1682" max="1682" width="8.83203125" hidden="0" customWidth="1"/>
    <x:col min="1683" max="1683" width="8.83203125" hidden="0" customWidth="1"/>
    <x:col min="1684" max="1684" width="8.83203125" hidden="0" customWidth="1"/>
    <x:col min="1685" max="1685" width="8.83203125" hidden="0" customWidth="1"/>
    <x:col min="1686" max="1686" width="8.83203125" hidden="0" customWidth="1"/>
    <x:col min="1687" max="1687" width="8.83203125" hidden="0" customWidth="1"/>
    <x:col min="1688" max="1688" width="8.83203125" hidden="0" customWidth="1"/>
    <x:col min="1689" max="1689" width="8.83203125" hidden="0" customWidth="1"/>
    <x:col min="1690" max="1690" width="8.83203125" hidden="0" customWidth="1"/>
    <x:col min="1691" max="1691" width="8.83203125" hidden="0" customWidth="1"/>
    <x:col min="1692" max="1692" width="8.83203125" hidden="0" customWidth="1"/>
    <x:col min="1693" max="1693" width="8.83203125" hidden="0" customWidth="1"/>
    <x:col min="1694" max="1694" width="8.83203125" hidden="0" customWidth="1"/>
    <x:col min="1695" max="1695" width="8.83203125" hidden="0" customWidth="1"/>
    <x:col min="1696" max="1696" width="8.83203125" hidden="0" customWidth="1"/>
    <x:col min="1697" max="1697" width="8.83203125" hidden="0" customWidth="1"/>
    <x:col min="1698" max="1698" width="8.83203125" hidden="0" customWidth="1"/>
    <x:col min="1699" max="1699" width="8.83203125" hidden="0" customWidth="1"/>
    <x:col min="1700" max="1700" width="8.83203125" hidden="0" customWidth="1"/>
    <x:col min="1701" max="1701" width="8.83203125" hidden="0" customWidth="1"/>
    <x:col min="1702" max="1702" width="8.83203125" hidden="0" customWidth="1"/>
    <x:col min="1703" max="1703" width="8.83203125" hidden="0" customWidth="1"/>
    <x:col min="1704" max="1704" width="8.83203125" hidden="0" customWidth="1"/>
    <x:col min="1705" max="1705" width="8.83203125" hidden="0" customWidth="1"/>
    <x:col min="1706" max="1706" width="8.83203125" hidden="0" customWidth="1"/>
    <x:col min="1707" max="1707" width="8.83203125" hidden="0" customWidth="1"/>
    <x:col min="1708" max="1708" width="8.83203125" hidden="0" customWidth="1"/>
    <x:col min="1709" max="1709" width="8.83203125" hidden="0" customWidth="1"/>
    <x:col min="1710" max="1710" width="8.83203125" hidden="0" customWidth="1"/>
    <x:col min="1711" max="1711" width="8.83203125" hidden="0" customWidth="1"/>
    <x:col min="1712" max="1712" width="8.83203125" hidden="0" customWidth="1"/>
    <x:col min="1713" max="1713" width="8.83203125" hidden="0" customWidth="1"/>
    <x:col min="1714" max="1714" width="8.83203125" hidden="0" customWidth="1"/>
    <x:col min="1715" max="1715" width="8.83203125" hidden="0" customWidth="1"/>
    <x:col min="1716" max="1716" width="8.83203125" hidden="0" customWidth="1"/>
    <x:col min="1717" max="1717" width="8.83203125" hidden="0" customWidth="1"/>
    <x:col min="1718" max="1718" width="8.83203125" hidden="0" customWidth="1"/>
    <x:col min="1719" max="1719" width="8.83203125" hidden="0" customWidth="1"/>
    <x:col min="1720" max="1720" width="8.83203125" hidden="0" customWidth="1"/>
    <x:col min="1721" max="1721" width="8.83203125" hidden="0" customWidth="1"/>
    <x:col min="1722" max="1722" width="8.83203125" hidden="0" customWidth="1"/>
    <x:col min="1723" max="1723" width="8.83203125" hidden="0" customWidth="1"/>
    <x:col min="1724" max="1724" width="8.83203125" hidden="0" customWidth="1"/>
    <x:col min="1725" max="1725" width="8.83203125" hidden="0" customWidth="1"/>
    <x:col min="1726" max="1726" width="8.83203125" hidden="0" customWidth="1"/>
    <x:col min="1727" max="1727" width="8.83203125" hidden="0" customWidth="1"/>
    <x:col min="1728" max="1728" width="8.83203125" hidden="0" customWidth="1"/>
    <x:col min="1729" max="1729" width="8.83203125" hidden="0" customWidth="1"/>
    <x:col min="1730" max="1730" width="8.83203125" hidden="0" customWidth="1"/>
    <x:col min="1731" max="1731" width="8.83203125" hidden="0" customWidth="1"/>
    <x:col min="1732" max="1732" width="8.83203125" hidden="0" customWidth="1"/>
    <x:col min="1733" max="1733" width="8.83203125" hidden="0" customWidth="1"/>
    <x:col min="1734" max="1734" width="8.83203125" hidden="0" customWidth="1"/>
    <x:col min="1735" max="1735" width="8.83203125" hidden="0" customWidth="1"/>
    <x:col min="1736" max="1736" width="8.83203125" hidden="0" customWidth="1"/>
    <x:col min="1737" max="1737" width="8.83203125" hidden="0" customWidth="1"/>
    <x:col min="1738" max="1738" width="8.83203125" hidden="0" customWidth="1"/>
    <x:col min="1739" max="1739" width="8.83203125" hidden="0" customWidth="1"/>
    <x:col min="1740" max="1740" width="8.83203125" hidden="0" customWidth="1"/>
    <x:col min="1741" max="1741" width="8.83203125" hidden="0" customWidth="1"/>
    <x:col min="1742" max="1742" width="8.83203125" hidden="0" customWidth="1"/>
    <x:col min="1743" max="1743" width="8.83203125" hidden="0" customWidth="1"/>
    <x:col min="1744" max="1744" width="8.83203125" hidden="0" customWidth="1"/>
    <x:col min="1745" max="1745" width="8.83203125" hidden="0" customWidth="1"/>
    <x:col min="1746" max="1746" width="8.83203125" hidden="0" customWidth="1"/>
    <x:col min="1747" max="1747" width="8.83203125" hidden="0" customWidth="1"/>
    <x:col min="1748" max="1748" width="8.83203125" hidden="0" customWidth="1"/>
    <x:col min="1749" max="1749" width="8.83203125" hidden="0" customWidth="1"/>
    <x:col min="1750" max="1750" width="8.83203125" hidden="0" customWidth="1"/>
    <x:col min="1751" max="1751" width="8.83203125" hidden="0" customWidth="1"/>
    <x:col min="1752" max="1752" width="8.83203125" hidden="0" customWidth="1"/>
    <x:col min="1753" max="1753" width="8.83203125" hidden="0" customWidth="1"/>
    <x:col min="1754" max="1754" width="8.83203125" hidden="0" customWidth="1"/>
    <x:col min="1755" max="1755" width="8.83203125" hidden="0" customWidth="1"/>
    <x:col min="1756" max="1756" width="8.83203125" hidden="0" customWidth="1"/>
    <x:col min="1757" max="1757" width="8.83203125" hidden="0" customWidth="1"/>
    <x:col min="1758" max="1758" width="8.83203125" hidden="0" customWidth="1"/>
    <x:col min="1759" max="1759" width="8.83203125" hidden="0" customWidth="1"/>
    <x:col min="1760" max="1760" width="8.83203125" hidden="0" customWidth="1"/>
    <x:col min="1761" max="1761" width="8.83203125" hidden="0" customWidth="1"/>
    <x:col min="1762" max="1762" width="8.83203125" hidden="0" customWidth="1"/>
    <x:col min="1763" max="1763" width="8.83203125" hidden="0" customWidth="1"/>
    <x:col min="1764" max="1764" width="8.83203125" hidden="0" customWidth="1"/>
    <x:col min="1765" max="1765" width="8.83203125" hidden="0" customWidth="1"/>
    <x:col min="1766" max="1766" width="8.83203125" hidden="0" customWidth="1"/>
    <x:col min="1767" max="1767" width="8.83203125" hidden="0" customWidth="1"/>
    <x:col min="1768" max="1768" width="8.83203125" hidden="0" customWidth="1"/>
    <x:col min="1769" max="1769" width="8.83203125" hidden="0" customWidth="1"/>
    <x:col min="1770" max="1770" width="8.83203125" hidden="0" customWidth="1"/>
    <x:col min="1771" max="1771" width="8.83203125" hidden="0" customWidth="1"/>
    <x:col min="1772" max="1772" width="8.83203125" hidden="0" customWidth="1"/>
    <x:col min="1773" max="1773" width="8.83203125" hidden="0" customWidth="1"/>
    <x:col min="1774" max="1774" width="8.83203125" hidden="0" customWidth="1"/>
    <x:col min="1775" max="1775" width="8.83203125" hidden="0" customWidth="1"/>
    <x:col min="1776" max="1776" width="8.83203125" hidden="0" customWidth="1"/>
    <x:col min="1777" max="1777" width="8.83203125" hidden="0" customWidth="1"/>
    <x:col min="1778" max="1778" width="8.83203125" hidden="0" customWidth="1"/>
    <x:col min="1779" max="1779" width="8.83203125" hidden="0" customWidth="1"/>
    <x:col min="1780" max="1780" width="8.83203125" hidden="0" customWidth="1"/>
    <x:col min="1781" max="1781" width="8.83203125" hidden="0" customWidth="1"/>
    <x:col min="1782" max="1782" width="8.83203125" hidden="0" customWidth="1"/>
    <x:col min="1783" max="1783" width="8.83203125" hidden="0" customWidth="1"/>
    <x:col min="1784" max="1784" width="8.83203125" hidden="0" customWidth="1"/>
    <x:col min="1785" max="1785" width="8.83203125" hidden="0" customWidth="1"/>
    <x:col min="1786" max="1786" width="8.83203125" hidden="0" customWidth="1"/>
    <x:col min="1787" max="1787" width="8.83203125" hidden="0" customWidth="1"/>
    <x:col min="1788" max="1788" width="8.83203125" hidden="0" customWidth="1"/>
    <x:col min="1789" max="1789" width="8.83203125" hidden="0" customWidth="1"/>
    <x:col min="1790" max="1790" width="8.83203125" hidden="0" customWidth="1"/>
    <x:col min="1791" max="1791" width="8.83203125" hidden="0" customWidth="1"/>
    <x:col min="1792" max="1792" width="8.83203125" hidden="0" customWidth="1"/>
    <x:col min="1793" max="1793" width="8.83203125" hidden="0" customWidth="1"/>
    <x:col min="1794" max="1794" width="8.83203125" hidden="0" customWidth="1"/>
    <x:col min="1795" max="1795" width="8.83203125" hidden="0" customWidth="1"/>
    <x:col min="1796" max="1796" width="8.83203125" hidden="0" customWidth="1"/>
    <x:col min="1797" max="1797" width="8.83203125" hidden="0" customWidth="1"/>
    <x:col min="1798" max="1798" width="8.83203125" hidden="0" customWidth="1"/>
    <x:col min="1799" max="1799" width="8.83203125" hidden="0" customWidth="1"/>
    <x:col min="1800" max="1800" width="8.83203125" hidden="0" customWidth="1"/>
    <x:col min="1801" max="1801" width="8.83203125" hidden="0" customWidth="1"/>
    <x:col min="1802" max="1802" width="8.83203125" hidden="0" customWidth="1"/>
    <x:col min="1803" max="1803" width="8.83203125" hidden="0" customWidth="1"/>
    <x:col min="1804" max="1804" width="8.83203125" hidden="0" customWidth="1"/>
    <x:col min="1805" max="1805" width="8.83203125" hidden="0" customWidth="1"/>
    <x:col min="1806" max="1806" width="8.83203125" hidden="0" customWidth="1"/>
    <x:col min="1807" max="1807" width="8.83203125" hidden="0" customWidth="1"/>
    <x:col min="1808" max="1808" width="8.83203125" hidden="0" customWidth="1"/>
    <x:col min="1809" max="1809" width="8.83203125" hidden="0" customWidth="1"/>
    <x:col min="1810" max="1810" width="8.83203125" hidden="0" customWidth="1"/>
    <x:col min="1811" max="1811" width="8.83203125" hidden="0" customWidth="1"/>
    <x:col min="1812" max="1812" width="8.83203125" hidden="0" customWidth="1"/>
    <x:col min="1813" max="1813" width="8.83203125" hidden="0" customWidth="1"/>
    <x:col min="1814" max="1814" width="8.83203125" hidden="0" customWidth="1"/>
    <x:col min="1815" max="1815" width="8.83203125" hidden="0" customWidth="1"/>
    <x:col min="1816" max="1816" width="8.83203125" hidden="0" customWidth="1"/>
    <x:col min="1817" max="1817" width="8.83203125" hidden="0" customWidth="1"/>
    <x:col min="1818" max="1818" width="8.83203125" hidden="0" customWidth="1"/>
    <x:col min="1819" max="1819" width="8.83203125" hidden="0" customWidth="1"/>
    <x:col min="1820" max="1820" width="8.83203125" hidden="0" customWidth="1"/>
    <x:col min="1821" max="1821" width="8.83203125" hidden="0" customWidth="1"/>
    <x:col min="1822" max="1822" width="8.83203125" hidden="0" customWidth="1"/>
    <x:col min="1823" max="1823" width="8.83203125" hidden="0" customWidth="1"/>
    <x:col min="1824" max="1824" width="8.83203125" hidden="0" customWidth="1"/>
    <x:col min="1825" max="1825" width="8.83203125" hidden="0" customWidth="1"/>
    <x:col min="1826" max="1826" width="8.83203125" hidden="0" customWidth="1"/>
    <x:col min="1827" max="1827" width="8.83203125" hidden="0" customWidth="1"/>
    <x:col min="1828" max="1828" width="8.83203125" hidden="0" customWidth="1"/>
    <x:col min="1829" max="1829" width="8.83203125" hidden="0" customWidth="1"/>
    <x:col min="1830" max="1830" width="8.83203125" hidden="0" customWidth="1"/>
    <x:col min="1831" max="1831" width="8.83203125" hidden="0" customWidth="1"/>
    <x:col min="1832" max="1832" width="8.83203125" hidden="0" customWidth="1"/>
    <x:col min="1833" max="1833" width="8.83203125" hidden="0" customWidth="1"/>
    <x:col min="1834" max="1834" width="8.83203125" hidden="0" customWidth="1"/>
    <x:col min="1835" max="1835" width="8.83203125" hidden="0" customWidth="1"/>
    <x:col min="1836" max="1836" width="8.83203125" hidden="0" customWidth="1"/>
    <x:col min="1837" max="1837" width="8.83203125" hidden="0" customWidth="1"/>
    <x:col min="1838" max="1838" width="8.83203125" hidden="0" customWidth="1"/>
    <x:col min="1839" max="1839" width="8.83203125" hidden="0" customWidth="1"/>
    <x:col min="1840" max="1840" width="8.83203125" hidden="0" customWidth="1"/>
    <x:col min="1841" max="1841" width="8.83203125" hidden="0" customWidth="1"/>
    <x:col min="1842" max="1842" width="8.83203125" hidden="0" customWidth="1"/>
    <x:col min="1843" max="1843" width="8.83203125" hidden="0" customWidth="1"/>
    <x:col min="1844" max="1844" width="8.83203125" hidden="0" customWidth="1"/>
    <x:col min="1845" max="1845" width="8.83203125" hidden="0" customWidth="1"/>
    <x:col min="1846" max="1846" width="8.83203125" hidden="0" customWidth="1"/>
    <x:col min="1847" max="1847" width="8.83203125" hidden="0" customWidth="1"/>
    <x:col min="1848" max="1848" width="8.83203125" hidden="0" customWidth="1"/>
    <x:col min="1849" max="1849" width="8.83203125" hidden="0" customWidth="1"/>
    <x:col min="1850" max="1850" width="8.83203125" hidden="0" customWidth="1"/>
    <x:col min="1851" max="1851" width="8.83203125" hidden="0" customWidth="1"/>
    <x:col min="1852" max="1852" width="8.83203125" hidden="0" customWidth="1"/>
    <x:col min="1853" max="1853" width="8.83203125" hidden="0" customWidth="1"/>
    <x:col min="1854" max="1854" width="8.83203125" hidden="0" customWidth="1"/>
    <x:col min="1855" max="1855" width="8.83203125" hidden="0" customWidth="1"/>
    <x:col min="1856" max="1856" width="8.83203125" hidden="0" customWidth="1"/>
    <x:col min="1857" max="1857" width="8.83203125" hidden="0" customWidth="1"/>
    <x:col min="1858" max="1858" width="8.83203125" hidden="0" customWidth="1"/>
    <x:col min="1859" max="1859" width="8.83203125" hidden="0" customWidth="1"/>
    <x:col min="1860" max="1860" width="8.83203125" hidden="0" customWidth="1"/>
    <x:col min="1861" max="1861" width="8.83203125" hidden="0" customWidth="1"/>
    <x:col min="1862" max="1862" width="8.83203125" hidden="0" customWidth="1"/>
    <x:col min="1863" max="1863" width="8.83203125" hidden="0" customWidth="1"/>
    <x:col min="1864" max="1864" width="8.83203125" hidden="0" customWidth="1"/>
    <x:col min="1865" max="1865" width="8.83203125" hidden="0" customWidth="1"/>
    <x:col min="1866" max="1866" width="8.83203125" hidden="0" customWidth="1"/>
    <x:col min="1867" max="1867" width="8.83203125" hidden="0" customWidth="1"/>
    <x:col min="1868" max="1868" width="8.83203125" hidden="0" customWidth="1"/>
    <x:col min="1869" max="1869" width="8.83203125" hidden="0" customWidth="1"/>
    <x:col min="1870" max="1870" width="8.83203125" hidden="0" customWidth="1"/>
    <x:col min="1871" max="1871" width="8.83203125" hidden="0" customWidth="1"/>
    <x:col min="1872" max="1872" width="8.83203125" hidden="0" customWidth="1"/>
    <x:col min="1873" max="1873" width="8.83203125" hidden="0" customWidth="1"/>
    <x:col min="1874" max="1874" width="8.83203125" hidden="0" customWidth="1"/>
    <x:col min="1875" max="1875" width="8.83203125" hidden="0" customWidth="1"/>
    <x:col min="1876" max="1876" width="8.83203125" hidden="0" customWidth="1"/>
    <x:col min="1877" max="1877" width="8.83203125" hidden="0" customWidth="1"/>
    <x:col min="1878" max="1878" width="8.83203125" hidden="0" customWidth="1"/>
    <x:col min="1879" max="1879" width="8.83203125" hidden="0" customWidth="1"/>
    <x:col min="1880" max="1880" width="8.83203125" hidden="0" customWidth="1"/>
    <x:col min="1881" max="1881" width="8.83203125" hidden="0" customWidth="1"/>
    <x:col min="1882" max="1882" width="8.83203125" hidden="0" customWidth="1"/>
    <x:col min="1883" max="1883" width="8.83203125" hidden="0" customWidth="1"/>
    <x:col min="1884" max="1884" width="8.83203125" hidden="0" customWidth="1"/>
    <x:col min="1885" max="1885" width="8.83203125" hidden="0" customWidth="1"/>
    <x:col min="1886" max="1886" width="8.83203125" hidden="0" customWidth="1"/>
    <x:col min="1887" max="1887" width="8.83203125" hidden="0" customWidth="1"/>
    <x:col min="1888" max="1888" width="8.83203125" hidden="0" customWidth="1"/>
    <x:col min="1889" max="1889" width="8.83203125" hidden="0" customWidth="1"/>
    <x:col min="1890" max="1890" width="8.83203125" hidden="0" customWidth="1"/>
    <x:col min="1891" max="1891" width="8.83203125" hidden="0" customWidth="1"/>
    <x:col min="1892" max="1892" width="8.83203125" hidden="0" customWidth="1"/>
    <x:col min="1893" max="1893" width="8.83203125" hidden="0" customWidth="1"/>
    <x:col min="1894" max="1894" width="8.83203125" hidden="0" customWidth="1"/>
    <x:col min="1895" max="1895" width="8.83203125" hidden="0" customWidth="1"/>
    <x:col min="1896" max="1896" width="8.83203125" hidden="0" customWidth="1"/>
    <x:col min="1897" max="1897" width="8.83203125" hidden="0" customWidth="1"/>
    <x:col min="1898" max="1898" width="8.83203125" hidden="0" customWidth="1"/>
    <x:col min="1899" max="1899" width="8.83203125" hidden="0" customWidth="1"/>
    <x:col min="1900" max="1900" width="8.83203125" hidden="0" customWidth="1"/>
    <x:col min="1901" max="1901" width="8.83203125" hidden="0" customWidth="1"/>
    <x:col min="1902" max="1902" width="8.83203125" hidden="0" customWidth="1"/>
    <x:col min="1903" max="1903" width="8.83203125" hidden="0" customWidth="1"/>
    <x:col min="1904" max="1904" width="8.83203125" hidden="0" customWidth="1"/>
    <x:col min="1905" max="1905" width="8.83203125" hidden="0" customWidth="1"/>
    <x:col min="1906" max="1906" width="8.83203125" hidden="0" customWidth="1"/>
    <x:col min="1907" max="1907" width="8.83203125" hidden="0" customWidth="1"/>
    <x:col min="1908" max="1908" width="8.83203125" hidden="0" customWidth="1"/>
    <x:col min="1909" max="1909" width="8.83203125" hidden="0" customWidth="1"/>
    <x:col min="1910" max="1910" width="8.83203125" hidden="0" customWidth="1"/>
    <x:col min="1911" max="1911" width="8.83203125" hidden="0" customWidth="1"/>
    <x:col min="1912" max="1912" width="8.83203125" hidden="0" customWidth="1"/>
    <x:col min="1913" max="1913" width="8.83203125" hidden="0" customWidth="1"/>
    <x:col min="1914" max="1914" width="8.83203125" hidden="0" customWidth="1"/>
    <x:col min="1915" max="1915" width="8.83203125" hidden="0" customWidth="1"/>
    <x:col min="1916" max="1916" width="8.83203125" hidden="0" customWidth="1"/>
    <x:col min="1917" max="1917" width="8.83203125" hidden="0" customWidth="1"/>
    <x:col min="1918" max="1918" width="8.83203125" hidden="0" customWidth="1"/>
    <x:col min="1919" max="1919" width="8.83203125" hidden="0" customWidth="1"/>
    <x:col min="1920" max="1920" width="8.83203125" hidden="0" customWidth="1"/>
    <x:col min="1921" max="1921" width="8.83203125" hidden="0" customWidth="1"/>
    <x:col min="1922" max="1922" width="8.83203125" hidden="0" customWidth="1"/>
    <x:col min="1923" max="1923" width="8.83203125" hidden="0" customWidth="1"/>
    <x:col min="1924" max="1924" width="8.83203125" hidden="0" customWidth="1"/>
    <x:col min="1925" max="1925" width="8.83203125" hidden="0" customWidth="1"/>
    <x:col min="1926" max="1926" width="8.83203125" hidden="0" customWidth="1"/>
    <x:col min="1927" max="1927" width="8.83203125" hidden="0" customWidth="1"/>
    <x:col min="1928" max="1928" width="8.83203125" hidden="0" customWidth="1"/>
    <x:col min="1929" max="1929" width="8.83203125" hidden="0" customWidth="1"/>
    <x:col min="1930" max="1930" width="8.83203125" hidden="0" customWidth="1"/>
    <x:col min="1931" max="1931" width="8.83203125" hidden="0" customWidth="1"/>
    <x:col min="1932" max="1932" width="8.83203125" hidden="0" customWidth="1"/>
    <x:col min="1933" max="1933" width="8.83203125" hidden="0" customWidth="1"/>
    <x:col min="1934" max="1934" width="8.83203125" hidden="0" customWidth="1"/>
    <x:col min="1935" max="1935" width="8.83203125" hidden="0" customWidth="1"/>
    <x:col min="1936" max="1936" width="8.83203125" hidden="0" customWidth="1"/>
    <x:col min="1937" max="1937" width="8.83203125" hidden="0" customWidth="1"/>
    <x:col min="1938" max="1938" width="8.83203125" hidden="0" customWidth="1"/>
    <x:col min="1939" max="1939" width="8.83203125" hidden="0" customWidth="1"/>
    <x:col min="1940" max="1940" width="8.83203125" hidden="0" customWidth="1"/>
    <x:col min="1941" max="1941" width="8.83203125" hidden="0" customWidth="1"/>
    <x:col min="1942" max="1942" width="8.83203125" hidden="0" customWidth="1"/>
    <x:col min="1943" max="1943" width="8.83203125" hidden="0" customWidth="1"/>
    <x:col min="1944" max="1944" width="8.83203125" hidden="0" customWidth="1"/>
    <x:col min="1945" max="1945" width="8.83203125" hidden="0" customWidth="1"/>
    <x:col min="1946" max="1946" width="8.83203125" hidden="0" customWidth="1"/>
    <x:col min="1947" max="1947" width="8.83203125" hidden="0" customWidth="1"/>
    <x:col min="1948" max="1948" width="8.83203125" hidden="0" customWidth="1"/>
    <x:col min="1949" max="1949" width="8.83203125" hidden="0" customWidth="1"/>
    <x:col min="1950" max="1950" width="8.83203125" hidden="0" customWidth="1"/>
    <x:col min="1951" max="1951" width="8.83203125" hidden="0" customWidth="1"/>
    <x:col min="1952" max="1952" width="8.83203125" hidden="0" customWidth="1"/>
    <x:col min="1953" max="1953" width="8.83203125" hidden="0" customWidth="1"/>
    <x:col min="1954" max="1954" width="8.83203125" hidden="0" customWidth="1"/>
    <x:col min="1955" max="1955" width="8.83203125" hidden="0" customWidth="1"/>
    <x:col min="1956" max="1956" width="8.83203125" hidden="0" customWidth="1"/>
    <x:col min="1957" max="1957" width="8.83203125" hidden="0" customWidth="1"/>
    <x:col min="1958" max="1958" width="8.83203125" hidden="0" customWidth="1"/>
    <x:col min="1959" max="1959" width="8.83203125" hidden="0" customWidth="1"/>
    <x:col min="1960" max="1960" width="8.83203125" hidden="0" customWidth="1"/>
    <x:col min="1961" max="1961" width="8.83203125" hidden="0" customWidth="1"/>
    <x:col min="1962" max="1962" width="8.83203125" hidden="0" customWidth="1"/>
    <x:col min="1963" max="1963" width="8.83203125" hidden="0" customWidth="1"/>
    <x:col min="1964" max="1964" width="8.83203125" hidden="0" customWidth="1"/>
    <x:col min="1965" max="1965" width="8.83203125" hidden="0" customWidth="1"/>
    <x:col min="1966" max="1966" width="8.83203125" hidden="0" customWidth="1"/>
    <x:col min="1967" max="1967" width="8.83203125" hidden="0" customWidth="1"/>
    <x:col min="1968" max="1968" width="8.83203125" hidden="0" customWidth="1"/>
    <x:col min="1969" max="1969" width="8.83203125" hidden="0" customWidth="1"/>
    <x:col min="1970" max="1970" width="8.83203125" hidden="0" customWidth="1"/>
    <x:col min="1971" max="1971" width="8.83203125" hidden="0" customWidth="1"/>
    <x:col min="1972" max="1972" width="8.83203125" hidden="0" customWidth="1"/>
    <x:col min="1973" max="1973" width="8.83203125" hidden="0" customWidth="1"/>
    <x:col min="1974" max="1974" width="8.83203125" hidden="0" customWidth="1"/>
    <x:col min="1975" max="1975" width="8.83203125" hidden="0" customWidth="1"/>
    <x:col min="1976" max="1976" width="8.83203125" hidden="0" customWidth="1"/>
    <x:col min="1977" max="1977" width="8.83203125" hidden="0" customWidth="1"/>
    <x:col min="1978" max="1978" width="8.83203125" hidden="0" customWidth="1"/>
    <x:col min="1979" max="1979" width="8.83203125" hidden="0" customWidth="1"/>
    <x:col min="1980" max="1980" width="8.83203125" hidden="0" customWidth="1"/>
    <x:col min="1981" max="1981" width="8.83203125" hidden="0" customWidth="1"/>
    <x:col min="1982" max="1982" width="8.83203125" hidden="0" customWidth="1"/>
    <x:col min="1983" max="1983" width="8.83203125" hidden="0" customWidth="1"/>
    <x:col min="1984" max="1984" width="8.83203125" hidden="0" customWidth="1"/>
    <x:col min="1985" max="1985" width="8.83203125" hidden="0" customWidth="1"/>
    <x:col min="1986" max="1986" width="8.83203125" hidden="0" customWidth="1"/>
    <x:col min="1987" max="1987" width="8.83203125" hidden="0" customWidth="1"/>
    <x:col min="1988" max="1988" width="8.83203125" hidden="0" customWidth="1"/>
    <x:col min="1989" max="1989" width="8.83203125" hidden="0" customWidth="1"/>
    <x:col min="1990" max="1990" width="8.83203125" hidden="0" customWidth="1"/>
    <x:col min="1991" max="1991" width="8.83203125" hidden="0" customWidth="1"/>
    <x:col min="1992" max="1992" width="8.83203125" hidden="0" customWidth="1"/>
    <x:col min="1993" max="1993" width="8.83203125" hidden="0" customWidth="1"/>
    <x:col min="1994" max="1994" width="8.83203125" hidden="0" customWidth="1"/>
    <x:col min="1995" max="1995" width="8.83203125" hidden="0" customWidth="1"/>
    <x:col min="1996" max="1996" width="8.83203125" hidden="0" customWidth="1"/>
    <x:col min="1997" max="1997" width="8.83203125" hidden="0" customWidth="1"/>
    <x:col min="1998" max="1998" width="8.83203125" hidden="0" customWidth="1"/>
    <x:col min="1999" max="1999" width="8.83203125" hidden="0" customWidth="1"/>
    <x:col min="2000" max="2000" width="8.83203125" hidden="0" customWidth="1"/>
    <x:col min="2001" max="2001" width="8.83203125" hidden="0" customWidth="1"/>
    <x:col min="2002" max="2002" width="8.83203125" hidden="0" customWidth="1"/>
    <x:col min="2003" max="2003" width="8.83203125" hidden="0" customWidth="1"/>
    <x:col min="2004" max="2004" width="8.83203125" hidden="0" customWidth="1"/>
    <x:col min="2005" max="2005" width="8.83203125" hidden="0" customWidth="1"/>
    <x:col min="2006" max="2006" width="8.83203125" hidden="0" customWidth="1"/>
    <x:col min="2007" max="2007" width="8.83203125" hidden="0" customWidth="1"/>
    <x:col min="2008" max="2008" width="8.83203125" hidden="0" customWidth="1"/>
    <x:col min="2009" max="2009" width="8.83203125" hidden="0" customWidth="1"/>
    <x:col min="2010" max="2010" width="8.83203125" hidden="0" customWidth="1"/>
    <x:col min="2011" max="2011" width="8.83203125" hidden="0" customWidth="1"/>
    <x:col min="2012" max="2012" width="8.83203125" hidden="0" customWidth="1"/>
    <x:col min="2013" max="2013" width="8.83203125" hidden="0" customWidth="1"/>
    <x:col min="2014" max="2014" width="8.83203125" hidden="0" customWidth="1"/>
    <x:col min="2015" max="2015" width="8.83203125" hidden="0" customWidth="1"/>
    <x:col min="2016" max="2016" width="8.83203125" hidden="0" customWidth="1"/>
    <x:col min="2017" max="2017" width="8.83203125" hidden="0" customWidth="1"/>
    <x:col min="2018" max="2018" width="8.83203125" hidden="0" customWidth="1"/>
    <x:col min="2019" max="2019" width="8.83203125" hidden="0" customWidth="1"/>
    <x:col min="2020" max="2020" width="8.83203125" hidden="0" customWidth="1"/>
    <x:col min="2021" max="2021" width="8.83203125" hidden="0" customWidth="1"/>
    <x:col min="2022" max="2022" width="8.83203125" hidden="0" customWidth="1"/>
    <x:col min="2023" max="2023" width="8.83203125" hidden="0" customWidth="1"/>
    <x:col min="2024" max="2024" width="8.83203125" hidden="0" customWidth="1"/>
    <x:col min="2025" max="2025" width="8.83203125" hidden="0" customWidth="1"/>
    <x:col min="2026" max="2026" width="8.83203125" hidden="0" customWidth="1"/>
    <x:col min="2027" max="2027" width="8.83203125" hidden="0" customWidth="1"/>
    <x:col min="2028" max="2028" width="8.83203125" hidden="0" customWidth="1"/>
    <x:col min="2029" max="2029" width="8.83203125" hidden="0" customWidth="1"/>
    <x:col min="2030" max="2030" width="8.83203125" hidden="0" customWidth="1"/>
    <x:col min="2031" max="2031" width="8.83203125" hidden="0" customWidth="1"/>
    <x:col min="2032" max="2032" width="8.83203125" hidden="0" customWidth="1"/>
    <x:col min="2033" max="2033" width="8.83203125" hidden="0" customWidth="1"/>
    <x:col min="2034" max="2034" width="8.83203125" hidden="0" customWidth="1"/>
    <x:col min="2035" max="2035" width="8.83203125" hidden="0" customWidth="1"/>
    <x:col min="2036" max="2036" width="8.83203125" hidden="0" customWidth="1"/>
    <x:col min="2037" max="2037" width="8.83203125" hidden="0" customWidth="1"/>
    <x:col min="2038" max="2038" width="8.83203125" hidden="0" customWidth="1"/>
    <x:col min="2039" max="2039" width="8.83203125" hidden="0" customWidth="1"/>
    <x:col min="2040" max="2040" width="8.83203125" hidden="0" customWidth="1"/>
    <x:col min="2041" max="2041" width="8.83203125" hidden="0" customWidth="1"/>
    <x:col min="2042" max="2042" width="8.83203125" hidden="0" customWidth="1"/>
    <x:col min="2043" max="2043" width="8.83203125" hidden="0" customWidth="1"/>
    <x:col min="2044" max="2044" width="8.83203125" hidden="0" customWidth="1"/>
    <x:col min="2045" max="2045" width="8.83203125" hidden="0" customWidth="1"/>
    <x:col min="2046" max="2046" width="8.83203125" hidden="0" customWidth="1"/>
    <x:col min="2047" max="2047" width="8.83203125" hidden="0" customWidth="1"/>
    <x:col min="2048" max="2048" width="8.83203125" hidden="0" customWidth="1"/>
    <x:col min="2049" max="2049" width="8.83203125" hidden="0" customWidth="1"/>
    <x:col min="2050" max="2050" width="8.83203125" hidden="0" customWidth="1"/>
    <x:col min="2051" max="2051" width="8.83203125" hidden="0" customWidth="1"/>
    <x:col min="2052" max="2052" width="8.83203125" hidden="0" customWidth="1"/>
    <x:col min="2053" max="2053" width="8.83203125" hidden="0" customWidth="1"/>
    <x:col min="2054" max="2054" width="8.83203125" hidden="0" customWidth="1"/>
    <x:col min="2055" max="2055" width="8.83203125" hidden="0" customWidth="1"/>
    <x:col min="2056" max="2056" width="8.83203125" hidden="0" customWidth="1"/>
    <x:col min="2057" max="2057" width="8.83203125" hidden="0" customWidth="1"/>
    <x:col min="2058" max="2058" width="8.83203125" hidden="0" customWidth="1"/>
    <x:col min="2059" max="2059" width="8.83203125" hidden="0" customWidth="1"/>
    <x:col min="2060" max="2060" width="8.83203125" hidden="0" customWidth="1"/>
    <x:col min="2061" max="2061" width="8.83203125" hidden="0" customWidth="1"/>
    <x:col min="2062" max="2062" width="8.83203125" hidden="0" customWidth="1"/>
    <x:col min="2063" max="2063" width="8.83203125" hidden="0" customWidth="1"/>
    <x:col min="2064" max="2064" width="8.83203125" hidden="0" customWidth="1"/>
    <x:col min="2065" max="2065" width="8.83203125" hidden="0" customWidth="1"/>
    <x:col min="2066" max="2066" width="8.83203125" hidden="0" customWidth="1"/>
    <x:col min="2067" max="2067" width="8.83203125" hidden="0" customWidth="1"/>
    <x:col min="2068" max="2068" width="8.83203125" hidden="0" customWidth="1"/>
    <x:col min="2069" max="2069" width="8.83203125" hidden="0" customWidth="1"/>
    <x:col min="2070" max="2070" width="8.83203125" hidden="0" customWidth="1"/>
    <x:col min="2071" max="2071" width="8.83203125" hidden="0" customWidth="1"/>
    <x:col min="2072" max="2072" width="8.83203125" hidden="0" customWidth="1"/>
    <x:col min="2073" max="2073" width="8.83203125" hidden="0" customWidth="1"/>
    <x:col min="2074" max="2074" width="8.83203125" hidden="0" customWidth="1"/>
    <x:col min="2075" max="2075" width="8.83203125" hidden="0" customWidth="1"/>
    <x:col min="2076" max="2076" width="8.83203125" hidden="0" customWidth="1"/>
    <x:col min="2077" max="2077" width="8.83203125" hidden="0" customWidth="1"/>
    <x:col min="2078" max="2078" width="8.83203125" hidden="0" customWidth="1"/>
    <x:col min="2079" max="2079" width="8.83203125" hidden="0" customWidth="1"/>
    <x:col min="2080" max="2080" width="8.83203125" hidden="0" customWidth="1"/>
    <x:col min="2081" max="2081" width="8.83203125" hidden="0" customWidth="1"/>
    <x:col min="2082" max="2082" width="8.83203125" hidden="0" customWidth="1"/>
    <x:col min="2083" max="2083" width="8.83203125" hidden="0" customWidth="1"/>
    <x:col min="2084" max="2084" width="8.83203125" hidden="0" customWidth="1"/>
    <x:col min="2085" max="2085" width="8.83203125" hidden="0" customWidth="1"/>
    <x:col min="2086" max="2086" width="8.83203125" hidden="0" customWidth="1"/>
    <x:col min="2087" max="2087" width="8.83203125" hidden="0" customWidth="1"/>
    <x:col min="2088" max="2088" width="8.83203125" hidden="0" customWidth="1"/>
    <x:col min="2089" max="2089" width="8.83203125" hidden="0" customWidth="1"/>
    <x:col min="2090" max="2090" width="8.83203125" hidden="0" customWidth="1"/>
    <x:col min="2091" max="2091" width="8.83203125" hidden="0" customWidth="1"/>
    <x:col min="2092" max="2092" width="8.83203125" hidden="0" customWidth="1"/>
    <x:col min="2093" max="2093" width="8.83203125" hidden="0" customWidth="1"/>
    <x:col min="2094" max="2094" width="8.83203125" hidden="0" customWidth="1"/>
    <x:col min="2095" max="2095" width="8.83203125" hidden="0" customWidth="1"/>
    <x:col min="2096" max="2096" width="8.83203125" hidden="0" customWidth="1"/>
    <x:col min="2097" max="2097" width="8.83203125" hidden="0" customWidth="1"/>
    <x:col min="2098" max="2098" width="8.83203125" hidden="0" customWidth="1"/>
    <x:col min="2099" max="2099" width="8.83203125" hidden="0" customWidth="1"/>
    <x:col min="2100" max="2100" width="8.83203125" hidden="0" customWidth="1"/>
    <x:col min="2101" max="2101" width="8.83203125" hidden="0" customWidth="1"/>
    <x:col min="2102" max="2102" width="8.83203125" hidden="0" customWidth="1"/>
    <x:col min="2103" max="2103" width="8.83203125" hidden="0" customWidth="1"/>
    <x:col min="2104" max="2104" width="8.83203125" hidden="0" customWidth="1"/>
    <x:col min="2105" max="2105" width="8.83203125" hidden="0" customWidth="1"/>
    <x:col min="2106" max="2106" width="8.83203125" hidden="0" customWidth="1"/>
    <x:col min="2107" max="2107" width="8.83203125" hidden="0" customWidth="1"/>
    <x:col min="2108" max="2108" width="8.83203125" hidden="0" customWidth="1"/>
    <x:col min="2109" max="2109" width="8.83203125" hidden="0" customWidth="1"/>
    <x:col min="2110" max="2110" width="8.83203125" hidden="0" customWidth="1"/>
    <x:col min="2111" max="2111" width="8.83203125" hidden="0" customWidth="1"/>
    <x:col min="2112" max="2112" width="8.83203125" hidden="0" customWidth="1"/>
    <x:col min="2113" max="2113" width="8.83203125" hidden="0" customWidth="1"/>
    <x:col min="2114" max="2114" width="8.83203125" hidden="0" customWidth="1"/>
    <x:col min="2115" max="2115" width="8.83203125" hidden="0" customWidth="1"/>
    <x:col min="2116" max="2116" width="8.83203125" hidden="0" customWidth="1"/>
    <x:col min="2117" max="2117" width="8.83203125" hidden="0" customWidth="1"/>
    <x:col min="2118" max="2118" width="8.83203125" hidden="0" customWidth="1"/>
    <x:col min="2119" max="2119" width="8.83203125" hidden="0" customWidth="1"/>
    <x:col min="2120" max="2120" width="8.83203125" hidden="0" customWidth="1"/>
    <x:col min="2121" max="2121" width="8.83203125" hidden="0" customWidth="1"/>
    <x:col min="2122" max="2122" width="8.83203125" hidden="0" customWidth="1"/>
    <x:col min="2123" max="2123" width="8.83203125" hidden="0" customWidth="1"/>
    <x:col min="2124" max="2124" width="8.83203125" hidden="0" customWidth="1"/>
    <x:col min="2125" max="2125" width="8.83203125" hidden="0" customWidth="1"/>
    <x:col min="2126" max="2126" width="8.83203125" hidden="0" customWidth="1"/>
    <x:col min="2127" max="2127" width="8.83203125" hidden="0" customWidth="1"/>
    <x:col min="2128" max="2128" width="8.83203125" hidden="0" customWidth="1"/>
    <x:col min="2129" max="2129" width="8.83203125" hidden="0" customWidth="1"/>
    <x:col min="2130" max="2130" width="8.83203125" hidden="0" customWidth="1"/>
    <x:col min="2131" max="2131" width="8.83203125" hidden="0" customWidth="1"/>
    <x:col min="2132" max="2132" width="8.83203125" hidden="0" customWidth="1"/>
    <x:col min="2133" max="2133" width="8.83203125" hidden="0" customWidth="1"/>
    <x:col min="2134" max="2134" width="8.83203125" hidden="0" customWidth="1"/>
    <x:col min="2135" max="2135" width="8.83203125" hidden="0" customWidth="1"/>
    <x:col min="2136" max="2136" width="8.83203125" hidden="0" customWidth="1"/>
    <x:col min="2137" max="2137" width="8.83203125" hidden="0" customWidth="1"/>
    <x:col min="2138" max="2138" width="8.83203125" hidden="0" customWidth="1"/>
    <x:col min="2139" max="2139" width="8.83203125" hidden="0" customWidth="1"/>
    <x:col min="2140" max="2140" width="8.83203125" hidden="0" customWidth="1"/>
    <x:col min="2141" max="2141" width="8.83203125" hidden="0" customWidth="1"/>
    <x:col min="2142" max="2142" width="8.83203125" hidden="0" customWidth="1"/>
    <x:col min="2143" max="2143" width="8.83203125" hidden="0" customWidth="1"/>
    <x:col min="2144" max="2144" width="8.83203125" hidden="0" customWidth="1"/>
    <x:col min="2145" max="2145" width="8.83203125" hidden="0" customWidth="1"/>
    <x:col min="2146" max="2146" width="8.83203125" hidden="0" customWidth="1"/>
    <x:col min="2147" max="2147" width="8.83203125" hidden="0" customWidth="1"/>
    <x:col min="2148" max="2148" width="8.83203125" hidden="0" customWidth="1"/>
    <x:col min="2149" max="2149" width="8.83203125" hidden="0" customWidth="1"/>
    <x:col min="2150" max="2150" width="8.83203125" hidden="0" customWidth="1"/>
    <x:col min="2151" max="2151" width="8.83203125" hidden="0" customWidth="1"/>
    <x:col min="2152" max="2152" width="8.83203125" hidden="0" customWidth="1"/>
    <x:col min="2153" max="2153" width="8.83203125" hidden="0" customWidth="1"/>
    <x:col min="2154" max="2154" width="8.83203125" hidden="0" customWidth="1"/>
    <x:col min="2155" max="2155" width="8.83203125" hidden="0" customWidth="1"/>
    <x:col min="2156" max="2156" width="8.83203125" hidden="0" customWidth="1"/>
    <x:col min="2157" max="2157" width="8.83203125" hidden="0" customWidth="1"/>
    <x:col min="2158" max="2158" width="8.83203125" hidden="0" customWidth="1"/>
    <x:col min="2159" max="2159" width="8.83203125" hidden="0" customWidth="1"/>
    <x:col min="2160" max="2160" width="8.83203125" hidden="0" customWidth="1"/>
    <x:col min="2161" max="2161" width="8.83203125" hidden="0" customWidth="1"/>
    <x:col min="2162" max="2162" width="8.83203125" hidden="0" customWidth="1"/>
    <x:col min="2163" max="2163" width="8.83203125" hidden="0" customWidth="1"/>
    <x:col min="2164" max="2164" width="8.83203125" hidden="0" customWidth="1"/>
    <x:col min="2165" max="2165" width="8.83203125" hidden="0" customWidth="1"/>
    <x:col min="2166" max="2166" width="8.83203125" hidden="0" customWidth="1"/>
    <x:col min="2167" max="2167" width="8.83203125" hidden="0" customWidth="1"/>
    <x:col min="2168" max="2168" width="8.83203125" hidden="0" customWidth="1"/>
    <x:col min="2169" max="2169" width="8.83203125" hidden="0" customWidth="1"/>
    <x:col min="2170" max="2170" width="8.83203125" hidden="0" customWidth="1"/>
    <x:col min="2171" max="2171" width="8.83203125" hidden="0" customWidth="1"/>
    <x:col min="2172" max="2172" width="8.83203125" hidden="0" customWidth="1"/>
    <x:col min="2173" max="2173" width="8.83203125" hidden="0" customWidth="1"/>
    <x:col min="2174" max="2174" width="8.83203125" hidden="0" customWidth="1"/>
    <x:col min="2175" max="2175" width="8.83203125" hidden="0" customWidth="1"/>
    <x:col min="2176" max="2176" width="8.83203125" hidden="0" customWidth="1"/>
    <x:col min="2177" max="2177" width="8.83203125" hidden="0" customWidth="1"/>
    <x:col min="2178" max="2178" width="8.83203125" hidden="0" customWidth="1"/>
    <x:col min="2179" max="2179" width="8.83203125" hidden="0" customWidth="1"/>
    <x:col min="2180" max="2180" width="8.83203125" hidden="0" customWidth="1"/>
    <x:col min="2181" max="2181" width="8.83203125" hidden="0" customWidth="1"/>
    <x:col min="2182" max="2182" width="8.83203125" hidden="0" customWidth="1"/>
    <x:col min="2183" max="2183" width="8.83203125" hidden="0" customWidth="1"/>
    <x:col min="2184" max="2184" width="8.83203125" hidden="0" customWidth="1"/>
    <x:col min="2185" max="2185" width="8.83203125" hidden="0" customWidth="1"/>
    <x:col min="2186" max="2186" width="8.83203125" hidden="0" customWidth="1"/>
    <x:col min="2187" max="2187" width="8.83203125" hidden="0" customWidth="1"/>
    <x:col min="2188" max="2188" width="8.83203125" hidden="0" customWidth="1"/>
    <x:col min="2189" max="2189" width="8.83203125" hidden="0" customWidth="1"/>
    <x:col min="2190" max="2190" width="8.83203125" hidden="0" customWidth="1"/>
    <x:col min="2191" max="2191" width="8.83203125" hidden="0" customWidth="1"/>
    <x:col min="2192" max="2192" width="8.83203125" hidden="0" customWidth="1"/>
    <x:col min="2193" max="2193" width="8.83203125" hidden="0" customWidth="1"/>
    <x:col min="2194" max="2194" width="8.83203125" hidden="0" customWidth="1"/>
    <x:col min="2195" max="2195" width="8.83203125" hidden="0" customWidth="1"/>
    <x:col min="2196" max="2196" width="8.83203125" hidden="0" customWidth="1"/>
    <x:col min="2197" max="2197" width="8.83203125" hidden="0" customWidth="1"/>
    <x:col min="2198" max="2198" width="8.83203125" hidden="0" customWidth="1"/>
    <x:col min="2199" max="2199" width="8.83203125" hidden="0" customWidth="1"/>
    <x:col min="2200" max="2200" width="8.83203125" hidden="0" customWidth="1"/>
    <x:col min="2201" max="2201" width="8.83203125" hidden="0" customWidth="1"/>
    <x:col min="2202" max="2202" width="8.83203125" hidden="0" customWidth="1"/>
    <x:col min="2203" max="2203" width="8.83203125" hidden="0" customWidth="1"/>
    <x:col min="2204" max="2204" width="8.83203125" hidden="0" customWidth="1"/>
    <x:col min="2205" max="2205" width="8.83203125" hidden="0" customWidth="1"/>
    <x:col min="2206" max="2206" width="8.83203125" hidden="0" customWidth="1"/>
    <x:col min="2207" max="2207" width="8.83203125" hidden="0" customWidth="1"/>
    <x:col min="2208" max="2208" width="8.83203125" hidden="0" customWidth="1"/>
    <x:col min="2209" max="2209" width="8.83203125" hidden="0" customWidth="1"/>
    <x:col min="2210" max="2210" width="8.83203125" hidden="0" customWidth="1"/>
    <x:col min="2211" max="2211" width="8.83203125" hidden="0" customWidth="1"/>
    <x:col min="2212" max="2212" width="8.83203125" hidden="0" customWidth="1"/>
    <x:col min="2213" max="2213" width="8.83203125" hidden="0" customWidth="1"/>
    <x:col min="2214" max="2214" width="8.83203125" hidden="0" customWidth="1"/>
    <x:col min="2215" max="2215" width="8.83203125" hidden="0" customWidth="1"/>
    <x:col min="2216" max="2216" width="8.83203125" hidden="0" customWidth="1"/>
    <x:col min="2217" max="2217" width="8.83203125" hidden="0" customWidth="1"/>
    <x:col min="2218" max="2218" width="8.83203125" hidden="0" customWidth="1"/>
    <x:col min="2219" max="2219" width="8.83203125" hidden="0" customWidth="1"/>
    <x:col min="2220" max="2220" width="8.83203125" hidden="0" customWidth="1"/>
    <x:col min="2221" max="2221" width="8.83203125" hidden="0" customWidth="1"/>
    <x:col min="2222" max="2222" width="8.83203125" hidden="0" customWidth="1"/>
    <x:col min="2223" max="2223" width="8.83203125" hidden="0" customWidth="1"/>
    <x:col min="2224" max="2224" width="8.83203125" hidden="0" customWidth="1"/>
    <x:col min="2225" max="2225" width="8.83203125" hidden="0" customWidth="1"/>
    <x:col min="2226" max="2226" width="8.83203125" hidden="0" customWidth="1"/>
    <x:col min="2227" max="2227" width="8.83203125" hidden="0" customWidth="1"/>
    <x:col min="2228" max="2228" width="8.83203125" hidden="0" customWidth="1"/>
    <x:col min="2229" max="2229" width="8.83203125" hidden="0" customWidth="1"/>
    <x:col min="2230" max="2230" width="8.83203125" hidden="0" customWidth="1"/>
    <x:col min="2231" max="2231" width="8.83203125" hidden="0" customWidth="1"/>
    <x:col min="2232" max="2232" width="8.83203125" hidden="0" customWidth="1"/>
    <x:col min="2233" max="2233" width="8.83203125" hidden="0" customWidth="1"/>
    <x:col min="2234" max="2234" width="8.83203125" hidden="0" customWidth="1"/>
    <x:col min="2235" max="2235" width="8.83203125" hidden="0" customWidth="1"/>
    <x:col min="2236" max="2236" width="8.83203125" hidden="0" customWidth="1"/>
    <x:col min="2237" max="2237" width="8.83203125" hidden="0" customWidth="1"/>
    <x:col min="2238" max="2238" width="8.83203125" hidden="0" customWidth="1"/>
    <x:col min="2239" max="2239" width="8.83203125" hidden="0" customWidth="1"/>
    <x:col min="2240" max="2240" width="8.83203125" hidden="0" customWidth="1"/>
    <x:col min="2241" max="2241" width="8.83203125" hidden="0" customWidth="1"/>
    <x:col min="2242" max="2242" width="8.83203125" hidden="0" customWidth="1"/>
    <x:col min="2243" max="2243" width="8.83203125" hidden="0" customWidth="1"/>
    <x:col min="2244" max="2244" width="8.83203125" hidden="0" customWidth="1"/>
    <x:col min="2245" max="2245" width="8.83203125" hidden="0" customWidth="1"/>
    <x:col min="2246" max="2246" width="8.83203125" hidden="0" customWidth="1"/>
    <x:col min="2247" max="2247" width="8.83203125" hidden="0" customWidth="1"/>
    <x:col min="2248" max="2248" width="8.83203125" hidden="0" customWidth="1"/>
    <x:col min="2249" max="2249" width="8.83203125" hidden="0" customWidth="1"/>
    <x:col min="2250" max="2250" width="8.83203125" hidden="0" customWidth="1"/>
    <x:col min="2251" max="2251" width="8.83203125" hidden="0" customWidth="1"/>
    <x:col min="2252" max="2252" width="8.83203125" hidden="0" customWidth="1"/>
    <x:col min="2253" max="2253" width="8.83203125" hidden="0" customWidth="1"/>
    <x:col min="2254" max="2254" width="8.83203125" hidden="0" customWidth="1"/>
    <x:col min="2255" max="2255" width="8.83203125" hidden="0" customWidth="1"/>
    <x:col min="2256" max="2256" width="8.83203125" hidden="0" customWidth="1"/>
    <x:col min="2257" max="2257" width="8.83203125" hidden="0" customWidth="1"/>
    <x:col min="2258" max="2258" width="8.83203125" hidden="0" customWidth="1"/>
    <x:col min="2259" max="2259" width="8.83203125" hidden="0" customWidth="1"/>
    <x:col min="2260" max="2260" width="8.83203125" hidden="0" customWidth="1"/>
    <x:col min="2261" max="2261" width="8.83203125" hidden="0" customWidth="1"/>
    <x:col min="2262" max="2262" width="8.83203125" hidden="0" customWidth="1"/>
    <x:col min="2263" max="2263" width="8.83203125" hidden="0" customWidth="1"/>
    <x:col min="2264" max="2264" width="8.83203125" hidden="0" customWidth="1"/>
    <x:col min="2265" max="2265" width="8.83203125" hidden="0" customWidth="1"/>
    <x:col min="2266" max="2266" width="8.83203125" hidden="0" customWidth="1"/>
    <x:col min="2267" max="2267" width="8.83203125" hidden="0" customWidth="1"/>
    <x:col min="2268" max="2268" width="8.83203125" hidden="0" customWidth="1"/>
    <x:col min="2269" max="2269" width="8.83203125" hidden="0" customWidth="1"/>
    <x:col min="2270" max="2270" width="8.83203125" hidden="0" customWidth="1"/>
    <x:col min="2271" max="2271" width="8.83203125" hidden="0" customWidth="1"/>
    <x:col min="2272" max="2272" width="8.83203125" hidden="0" customWidth="1"/>
    <x:col min="2273" max="2273" width="8.83203125" hidden="0" customWidth="1"/>
    <x:col min="2274" max="2274" width="8.83203125" hidden="0" customWidth="1"/>
    <x:col min="2275" max="2275" width="8.83203125" hidden="0" customWidth="1"/>
    <x:col min="2276" max="2276" width="8.83203125" hidden="0" customWidth="1"/>
    <x:col min="2277" max="2277" width="8.83203125" hidden="0" customWidth="1"/>
    <x:col min="2278" max="2278" width="8.83203125" hidden="0" customWidth="1"/>
    <x:col min="2279" max="2279" width="8.83203125" hidden="0" customWidth="1"/>
    <x:col min="2280" max="2280" width="8.83203125" hidden="0" customWidth="1"/>
    <x:col min="2281" max="2281" width="8.83203125" hidden="0" customWidth="1"/>
    <x:col min="2282" max="2282" width="8.83203125" hidden="0" customWidth="1"/>
    <x:col min="2283" max="2283" width="8.83203125" hidden="0" customWidth="1"/>
    <x:col min="2284" max="2284" width="8.83203125" hidden="0" customWidth="1"/>
    <x:col min="2285" max="2285" width="8.83203125" hidden="0" customWidth="1"/>
    <x:col min="2286" max="2286" width="8.83203125" hidden="0" customWidth="1"/>
    <x:col min="2287" max="2287" width="8.83203125" hidden="0" customWidth="1"/>
    <x:col min="2288" max="2288" width="8.83203125" hidden="0" customWidth="1"/>
    <x:col min="2289" max="2289" width="8.83203125" hidden="0" customWidth="1"/>
    <x:col min="2290" max="2290" width="8.83203125" hidden="0" customWidth="1"/>
    <x:col min="2291" max="2291" width="8.83203125" hidden="0" customWidth="1"/>
    <x:col min="2292" max="2292" width="8.83203125" hidden="0" customWidth="1"/>
    <x:col min="2293" max="2293" width="8.83203125" hidden="0" customWidth="1"/>
    <x:col min="2294" max="2294" width="8.83203125" hidden="0" customWidth="1"/>
    <x:col min="2295" max="2295" width="8.83203125" hidden="0" customWidth="1"/>
    <x:col min="2296" max="2296" width="8.83203125" hidden="0" customWidth="1"/>
    <x:col min="2297" max="2297" width="8.83203125" hidden="0" customWidth="1"/>
    <x:col min="2298" max="2298" width="8.83203125" hidden="0" customWidth="1"/>
    <x:col min="2299" max="2299" width="8.83203125" hidden="0" customWidth="1"/>
    <x:col min="2300" max="2300" width="8.83203125" hidden="0" customWidth="1"/>
    <x:col min="2301" max="2301" width="8.83203125" hidden="0" customWidth="1"/>
    <x:col min="2302" max="2302" width="8.83203125" hidden="0" customWidth="1"/>
    <x:col min="2303" max="2303" width="8.83203125" hidden="0" customWidth="1"/>
    <x:col min="2304" max="2304" width="8.83203125" hidden="0" customWidth="1"/>
    <x:col min="2305" max="2305" width="8.83203125" hidden="0" customWidth="1"/>
    <x:col min="2306" max="2306" width="8.83203125" hidden="0" customWidth="1"/>
    <x:col min="2307" max="2307" width="8.83203125" hidden="0" customWidth="1"/>
    <x:col min="2308" max="2308" width="8.83203125" hidden="0" customWidth="1"/>
    <x:col min="2309" max="2309" width="8.83203125" hidden="0" customWidth="1"/>
    <x:col min="2310" max="2310" width="8.83203125" hidden="0" customWidth="1"/>
    <x:col min="2311" max="2311" width="8.83203125" hidden="0" customWidth="1"/>
    <x:col min="2312" max="2312" width="8.83203125" hidden="0" customWidth="1"/>
    <x:col min="2313" max="2313" width="8.83203125" hidden="0" customWidth="1"/>
    <x:col min="2314" max="2314" width="8.83203125" hidden="0" customWidth="1"/>
    <x:col min="2315" max="2315" width="8.83203125" hidden="0" customWidth="1"/>
    <x:col min="2316" max="2316" width="8.83203125" hidden="0" customWidth="1"/>
    <x:col min="2317" max="2317" width="8.83203125" hidden="0" customWidth="1"/>
    <x:col min="2318" max="2318" width="8.83203125" hidden="0" customWidth="1"/>
    <x:col min="2319" max="2319" width="8.83203125" hidden="0" customWidth="1"/>
    <x:col min="2320" max="2320" width="8.83203125" hidden="0" customWidth="1"/>
    <x:col min="2321" max="2321" width="8.83203125" hidden="0" customWidth="1"/>
    <x:col min="2322" max="2322" width="8.83203125" hidden="0" customWidth="1"/>
    <x:col min="2323" max="2323" width="8.83203125" hidden="0" customWidth="1"/>
    <x:col min="2324" max="2324" width="8.83203125" hidden="0" customWidth="1"/>
    <x:col min="2325" max="2325" width="8.83203125" hidden="0" customWidth="1"/>
    <x:col min="2326" max="2326" width="8.83203125" hidden="0" customWidth="1"/>
    <x:col min="2327" max="2327" width="8.83203125" hidden="0" customWidth="1"/>
    <x:col min="2328" max="2328" width="8.83203125" hidden="0" customWidth="1"/>
    <x:col min="2329" max="2329" width="8.83203125" hidden="0" customWidth="1"/>
    <x:col min="2330" max="2330" width="8.83203125" hidden="0" customWidth="1"/>
    <x:col min="2331" max="2331" width="8.83203125" hidden="0" customWidth="1"/>
    <x:col min="2332" max="2332" width="8.83203125" hidden="0" customWidth="1"/>
    <x:col min="2333" max="2333" width="8.83203125" hidden="0" customWidth="1"/>
    <x:col min="2334" max="2334" width="8.83203125" hidden="0" customWidth="1"/>
    <x:col min="2335" max="2335" width="8.83203125" hidden="0" customWidth="1"/>
    <x:col min="2336" max="2336" width="8.83203125" hidden="0" customWidth="1"/>
    <x:col min="2337" max="2337" width="8.83203125" hidden="0" customWidth="1"/>
    <x:col min="2338" max="2338" width="8.83203125" hidden="0" customWidth="1"/>
    <x:col min="2339" max="2339" width="8.83203125" hidden="0" customWidth="1"/>
    <x:col min="2340" max="2340" width="8.83203125" hidden="0" customWidth="1"/>
    <x:col min="2341" max="2341" width="8.83203125" hidden="0" customWidth="1"/>
    <x:col min="2342" max="2342" width="8.83203125" hidden="0" customWidth="1"/>
    <x:col min="2343" max="2343" width="8.83203125" hidden="0" customWidth="1"/>
    <x:col min="2344" max="2344" width="8.83203125" hidden="0" customWidth="1"/>
    <x:col min="2345" max="2345" width="8.83203125" hidden="0" customWidth="1"/>
    <x:col min="2346" max="2346" width="8.83203125" hidden="0" customWidth="1"/>
    <x:col min="2347" max="2347" width="8.83203125" hidden="0" customWidth="1"/>
    <x:col min="2348" max="2348" width="8.83203125" hidden="0" customWidth="1"/>
    <x:col min="2349" max="2349" width="8.83203125" hidden="0" customWidth="1"/>
    <x:col min="2350" max="2350" width="8.83203125" hidden="0" customWidth="1"/>
    <x:col min="2351" max="2351" width="8.83203125" hidden="0" customWidth="1"/>
    <x:col min="2352" max="2352" width="8.83203125" hidden="0" customWidth="1"/>
    <x:col min="2353" max="2353" width="8.83203125" hidden="0" customWidth="1"/>
    <x:col min="2354" max="2354" width="8.83203125" hidden="0" customWidth="1"/>
    <x:col min="2355" max="2355" width="8.83203125" hidden="0" customWidth="1"/>
    <x:col min="2356" max="2356" width="8.83203125" hidden="0" customWidth="1"/>
    <x:col min="2357" max="2357" width="8.83203125" hidden="0" customWidth="1"/>
    <x:col min="2358" max="2358" width="8.83203125" hidden="0" customWidth="1"/>
    <x:col min="2359" max="2359" width="8.83203125" hidden="0" customWidth="1"/>
    <x:col min="2360" max="2360" width="8.83203125" hidden="0" customWidth="1"/>
    <x:col min="2361" max="2361" width="8.83203125" hidden="0" customWidth="1"/>
    <x:col min="2362" max="2362" width="8.83203125" hidden="0" customWidth="1"/>
    <x:col min="2363" max="2363" width="8.83203125" hidden="0" customWidth="1"/>
    <x:col min="2364" max="2364" width="8.83203125" hidden="0" customWidth="1"/>
    <x:col min="2365" max="2365" width="8.83203125" hidden="0" customWidth="1"/>
    <x:col min="2366" max="2366" width="8.83203125" hidden="0" customWidth="1"/>
    <x:col min="2367" max="2367" width="8.83203125" hidden="0" customWidth="1"/>
    <x:col min="2368" max="2368" width="8.83203125" hidden="0" customWidth="1"/>
    <x:col min="2369" max="2369" width="8.83203125" hidden="0" customWidth="1"/>
    <x:col min="2370" max="2370" width="8.83203125" hidden="0" customWidth="1"/>
    <x:col min="2371" max="2371" width="8.83203125" hidden="0" customWidth="1"/>
    <x:col min="2372" max="2372" width="8.83203125" hidden="0" customWidth="1"/>
    <x:col min="2373" max="2373" width="8.83203125" hidden="0" customWidth="1"/>
    <x:col min="2374" max="2374" width="8.83203125" hidden="0" customWidth="1"/>
    <x:col min="2375" max="2375" width="8.83203125" hidden="0" customWidth="1"/>
    <x:col min="2376" max="2376" width="8.83203125" hidden="0" customWidth="1"/>
    <x:col min="2377" max="2377" width="8.83203125" hidden="0" customWidth="1"/>
    <x:col min="2378" max="2378" width="8.83203125" hidden="0" customWidth="1"/>
    <x:col min="2379" max="2379" width="8.83203125" hidden="0" customWidth="1"/>
    <x:col min="2380" max="2380" width="8.83203125" hidden="0" customWidth="1"/>
    <x:col min="2381" max="2381" width="8.83203125" hidden="0" customWidth="1"/>
    <x:col min="2382" max="2382" width="8.83203125" hidden="0" customWidth="1"/>
    <x:col min="2383" max="2383" width="8.83203125" hidden="0" customWidth="1"/>
    <x:col min="2384" max="2384" width="8.83203125" hidden="0" customWidth="1"/>
    <x:col min="2385" max="2385" width="8.83203125" hidden="0" customWidth="1"/>
    <x:col min="2386" max="2386" width="8.83203125" hidden="0" customWidth="1"/>
    <x:col min="2387" max="2387" width="8.83203125" hidden="0" customWidth="1"/>
    <x:col min="2388" max="2388" width="8.83203125" hidden="0" customWidth="1"/>
    <x:col min="2389" max="2389" width="8.83203125" hidden="0" customWidth="1"/>
    <x:col min="2390" max="2390" width="8.83203125" hidden="0" customWidth="1"/>
    <x:col min="2391" max="2391" width="8.83203125" hidden="0" customWidth="1"/>
    <x:col min="2392" max="2392" width="8.83203125" hidden="0" customWidth="1"/>
    <x:col min="2393" max="2393" width="8.83203125" hidden="0" customWidth="1"/>
    <x:col min="2394" max="2394" width="8.83203125" hidden="0" customWidth="1"/>
    <x:col min="2395" max="2395" width="8.83203125" hidden="0" customWidth="1"/>
    <x:col min="2396" max="2396" width="8.83203125" hidden="0" customWidth="1"/>
    <x:col min="2397" max="2397" width="8.83203125" hidden="0" customWidth="1"/>
    <x:col min="2398" max="2398" width="8.83203125" hidden="0" customWidth="1"/>
    <x:col min="2399" max="2399" width="8.83203125" hidden="0" customWidth="1"/>
    <x:col min="2400" max="2400" width="8.83203125" hidden="0" customWidth="1"/>
    <x:col min="2401" max="2401" width="8.83203125" hidden="0" customWidth="1"/>
    <x:col min="2402" max="2402" width="8.83203125" hidden="0" customWidth="1"/>
    <x:col min="2403" max="2403" width="8.83203125" hidden="0" customWidth="1"/>
    <x:col min="2404" max="2404" width="8.83203125" hidden="0" customWidth="1"/>
    <x:col min="2405" max="2405" width="8.83203125" hidden="0" customWidth="1"/>
    <x:col min="2406" max="2406" width="8.83203125" hidden="0" customWidth="1"/>
    <x:col min="2407" max="2407" width="8.83203125" hidden="0" customWidth="1"/>
    <x:col min="2408" max="2408" width="8.83203125" hidden="0" customWidth="1"/>
    <x:col min="2409" max="2409" width="8.83203125" hidden="0" customWidth="1"/>
    <x:col min="2410" max="2410" width="8.83203125" hidden="0" customWidth="1"/>
    <x:col min="2411" max="2411" width="8.83203125" hidden="0" customWidth="1"/>
    <x:col min="2412" max="2412" width="8.83203125" hidden="0" customWidth="1"/>
    <x:col min="2413" max="2413" width="8.83203125" hidden="0" customWidth="1"/>
    <x:col min="2414" max="2414" width="8.83203125" hidden="0" customWidth="1"/>
    <x:col min="2415" max="2415" width="8.83203125" hidden="0" customWidth="1"/>
    <x:col min="2416" max="2416" width="8.83203125" hidden="0" customWidth="1"/>
    <x:col min="2417" max="2417" width="8.83203125" hidden="0" customWidth="1"/>
    <x:col min="2418" max="2418" width="8.83203125" hidden="0" customWidth="1"/>
    <x:col min="2419" max="2419" width="8.83203125" hidden="0" customWidth="1"/>
    <x:col min="2420" max="2420" width="8.83203125" hidden="0" customWidth="1"/>
    <x:col min="2421" max="2421" width="8.83203125" hidden="0" customWidth="1"/>
    <x:col min="2422" max="2422" width="8.83203125" hidden="0" customWidth="1"/>
    <x:col min="2423" max="2423" width="8.83203125" hidden="0" customWidth="1"/>
    <x:col min="2424" max="2424" width="8.83203125" hidden="0" customWidth="1"/>
    <x:col min="2425" max="2425" width="8.83203125" hidden="0" customWidth="1"/>
    <x:col min="2426" max="2426" width="8.83203125" hidden="0" customWidth="1"/>
    <x:col min="2427" max="2427" width="8.83203125" hidden="0" customWidth="1"/>
    <x:col min="2428" max="2428" width="8.83203125" hidden="0" customWidth="1"/>
    <x:col min="2429" max="2429" width="8.83203125" hidden="0" customWidth="1"/>
    <x:col min="2430" max="2430" width="8.83203125" hidden="0" customWidth="1"/>
    <x:col min="2431" max="2431" width="8.83203125" hidden="0" customWidth="1"/>
    <x:col min="2432" max="2432" width="8.83203125" hidden="0" customWidth="1"/>
    <x:col min="2433" max="2433" width="8.83203125" hidden="0" customWidth="1"/>
    <x:col min="2434" max="2434" width="8.83203125" hidden="0" customWidth="1"/>
    <x:col min="2435" max="2435" width="8.83203125" hidden="0" customWidth="1"/>
    <x:col min="2436" max="2436" width="8.83203125" hidden="0" customWidth="1"/>
    <x:col min="2437" max="2437" width="8.83203125" hidden="0" customWidth="1"/>
    <x:col min="2438" max="2438" width="8.83203125" hidden="0" customWidth="1"/>
    <x:col min="2439" max="2439" width="8.83203125" hidden="0" customWidth="1"/>
    <x:col min="2440" max="2440" width="8.83203125" hidden="0" customWidth="1"/>
    <x:col min="2441" max="2441" width="8.83203125" hidden="0" customWidth="1"/>
    <x:col min="2442" max="2442" width="8.83203125" hidden="0" customWidth="1"/>
    <x:col min="2443" max="2443" width="8.83203125" hidden="0" customWidth="1"/>
    <x:col min="2444" max="2444" width="8.83203125" hidden="0" customWidth="1"/>
    <x:col min="2445" max="2445" width="8.83203125" hidden="0" customWidth="1"/>
    <x:col min="2446" max="2446" width="8.83203125" hidden="0" customWidth="1"/>
    <x:col min="2447" max="2447" width="8.83203125" hidden="0" customWidth="1"/>
    <x:col min="2448" max="2448" width="8.83203125" hidden="0" customWidth="1"/>
    <x:col min="2449" max="2449" width="8.83203125" hidden="0" customWidth="1"/>
    <x:col min="2450" max="2450" width="8.83203125" hidden="0" customWidth="1"/>
    <x:col min="2451" max="2451" width="8.83203125" hidden="0" customWidth="1"/>
    <x:col min="2452" max="2452" width="8.83203125" hidden="0" customWidth="1"/>
    <x:col min="2453" max="2453" width="8.83203125" hidden="0" customWidth="1"/>
    <x:col min="2454" max="2454" width="8.83203125" hidden="0" customWidth="1"/>
    <x:col min="2455" max="2455" width="8.83203125" hidden="0" customWidth="1"/>
    <x:col min="2456" max="2456" width="8.83203125" hidden="0" customWidth="1"/>
    <x:col min="2457" max="2457" width="8.83203125" hidden="0" customWidth="1"/>
    <x:col min="2458" max="2458" width="8.83203125" hidden="0" customWidth="1"/>
    <x:col min="2459" max="2459" width="8.83203125" hidden="0" customWidth="1"/>
    <x:col min="2460" max="2460" width="8.83203125" hidden="0" customWidth="1"/>
    <x:col min="2461" max="2461" width="8.83203125" hidden="0" customWidth="1"/>
    <x:col min="2462" max="2462" width="8.83203125" hidden="0" customWidth="1"/>
    <x:col min="2463" max="2463" width="8.83203125" hidden="0" customWidth="1"/>
    <x:col min="2464" max="2464" width="8.83203125" hidden="0" customWidth="1"/>
    <x:col min="2465" max="2465" width="8.83203125" hidden="0" customWidth="1"/>
    <x:col min="2466" max="2466" width="8.83203125" hidden="0" customWidth="1"/>
    <x:col min="2467" max="2467" width="8.83203125" hidden="0" customWidth="1"/>
    <x:col min="2468" max="2468" width="8.83203125" hidden="0" customWidth="1"/>
    <x:col min="2469" max="2469" width="8.83203125" hidden="0" customWidth="1"/>
    <x:col min="2470" max="2470" width="8.83203125" hidden="0" customWidth="1"/>
    <x:col min="2471" max="2471" width="8.83203125" hidden="0" customWidth="1"/>
    <x:col min="2472" max="2472" width="8.83203125" hidden="0" customWidth="1"/>
    <x:col min="2473" max="2473" width="8.83203125" hidden="0" customWidth="1"/>
    <x:col min="2474" max="2474" width="8.83203125" hidden="0" customWidth="1"/>
    <x:col min="2475" max="2475" width="8.83203125" hidden="0" customWidth="1"/>
    <x:col min="2476" max="2476" width="8.83203125" hidden="0" customWidth="1"/>
    <x:col min="2477" max="2477" width="8.83203125" hidden="0" customWidth="1"/>
    <x:col min="2478" max="2478" width="8.83203125" hidden="0" customWidth="1"/>
    <x:col min="2479" max="2479" width="8.83203125" hidden="0" customWidth="1"/>
    <x:col min="2480" max="2480" width="8.83203125" hidden="0" customWidth="1"/>
    <x:col min="2481" max="2481" width="8.83203125" hidden="0" customWidth="1"/>
    <x:col min="2482" max="2482" width="8.83203125" hidden="0" customWidth="1"/>
    <x:col min="2483" max="2483" width="8.83203125" hidden="0" customWidth="1"/>
    <x:col min="2484" max="2484" width="8.83203125" hidden="0" customWidth="1"/>
    <x:col min="2485" max="2485" width="8.83203125" hidden="0" customWidth="1"/>
    <x:col min="2486" max="2486" width="8.83203125" hidden="0" customWidth="1"/>
    <x:col min="2487" max="2487" width="8.83203125" hidden="0" customWidth="1"/>
    <x:col min="2488" max="2488" width="8.83203125" hidden="0" customWidth="1"/>
    <x:col min="2489" max="2489" width="8.83203125" hidden="0" customWidth="1"/>
    <x:col min="2490" max="2490" width="8.83203125" hidden="0" customWidth="1"/>
    <x:col min="2491" max="2491" width="8.83203125" hidden="0" customWidth="1"/>
    <x:col min="2492" max="2492" width="8.83203125" hidden="0" customWidth="1"/>
    <x:col min="2493" max="2493" width="8.83203125" hidden="0" customWidth="1"/>
    <x:col min="2494" max="2494" width="8.83203125" hidden="0" customWidth="1"/>
    <x:col min="2495" max="2495" width="8.83203125" hidden="0" customWidth="1"/>
    <x:col min="2496" max="2496" width="8.83203125" hidden="0" customWidth="1"/>
    <x:col min="2497" max="2497" width="8.83203125" hidden="0" customWidth="1"/>
    <x:col min="2498" max="2498" width="8.83203125" hidden="0" customWidth="1"/>
    <x:col min="2499" max="2499" width="8.83203125" hidden="0" customWidth="1"/>
    <x:col min="2500" max="2500" width="8.83203125" hidden="0" customWidth="1"/>
    <x:col min="2501" max="2501" width="8.83203125" hidden="0" customWidth="1"/>
    <x:col min="2502" max="2502" width="8.83203125" hidden="0" customWidth="1"/>
    <x:col min="2503" max="2503" width="8.83203125" hidden="0" customWidth="1"/>
    <x:col min="2504" max="2504" width="8.83203125" hidden="0" customWidth="1"/>
    <x:col min="2505" max="2505" width="8.83203125" hidden="0" customWidth="1"/>
    <x:col min="2506" max="2506" width="8.83203125" hidden="0" customWidth="1"/>
    <x:col min="2507" max="2507" width="8.83203125" hidden="0" customWidth="1"/>
    <x:col min="2508" max="2508" width="8.83203125" hidden="0" customWidth="1"/>
    <x:col min="2509" max="2509" width="8.83203125" hidden="0" customWidth="1"/>
    <x:col min="2510" max="2510" width="8.83203125" hidden="0" customWidth="1"/>
    <x:col min="2511" max="2511" width="8.83203125" hidden="0" customWidth="1"/>
    <x:col min="2512" max="2512" width="8.83203125" hidden="0" customWidth="1"/>
    <x:col min="2513" max="2513" width="8.83203125" hidden="0" customWidth="1"/>
    <x:col min="2514" max="2514" width="8.83203125" hidden="0" customWidth="1"/>
    <x:col min="2515" max="2515" width="8.83203125" hidden="0" customWidth="1"/>
    <x:col min="2516" max="2516" width="8.83203125" hidden="0" customWidth="1"/>
    <x:col min="2517" max="2517" width="8.83203125" hidden="0" customWidth="1"/>
    <x:col min="2518" max="2518" width="8.83203125" hidden="0" customWidth="1"/>
    <x:col min="2519" max="2519" width="8.83203125" hidden="0" customWidth="1"/>
    <x:col min="2520" max="2520" width="8.83203125" hidden="0" customWidth="1"/>
    <x:col min="2521" max="2521" width="8.83203125" hidden="0" customWidth="1"/>
    <x:col min="2522" max="2522" width="8.83203125" hidden="0" customWidth="1"/>
    <x:col min="2523" max="2523" width="8.83203125" hidden="0" customWidth="1"/>
    <x:col min="2524" max="2524" width="8.83203125" hidden="0" customWidth="1"/>
    <x:col min="2525" max="2525" width="8.83203125" hidden="0" customWidth="1"/>
    <x:col min="2526" max="2526" width="8.83203125" hidden="0" customWidth="1"/>
    <x:col min="2527" max="2527" width="8.83203125" hidden="0" customWidth="1"/>
    <x:col min="2528" max="2528" width="8.83203125" hidden="0" customWidth="1"/>
    <x:col min="2529" max="2529" width="8.83203125" hidden="0" customWidth="1"/>
    <x:col min="2530" max="2530" width="8.83203125" hidden="0" customWidth="1"/>
    <x:col min="2531" max="2531" width="8.83203125" hidden="0" customWidth="1"/>
    <x:col min="2532" max="2532" width="8.83203125" hidden="0" customWidth="1"/>
    <x:col min="2533" max="2533" width="8.83203125" hidden="0" customWidth="1"/>
    <x:col min="2534" max="2534" width="8.83203125" hidden="0" customWidth="1"/>
    <x:col min="2535" max="2535" width="8.83203125" hidden="0" customWidth="1"/>
    <x:col min="2536" max="2536" width="8.83203125" hidden="0" customWidth="1"/>
    <x:col min="2537" max="2537" width="8.83203125" hidden="0" customWidth="1"/>
    <x:col min="2538" max="2538" width="8.83203125" hidden="0" customWidth="1"/>
    <x:col min="2539" max="2539" width="8.83203125" hidden="0" customWidth="1"/>
    <x:col min="2540" max="2540" width="8.83203125" hidden="0" customWidth="1"/>
    <x:col min="2541" max="2541" width="8.83203125" hidden="0" customWidth="1"/>
    <x:col min="2542" max="2542" width="8.83203125" hidden="0" customWidth="1"/>
    <x:col min="2543" max="2543" width="8.83203125" hidden="0" customWidth="1"/>
    <x:col min="2544" max="2544" width="8.83203125" hidden="0" customWidth="1"/>
    <x:col min="2545" max="2545" width="8.83203125" hidden="0" customWidth="1"/>
    <x:col min="2546" max="2546" width="8.83203125" hidden="0" customWidth="1"/>
    <x:col min="2547" max="2547" width="8.83203125" hidden="0" customWidth="1"/>
    <x:col min="2548" max="2548" width="8.83203125" hidden="0" customWidth="1"/>
    <x:col min="2549" max="2549" width="8.83203125" hidden="0" customWidth="1"/>
    <x:col min="2550" max="2550" width="8.83203125" hidden="0" customWidth="1"/>
    <x:col min="2551" max="2551" width="8.83203125" hidden="0" customWidth="1"/>
    <x:col min="2552" max="2552" width="8.83203125" hidden="0" customWidth="1"/>
    <x:col min="2553" max="2553" width="8.83203125" hidden="0" customWidth="1"/>
    <x:col min="2554" max="2554" width="8.83203125" hidden="0" customWidth="1"/>
    <x:col min="2555" max="2555" width="8.83203125" hidden="0" customWidth="1"/>
    <x:col min="2556" max="2556" width="8.83203125" hidden="0" customWidth="1"/>
    <x:col min="2557" max="2557" width="8.83203125" hidden="0" customWidth="1"/>
    <x:col min="2558" max="2558" width="8.83203125" hidden="0" customWidth="1"/>
    <x:col min="2559" max="2559" width="8.83203125" hidden="0" customWidth="1"/>
    <x:col min="2560" max="2560" width="8.83203125" hidden="0" customWidth="1"/>
    <x:col min="2561" max="2561" width="8.83203125" hidden="0" customWidth="1"/>
    <x:col min="2562" max="2562" width="8.83203125" hidden="0" customWidth="1"/>
    <x:col min="2563" max="2563" width="8.83203125" hidden="0" customWidth="1"/>
    <x:col min="2564" max="2564" width="8.83203125" hidden="0" customWidth="1"/>
    <x:col min="2565" max="2565" width="8.83203125" hidden="0" customWidth="1"/>
    <x:col min="2566" max="2566" width="8.83203125" hidden="0" customWidth="1"/>
    <x:col min="2567" max="2567" width="8.83203125" hidden="0" customWidth="1"/>
    <x:col min="2568" max="2568" width="8.83203125" hidden="0" customWidth="1"/>
    <x:col min="2569" max="2569" width="8.83203125" hidden="0" customWidth="1"/>
    <x:col min="2570" max="2570" width="8.83203125" hidden="0" customWidth="1"/>
    <x:col min="2571" max="2571" width="8.83203125" hidden="0" customWidth="1"/>
    <x:col min="2572" max="2572" width="8.83203125" hidden="0" customWidth="1"/>
    <x:col min="2573" max="2573" width="8.83203125" hidden="0" customWidth="1"/>
    <x:col min="2574" max="2574" width="8.83203125" hidden="0" customWidth="1"/>
    <x:col min="2575" max="2575" width="8.83203125" hidden="0" customWidth="1"/>
    <x:col min="2576" max="2576" width="8.83203125" hidden="0" customWidth="1"/>
    <x:col min="2577" max="2577" width="8.83203125" hidden="0" customWidth="1"/>
    <x:col min="2578" max="2578" width="8.83203125" hidden="0" customWidth="1"/>
    <x:col min="2579" max="2579" width="8.83203125" hidden="0" customWidth="1"/>
    <x:col min="2580" max="2580" width="8.83203125" hidden="0" customWidth="1"/>
    <x:col min="2581" max="2581" width="8.83203125" hidden="0" customWidth="1"/>
    <x:col min="2582" max="2582" width="8.83203125" hidden="0" customWidth="1"/>
    <x:col min="2583" max="2583" width="8.83203125" hidden="0" customWidth="1"/>
    <x:col min="2584" max="2584" width="8.83203125" hidden="0" customWidth="1"/>
    <x:col min="2585" max="2585" width="8.83203125" hidden="0" customWidth="1"/>
    <x:col min="2586" max="2586" width="8.83203125" hidden="0" customWidth="1"/>
    <x:col min="2587" max="2587" width="8.83203125" hidden="0" customWidth="1"/>
    <x:col min="2588" max="2588" width="8.83203125" hidden="0" customWidth="1"/>
    <x:col min="2589" max="2589" width="8.83203125" hidden="0" customWidth="1"/>
    <x:col min="2590" max="2590" width="8.83203125" hidden="0" customWidth="1"/>
    <x:col min="2591" max="2591" width="8.83203125" hidden="0" customWidth="1"/>
    <x:col min="2592" max="2592" width="8.83203125" hidden="0" customWidth="1"/>
    <x:col min="2593" max="2593" width="8.83203125" hidden="0" customWidth="1"/>
    <x:col min="2594" max="2594" width="8.83203125" hidden="0" customWidth="1"/>
    <x:col min="2595" max="2595" width="8.83203125" hidden="0" customWidth="1"/>
    <x:col min="2596" max="2596" width="8.83203125" hidden="0" customWidth="1"/>
    <x:col min="2597" max="2597" width="8.83203125" hidden="0" customWidth="1"/>
    <x:col min="2598" max="2598" width="8.83203125" hidden="0" customWidth="1"/>
    <x:col min="2599" max="2599" width="8.83203125" hidden="0" customWidth="1"/>
    <x:col min="2600" max="2600" width="8.83203125" hidden="0" customWidth="1"/>
    <x:col min="2601" max="2601" width="8.83203125" hidden="0" customWidth="1"/>
    <x:col min="2602" max="2602" width="8.83203125" hidden="0" customWidth="1"/>
    <x:col min="2603" max="2603" width="8.83203125" hidden="0" customWidth="1"/>
    <x:col min="2604" max="2604" width="8.83203125" hidden="0" customWidth="1"/>
    <x:col min="2605" max="2605" width="8.83203125" hidden="0" customWidth="1"/>
    <x:col min="2606" max="2606" width="8.83203125" hidden="0" customWidth="1"/>
    <x:col min="2607" max="2607" width="8.83203125" hidden="0" customWidth="1"/>
    <x:col min="2608" max="2608" width="8.83203125" hidden="0" customWidth="1"/>
    <x:col min="2609" max="2609" width="8.83203125" hidden="0" customWidth="1"/>
    <x:col min="2610" max="2610" width="8.83203125" hidden="0" customWidth="1"/>
    <x:col min="2611" max="2611" width="8.83203125" hidden="0" customWidth="1"/>
    <x:col min="2612" max="2612" width="8.83203125" hidden="0" customWidth="1"/>
    <x:col min="2613" max="2613" width="8.83203125" hidden="0" customWidth="1"/>
    <x:col min="2614" max="2614" width="8.83203125" hidden="0" customWidth="1"/>
    <x:col min="2615" max="2615" width="8.83203125" hidden="0" customWidth="1"/>
    <x:col min="2616" max="2616" width="8.83203125" hidden="0" customWidth="1"/>
    <x:col min="2617" max="2617" width="8.83203125" hidden="0" customWidth="1"/>
    <x:col min="2618" max="2618" width="8.83203125" hidden="0" customWidth="1"/>
    <x:col min="2619" max="2619" width="8.83203125" hidden="0" customWidth="1"/>
    <x:col min="2620" max="2620" width="8.83203125" hidden="0" customWidth="1"/>
    <x:col min="2621" max="2621" width="8.83203125" hidden="0" customWidth="1"/>
    <x:col min="2622" max="2622" width="8.83203125" hidden="0" customWidth="1"/>
    <x:col min="2623" max="2623" width="8.83203125" hidden="0" customWidth="1"/>
    <x:col min="2624" max="2624" width="8.83203125" hidden="0" customWidth="1"/>
    <x:col min="2625" max="2625" width="8.83203125" hidden="0" customWidth="1"/>
    <x:col min="2626" max="2626" width="8.83203125" hidden="0" customWidth="1"/>
    <x:col min="2627" max="2627" width="8.83203125" hidden="0" customWidth="1"/>
    <x:col min="2628" max="2628" width="8.83203125" hidden="0" customWidth="1"/>
    <x:col min="2629" max="2629" width="8.83203125" hidden="0" customWidth="1"/>
    <x:col min="2630" max="2630" width="8.83203125" hidden="0" customWidth="1"/>
    <x:col min="2631" max="2631" width="8.83203125" hidden="0" customWidth="1"/>
    <x:col min="2632" max="2632" width="8.83203125" hidden="0" customWidth="1"/>
    <x:col min="2633" max="2633" width="8.83203125" hidden="0" customWidth="1"/>
    <x:col min="2634" max="2634" width="8.83203125" hidden="0" customWidth="1"/>
    <x:col min="2635" max="2635" width="8.83203125" hidden="0" customWidth="1"/>
    <x:col min="2636" max="2636" width="8.83203125" hidden="0" customWidth="1"/>
    <x:col min="2637" max="2637" width="8.83203125" hidden="0" customWidth="1"/>
    <x:col min="2638" max="2638" width="8.83203125" hidden="0" customWidth="1"/>
    <x:col min="2639" max="2639" width="8.83203125" hidden="0" customWidth="1"/>
    <x:col min="2640" max="2640" width="8.83203125" hidden="0" customWidth="1"/>
    <x:col min="2641" max="2641" width="8.83203125" hidden="0" customWidth="1"/>
    <x:col min="2642" max="2642" width="8.83203125" hidden="0" customWidth="1"/>
    <x:col min="2643" max="2643" width="8.83203125" hidden="0" customWidth="1"/>
    <x:col min="2644" max="2644" width="8.83203125" hidden="0" customWidth="1"/>
    <x:col min="2645" max="2645" width="8.83203125" hidden="0" customWidth="1"/>
    <x:col min="2646" max="2646" width="8.83203125" hidden="0" customWidth="1"/>
    <x:col min="2647" max="2647" width="8.83203125" hidden="0" customWidth="1"/>
    <x:col min="2648" max="2648" width="8.83203125" hidden="0" customWidth="1"/>
    <x:col min="2649" max="2649" width="8.83203125" hidden="0" customWidth="1"/>
    <x:col min="2650" max="2650" width="8.83203125" hidden="0" customWidth="1"/>
    <x:col min="2651" max="2651" width="8.83203125" hidden="0" customWidth="1"/>
    <x:col min="2652" max="2652" width="8.83203125" hidden="0" customWidth="1"/>
    <x:col min="2653" max="2653" width="8.83203125" hidden="0" customWidth="1"/>
    <x:col min="2654" max="2654" width="8.83203125" hidden="0" customWidth="1"/>
    <x:col min="2655" max="2655" width="8.83203125" hidden="0" customWidth="1"/>
    <x:col min="2656" max="2656" width="8.83203125" hidden="0" customWidth="1"/>
    <x:col min="2657" max="2657" width="8.83203125" hidden="0" customWidth="1"/>
    <x:col min="2658" max="2658" width="8.83203125" hidden="0" customWidth="1"/>
    <x:col min="2659" max="2659" width="8.83203125" hidden="0" customWidth="1"/>
    <x:col min="2660" max="2660" width="8.83203125" hidden="0" customWidth="1"/>
    <x:col min="2661" max="2661" width="8.83203125" hidden="0" customWidth="1"/>
    <x:col min="2662" max="2662" width="8.83203125" hidden="0" customWidth="1"/>
    <x:col min="2663" max="2663" width="8.83203125" hidden="0" customWidth="1"/>
    <x:col min="2664" max="2664" width="8.83203125" hidden="0" customWidth="1"/>
    <x:col min="2665" max="2665" width="8.83203125" hidden="0" customWidth="1"/>
    <x:col min="2666" max="2666" width="8.83203125" hidden="0" customWidth="1"/>
    <x:col min="2667" max="2667" width="8.83203125" hidden="0" customWidth="1"/>
    <x:col min="2668" max="2668" width="8.83203125" hidden="0" customWidth="1"/>
    <x:col min="2669" max="2669" width="8.83203125" hidden="0" customWidth="1"/>
    <x:col min="2670" max="2670" width="8.83203125" hidden="0" customWidth="1"/>
    <x:col min="2671" max="2671" width="8.83203125" hidden="0" customWidth="1"/>
    <x:col min="2672" max="2672" width="8.83203125" hidden="0" customWidth="1"/>
    <x:col min="2673" max="2673" width="8.83203125" hidden="0" customWidth="1"/>
    <x:col min="2674" max="2674" width="8.83203125" hidden="0" customWidth="1"/>
    <x:col min="2675" max="2675" width="8.83203125" hidden="0" customWidth="1"/>
    <x:col min="2676" max="2676" width="8.83203125" hidden="0" customWidth="1"/>
    <x:col min="2677" max="2677" width="8.83203125" hidden="0" customWidth="1"/>
    <x:col min="2678" max="2678" width="8.83203125" hidden="0" customWidth="1"/>
    <x:col min="2679" max="2679" width="8.83203125" hidden="0" customWidth="1"/>
    <x:col min="2680" max="2680" width="8.83203125" hidden="0" customWidth="1"/>
    <x:col min="2681" max="2681" width="8.83203125" hidden="0" customWidth="1"/>
    <x:col min="2682" max="2682" width="8.83203125" hidden="0" customWidth="1"/>
    <x:col min="2683" max="2683" width="8.83203125" hidden="0" customWidth="1"/>
    <x:col min="2684" max="2684" width="8.83203125" hidden="0" customWidth="1"/>
    <x:col min="2685" max="2685" width="8.83203125" hidden="0" customWidth="1"/>
    <x:col min="2686" max="2686" width="8.83203125" hidden="0" customWidth="1"/>
    <x:col min="2687" max="2687" width="8.83203125" hidden="0" customWidth="1"/>
    <x:col min="2688" max="2688" width="8.83203125" hidden="0" customWidth="1"/>
    <x:col min="2689" max="2689" width="8.83203125" hidden="0" customWidth="1"/>
    <x:col min="2690" max="2690" width="8.83203125" hidden="0" customWidth="1"/>
    <x:col min="2691" max="2691" width="8.83203125" hidden="0" customWidth="1"/>
    <x:col min="2692" max="2692" width="8.83203125" hidden="0" customWidth="1"/>
    <x:col min="2693" max="2693" width="8.83203125" hidden="0" customWidth="1"/>
    <x:col min="2694" max="2694" width="8.83203125" hidden="0" customWidth="1"/>
    <x:col min="2695" max="2695" width="8.83203125" hidden="0" customWidth="1"/>
    <x:col min="2696" max="2696" width="8.83203125" hidden="0" customWidth="1"/>
    <x:col min="2697" max="2697" width="8.83203125" hidden="0" customWidth="1"/>
    <x:col min="2698" max="2698" width="8.83203125" hidden="0" customWidth="1"/>
    <x:col min="2699" max="2699" width="8.83203125" hidden="0" customWidth="1"/>
    <x:col min="2700" max="2700" width="8.83203125" hidden="0" customWidth="1"/>
    <x:col min="2701" max="2701" width="8.83203125" hidden="0" customWidth="1"/>
    <x:col min="2702" max="2702" width="8.83203125" hidden="0" customWidth="1"/>
    <x:col min="2703" max="2703" width="8.83203125" hidden="0" customWidth="1"/>
    <x:col min="2704" max="2704" width="8.83203125" hidden="0" customWidth="1"/>
    <x:col min="2705" max="2705" width="8.83203125" hidden="0" customWidth="1"/>
    <x:col min="2706" max="2706" width="8.83203125" hidden="0" customWidth="1"/>
    <x:col min="2707" max="2707" width="8.83203125" hidden="0" customWidth="1"/>
    <x:col min="2708" max="2708" width="8.83203125" hidden="0" customWidth="1"/>
    <x:col min="2709" max="2709" width="8.83203125" hidden="0" customWidth="1"/>
    <x:col min="2710" max="2710" width="8.83203125" hidden="0" customWidth="1"/>
    <x:col min="2711" max="2711" width="8.83203125" hidden="0" customWidth="1"/>
    <x:col min="2712" max="2712" width="8.83203125" hidden="0" customWidth="1"/>
    <x:col min="2713" max="2713" width="8.83203125" hidden="0" customWidth="1"/>
    <x:col min="2714" max="2714" width="8.83203125" hidden="0" customWidth="1"/>
    <x:col min="2715" max="2715" width="8.83203125" hidden="0" customWidth="1"/>
    <x:col min="2716" max="2716" width="8.83203125" hidden="0" customWidth="1"/>
    <x:col min="2717" max="2717" width="8.83203125" hidden="0" customWidth="1"/>
    <x:col min="2718" max="2718" width="8.83203125" hidden="0" customWidth="1"/>
    <x:col min="2719" max="2719" width="8.83203125" hidden="0" customWidth="1"/>
    <x:col min="2720" max="2720" width="8.83203125" hidden="0" customWidth="1"/>
    <x:col min="2721" max="2721" width="8.83203125" hidden="0" customWidth="1"/>
    <x:col min="2722" max="2722" width="8.83203125" hidden="0" customWidth="1"/>
    <x:col min="2723" max="2723" width="8.83203125" hidden="0" customWidth="1"/>
    <x:col min="2724" max="2724" width="8.83203125" hidden="0" customWidth="1"/>
    <x:col min="2725" max="2725" width="8.83203125" hidden="0" customWidth="1"/>
    <x:col min="2726" max="2726" width="8.83203125" hidden="0" customWidth="1"/>
    <x:col min="2727" max="2727" width="8.83203125" hidden="0" customWidth="1"/>
    <x:col min="2728" max="2728" width="8.83203125" hidden="0" customWidth="1"/>
    <x:col min="2729" max="2729" width="8.83203125" hidden="0" customWidth="1"/>
    <x:col min="2730" max="2730" width="8.83203125" hidden="0" customWidth="1"/>
    <x:col min="2731" max="2731" width="8.83203125" hidden="0" customWidth="1"/>
    <x:col min="2732" max="2732" width="8.83203125" hidden="0" customWidth="1"/>
    <x:col min="2733" max="2733" width="8.83203125" hidden="0" customWidth="1"/>
    <x:col min="2734" max="2734" width="8.83203125" hidden="0" customWidth="1"/>
    <x:col min="2735" max="2735" width="8.83203125" hidden="0" customWidth="1"/>
    <x:col min="2736" max="2736" width="8.83203125" hidden="0" customWidth="1"/>
    <x:col min="2737" max="2737" width="8.83203125" hidden="0" customWidth="1"/>
    <x:col min="2738" max="2738" width="8.83203125" hidden="0" customWidth="1"/>
    <x:col min="2739" max="2739" width="8.83203125" hidden="0" customWidth="1"/>
    <x:col min="2740" max="2740" width="8.83203125" hidden="0" customWidth="1"/>
    <x:col min="2741" max="2741" width="8.83203125" hidden="0" customWidth="1"/>
    <x:col min="2742" max="2742" width="8.83203125" hidden="0" customWidth="1"/>
    <x:col min="2743" max="2743" width="8.83203125" hidden="0" customWidth="1"/>
    <x:col min="2744" max="2744" width="8.83203125" hidden="0" customWidth="1"/>
    <x:col min="2745" max="2745" width="8.83203125" hidden="0" customWidth="1"/>
    <x:col min="2746" max="2746" width="8.83203125" hidden="0" customWidth="1"/>
    <x:col min="2747" max="2747" width="8.83203125" hidden="0" customWidth="1"/>
    <x:col min="2748" max="2748" width="8.83203125" hidden="0" customWidth="1"/>
    <x:col min="2749" max="2749" width="8.83203125" hidden="0" customWidth="1"/>
    <x:col min="2750" max="2750" width="8.83203125" hidden="0" customWidth="1"/>
    <x:col min="2751" max="2751" width="8.83203125" hidden="0" customWidth="1"/>
    <x:col min="2752" max="2752" width="8.83203125" hidden="0" customWidth="1"/>
    <x:col min="2753" max="2753" width="8.83203125" hidden="0" customWidth="1"/>
    <x:col min="2754" max="2754" width="8.83203125" hidden="0" customWidth="1"/>
    <x:col min="2755" max="2755" width="8.83203125" hidden="0" customWidth="1"/>
    <x:col min="2756" max="2756" width="8.83203125" hidden="0" customWidth="1"/>
    <x:col min="2757" max="2757" width="8.83203125" hidden="0" customWidth="1"/>
    <x:col min="2758" max="2758" width="8.83203125" hidden="0" customWidth="1"/>
    <x:col min="2759" max="2759" width="8.83203125" hidden="0" customWidth="1"/>
    <x:col min="2760" max="2760" width="8.83203125" hidden="0" customWidth="1"/>
    <x:col min="2761" max="2761" width="8.83203125" hidden="0" customWidth="1"/>
    <x:col min="2762" max="2762" width="8.83203125" hidden="0" customWidth="1"/>
    <x:col min="2763" max="2763" width="8.83203125" hidden="0" customWidth="1"/>
    <x:col min="2764" max="2764" width="8.83203125" hidden="0" customWidth="1"/>
    <x:col min="2765" max="2765" width="8.83203125" hidden="0" customWidth="1"/>
    <x:col min="2766" max="2766" width="8.83203125" hidden="0" customWidth="1"/>
    <x:col min="2767" max="2767" width="8.83203125" hidden="0" customWidth="1"/>
    <x:col min="2768" max="2768" width="8.83203125" hidden="0" customWidth="1"/>
    <x:col min="2769" max="2769" width="8.83203125" hidden="0" customWidth="1"/>
    <x:col min="2770" max="2770" width="8.83203125" hidden="0" customWidth="1"/>
    <x:col min="2771" max="2771" width="8.83203125" hidden="0" customWidth="1"/>
    <x:col min="2772" max="2772" width="8.83203125" hidden="0" customWidth="1"/>
    <x:col min="2773" max="2773" width="8.83203125" hidden="0" customWidth="1"/>
    <x:col min="2774" max="2774" width="8.83203125" hidden="0" customWidth="1"/>
    <x:col min="2775" max="2775" width="8.83203125" hidden="0" customWidth="1"/>
    <x:col min="2776" max="2776" width="8.83203125" hidden="0" customWidth="1"/>
    <x:col min="2777" max="2777" width="8.83203125" hidden="0" customWidth="1"/>
    <x:col min="2778" max="2778" width="8.83203125" hidden="0" customWidth="1"/>
    <x:col min="2779" max="2779" width="8.83203125" hidden="0" customWidth="1"/>
    <x:col min="2780" max="2780" width="8.83203125" hidden="0" customWidth="1"/>
    <x:col min="2781" max="2781" width="8.83203125" hidden="0" customWidth="1"/>
    <x:col min="2782" max="2782" width="8.83203125" hidden="0" customWidth="1"/>
    <x:col min="2783" max="2783" width="8.83203125" hidden="0" customWidth="1"/>
    <x:col min="2784" max="2784" width="8.83203125" hidden="0" customWidth="1"/>
    <x:col min="2785" max="2785" width="8.83203125" hidden="0" customWidth="1"/>
    <x:col min="2786" max="2786" width="8.83203125" hidden="0" customWidth="1"/>
    <x:col min="2787" max="2787" width="8.83203125" hidden="0" customWidth="1"/>
    <x:col min="2788" max="2788" width="8.83203125" hidden="0" customWidth="1"/>
    <x:col min="2789" max="2789" width="8.83203125" hidden="0" customWidth="1"/>
    <x:col min="2790" max="2790" width="8.83203125" hidden="0" customWidth="1"/>
    <x:col min="2791" max="2791" width="8.83203125" hidden="0" customWidth="1"/>
    <x:col min="2792" max="2792" width="8.83203125" hidden="0" customWidth="1"/>
    <x:col min="2793" max="2793" width="8.83203125" hidden="0" customWidth="1"/>
    <x:col min="2794" max="2794" width="8.83203125" hidden="0" customWidth="1"/>
    <x:col min="2795" max="2795" width="8.83203125" hidden="0" customWidth="1"/>
    <x:col min="2796" max="2796" width="8.83203125" hidden="0" customWidth="1"/>
    <x:col min="2797" max="2797" width="8.83203125" hidden="0" customWidth="1"/>
    <x:col min="2798" max="2798" width="8.83203125" hidden="0" customWidth="1"/>
    <x:col min="2799" max="2799" width="8.83203125" hidden="0" customWidth="1"/>
    <x:col min="2800" max="2800" width="8.83203125" hidden="0" customWidth="1"/>
    <x:col min="2801" max="2801" width="8.83203125" hidden="0" customWidth="1"/>
    <x:col min="2802" max="2802" width="8.83203125" hidden="0" customWidth="1"/>
    <x:col min="2803" max="2803" width="8.83203125" hidden="0" customWidth="1"/>
    <x:col min="2804" max="2804" width="8.83203125" hidden="0" customWidth="1"/>
    <x:col min="2805" max="2805" width="8.83203125" hidden="0" customWidth="1"/>
    <x:col min="2806" max="2806" width="8.83203125" hidden="0" customWidth="1"/>
    <x:col min="2807" max="2807" width="8.83203125" hidden="0" customWidth="1"/>
    <x:col min="2808" max="2808" width="8.83203125" hidden="0" customWidth="1"/>
    <x:col min="2809" max="2809" width="8.83203125" hidden="0" customWidth="1"/>
    <x:col min="2810" max="2810" width="8.83203125" hidden="0" customWidth="1"/>
    <x:col min="2811" max="2811" width="8.83203125" hidden="0" customWidth="1"/>
    <x:col min="2812" max="2812" width="8.83203125" hidden="0" customWidth="1"/>
    <x:col min="2813" max="2813" width="8.83203125" hidden="0" customWidth="1"/>
    <x:col min="2814" max="2814" width="8.83203125" hidden="0" customWidth="1"/>
    <x:col min="2815" max="2815" width="8.83203125" hidden="0" customWidth="1"/>
    <x:col min="2816" max="2816" width="8.83203125" hidden="0" customWidth="1"/>
    <x:col min="2817" max="2817" width="8.83203125" hidden="0" customWidth="1"/>
    <x:col min="2818" max="2818" width="8.83203125" hidden="0" customWidth="1"/>
    <x:col min="2819" max="2819" width="8.83203125" hidden="0" customWidth="1"/>
    <x:col min="2820" max="2820" width="8.83203125" hidden="0" customWidth="1"/>
    <x:col min="2821" max="2821" width="8.83203125" hidden="0" customWidth="1"/>
    <x:col min="2822" max="2822" width="8.83203125" hidden="0" customWidth="1"/>
    <x:col min="2823" max="2823" width="8.83203125" hidden="0" customWidth="1"/>
    <x:col min="2824" max="2824" width="8.83203125" hidden="0" customWidth="1"/>
    <x:col min="2825" max="2825" width="8.83203125" hidden="0" customWidth="1"/>
    <x:col min="2826" max="2826" width="8.83203125" hidden="0" customWidth="1"/>
    <x:col min="2827" max="2827" width="8.83203125" hidden="0" customWidth="1"/>
    <x:col min="2828" max="2828" width="8.83203125" hidden="0" customWidth="1"/>
    <x:col min="2829" max="2829" width="8.83203125" hidden="0" customWidth="1"/>
    <x:col min="2830" max="2830" width="8.83203125" hidden="0" customWidth="1"/>
    <x:col min="2831" max="2831" width="8.83203125" hidden="0" customWidth="1"/>
    <x:col min="2832" max="2832" width="8.83203125" hidden="0" customWidth="1"/>
    <x:col min="2833" max="2833" width="8.83203125" hidden="0" customWidth="1"/>
    <x:col min="2834" max="2834" width="8.83203125" hidden="0" customWidth="1"/>
    <x:col min="2835" max="2835" width="8.83203125" hidden="0" customWidth="1"/>
    <x:col min="2836" max="2836" width="8.83203125" hidden="0" customWidth="1"/>
    <x:col min="2837" max="2837" width="8.83203125" hidden="0" customWidth="1"/>
    <x:col min="2838" max="2838" width="8.83203125" hidden="0" customWidth="1"/>
    <x:col min="2839" max="2839" width="8.83203125" hidden="0" customWidth="1"/>
    <x:col min="2840" max="2840" width="8.83203125" hidden="0" customWidth="1"/>
    <x:col min="2841" max="2841" width="8.83203125" hidden="0" customWidth="1"/>
    <x:col min="2842" max="2842" width="8.83203125" hidden="0" customWidth="1"/>
    <x:col min="2843" max="2843" width="8.83203125" hidden="0" customWidth="1"/>
    <x:col min="2844" max="2844" width="8.83203125" hidden="0" customWidth="1"/>
    <x:col min="2845" max="2845" width="8.83203125" hidden="0" customWidth="1"/>
    <x:col min="2846" max="2846" width="8.83203125" hidden="0" customWidth="1"/>
    <x:col min="2847" max="2847" width="8.83203125" hidden="0" customWidth="1"/>
    <x:col min="2848" max="2848" width="8.83203125" hidden="0" customWidth="1"/>
    <x:col min="2849" max="2849" width="8.83203125" hidden="0" customWidth="1"/>
    <x:col min="2850" max="2850" width="8.83203125" hidden="0" customWidth="1"/>
    <x:col min="2851" max="2851" width="8.83203125" hidden="0" customWidth="1"/>
    <x:col min="2852" max="2852" width="8.83203125" hidden="0" customWidth="1"/>
    <x:col min="2853" max="2853" width="8.83203125" hidden="0" customWidth="1"/>
    <x:col min="2854" max="2854" width="8.83203125" hidden="0" customWidth="1"/>
    <x:col min="2855" max="2855" width="8.83203125" hidden="0" customWidth="1"/>
    <x:col min="2856" max="2856" width="8.83203125" hidden="0" customWidth="1"/>
    <x:col min="2857" max="2857" width="8.83203125" hidden="0" customWidth="1"/>
    <x:col min="2858" max="2858" width="8.83203125" hidden="0" customWidth="1"/>
    <x:col min="2859" max="2859" width="8.83203125" hidden="0" customWidth="1"/>
    <x:col min="2860" max="2860" width="8.83203125" hidden="0" customWidth="1"/>
    <x:col min="2861" max="2861" width="8.83203125" hidden="0" customWidth="1"/>
    <x:col min="2862" max="2862" width="8.83203125" hidden="0" customWidth="1"/>
    <x:col min="2863" max="2863" width="8.83203125" hidden="0" customWidth="1"/>
    <x:col min="2864" max="2864" width="8.83203125" hidden="0" customWidth="1"/>
    <x:col min="2865" max="2865" width="8.83203125" hidden="0" customWidth="1"/>
    <x:col min="2866" max="2866" width="8.83203125" hidden="0" customWidth="1"/>
    <x:col min="2867" max="2867" width="8.83203125" hidden="0" customWidth="1"/>
    <x:col min="2868" max="2868" width="8.83203125" hidden="0" customWidth="1"/>
    <x:col min="2869" max="2869" width="8.83203125" hidden="0" customWidth="1"/>
    <x:col min="2870" max="2870" width="8.83203125" hidden="0" customWidth="1"/>
    <x:col min="2871" max="2871" width="8.83203125" hidden="0" customWidth="1"/>
    <x:col min="2872" max="2872" width="8.83203125" hidden="0" customWidth="1"/>
    <x:col min="2873" max="2873" width="8.83203125" hidden="0" customWidth="1"/>
    <x:col min="2874" max="2874" width="8.83203125" hidden="0" customWidth="1"/>
    <x:col min="2875" max="2875" width="8.83203125" hidden="0" customWidth="1"/>
    <x:col min="2876" max="2876" width="8.83203125" hidden="0" customWidth="1"/>
    <x:col min="2877" max="2877" width="8.83203125" hidden="0" customWidth="1"/>
    <x:col min="2878" max="2878" width="8.83203125" hidden="0" customWidth="1"/>
    <x:col min="2879" max="2879" width="8.83203125" hidden="0" customWidth="1"/>
    <x:col min="2880" max="2880" width="8.83203125" hidden="0" customWidth="1"/>
    <x:col min="2881" max="2881" width="8.83203125" hidden="0" customWidth="1"/>
    <x:col min="2882" max="2882" width="8.83203125" hidden="0" customWidth="1"/>
    <x:col min="2883" max="2883" width="8.83203125" hidden="0" customWidth="1"/>
    <x:col min="2884" max="2884" width="8.83203125" hidden="0" customWidth="1"/>
    <x:col min="2885" max="2885" width="8.83203125" hidden="0" customWidth="1"/>
    <x:col min="2886" max="2886" width="8.83203125" hidden="0" customWidth="1"/>
    <x:col min="2887" max="2887" width="8.83203125" hidden="0" customWidth="1"/>
    <x:col min="2888" max="2888" width="8.83203125" hidden="0" customWidth="1"/>
    <x:col min="2889" max="2889" width="8.83203125" hidden="0" customWidth="1"/>
    <x:col min="2890" max="2890" width="8.83203125" hidden="0" customWidth="1"/>
    <x:col min="2891" max="2891" width="8.83203125" hidden="0" customWidth="1"/>
    <x:col min="2892" max="2892" width="8.83203125" hidden="0" customWidth="1"/>
    <x:col min="2893" max="2893" width="8.83203125" hidden="0" customWidth="1"/>
    <x:col min="2894" max="2894" width="8.83203125" hidden="0" customWidth="1"/>
    <x:col min="2895" max="2895" width="8.83203125" hidden="0" customWidth="1"/>
    <x:col min="2896" max="2896" width="8.83203125" hidden="0" customWidth="1"/>
    <x:col min="2897" max="2897" width="8.83203125" hidden="0" customWidth="1"/>
    <x:col min="2898" max="2898" width="8.83203125" hidden="0" customWidth="1"/>
    <x:col min="2899" max="2899" width="8.83203125" hidden="0" customWidth="1"/>
    <x:col min="2900" max="2900" width="8.83203125" hidden="0" customWidth="1"/>
    <x:col min="2901" max="2901" width="8.83203125" hidden="0" customWidth="1"/>
    <x:col min="2902" max="2902" width="8.83203125" hidden="0" customWidth="1"/>
    <x:col min="2903" max="2903" width="8.83203125" hidden="0" customWidth="1"/>
    <x:col min="2904" max="2904" width="8.83203125" hidden="0" customWidth="1"/>
    <x:col min="2905" max="2905" width="8.83203125" hidden="0" customWidth="1"/>
    <x:col min="2906" max="2906" width="8.83203125" hidden="0" customWidth="1"/>
    <x:col min="2907" max="2907" width="8.83203125" hidden="0" customWidth="1"/>
    <x:col min="2908" max="2908" width="8.83203125" hidden="0" customWidth="1"/>
    <x:col min="2909" max="2909" width="8.83203125" hidden="0" customWidth="1"/>
    <x:col min="2910" max="2910" width="8.83203125" hidden="0" customWidth="1"/>
    <x:col min="2911" max="2911" width="8.83203125" hidden="0" customWidth="1"/>
    <x:col min="2912" max="2912" width="8.83203125" hidden="0" customWidth="1"/>
    <x:col min="2913" max="2913" width="8.83203125" hidden="0" customWidth="1"/>
    <x:col min="2914" max="2914" width="8.83203125" hidden="0" customWidth="1"/>
    <x:col min="2915" max="2915" width="8.83203125" hidden="0" customWidth="1"/>
    <x:col min="2916" max="2916" width="8.83203125" hidden="0" customWidth="1"/>
    <x:col min="2917" max="2917" width="8.83203125" hidden="0" customWidth="1"/>
    <x:col min="2918" max="2918" width="8.83203125" hidden="0" customWidth="1"/>
    <x:col min="2919" max="2919" width="8.83203125" hidden="0" customWidth="1"/>
    <x:col min="2920" max="2920" width="8.83203125" hidden="0" customWidth="1"/>
    <x:col min="2921" max="2921" width="8.83203125" hidden="0" customWidth="1"/>
    <x:col min="2922" max="2922" width="8.83203125" hidden="0" customWidth="1"/>
    <x:col min="2923" max="2923" width="8.83203125" hidden="0" customWidth="1"/>
    <x:col min="2924" max="2924" width="8.83203125" hidden="0" customWidth="1"/>
    <x:col min="2925" max="2925" width="8.83203125" hidden="0" customWidth="1"/>
    <x:col min="2926" max="2926" width="8.83203125" hidden="0" customWidth="1"/>
    <x:col min="2927" max="2927" width="8.83203125" hidden="0" customWidth="1"/>
    <x:col min="2928" max="2928" width="8.83203125" hidden="0" customWidth="1"/>
    <x:col min="2929" max="2929" width="8.83203125" hidden="0" customWidth="1"/>
    <x:col min="2930" max="2930" width="8.83203125" hidden="0" customWidth="1"/>
    <x:col min="2931" max="2931" width="8.83203125" hidden="0" customWidth="1"/>
    <x:col min="2932" max="2932" width="8.83203125" hidden="0" customWidth="1"/>
    <x:col min="2933" max="2933" width="8.83203125" hidden="0" customWidth="1"/>
    <x:col min="2934" max="2934" width="8.83203125" hidden="0" customWidth="1"/>
    <x:col min="2935" max="2935" width="8.83203125" hidden="0" customWidth="1"/>
    <x:col min="2936" max="2936" width="8.83203125" hidden="0" customWidth="1"/>
    <x:col min="2937" max="2937" width="8.83203125" hidden="0" customWidth="1"/>
    <x:col min="2938" max="2938" width="8.83203125" hidden="0" customWidth="1"/>
    <x:col min="2939" max="2939" width="8.83203125" hidden="0" customWidth="1"/>
    <x:col min="2940" max="2940" width="8.83203125" hidden="0" customWidth="1"/>
    <x:col min="2941" max="2941" width="8.83203125" hidden="0" customWidth="1"/>
    <x:col min="2942" max="2942" width="8.83203125" hidden="0" customWidth="1"/>
    <x:col min="2943" max="2943" width="8.83203125" hidden="0" customWidth="1"/>
    <x:col min="2944" max="2944" width="8.83203125" hidden="0" customWidth="1"/>
    <x:col min="2945" max="2945" width="8.83203125" hidden="0" customWidth="1"/>
    <x:col min="2946" max="2946" width="8.83203125" hidden="0" customWidth="1"/>
    <x:col min="2947" max="2947" width="8.83203125" hidden="0" customWidth="1"/>
    <x:col min="2948" max="2948" width="8.83203125" hidden="0" customWidth="1"/>
    <x:col min="2949" max="2949" width="8.83203125" hidden="0" customWidth="1"/>
    <x:col min="2950" max="2950" width="8.83203125" hidden="0" customWidth="1"/>
    <x:col min="2951" max="2951" width="8.83203125" hidden="0" customWidth="1"/>
    <x:col min="2952" max="2952" width="8.83203125" hidden="0" customWidth="1"/>
    <x:col min="2953" max="2953" width="8.83203125" hidden="0" customWidth="1"/>
    <x:col min="2954" max="2954" width="8.83203125" hidden="0" customWidth="1"/>
    <x:col min="2955" max="2955" width="8.83203125" hidden="0" customWidth="1"/>
    <x:col min="2956" max="2956" width="8.83203125" hidden="0" customWidth="1"/>
    <x:col min="2957" max="2957" width="8.83203125" hidden="0" customWidth="1"/>
    <x:col min="2958" max="2958" width="8.83203125" hidden="0" customWidth="1"/>
    <x:col min="2959" max="2959" width="8.83203125" hidden="0" customWidth="1"/>
    <x:col min="2960" max="2960" width="8.83203125" hidden="0" customWidth="1"/>
    <x:col min="2961" max="2961" width="8.83203125" hidden="0" customWidth="1"/>
    <x:col min="2962" max="2962" width="8.83203125" hidden="0" customWidth="1"/>
    <x:col min="2963" max="2963" width="8.83203125" hidden="0" customWidth="1"/>
    <x:col min="2964" max="2964" width="8.83203125" hidden="0" customWidth="1"/>
    <x:col min="2965" max="2965" width="8.83203125" hidden="0" customWidth="1"/>
    <x:col min="2966" max="2966" width="8.83203125" hidden="0" customWidth="1"/>
    <x:col min="2967" max="2967" width="8.83203125" hidden="0" customWidth="1"/>
    <x:col min="2968" max="2968" width="8.83203125" hidden="0" customWidth="1"/>
    <x:col min="2969" max="2969" width="8.83203125" hidden="0" customWidth="1"/>
    <x:col min="2970" max="2970" width="8.83203125" hidden="0" customWidth="1"/>
    <x:col min="2971" max="2971" width="8.83203125" hidden="0" customWidth="1"/>
    <x:col min="2972" max="2972" width="8.83203125" hidden="0" customWidth="1"/>
    <x:col min="2973" max="2973" width="8.83203125" hidden="0" customWidth="1"/>
    <x:col min="2974" max="2974" width="8.83203125" hidden="0" customWidth="1"/>
    <x:col min="2975" max="2975" width="8.83203125" hidden="0" customWidth="1"/>
    <x:col min="2976" max="2976" width="8.83203125" hidden="0" customWidth="1"/>
    <x:col min="2977" max="2977" width="8.83203125" hidden="0" customWidth="1"/>
    <x:col min="2978" max="2978" width="8.83203125" hidden="0" customWidth="1"/>
    <x:col min="2979" max="2979" width="8.83203125" hidden="0" customWidth="1"/>
    <x:col min="2980" max="2980" width="8.83203125" hidden="0" customWidth="1"/>
    <x:col min="2981" max="2981" width="8.83203125" hidden="0" customWidth="1"/>
    <x:col min="2982" max="2982" width="8.83203125" hidden="0" customWidth="1"/>
    <x:col min="2983" max="2983" width="8.83203125" hidden="0" customWidth="1"/>
    <x:col min="2984" max="2984" width="8.83203125" hidden="0" customWidth="1"/>
    <x:col min="2985" max="2985" width="8.83203125" hidden="0" customWidth="1"/>
    <x:col min="2986" max="2986" width="8.83203125" hidden="0" customWidth="1"/>
    <x:col min="2987" max="2987" width="8.83203125" hidden="0" customWidth="1"/>
    <x:col min="2988" max="2988" width="8.83203125" hidden="0" customWidth="1"/>
    <x:col min="2989" max="2989" width="8.83203125" hidden="0" customWidth="1"/>
    <x:col min="2990" max="2990" width="8.83203125" hidden="0" customWidth="1"/>
    <x:col min="2991" max="2991" width="8.83203125" hidden="0" customWidth="1"/>
    <x:col min="2992" max="2992" width="8.83203125" hidden="0" customWidth="1"/>
    <x:col min="2993" max="2993" width="8.83203125" hidden="0" customWidth="1"/>
    <x:col min="2994" max="2994" width="8.83203125" hidden="0" customWidth="1"/>
    <x:col min="2995" max="2995" width="8.83203125" hidden="0" customWidth="1"/>
    <x:col min="2996" max="2996" width="8.83203125" hidden="0" customWidth="1"/>
    <x:col min="2997" max="2997" width="8.83203125" hidden="0" customWidth="1"/>
    <x:col min="2998" max="2998" width="8.83203125" hidden="0" customWidth="1"/>
    <x:col min="2999" max="2999" width="8.83203125" hidden="0" customWidth="1"/>
    <x:col min="3000" max="3000" width="8.83203125" hidden="0" customWidth="1"/>
    <x:col min="3001" max="3001" width="8.83203125" hidden="0" customWidth="1"/>
    <x:col min="3002" max="3002" width="8.83203125" hidden="0" customWidth="1"/>
    <x:col min="3003" max="3003" width="8.83203125" hidden="0" customWidth="1"/>
    <x:col min="3004" max="3004" width="8.83203125" hidden="0" customWidth="1"/>
    <x:col min="3005" max="3005" width="8.83203125" hidden="0" customWidth="1"/>
    <x:col min="3006" max="3006" width="8.83203125" hidden="0" customWidth="1"/>
    <x:col min="3007" max="3007" width="8.83203125" hidden="0" customWidth="1"/>
    <x:col min="3008" max="3008" width="8.83203125" hidden="0" customWidth="1"/>
    <x:col min="3009" max="3009" width="8.83203125" hidden="0" customWidth="1"/>
    <x:col min="3010" max="3010" width="8.83203125" hidden="0" customWidth="1"/>
    <x:col min="3011" max="3011" width="8.83203125" hidden="0" customWidth="1"/>
    <x:col min="3012" max="3012" width="8.83203125" hidden="0" customWidth="1"/>
    <x:col min="3013" max="3013" width="8.83203125" hidden="0" customWidth="1"/>
    <x:col min="3014" max="3014" width="8.83203125" hidden="0" customWidth="1"/>
    <x:col min="3015" max="3015" width="8.83203125" hidden="0" customWidth="1"/>
    <x:col min="3016" max="3016" width="8.83203125" hidden="0" customWidth="1"/>
    <x:col min="3017" max="3017" width="8.83203125" hidden="0" customWidth="1"/>
    <x:col min="3018" max="3018" width="8.83203125" hidden="0" customWidth="1"/>
    <x:col min="3019" max="3019" width="8.83203125" hidden="0" customWidth="1"/>
    <x:col min="3020" max="3020" width="8.83203125" hidden="0" customWidth="1"/>
    <x:col min="3021" max="3021" width="8.83203125" hidden="0" customWidth="1"/>
    <x:col min="3022" max="3022" width="8.83203125" hidden="0" customWidth="1"/>
    <x:col min="3023" max="3023" width="8.83203125" hidden="0" customWidth="1"/>
    <x:col min="3024" max="3024" width="8.83203125" hidden="0" customWidth="1"/>
    <x:col min="3025" max="3025" width="8.83203125" hidden="0" customWidth="1"/>
    <x:col min="3026" max="3026" width="8.83203125" hidden="0" customWidth="1"/>
    <x:col min="3027" max="3027" width="8.83203125" hidden="0" customWidth="1"/>
    <x:col min="3028" max="3028" width="8.83203125" hidden="0" customWidth="1"/>
    <x:col min="3029" max="3029" width="8.83203125" hidden="0" customWidth="1"/>
    <x:col min="3030" max="3030" width="8.83203125" hidden="0" customWidth="1"/>
    <x:col min="3031" max="3031" width="8.83203125" hidden="0" customWidth="1"/>
    <x:col min="3032" max="3032" width="8.83203125" hidden="0" customWidth="1"/>
    <x:col min="3033" max="3033" width="8.83203125" hidden="0" customWidth="1"/>
    <x:col min="3034" max="3034" width="8.83203125" hidden="0" customWidth="1"/>
    <x:col min="3035" max="3035" width="8.83203125" hidden="0" customWidth="1"/>
    <x:col min="3036" max="3036" width="8.83203125" hidden="0" customWidth="1"/>
    <x:col min="3037" max="3037" width="8.83203125" hidden="0" customWidth="1"/>
    <x:col min="3038" max="3038" width="8.83203125" hidden="0" customWidth="1"/>
    <x:col min="3039" max="3039" width="8.83203125" hidden="0" customWidth="1"/>
    <x:col min="3040" max="3040" width="8.83203125" hidden="0" customWidth="1"/>
    <x:col min="3041" max="3041" width="8.83203125" hidden="0" customWidth="1"/>
    <x:col min="3042" max="3042" width="8.83203125" hidden="0" customWidth="1"/>
    <x:col min="3043" max="3043" width="8.83203125" hidden="0" customWidth="1"/>
    <x:col min="3044" max="3044" width="8.83203125" hidden="0" customWidth="1"/>
    <x:col min="3045" max="3045" width="8.83203125" hidden="0" customWidth="1"/>
    <x:col min="3046" max="3046" width="8.83203125" hidden="0" customWidth="1"/>
    <x:col min="3047" max="3047" width="8.83203125" hidden="0" customWidth="1"/>
    <x:col min="3048" max="3048" width="8.83203125" hidden="0" customWidth="1"/>
    <x:col min="3049" max="3049" width="8.83203125" hidden="0" customWidth="1"/>
    <x:col min="3050" max="3050" width="8.83203125" hidden="0" customWidth="1"/>
    <x:col min="3051" max="3051" width="8.83203125" hidden="0" customWidth="1"/>
    <x:col min="3052" max="3052" width="8.83203125" hidden="0" customWidth="1"/>
    <x:col min="3053" max="3053" width="8.83203125" hidden="0" customWidth="1"/>
    <x:col min="3054" max="3054" width="8.83203125" hidden="0" customWidth="1"/>
    <x:col min="3055" max="3055" width="8.83203125" hidden="0" customWidth="1"/>
    <x:col min="3056" max="3056" width="8.83203125" hidden="0" customWidth="1"/>
    <x:col min="3057" max="3057" width="8.83203125" hidden="0" customWidth="1"/>
    <x:col min="3058" max="3058" width="8.83203125" hidden="0" customWidth="1"/>
    <x:col min="3059" max="3059" width="8.83203125" hidden="0" customWidth="1"/>
    <x:col min="3060" max="3060" width="8.83203125" hidden="0" customWidth="1"/>
    <x:col min="3061" max="3061" width="8.83203125" hidden="0" customWidth="1"/>
    <x:col min="3062" max="3062" width="8.83203125" hidden="0" customWidth="1"/>
    <x:col min="3063" max="3063" width="8.83203125" hidden="0" customWidth="1"/>
    <x:col min="3064" max="3064" width="8.83203125" hidden="0" customWidth="1"/>
    <x:col min="3065" max="3065" width="8.83203125" hidden="0" customWidth="1"/>
    <x:col min="3066" max="3066" width="8.83203125" hidden="0" customWidth="1"/>
    <x:col min="3067" max="3067" width="8.83203125" hidden="0" customWidth="1"/>
    <x:col min="3068" max="3068" width="8.83203125" hidden="0" customWidth="1"/>
    <x:col min="3069" max="3069" width="8.83203125" hidden="0" customWidth="1"/>
    <x:col min="3070" max="3070" width="8.83203125" hidden="0" customWidth="1"/>
    <x:col min="3071" max="3071" width="8.83203125" hidden="0" customWidth="1"/>
    <x:col min="3072" max="3072" width="8.83203125" hidden="0" customWidth="1"/>
    <x:col min="3073" max="3073" width="8.83203125" hidden="0" customWidth="1"/>
    <x:col min="3074" max="3074" width="8.83203125" hidden="0" customWidth="1"/>
    <x:col min="3075" max="3075" width="8.83203125" hidden="0" customWidth="1"/>
    <x:col min="3076" max="3076" width="8.83203125" hidden="0" customWidth="1"/>
    <x:col min="3077" max="3077" width="8.83203125" hidden="0" customWidth="1"/>
    <x:col min="3078" max="3078" width="8.83203125" hidden="0" customWidth="1"/>
    <x:col min="3079" max="3079" width="8.83203125" hidden="0" customWidth="1"/>
    <x:col min="3080" max="3080" width="8.83203125" hidden="0" customWidth="1"/>
    <x:col min="3081" max="3081" width="8.83203125" hidden="0" customWidth="1"/>
    <x:col min="3082" max="3082" width="8.83203125" hidden="0" customWidth="1"/>
    <x:col min="3083" max="3083" width="8.83203125" hidden="0" customWidth="1"/>
    <x:col min="3084" max="3084" width="8.83203125" hidden="0" customWidth="1"/>
    <x:col min="3085" max="3085" width="8.83203125" hidden="0" customWidth="1"/>
    <x:col min="3086" max="3086" width="8.83203125" hidden="0" customWidth="1"/>
    <x:col min="3087" max="3087" width="8.83203125" hidden="0" customWidth="1"/>
    <x:col min="3088" max="3088" width="8.83203125" hidden="0" customWidth="1"/>
    <x:col min="3089" max="3089" width="8.83203125" hidden="0" customWidth="1"/>
    <x:col min="3090" max="3090" width="8.83203125" hidden="0" customWidth="1"/>
    <x:col min="3091" max="3091" width="8.83203125" hidden="0" customWidth="1"/>
    <x:col min="3092" max="3092" width="8.83203125" hidden="0" customWidth="1"/>
    <x:col min="3093" max="3093" width="8.83203125" hidden="0" customWidth="1"/>
    <x:col min="3094" max="3094" width="8.83203125" hidden="0" customWidth="1"/>
    <x:col min="3095" max="3095" width="8.83203125" hidden="0" customWidth="1"/>
    <x:col min="3096" max="3096" width="8.83203125" hidden="0" customWidth="1"/>
    <x:col min="3097" max="3097" width="8.83203125" hidden="0" customWidth="1"/>
    <x:col min="3098" max="3098" width="8.83203125" hidden="0" customWidth="1"/>
    <x:col min="3099" max="3099" width="8.83203125" hidden="0" customWidth="1"/>
    <x:col min="3100" max="3100" width="8.83203125" hidden="0" customWidth="1"/>
    <x:col min="3101" max="3101" width="8.83203125" hidden="0" customWidth="1"/>
    <x:col min="3102" max="3102" width="8.83203125" hidden="0" customWidth="1"/>
    <x:col min="3103" max="3103" width="8.83203125" hidden="0" customWidth="1"/>
    <x:col min="3104" max="3104" width="8.83203125" hidden="0" customWidth="1"/>
    <x:col min="3105" max="3105" width="8.83203125" hidden="0" customWidth="1"/>
    <x:col min="3106" max="3106" width="8.83203125" hidden="0" customWidth="1"/>
    <x:col min="3107" max="3107" width="8.83203125" hidden="0" customWidth="1"/>
    <x:col min="3108" max="3108" width="8.83203125" hidden="0" customWidth="1"/>
    <x:col min="3109" max="3109" width="8.83203125" hidden="0" customWidth="1"/>
    <x:col min="3110" max="3110" width="8.83203125" hidden="0" customWidth="1"/>
    <x:col min="3111" max="3111" width="8.83203125" hidden="0" customWidth="1"/>
    <x:col min="3112" max="3112" width="8.83203125" hidden="0" customWidth="1"/>
    <x:col min="3113" max="3113" width="8.83203125" hidden="0" customWidth="1"/>
    <x:col min="3114" max="3114" width="8.83203125" hidden="0" customWidth="1"/>
    <x:col min="3115" max="3115" width="8.83203125" hidden="0" customWidth="1"/>
    <x:col min="3116" max="3116" width="8.83203125" hidden="0" customWidth="1"/>
    <x:col min="3117" max="3117" width="8.83203125" hidden="0" customWidth="1"/>
    <x:col min="3118" max="3118" width="8.83203125" hidden="0" customWidth="1"/>
    <x:col min="3119" max="3119" width="8.83203125" hidden="0" customWidth="1"/>
    <x:col min="3120" max="3120" width="8.83203125" hidden="0" customWidth="1"/>
    <x:col min="3121" max="3121" width="8.83203125" hidden="0" customWidth="1"/>
    <x:col min="3122" max="3122" width="8.83203125" hidden="0" customWidth="1"/>
    <x:col min="3123" max="3123" width="8.83203125" hidden="0" customWidth="1"/>
    <x:col min="3124" max="3124" width="8.83203125" hidden="0" customWidth="1"/>
    <x:col min="3125" max="3125" width="8.83203125" hidden="0" customWidth="1"/>
    <x:col min="3126" max="3126" width="8.83203125" hidden="0" customWidth="1"/>
    <x:col min="3127" max="3127" width="8.83203125" hidden="0" customWidth="1"/>
    <x:col min="3128" max="3128" width="8.83203125" hidden="0" customWidth="1"/>
    <x:col min="3129" max="3129" width="8.83203125" hidden="0" customWidth="1"/>
    <x:col min="3130" max="3130" width="8.83203125" hidden="0" customWidth="1"/>
    <x:col min="3131" max="3131" width="8.83203125" hidden="0" customWidth="1"/>
    <x:col min="3132" max="3132" width="8.83203125" hidden="0" customWidth="1"/>
    <x:col min="3133" max="3133" width="8.83203125" hidden="0" customWidth="1"/>
    <x:col min="3134" max="3134" width="8.83203125" hidden="0" customWidth="1"/>
    <x:col min="3135" max="3135" width="8.83203125" hidden="0" customWidth="1"/>
    <x:col min="3136" max="3136" width="8.83203125" hidden="0" customWidth="1"/>
    <x:col min="3137" max="3137" width="8.83203125" hidden="0" customWidth="1"/>
    <x:col min="3138" max="3138" width="8.83203125" hidden="0" customWidth="1"/>
    <x:col min="3139" max="3139" width="8.83203125" hidden="0" customWidth="1"/>
    <x:col min="3140" max="3140" width="8.83203125" hidden="0" customWidth="1"/>
    <x:col min="3141" max="3141" width="8.83203125" hidden="0" customWidth="1"/>
    <x:col min="3142" max="3142" width="8.83203125" hidden="0" customWidth="1"/>
    <x:col min="3143" max="3143" width="8.83203125" hidden="0" customWidth="1"/>
    <x:col min="3144" max="3144" width="8.83203125" hidden="0" customWidth="1"/>
    <x:col min="3145" max="3145" width="8.83203125" hidden="0" customWidth="1"/>
    <x:col min="3146" max="3146" width="8.83203125" hidden="0" customWidth="1"/>
    <x:col min="3147" max="3147" width="8.83203125" hidden="0" customWidth="1"/>
    <x:col min="3148" max="3148" width="8.83203125" hidden="0" customWidth="1"/>
    <x:col min="3149" max="3149" width="8.83203125" hidden="0" customWidth="1"/>
    <x:col min="3150" max="3150" width="8.83203125" hidden="0" customWidth="1"/>
    <x:col min="3151" max="3151" width="8.83203125" hidden="0" customWidth="1"/>
    <x:col min="3152" max="3152" width="8.83203125" hidden="0" customWidth="1"/>
    <x:col min="3153" max="3153" width="8.83203125" hidden="0" customWidth="1"/>
    <x:col min="3154" max="3154" width="8.83203125" hidden="0" customWidth="1"/>
    <x:col min="3155" max="3155" width="8.83203125" hidden="0" customWidth="1"/>
    <x:col min="3156" max="3156" width="8.83203125" hidden="0" customWidth="1"/>
    <x:col min="3157" max="3157" width="8.83203125" hidden="0" customWidth="1"/>
    <x:col min="3158" max="3158" width="8.83203125" hidden="0" customWidth="1"/>
    <x:col min="3159" max="3159" width="8.83203125" hidden="0" customWidth="1"/>
    <x:col min="3160" max="3160" width="8.83203125" hidden="0" customWidth="1"/>
    <x:col min="3161" max="3161" width="8.83203125" hidden="0" customWidth="1"/>
    <x:col min="3162" max="3162" width="8.83203125" hidden="0" customWidth="1"/>
    <x:col min="3163" max="3163" width="8.83203125" hidden="0" customWidth="1"/>
    <x:col min="3164" max="3164" width="8.83203125" hidden="0" customWidth="1"/>
    <x:col min="3165" max="3165" width="8.83203125" hidden="0" customWidth="1"/>
    <x:col min="3166" max="3166" width="8.83203125" hidden="0" customWidth="1"/>
    <x:col min="3167" max="3167" width="8.83203125" hidden="0" customWidth="1"/>
    <x:col min="3168" max="3168" width="8.83203125" hidden="0" customWidth="1"/>
    <x:col min="3169" max="3169" width="8.83203125" hidden="0" customWidth="1"/>
    <x:col min="3170" max="3170" width="8.83203125" hidden="0" customWidth="1"/>
    <x:col min="3171" max="3171" width="8.83203125" hidden="0" customWidth="1"/>
    <x:col min="3172" max="3172" width="8.83203125" hidden="0" customWidth="1"/>
    <x:col min="3173" max="3173" width="8.83203125" hidden="0" customWidth="1"/>
    <x:col min="3174" max="3174" width="8.83203125" hidden="0" customWidth="1"/>
    <x:col min="3175" max="3175" width="8.83203125" hidden="0" customWidth="1"/>
    <x:col min="3176" max="3176" width="8.83203125" hidden="0" customWidth="1"/>
    <x:col min="3177" max="3177" width="8.83203125" hidden="0" customWidth="1"/>
    <x:col min="3178" max="3178" width="8.83203125" hidden="0" customWidth="1"/>
    <x:col min="3179" max="3179" width="8.83203125" hidden="0" customWidth="1"/>
    <x:col min="3180" max="3180" width="8.83203125" hidden="0" customWidth="1"/>
    <x:col min="3181" max="3181" width="8.83203125" hidden="0" customWidth="1"/>
    <x:col min="3182" max="3182" width="8.83203125" hidden="0" customWidth="1"/>
    <x:col min="3183" max="3183" width="8.83203125" hidden="0" customWidth="1"/>
    <x:col min="3184" max="3184" width="8.83203125" hidden="0" customWidth="1"/>
    <x:col min="3185" max="3185" width="8.83203125" hidden="0" customWidth="1"/>
    <x:col min="3186" max="3186" width="8.83203125" hidden="0" customWidth="1"/>
    <x:col min="3187" max="3187" width="8.83203125" hidden="0" customWidth="1"/>
    <x:col min="3188" max="3188" width="8.83203125" hidden="0" customWidth="1"/>
    <x:col min="3189" max="3189" width="8.83203125" hidden="0" customWidth="1"/>
    <x:col min="3190" max="3190" width="8.83203125" hidden="0" customWidth="1"/>
    <x:col min="3191" max="3191" width="8.83203125" hidden="0" customWidth="1"/>
    <x:col min="3192" max="3192" width="8.83203125" hidden="0" customWidth="1"/>
    <x:col min="3193" max="3193" width="8.83203125" hidden="0" customWidth="1"/>
    <x:col min="3194" max="3194" width="8.83203125" hidden="0" customWidth="1"/>
    <x:col min="3195" max="3195" width="8.83203125" hidden="0" customWidth="1"/>
    <x:col min="3196" max="3196" width="8.83203125" hidden="0" customWidth="1"/>
    <x:col min="3197" max="3197" width="8.83203125" hidden="0" customWidth="1"/>
    <x:col min="3198" max="3198" width="8.83203125" hidden="0" customWidth="1"/>
    <x:col min="3199" max="3199" width="8.83203125" hidden="0" customWidth="1"/>
    <x:col min="3200" max="3200" width="8.83203125" hidden="0" customWidth="1"/>
    <x:col min="3201" max="3201" width="8.83203125" hidden="0" customWidth="1"/>
    <x:col min="3202" max="3202" width="8.83203125" hidden="0" customWidth="1"/>
    <x:col min="3203" max="3203" width="8.83203125" hidden="0" customWidth="1"/>
    <x:col min="3204" max="3204" width="8.83203125" hidden="0" customWidth="1"/>
    <x:col min="3205" max="3205" width="8.83203125" hidden="0" customWidth="1"/>
    <x:col min="3206" max="3206" width="8.83203125" hidden="0" customWidth="1"/>
    <x:col min="3207" max="3207" width="8.83203125" hidden="0" customWidth="1"/>
    <x:col min="3208" max="3208" width="8.83203125" hidden="0" customWidth="1"/>
    <x:col min="3209" max="3209" width="8.83203125" hidden="0" customWidth="1"/>
    <x:col min="3210" max="3210" width="8.83203125" hidden="0" customWidth="1"/>
    <x:col min="3211" max="3211" width="8.83203125" hidden="0" customWidth="1"/>
    <x:col min="3212" max="3212" width="8.83203125" hidden="0" customWidth="1"/>
    <x:col min="3213" max="3213" width="8.83203125" hidden="0" customWidth="1"/>
    <x:col min="3214" max="3214" width="8.83203125" hidden="0" customWidth="1"/>
    <x:col min="3215" max="3215" width="8.83203125" hidden="0" customWidth="1"/>
    <x:col min="3216" max="3216" width="8.83203125" hidden="0" customWidth="1"/>
    <x:col min="3217" max="3217" width="8.83203125" hidden="0" customWidth="1"/>
    <x:col min="3218" max="3218" width="8.83203125" hidden="0" customWidth="1"/>
    <x:col min="3219" max="3219" width="8.83203125" hidden="0" customWidth="1"/>
    <x:col min="3220" max="3220" width="8.83203125" hidden="0" customWidth="1"/>
    <x:col min="3221" max="3221" width="8.83203125" hidden="0" customWidth="1"/>
    <x:col min="3222" max="3222" width="8.83203125" hidden="0" customWidth="1"/>
    <x:col min="3223" max="3223" width="8.83203125" hidden="0" customWidth="1"/>
    <x:col min="3224" max="3224" width="8.83203125" hidden="0" customWidth="1"/>
    <x:col min="3225" max="3225" width="8.83203125" hidden="0" customWidth="1"/>
    <x:col min="3226" max="3226" width="8.83203125" hidden="0" customWidth="1"/>
    <x:col min="3227" max="3227" width="8.83203125" hidden="0" customWidth="1"/>
    <x:col min="3228" max="3228" width="8.83203125" hidden="0" customWidth="1"/>
    <x:col min="3229" max="3229" width="8.83203125" hidden="0" customWidth="1"/>
    <x:col min="3230" max="3230" width="8.83203125" hidden="0" customWidth="1"/>
    <x:col min="3231" max="3231" width="8.83203125" hidden="0" customWidth="1"/>
    <x:col min="3232" max="3232" width="8.83203125" hidden="0" customWidth="1"/>
    <x:col min="3233" max="3233" width="8.83203125" hidden="0" customWidth="1"/>
    <x:col min="3234" max="3234" width="8.83203125" hidden="0" customWidth="1"/>
    <x:col min="3235" max="3235" width="8.83203125" hidden="0" customWidth="1"/>
    <x:col min="3236" max="3236" width="8.83203125" hidden="0" customWidth="1"/>
    <x:col min="3237" max="3237" width="8.83203125" hidden="0" customWidth="1"/>
    <x:col min="3238" max="3238" width="8.83203125" hidden="0" customWidth="1"/>
    <x:col min="3239" max="3239" width="8.83203125" hidden="0" customWidth="1"/>
    <x:col min="3240" max="3240" width="8.83203125" hidden="0" customWidth="1"/>
    <x:col min="3241" max="3241" width="8.83203125" hidden="0" customWidth="1"/>
    <x:col min="3242" max="3242" width="8.83203125" hidden="0" customWidth="1"/>
    <x:col min="3243" max="3243" width="8.83203125" hidden="0" customWidth="1"/>
    <x:col min="3244" max="3244" width="8.83203125" hidden="0" customWidth="1"/>
    <x:col min="3245" max="3245" width="8.83203125" hidden="0" customWidth="1"/>
    <x:col min="3246" max="3246" width="8.83203125" hidden="0" customWidth="1"/>
    <x:col min="3247" max="3247" width="8.83203125" hidden="0" customWidth="1"/>
    <x:col min="3248" max="3248" width="8.83203125" hidden="0" customWidth="1"/>
    <x:col min="3249" max="3249" width="8.83203125" hidden="0" customWidth="1"/>
    <x:col min="3250" max="3250" width="8.83203125" hidden="0" customWidth="1"/>
    <x:col min="3251" max="3251" width="8.83203125" hidden="0" customWidth="1"/>
    <x:col min="3252" max="3252" width="8.83203125" hidden="0" customWidth="1"/>
    <x:col min="3253" max="3253" width="8.83203125" hidden="0" customWidth="1"/>
    <x:col min="3254" max="3254" width="8.83203125" hidden="0" customWidth="1"/>
    <x:col min="3255" max="3255" width="8.83203125" hidden="0" customWidth="1"/>
    <x:col min="3256" max="3256" width="8.83203125" hidden="0" customWidth="1"/>
    <x:col min="3257" max="3257" width="8.83203125" hidden="0" customWidth="1"/>
    <x:col min="3258" max="3258" width="8.83203125" hidden="0" customWidth="1"/>
    <x:col min="3259" max="3259" width="8.83203125" hidden="0" customWidth="1"/>
    <x:col min="3260" max="3260" width="8.83203125" hidden="0" customWidth="1"/>
    <x:col min="3261" max="3261" width="8.83203125" hidden="0" customWidth="1"/>
    <x:col min="3262" max="3262" width="8.83203125" hidden="0" customWidth="1"/>
    <x:col min="3263" max="3263" width="8.83203125" hidden="0" customWidth="1"/>
    <x:col min="3264" max="3264" width="8.83203125" hidden="0" customWidth="1"/>
    <x:col min="3265" max="3265" width="8.83203125" hidden="0" customWidth="1"/>
    <x:col min="3266" max="3266" width="8.83203125" hidden="0" customWidth="1"/>
    <x:col min="3267" max="3267" width="8.83203125" hidden="0" customWidth="1"/>
    <x:col min="3268" max="3268" width="8.83203125" hidden="0" customWidth="1"/>
    <x:col min="3269" max="3269" width="8.83203125" hidden="0" customWidth="1"/>
    <x:col min="3270" max="3270" width="8.83203125" hidden="0" customWidth="1"/>
    <x:col min="3271" max="3271" width="8.83203125" hidden="0" customWidth="1"/>
    <x:col min="3272" max="3272" width="8.83203125" hidden="0" customWidth="1"/>
    <x:col min="3273" max="3273" width="8.83203125" hidden="0" customWidth="1"/>
    <x:col min="3274" max="3274" width="8.83203125" hidden="0" customWidth="1"/>
    <x:col min="3275" max="3275" width="8.83203125" hidden="0" customWidth="1"/>
    <x:col min="3276" max="3276" width="8.83203125" hidden="0" customWidth="1"/>
    <x:col min="3277" max="3277" width="8.83203125" hidden="0" customWidth="1"/>
    <x:col min="3278" max="3278" width="8.83203125" hidden="0" customWidth="1"/>
    <x:col min="3279" max="3279" width="8.83203125" hidden="0" customWidth="1"/>
    <x:col min="3280" max="3280" width="8.83203125" hidden="0" customWidth="1"/>
    <x:col min="3281" max="3281" width="8.83203125" hidden="0" customWidth="1"/>
    <x:col min="3282" max="3282" width="8.83203125" hidden="0" customWidth="1"/>
    <x:col min="3283" max="3283" width="8.83203125" hidden="0" customWidth="1"/>
    <x:col min="3284" max="3284" width="8.83203125" hidden="0" customWidth="1"/>
    <x:col min="3285" max="3285" width="8.83203125" hidden="0" customWidth="1"/>
    <x:col min="3286" max="3286" width="8.83203125" hidden="0" customWidth="1"/>
    <x:col min="3287" max="3287" width="8.83203125" hidden="0" customWidth="1"/>
    <x:col min="3288" max="3288" width="8.83203125" hidden="0" customWidth="1"/>
    <x:col min="3289" max="3289" width="8.83203125" hidden="0" customWidth="1"/>
    <x:col min="3290" max="3290" width="8.83203125" hidden="0" customWidth="1"/>
    <x:col min="3291" max="3291" width="8.83203125" hidden="0" customWidth="1"/>
    <x:col min="3292" max="3292" width="8.83203125" hidden="0" customWidth="1"/>
    <x:col min="3293" max="3293" width="8.83203125" hidden="0" customWidth="1"/>
    <x:col min="3294" max="3294" width="8.83203125" hidden="0" customWidth="1"/>
    <x:col min="3295" max="3295" width="8.83203125" hidden="0" customWidth="1"/>
    <x:col min="3296" max="3296" width="8.83203125" hidden="0" customWidth="1"/>
    <x:col min="3297" max="3297" width="8.83203125" hidden="0" customWidth="1"/>
    <x:col min="3298" max="3298" width="8.83203125" hidden="0" customWidth="1"/>
    <x:col min="3299" max="3299" width="8.83203125" hidden="0" customWidth="1"/>
    <x:col min="3300" max="3300" width="8.83203125" hidden="0" customWidth="1"/>
    <x:col min="3301" max="3301" width="8.83203125" hidden="0" customWidth="1"/>
    <x:col min="3302" max="3302" width="8.83203125" hidden="0" customWidth="1"/>
    <x:col min="3303" max="3303" width="8.83203125" hidden="0" customWidth="1"/>
    <x:col min="3304" max="3304" width="8.83203125" hidden="0" customWidth="1"/>
    <x:col min="3305" max="3305" width="8.83203125" hidden="0" customWidth="1"/>
    <x:col min="3306" max="3306" width="8.83203125" hidden="0" customWidth="1"/>
    <x:col min="3307" max="3307" width="8.83203125" hidden="0" customWidth="1"/>
    <x:col min="3308" max="3308" width="8.83203125" hidden="0" customWidth="1"/>
    <x:col min="3309" max="3309" width="8.83203125" hidden="0" customWidth="1"/>
    <x:col min="3310" max="3310" width="8.83203125" hidden="0" customWidth="1"/>
    <x:col min="3311" max="3311" width="8.83203125" hidden="0" customWidth="1"/>
    <x:col min="3312" max="3312" width="8.83203125" hidden="0" customWidth="1"/>
    <x:col min="3313" max="3313" width="8.83203125" hidden="0" customWidth="1"/>
    <x:col min="3314" max="3314" width="8.83203125" hidden="0" customWidth="1"/>
    <x:col min="3315" max="3315" width="8.83203125" hidden="0" customWidth="1"/>
    <x:col min="3316" max="3316" width="8.83203125" hidden="0" customWidth="1"/>
    <x:col min="3317" max="3317" width="8.83203125" hidden="0" customWidth="1"/>
    <x:col min="3318" max="3318" width="8.83203125" hidden="0" customWidth="1"/>
    <x:col min="3319" max="3319" width="8.83203125" hidden="0" customWidth="1"/>
    <x:col min="3320" max="3320" width="8.83203125" hidden="0" customWidth="1"/>
    <x:col min="3321" max="3321" width="8.83203125" hidden="0" customWidth="1"/>
    <x:col min="3322" max="3322" width="8.83203125" hidden="0" customWidth="1"/>
    <x:col min="3323" max="3323" width="8.83203125" hidden="0" customWidth="1"/>
    <x:col min="3324" max="3324" width="8.83203125" hidden="0" customWidth="1"/>
    <x:col min="3325" max="3325" width="8.83203125" hidden="0" customWidth="1"/>
    <x:col min="3326" max="3326" width="8.83203125" hidden="0" customWidth="1"/>
    <x:col min="3327" max="3327" width="8.83203125" hidden="0" customWidth="1"/>
    <x:col min="3328" max="3328" width="8.83203125" hidden="0" customWidth="1"/>
    <x:col min="3329" max="3329" width="8.83203125" hidden="0" customWidth="1"/>
    <x:col min="3330" max="3330" width="8.83203125" hidden="0" customWidth="1"/>
    <x:col min="3331" max="3331" width="8.83203125" hidden="0" customWidth="1"/>
    <x:col min="3332" max="3332" width="8.83203125" hidden="0" customWidth="1"/>
    <x:col min="3333" max="3333" width="8.83203125" hidden="0" customWidth="1"/>
    <x:col min="3334" max="3334" width="8.83203125" hidden="0" customWidth="1"/>
    <x:col min="3335" max="3335" width="8.83203125" hidden="0" customWidth="1"/>
    <x:col min="3336" max="3336" width="8.83203125" hidden="0" customWidth="1"/>
    <x:col min="3337" max="3337" width="8.83203125" hidden="0" customWidth="1"/>
    <x:col min="3338" max="3338" width="8.83203125" hidden="0" customWidth="1"/>
    <x:col min="3339" max="3339" width="8.83203125" hidden="0" customWidth="1"/>
    <x:col min="3340" max="3340" width="8.83203125" hidden="0" customWidth="1"/>
    <x:col min="3341" max="3341" width="8.83203125" hidden="0" customWidth="1"/>
    <x:col min="3342" max="3342" width="8.83203125" hidden="0" customWidth="1"/>
    <x:col min="3343" max="3343" width="8.83203125" hidden="0" customWidth="1"/>
    <x:col min="3344" max="3344" width="8.83203125" hidden="0" customWidth="1"/>
    <x:col min="3345" max="3345" width="8.83203125" hidden="0" customWidth="1"/>
    <x:col min="3346" max="3346" width="8.83203125" hidden="0" customWidth="1"/>
    <x:col min="3347" max="3347" width="8.83203125" hidden="0" customWidth="1"/>
    <x:col min="3348" max="3348" width="8.83203125" hidden="0" customWidth="1"/>
    <x:col min="3349" max="3349" width="8.83203125" hidden="0" customWidth="1"/>
    <x:col min="3350" max="3350" width="8.83203125" hidden="0" customWidth="1"/>
    <x:col min="3351" max="3351" width="8.83203125" hidden="0" customWidth="1"/>
    <x:col min="3352" max="3352" width="8.83203125" hidden="0" customWidth="1"/>
    <x:col min="3353" max="3353" width="8.83203125" hidden="0" customWidth="1"/>
    <x:col min="3354" max="3354" width="8.83203125" hidden="0" customWidth="1"/>
    <x:col min="3355" max="3355" width="8.83203125" hidden="0" customWidth="1"/>
    <x:col min="3356" max="3356" width="8.83203125" hidden="0" customWidth="1"/>
    <x:col min="3357" max="3357" width="8.83203125" hidden="0" customWidth="1"/>
    <x:col min="3358" max="3358" width="8.83203125" hidden="0" customWidth="1"/>
    <x:col min="3359" max="3359" width="8.83203125" hidden="0" customWidth="1"/>
    <x:col min="3360" max="3360" width="8.83203125" hidden="0" customWidth="1"/>
    <x:col min="3361" max="3361" width="8.83203125" hidden="0" customWidth="1"/>
    <x:col min="3362" max="3362" width="8.83203125" hidden="0" customWidth="1"/>
    <x:col min="3363" max="3363" width="8.83203125" hidden="0" customWidth="1"/>
    <x:col min="3364" max="3364" width="8.83203125" hidden="0" customWidth="1"/>
    <x:col min="3365" max="3365" width="8.83203125" hidden="0" customWidth="1"/>
    <x:col min="3366" max="3366" width="8.83203125" hidden="0" customWidth="1"/>
    <x:col min="3367" max="3367" width="8.83203125" hidden="0" customWidth="1"/>
    <x:col min="3368" max="3368" width="8.83203125" hidden="0" customWidth="1"/>
    <x:col min="3369" max="3369" width="8.83203125" hidden="0" customWidth="1"/>
    <x:col min="3370" max="3370" width="8.83203125" hidden="0" customWidth="1"/>
    <x:col min="3371" max="3371" width="8.83203125" hidden="0" customWidth="1"/>
    <x:col min="3372" max="3372" width="8.83203125" hidden="0" customWidth="1"/>
    <x:col min="3373" max="3373" width="8.83203125" hidden="0" customWidth="1"/>
    <x:col min="3374" max="3374" width="8.83203125" hidden="0" customWidth="1"/>
    <x:col min="3375" max="3375" width="8.83203125" hidden="0" customWidth="1"/>
    <x:col min="3376" max="3376" width="8.83203125" hidden="0" customWidth="1"/>
    <x:col min="3377" max="3377" width="8.83203125" hidden="0" customWidth="1"/>
    <x:col min="3378" max="3378" width="8.83203125" hidden="0" customWidth="1"/>
    <x:col min="3379" max="3379" width="8.83203125" hidden="0" customWidth="1"/>
    <x:col min="3380" max="3380" width="8.83203125" hidden="0" customWidth="1"/>
    <x:col min="3381" max="3381" width="8.83203125" hidden="0" customWidth="1"/>
    <x:col min="3382" max="3382" width="8.83203125" hidden="0" customWidth="1"/>
    <x:col min="3383" max="3383" width="8.83203125" hidden="0" customWidth="1"/>
    <x:col min="3384" max="3384" width="8.83203125" hidden="0" customWidth="1"/>
    <x:col min="3385" max="3385" width="8.83203125" hidden="0" customWidth="1"/>
    <x:col min="3386" max="3386" width="8.83203125" hidden="0" customWidth="1"/>
    <x:col min="3387" max="3387" width="8.83203125" hidden="0" customWidth="1"/>
    <x:col min="3388" max="3388" width="8.83203125" hidden="0" customWidth="1"/>
    <x:col min="3389" max="3389" width="8.83203125" hidden="0" customWidth="1"/>
    <x:col min="3390" max="3390" width="8.83203125" hidden="0" customWidth="1"/>
    <x:col min="3391" max="3391" width="8.83203125" hidden="0" customWidth="1"/>
    <x:col min="3392" max="3392" width="8.83203125" hidden="0" customWidth="1"/>
    <x:col min="3393" max="3393" width="8.83203125" hidden="0" customWidth="1"/>
    <x:col min="3394" max="3394" width="8.83203125" hidden="0" customWidth="1"/>
    <x:col min="3395" max="3395" width="8.83203125" hidden="0" customWidth="1"/>
    <x:col min="3396" max="3396" width="8.83203125" hidden="0" customWidth="1"/>
    <x:col min="3397" max="3397" width="8.83203125" hidden="0" customWidth="1"/>
    <x:col min="3398" max="3398" width="8.83203125" hidden="0" customWidth="1"/>
    <x:col min="3399" max="3399" width="8.83203125" hidden="0" customWidth="1"/>
    <x:col min="3400" max="3400" width="8.83203125" hidden="0" customWidth="1"/>
    <x:col min="3401" max="3401" width="8.83203125" hidden="0" customWidth="1"/>
    <x:col min="3402" max="3402" width="8.83203125" hidden="0" customWidth="1"/>
    <x:col min="3403" max="3403" width="8.83203125" hidden="0" customWidth="1"/>
    <x:col min="3404" max="3404" width="8.83203125" hidden="0" customWidth="1"/>
    <x:col min="3405" max="3405" width="8.83203125" hidden="0" customWidth="1"/>
    <x:col min="3406" max="3406" width="8.83203125" hidden="0" customWidth="1"/>
    <x:col min="3407" max="3407" width="8.83203125" hidden="0" customWidth="1"/>
    <x:col min="3408" max="3408" width="8.83203125" hidden="0" customWidth="1"/>
    <x:col min="3409" max="3409" width="8.83203125" hidden="0" customWidth="1"/>
    <x:col min="3410" max="3410" width="8.83203125" hidden="0" customWidth="1"/>
    <x:col min="3411" max="3411" width="8.83203125" hidden="0" customWidth="1"/>
    <x:col min="3412" max="3412" width="8.83203125" hidden="0" customWidth="1"/>
    <x:col min="3413" max="3413" width="8.83203125" hidden="0" customWidth="1"/>
    <x:col min="3414" max="3414" width="8.83203125" hidden="0" customWidth="1"/>
    <x:col min="3415" max="3415" width="8.83203125" hidden="0" customWidth="1"/>
    <x:col min="3416" max="3416" width="8.83203125" hidden="0" customWidth="1"/>
    <x:col min="3417" max="3417" width="8.83203125" hidden="0" customWidth="1"/>
    <x:col min="3418" max="3418" width="8.83203125" hidden="0" customWidth="1"/>
    <x:col min="3419" max="3419" width="8.83203125" hidden="0" customWidth="1"/>
    <x:col min="3420" max="3420" width="8.83203125" hidden="0" customWidth="1"/>
    <x:col min="3421" max="3421" width="8.83203125" hidden="0" customWidth="1"/>
    <x:col min="3422" max="3422" width="8.83203125" hidden="0" customWidth="1"/>
    <x:col min="3423" max="3423" width="8.83203125" hidden="0" customWidth="1"/>
    <x:col min="3424" max="3424" width="8.83203125" hidden="0" customWidth="1"/>
    <x:col min="3425" max="3425" width="8.83203125" hidden="0" customWidth="1"/>
    <x:col min="3426" max="3426" width="8.83203125" hidden="0" customWidth="1"/>
    <x:col min="3427" max="3427" width="8.83203125" hidden="0" customWidth="1"/>
    <x:col min="3428" max="3428" width="8.83203125" hidden="0" customWidth="1"/>
    <x:col min="3429" max="3429" width="8.83203125" hidden="0" customWidth="1"/>
    <x:col min="3430" max="3430" width="8.83203125" hidden="0" customWidth="1"/>
    <x:col min="3431" max="3431" width="8.83203125" hidden="0" customWidth="1"/>
    <x:col min="3432" max="3432" width="8.83203125" hidden="0" customWidth="1"/>
    <x:col min="3433" max="3433" width="8.83203125" hidden="0" customWidth="1"/>
    <x:col min="3434" max="3434" width="8.83203125" hidden="0" customWidth="1"/>
    <x:col min="3435" max="3435" width="8.83203125" hidden="0" customWidth="1"/>
    <x:col min="3436" max="3436" width="8.83203125" hidden="0" customWidth="1"/>
    <x:col min="3437" max="3437" width="8.83203125" hidden="0" customWidth="1"/>
    <x:col min="3438" max="3438" width="8.83203125" hidden="0" customWidth="1"/>
    <x:col min="3439" max="3439" width="8.83203125" hidden="0" customWidth="1"/>
    <x:col min="3440" max="3440" width="8.83203125" hidden="0" customWidth="1"/>
    <x:col min="3441" max="3441" width="8.83203125" hidden="0" customWidth="1"/>
    <x:col min="3442" max="3442" width="8.83203125" hidden="0" customWidth="1"/>
    <x:col min="3443" max="3443" width="8.83203125" hidden="0" customWidth="1"/>
    <x:col min="3444" max="3444" width="8.83203125" hidden="0" customWidth="1"/>
    <x:col min="3445" max="3445" width="8.83203125" hidden="0" customWidth="1"/>
    <x:col min="3446" max="3446" width="8.83203125" hidden="0" customWidth="1"/>
    <x:col min="3447" max="3447" width="8.83203125" hidden="0" customWidth="1"/>
    <x:col min="3448" max="3448" width="8.83203125" hidden="0" customWidth="1"/>
    <x:col min="3449" max="3449" width="8.83203125" hidden="0" customWidth="1"/>
    <x:col min="3450" max="3450" width="8.83203125" hidden="0" customWidth="1"/>
    <x:col min="3451" max="3451" width="8.83203125" hidden="0" customWidth="1"/>
    <x:col min="3452" max="3452" width="8.83203125" hidden="0" customWidth="1"/>
    <x:col min="3453" max="3453" width="8.83203125" hidden="0" customWidth="1"/>
    <x:col min="3454" max="3454" width="8.83203125" hidden="0" customWidth="1"/>
    <x:col min="3455" max="3455" width="8.83203125" hidden="0" customWidth="1"/>
    <x:col min="3456" max="3456" width="8.83203125" hidden="0" customWidth="1"/>
    <x:col min="3457" max="3457" width="8.83203125" hidden="0" customWidth="1"/>
    <x:col min="3458" max="3458" width="8.83203125" hidden="0" customWidth="1"/>
    <x:col min="3459" max="3459" width="8.83203125" hidden="0" customWidth="1"/>
    <x:col min="3460" max="3460" width="8.83203125" hidden="0" customWidth="1"/>
    <x:col min="3461" max="3461" width="8.83203125" hidden="0" customWidth="1"/>
    <x:col min="3462" max="3462" width="8.83203125" hidden="0" customWidth="1"/>
    <x:col min="3463" max="3463" width="8.83203125" hidden="0" customWidth="1"/>
    <x:col min="3464" max="3464" width="8.83203125" hidden="0" customWidth="1"/>
    <x:col min="3465" max="3465" width="8.83203125" hidden="0" customWidth="1"/>
    <x:col min="3466" max="3466" width="8.83203125" hidden="0" customWidth="1"/>
    <x:col min="3467" max="3467" width="8.83203125" hidden="0" customWidth="1"/>
    <x:col min="3468" max="3468" width="8.83203125" hidden="0" customWidth="1"/>
    <x:col min="3469" max="3469" width="8.83203125" hidden="0" customWidth="1"/>
    <x:col min="3470" max="3470" width="8.83203125" hidden="0" customWidth="1"/>
    <x:col min="3471" max="3471" width="8.83203125" hidden="0" customWidth="1"/>
    <x:col min="3472" max="3472" width="8.83203125" hidden="0" customWidth="1"/>
    <x:col min="3473" max="3473" width="8.83203125" hidden="0" customWidth="1"/>
    <x:col min="3474" max="3474" width="8.83203125" hidden="0" customWidth="1"/>
    <x:col min="3475" max="3475" width="8.83203125" hidden="0" customWidth="1"/>
    <x:col min="3476" max="3476" width="8.83203125" hidden="0" customWidth="1"/>
    <x:col min="3477" max="3477" width="8.83203125" hidden="0" customWidth="1"/>
    <x:col min="3478" max="3478" width="8.83203125" hidden="0" customWidth="1"/>
    <x:col min="3479" max="3479" width="8.83203125" hidden="0" customWidth="1"/>
    <x:col min="3480" max="3480" width="8.83203125" hidden="0" customWidth="1"/>
    <x:col min="3481" max="3481" width="8.83203125" hidden="0" customWidth="1"/>
    <x:col min="3482" max="3482" width="8.83203125" hidden="0" customWidth="1"/>
    <x:col min="3483" max="3483" width="8.83203125" hidden="0" customWidth="1"/>
    <x:col min="3484" max="3484" width="8.83203125" hidden="0" customWidth="1"/>
    <x:col min="3485" max="3485" width="8.83203125" hidden="0" customWidth="1"/>
    <x:col min="3486" max="3486" width="8.83203125" hidden="0" customWidth="1"/>
    <x:col min="3487" max="3487" width="8.83203125" hidden="0" customWidth="1"/>
    <x:col min="3488" max="3488" width="8.83203125" hidden="0" customWidth="1"/>
    <x:col min="3489" max="3489" width="8.83203125" hidden="0" customWidth="1"/>
    <x:col min="3490" max="3490" width="8.83203125" hidden="0" customWidth="1"/>
    <x:col min="3491" max="3491" width="8.83203125" hidden="0" customWidth="1"/>
    <x:col min="3492" max="3492" width="8.83203125" hidden="0" customWidth="1"/>
    <x:col min="3493" max="3493" width="8.83203125" hidden="0" customWidth="1"/>
    <x:col min="3494" max="3494" width="8.83203125" hidden="0" customWidth="1"/>
    <x:col min="3495" max="3495" width="8.83203125" hidden="0" customWidth="1"/>
    <x:col min="3496" max="3496" width="8.83203125" hidden="0" customWidth="1"/>
    <x:col min="3497" max="3497" width="8.83203125" hidden="0" customWidth="1"/>
    <x:col min="3498" max="3498" width="8.83203125" hidden="0" customWidth="1"/>
    <x:col min="3499" max="3499" width="8.83203125" hidden="0" customWidth="1"/>
    <x:col min="3500" max="3500" width="8.83203125" hidden="0" customWidth="1"/>
    <x:col min="3501" max="3501" width="8.83203125" hidden="0" customWidth="1"/>
    <x:col min="3502" max="3502" width="8.83203125" hidden="0" customWidth="1"/>
    <x:col min="3503" max="3503" width="8.83203125" hidden="0" customWidth="1"/>
    <x:col min="3504" max="3504" width="8.83203125" hidden="0" customWidth="1"/>
    <x:col min="3505" max="3505" width="8.83203125" hidden="0" customWidth="1"/>
    <x:col min="3506" max="3506" width="8.83203125" hidden="0" customWidth="1"/>
    <x:col min="3507" max="3507" width="8.83203125" hidden="0" customWidth="1"/>
    <x:col min="3508" max="3508" width="8.83203125" hidden="0" customWidth="1"/>
    <x:col min="3509" max="3509" width="8.83203125" hidden="0" customWidth="1"/>
    <x:col min="3510" max="3510" width="8.83203125" hidden="0" customWidth="1"/>
    <x:col min="3511" max="3511" width="8.83203125" hidden="0" customWidth="1"/>
    <x:col min="3512" max="3512" width="8.83203125" hidden="0" customWidth="1"/>
    <x:col min="3513" max="3513" width="8.83203125" hidden="0" customWidth="1"/>
    <x:col min="3514" max="3514" width="8.83203125" hidden="0" customWidth="1"/>
    <x:col min="3515" max="3515" width="8.83203125" hidden="0" customWidth="1"/>
    <x:col min="3516" max="3516" width="8.83203125" hidden="0" customWidth="1"/>
    <x:col min="3517" max="3517" width="8.83203125" hidden="0" customWidth="1"/>
    <x:col min="3518" max="3518" width="8.83203125" hidden="0" customWidth="1"/>
    <x:col min="3519" max="3519" width="8.83203125" hidden="0" customWidth="1"/>
    <x:col min="3520" max="3520" width="8.83203125" hidden="0" customWidth="1"/>
    <x:col min="3521" max="3521" width="8.83203125" hidden="0" customWidth="1"/>
    <x:col min="3522" max="3522" width="8.83203125" hidden="0" customWidth="1"/>
    <x:col min="3523" max="3523" width="8.83203125" hidden="0" customWidth="1"/>
    <x:col min="3524" max="3524" width="8.83203125" hidden="0" customWidth="1"/>
    <x:col min="3525" max="3525" width="8.83203125" hidden="0" customWidth="1"/>
    <x:col min="3526" max="3526" width="8.83203125" hidden="0" customWidth="1"/>
    <x:col min="3527" max="3527" width="8.83203125" hidden="0" customWidth="1"/>
    <x:col min="3528" max="3528" width="8.83203125" hidden="0" customWidth="1"/>
    <x:col min="3529" max="3529" width="8.83203125" hidden="0" customWidth="1"/>
    <x:col min="3530" max="3530" width="8.83203125" hidden="0" customWidth="1"/>
    <x:col min="3531" max="3531" width="8.83203125" hidden="0" customWidth="1"/>
    <x:col min="3532" max="3532" width="8.83203125" hidden="0" customWidth="1"/>
    <x:col min="3533" max="3533" width="8.83203125" hidden="0" customWidth="1"/>
    <x:col min="3534" max="3534" width="8.83203125" hidden="0" customWidth="1"/>
    <x:col min="3535" max="3535" width="8.83203125" hidden="0" customWidth="1"/>
    <x:col min="3536" max="3536" width="8.83203125" hidden="0" customWidth="1"/>
    <x:col min="3537" max="3537" width="8.83203125" hidden="0" customWidth="1"/>
    <x:col min="3538" max="3538" width="8.83203125" hidden="0" customWidth="1"/>
    <x:col min="3539" max="3539" width="8.83203125" hidden="0" customWidth="1"/>
    <x:col min="3540" max="3540" width="8.83203125" hidden="0" customWidth="1"/>
    <x:col min="3541" max="3541" width="8.83203125" hidden="0" customWidth="1"/>
    <x:col min="3542" max="3542" width="8.83203125" hidden="0" customWidth="1"/>
    <x:col min="3543" max="3543" width="8.83203125" hidden="0" customWidth="1"/>
    <x:col min="3544" max="3544" width="8.83203125" hidden="0" customWidth="1"/>
    <x:col min="3545" max="3545" width="8.83203125" hidden="0" customWidth="1"/>
    <x:col min="3546" max="3546" width="8.83203125" hidden="0" customWidth="1"/>
    <x:col min="3547" max="3547" width="8.83203125" hidden="0" customWidth="1"/>
    <x:col min="3548" max="3548" width="8.83203125" hidden="0" customWidth="1"/>
    <x:col min="3549" max="3549" width="8.83203125" hidden="0" customWidth="1"/>
    <x:col min="3550" max="3550" width="8.83203125" hidden="0" customWidth="1"/>
    <x:col min="3551" max="3551" width="8.83203125" hidden="0" customWidth="1"/>
    <x:col min="3552" max="3552" width="8.83203125" hidden="0" customWidth="1"/>
    <x:col min="3553" max="3553" width="8.83203125" hidden="0" customWidth="1"/>
    <x:col min="3554" max="3554" width="8.83203125" hidden="0" customWidth="1"/>
    <x:col min="3555" max="3555" width="8.83203125" hidden="0" customWidth="1"/>
    <x:col min="3556" max="3556" width="8.83203125" hidden="0" customWidth="1"/>
    <x:col min="3557" max="3557" width="8.83203125" hidden="0" customWidth="1"/>
    <x:col min="3558" max="3558" width="8.83203125" hidden="0" customWidth="1"/>
    <x:col min="3559" max="3559" width="8.83203125" hidden="0" customWidth="1"/>
    <x:col min="3560" max="3560" width="8.83203125" hidden="0" customWidth="1"/>
    <x:col min="3561" max="3561" width="8.83203125" hidden="0" customWidth="1"/>
    <x:col min="3562" max="3562" width="8.83203125" hidden="0" customWidth="1"/>
    <x:col min="3563" max="3563" width="8.83203125" hidden="0" customWidth="1"/>
    <x:col min="3564" max="3564" width="8.83203125" hidden="0" customWidth="1"/>
    <x:col min="3565" max="3565" width="8.83203125" hidden="0" customWidth="1"/>
    <x:col min="3566" max="3566" width="8.83203125" hidden="0" customWidth="1"/>
    <x:col min="3567" max="3567" width="8.83203125" hidden="0" customWidth="1"/>
    <x:col min="3568" max="3568" width="8.83203125" hidden="0" customWidth="1"/>
    <x:col min="3569" max="3569" width="8.83203125" hidden="0" customWidth="1"/>
    <x:col min="3570" max="3570" width="8.83203125" hidden="0" customWidth="1"/>
    <x:col min="3571" max="3571" width="8.83203125" hidden="0" customWidth="1"/>
    <x:col min="3572" max="3572" width="8.83203125" hidden="0" customWidth="1"/>
    <x:col min="3573" max="3573" width="8.83203125" hidden="0" customWidth="1"/>
    <x:col min="3574" max="3574" width="8.83203125" hidden="0" customWidth="1"/>
    <x:col min="3575" max="3575" width="8.83203125" hidden="0" customWidth="1"/>
    <x:col min="3576" max="3576" width="8.83203125" hidden="0" customWidth="1"/>
    <x:col min="3577" max="3577" width="8.83203125" hidden="0" customWidth="1"/>
    <x:col min="3578" max="3578" width="8.83203125" hidden="0" customWidth="1"/>
    <x:col min="3579" max="3579" width="8.83203125" hidden="0" customWidth="1"/>
    <x:col min="3580" max="3580" width="8.83203125" hidden="0" customWidth="1"/>
    <x:col min="3581" max="3581" width="8.83203125" hidden="0" customWidth="1"/>
    <x:col min="3582" max="3582" width="8.83203125" hidden="0" customWidth="1"/>
    <x:col min="3583" max="3583" width="8.83203125" hidden="0" customWidth="1"/>
    <x:col min="3584" max="3584" width="8.83203125" hidden="0" customWidth="1"/>
    <x:col min="3585" max="3585" width="8.83203125" hidden="0" customWidth="1"/>
    <x:col min="3586" max="3586" width="8.83203125" hidden="0" customWidth="1"/>
    <x:col min="3587" max="3587" width="8.83203125" hidden="0" customWidth="1"/>
    <x:col min="3588" max="3588" width="8.83203125" hidden="0" customWidth="1"/>
    <x:col min="3589" max="3589" width="8.83203125" hidden="0" customWidth="1"/>
    <x:col min="3590" max="3590" width="8.83203125" hidden="0" customWidth="1"/>
    <x:col min="3591" max="3591" width="8.83203125" hidden="0" customWidth="1"/>
    <x:col min="3592" max="3592" width="8.83203125" hidden="0" customWidth="1"/>
    <x:col min="3593" max="3593" width="8.83203125" hidden="0" customWidth="1"/>
    <x:col min="3594" max="3594" width="8.83203125" hidden="0" customWidth="1"/>
    <x:col min="3595" max="3595" width="8.83203125" hidden="0" customWidth="1"/>
    <x:col min="3596" max="3596" width="8.83203125" hidden="0" customWidth="1"/>
    <x:col min="3597" max="3597" width="8.83203125" hidden="0" customWidth="1"/>
    <x:col min="3598" max="3598" width="8.83203125" hidden="0" customWidth="1"/>
    <x:col min="3599" max="3599" width="8.83203125" hidden="0" customWidth="1"/>
    <x:col min="3600" max="3600" width="8.83203125" hidden="0" customWidth="1"/>
    <x:col min="3601" max="3601" width="8.83203125" hidden="0" customWidth="1"/>
    <x:col min="3602" max="3602" width="8.83203125" hidden="0" customWidth="1"/>
    <x:col min="3603" max="3603" width="8.83203125" hidden="0" customWidth="1"/>
    <x:col min="3604" max="3604" width="8.83203125" hidden="0" customWidth="1"/>
    <x:col min="3605" max="3605" width="8.83203125" hidden="0" customWidth="1"/>
    <x:col min="3606" max="3606" width="8.83203125" hidden="0" customWidth="1"/>
    <x:col min="3607" max="3607" width="8.83203125" hidden="0" customWidth="1"/>
    <x:col min="3608" max="3608" width="8.83203125" hidden="0" customWidth="1"/>
    <x:col min="3609" max="3609" width="8.83203125" hidden="0" customWidth="1"/>
    <x:col min="3610" max="3610" width="8.83203125" hidden="0" customWidth="1"/>
    <x:col min="3611" max="3611" width="8.83203125" hidden="0" customWidth="1"/>
    <x:col min="3612" max="3612" width="8.83203125" hidden="0" customWidth="1"/>
    <x:col min="3613" max="3613" width="8.83203125" hidden="0" customWidth="1"/>
    <x:col min="3614" max="3614" width="8.83203125" hidden="0" customWidth="1"/>
    <x:col min="3615" max="3615" width="8.83203125" hidden="0" customWidth="1"/>
    <x:col min="3616" max="3616" width="8.83203125" hidden="0" customWidth="1"/>
    <x:col min="3617" max="3617" width="8.83203125" hidden="0" customWidth="1"/>
    <x:col min="3618" max="3618" width="8.83203125" hidden="0" customWidth="1"/>
    <x:col min="3619" max="3619" width="8.83203125" hidden="0" customWidth="1"/>
    <x:col min="3620" max="3620" width="8.83203125" hidden="0" customWidth="1"/>
    <x:col min="3621" max="3621" width="8.83203125" hidden="0" customWidth="1"/>
    <x:col min="3622" max="3622" width="8.83203125" hidden="0" customWidth="1"/>
    <x:col min="3623" max="3623" width="8.83203125" hidden="0" customWidth="1"/>
    <x:col min="3624" max="3624" width="8.83203125" hidden="0" customWidth="1"/>
    <x:col min="3625" max="3625" width="8.83203125" hidden="0" customWidth="1"/>
    <x:col min="3626" max="3626" width="8.83203125" hidden="0" customWidth="1"/>
    <x:col min="3627" max="3627" width="8.83203125" hidden="0" customWidth="1"/>
    <x:col min="3628" max="3628" width="8.83203125" hidden="0" customWidth="1"/>
    <x:col min="3629" max="3629" width="8.83203125" hidden="0" customWidth="1"/>
    <x:col min="3630" max="3630" width="8.83203125" hidden="0" customWidth="1"/>
    <x:col min="3631" max="3631" width="8.83203125" hidden="0" customWidth="1"/>
    <x:col min="3632" max="3632" width="8.83203125" hidden="0" customWidth="1"/>
    <x:col min="3633" max="3633" width="8.83203125" hidden="0" customWidth="1"/>
    <x:col min="3634" max="3634" width="8.83203125" hidden="0" customWidth="1"/>
    <x:col min="3635" max="3635" width="8.83203125" hidden="0" customWidth="1"/>
    <x:col min="3636" max="3636" width="8.83203125" hidden="0" customWidth="1"/>
    <x:col min="3637" max="3637" width="8.83203125" hidden="0" customWidth="1"/>
    <x:col min="3638" max="3638" width="8.83203125" hidden="0" customWidth="1"/>
    <x:col min="3639" max="3639" width="8.83203125" hidden="0" customWidth="1"/>
    <x:col min="3640" max="3640" width="8.83203125" hidden="0" customWidth="1"/>
    <x:col min="3641" max="3641" width="8.83203125" hidden="0" customWidth="1"/>
    <x:col min="3642" max="3642" width="8.83203125" hidden="0" customWidth="1"/>
    <x:col min="3643" max="3643" width="8.83203125" hidden="0" customWidth="1"/>
    <x:col min="3644" max="3644" width="8.83203125" hidden="0" customWidth="1"/>
    <x:col min="3645" max="3645" width="8.83203125" hidden="0" customWidth="1"/>
    <x:col min="3646" max="3646" width="8.83203125" hidden="0" customWidth="1"/>
    <x:col min="3647" max="3647" width="8.83203125" hidden="0" customWidth="1"/>
    <x:col min="3648" max="3648" width="8.83203125" hidden="0" customWidth="1"/>
    <x:col min="3649" max="3649" width="8.83203125" hidden="0" customWidth="1"/>
    <x:col min="3650" max="3650" width="8.83203125" hidden="0" customWidth="1"/>
    <x:col min="3651" max="3651" width="8.83203125" hidden="0" customWidth="1"/>
    <x:col min="3652" max="3652" width="8.83203125" hidden="0" customWidth="1"/>
    <x:col min="3653" max="3653" width="8.83203125" hidden="0" customWidth="1"/>
    <x:col min="3654" max="3654" width="8.83203125" hidden="0" customWidth="1"/>
    <x:col min="3655" max="3655" width="8.83203125" hidden="0" customWidth="1"/>
    <x:col min="3656" max="3656" width="8.83203125" hidden="0" customWidth="1"/>
    <x:col min="3657" max="3657" width="8.83203125" hidden="0" customWidth="1"/>
    <x:col min="3658" max="3658" width="8.83203125" hidden="0" customWidth="1"/>
    <x:col min="3659" max="3659" width="8.83203125" hidden="0" customWidth="1"/>
    <x:col min="3660" max="3660" width="8.83203125" hidden="0" customWidth="1"/>
    <x:col min="3661" max="3661" width="8.83203125" hidden="0" customWidth="1"/>
    <x:col min="3662" max="3662" width="8.83203125" hidden="0" customWidth="1"/>
    <x:col min="3663" max="3663" width="8.83203125" hidden="0" customWidth="1"/>
    <x:col min="3664" max="3664" width="8.83203125" hidden="0" customWidth="1"/>
    <x:col min="3665" max="3665" width="8.83203125" hidden="0" customWidth="1"/>
    <x:col min="3666" max="3666" width="8.83203125" hidden="0" customWidth="1"/>
    <x:col min="3667" max="3667" width="8.83203125" hidden="0" customWidth="1"/>
    <x:col min="3668" max="3668" width="8.83203125" hidden="0" customWidth="1"/>
    <x:col min="3669" max="3669" width="8.83203125" hidden="0" customWidth="1"/>
    <x:col min="3670" max="3670" width="8.83203125" hidden="0" customWidth="1"/>
    <x:col min="3671" max="3671" width="8.83203125" hidden="0" customWidth="1"/>
    <x:col min="3672" max="3672" width="8.83203125" hidden="0" customWidth="1"/>
    <x:col min="3673" max="3673" width="8.83203125" hidden="0" customWidth="1"/>
    <x:col min="3674" max="3674" width="8.83203125" hidden="0" customWidth="1"/>
    <x:col min="3675" max="3675" width="8.83203125" hidden="0" customWidth="1"/>
    <x:col min="3676" max="3676" width="8.83203125" hidden="0" customWidth="1"/>
    <x:col min="3677" max="3677" width="8.83203125" hidden="0" customWidth="1"/>
    <x:col min="3678" max="3678" width="8.83203125" hidden="0" customWidth="1"/>
    <x:col min="3679" max="3679" width="8.83203125" hidden="0" customWidth="1"/>
    <x:col min="3680" max="3680" width="8.83203125" hidden="0" customWidth="1"/>
    <x:col min="3681" max="3681" width="8.83203125" hidden="0" customWidth="1"/>
    <x:col min="3682" max="3682" width="8.83203125" hidden="0" customWidth="1"/>
    <x:col min="3683" max="3683" width="8.83203125" hidden="0" customWidth="1"/>
    <x:col min="3684" max="3684" width="8.83203125" hidden="0" customWidth="1"/>
    <x:col min="3685" max="3685" width="8.83203125" hidden="0" customWidth="1"/>
    <x:col min="3686" max="3686" width="8.83203125" hidden="0" customWidth="1"/>
    <x:col min="3687" max="3687" width="8.83203125" hidden="0" customWidth="1"/>
    <x:col min="3688" max="3688" width="8.83203125" hidden="0" customWidth="1"/>
    <x:col min="3689" max="3689" width="8.83203125" hidden="0" customWidth="1"/>
    <x:col min="3690" max="3690" width="8.83203125" hidden="0" customWidth="1"/>
    <x:col min="3691" max="3691" width="8.83203125" hidden="0" customWidth="1"/>
    <x:col min="3692" max="3692" width="8.83203125" hidden="0" customWidth="1"/>
    <x:col min="3693" max="3693" width="8.83203125" hidden="0" customWidth="1"/>
    <x:col min="3694" max="3694" width="8.83203125" hidden="0" customWidth="1"/>
    <x:col min="3695" max="3695" width="8.83203125" hidden="0" customWidth="1"/>
    <x:col min="3696" max="3696" width="8.83203125" hidden="0" customWidth="1"/>
    <x:col min="3697" max="3697" width="8.83203125" hidden="0" customWidth="1"/>
    <x:col min="3698" max="3698" width="8.83203125" hidden="0" customWidth="1"/>
    <x:col min="3699" max="3699" width="8.83203125" hidden="0" customWidth="1"/>
    <x:col min="3700" max="3700" width="8.83203125" hidden="0" customWidth="1"/>
    <x:col min="3701" max="3701" width="8.83203125" hidden="0" customWidth="1"/>
    <x:col min="3702" max="3702" width="8.83203125" hidden="0" customWidth="1"/>
    <x:col min="3703" max="3703" width="8.83203125" hidden="0" customWidth="1"/>
    <x:col min="3704" max="3704" width="8.83203125" hidden="0" customWidth="1"/>
    <x:col min="3705" max="3705" width="8.83203125" hidden="0" customWidth="1"/>
    <x:col min="3706" max="3706" width="8.83203125" hidden="0" customWidth="1"/>
    <x:col min="3707" max="3707" width="8.83203125" hidden="0" customWidth="1"/>
    <x:col min="3708" max="3708" width="8.83203125" hidden="0" customWidth="1"/>
    <x:col min="3709" max="3709" width="8.83203125" hidden="0" customWidth="1"/>
    <x:col min="3710" max="3710" width="8.83203125" hidden="0" customWidth="1"/>
    <x:col min="3711" max="3711" width="8.83203125" hidden="0" customWidth="1"/>
    <x:col min="3712" max="3712" width="8.83203125" hidden="0" customWidth="1"/>
    <x:col min="3713" max="3713" width="8.83203125" hidden="0" customWidth="1"/>
    <x:col min="3714" max="3714" width="8.83203125" hidden="0" customWidth="1"/>
    <x:col min="3715" max="3715" width="8.83203125" hidden="0" customWidth="1"/>
    <x:col min="3716" max="3716" width="8.83203125" hidden="0" customWidth="1"/>
    <x:col min="3717" max="3717" width="8.83203125" hidden="0" customWidth="1"/>
    <x:col min="3718" max="3718" width="8.83203125" hidden="0" customWidth="1"/>
    <x:col min="3719" max="3719" width="8.83203125" hidden="0" customWidth="1"/>
    <x:col min="3720" max="3720" width="8.83203125" hidden="0" customWidth="1"/>
    <x:col min="3721" max="3721" width="8.83203125" hidden="0" customWidth="1"/>
    <x:col min="3722" max="3722" width="8.83203125" hidden="0" customWidth="1"/>
    <x:col min="3723" max="3723" width="8.83203125" hidden="0" customWidth="1"/>
    <x:col min="3724" max="3724" width="8.83203125" hidden="0" customWidth="1"/>
    <x:col min="3725" max="3725" width="8.83203125" hidden="0" customWidth="1"/>
    <x:col min="3726" max="3726" width="8.83203125" hidden="0" customWidth="1"/>
    <x:col min="3727" max="3727" width="8.83203125" hidden="0" customWidth="1"/>
    <x:col min="3728" max="3728" width="8.83203125" hidden="0" customWidth="1"/>
    <x:col min="3729" max="3729" width="8.83203125" hidden="0" customWidth="1"/>
    <x:col min="3730" max="3730" width="8.83203125" hidden="0" customWidth="1"/>
    <x:col min="3731" max="3731" width="8.83203125" hidden="0" customWidth="1"/>
    <x:col min="3732" max="3732" width="8.83203125" hidden="0" customWidth="1"/>
    <x:col min="3733" max="3733" width="8.83203125" hidden="0" customWidth="1"/>
    <x:col min="3734" max="3734" width="8.83203125" hidden="0" customWidth="1"/>
    <x:col min="3735" max="3735" width="8.83203125" hidden="0" customWidth="1"/>
    <x:col min="3736" max="3736" width="8.83203125" hidden="0" customWidth="1"/>
    <x:col min="3737" max="3737" width="8.83203125" hidden="0" customWidth="1"/>
    <x:col min="3738" max="3738" width="8.83203125" hidden="0" customWidth="1"/>
    <x:col min="3739" max="3739" width="8.83203125" hidden="0" customWidth="1"/>
    <x:col min="3740" max="3740" width="8.83203125" hidden="0" customWidth="1"/>
    <x:col min="3741" max="3741" width="8.83203125" hidden="0" customWidth="1"/>
    <x:col min="3742" max="3742" width="8.83203125" hidden="0" customWidth="1"/>
    <x:col min="3743" max="3743" width="8.83203125" hidden="0" customWidth="1"/>
    <x:col min="3744" max="3744" width="8.83203125" hidden="0" customWidth="1"/>
    <x:col min="3745" max="3745" width="8.83203125" hidden="0" customWidth="1"/>
    <x:col min="3746" max="3746" width="8.83203125" hidden="0" customWidth="1"/>
    <x:col min="3747" max="3747" width="8.83203125" hidden="0" customWidth="1"/>
    <x:col min="3748" max="3748" width="8.83203125" hidden="0" customWidth="1"/>
    <x:col min="3749" max="3749" width="8.83203125" hidden="0" customWidth="1"/>
    <x:col min="3750" max="3750" width="8.83203125" hidden="0" customWidth="1"/>
    <x:col min="3751" max="3751" width="8.83203125" hidden="0" customWidth="1"/>
    <x:col min="3752" max="3752" width="8.83203125" hidden="0" customWidth="1"/>
    <x:col min="3753" max="3753" width="8.83203125" hidden="0" customWidth="1"/>
    <x:col min="3754" max="3754" width="8.83203125" hidden="0" customWidth="1"/>
    <x:col min="3755" max="3755" width="8.83203125" hidden="0" customWidth="1"/>
    <x:col min="3756" max="3756" width="8.83203125" hidden="0" customWidth="1"/>
    <x:col min="3757" max="3757" width="8.83203125" hidden="0" customWidth="1"/>
    <x:col min="3758" max="3758" width="8.83203125" hidden="0" customWidth="1"/>
    <x:col min="3759" max="3759" width="8.83203125" hidden="0" customWidth="1"/>
    <x:col min="3760" max="3760" width="8.83203125" hidden="0" customWidth="1"/>
    <x:col min="3761" max="3761" width="8.83203125" hidden="0" customWidth="1"/>
    <x:col min="3762" max="3762" width="8.83203125" hidden="0" customWidth="1"/>
    <x:col min="3763" max="3763" width="8.83203125" hidden="0" customWidth="1"/>
    <x:col min="3764" max="3764" width="8.83203125" hidden="0" customWidth="1"/>
    <x:col min="3765" max="3765" width="8.83203125" hidden="0" customWidth="1"/>
    <x:col min="3766" max="3766" width="8.83203125" hidden="0" customWidth="1"/>
    <x:col min="3767" max="3767" width="8.83203125" hidden="0" customWidth="1"/>
    <x:col min="3768" max="3768" width="8.83203125" hidden="0" customWidth="1"/>
    <x:col min="3769" max="3769" width="8.83203125" hidden="0" customWidth="1"/>
    <x:col min="3770" max="3770" width="8.83203125" hidden="0" customWidth="1"/>
    <x:col min="3771" max="3771" width="8.83203125" hidden="0" customWidth="1"/>
    <x:col min="3772" max="3772" width="8.83203125" hidden="0" customWidth="1"/>
    <x:col min="3773" max="3773" width="8.83203125" hidden="0" customWidth="1"/>
    <x:col min="3774" max="3774" width="8.83203125" hidden="0" customWidth="1"/>
    <x:col min="3775" max="3775" width="8.83203125" hidden="0" customWidth="1"/>
    <x:col min="3776" max="3776" width="8.83203125" hidden="0" customWidth="1"/>
    <x:col min="3777" max="3777" width="8.83203125" hidden="0" customWidth="1"/>
    <x:col min="3778" max="3778" width="8.83203125" hidden="0" customWidth="1"/>
    <x:col min="3779" max="3779" width="8.83203125" hidden="0" customWidth="1"/>
    <x:col min="3780" max="3780" width="8.83203125" hidden="0" customWidth="1"/>
    <x:col min="3781" max="3781" width="8.83203125" hidden="0" customWidth="1"/>
    <x:col min="3782" max="3782" width="8.83203125" hidden="0" customWidth="1"/>
    <x:col min="3783" max="3783" width="8.83203125" hidden="0" customWidth="1"/>
    <x:col min="3784" max="3784" width="8.83203125" hidden="0" customWidth="1"/>
    <x:col min="3785" max="3785" width="8.83203125" hidden="0" customWidth="1"/>
    <x:col min="3786" max="3786" width="8.83203125" hidden="0" customWidth="1"/>
    <x:col min="3787" max="3787" width="8.83203125" hidden="0" customWidth="1"/>
    <x:col min="3788" max="3788" width="8.83203125" hidden="0" customWidth="1"/>
    <x:col min="3789" max="3789" width="8.83203125" hidden="0" customWidth="1"/>
    <x:col min="3790" max="3790" width="8.83203125" hidden="0" customWidth="1"/>
    <x:col min="3791" max="3791" width="8.83203125" hidden="0" customWidth="1"/>
    <x:col min="3792" max="3792" width="8.83203125" hidden="0" customWidth="1"/>
    <x:col min="3793" max="3793" width="8.83203125" hidden="0" customWidth="1"/>
    <x:col min="3794" max="3794" width="8.83203125" hidden="0" customWidth="1"/>
    <x:col min="3795" max="3795" width="8.83203125" hidden="0" customWidth="1"/>
    <x:col min="3796" max="3796" width="8.83203125" hidden="0" customWidth="1"/>
    <x:col min="3797" max="3797" width="8.83203125" hidden="0" customWidth="1"/>
    <x:col min="3798" max="3798" width="8.83203125" hidden="0" customWidth="1"/>
    <x:col min="3799" max="3799" width="8.83203125" hidden="0" customWidth="1"/>
    <x:col min="3800" max="3800" width="8.83203125" hidden="0" customWidth="1"/>
    <x:col min="3801" max="3801" width="8.83203125" hidden="0" customWidth="1"/>
    <x:col min="3802" max="3802" width="8.83203125" hidden="0" customWidth="1"/>
    <x:col min="3803" max="3803" width="8.83203125" hidden="0" customWidth="1"/>
    <x:col min="3804" max="3804" width="8.83203125" hidden="0" customWidth="1"/>
    <x:col min="3805" max="3805" width="8.83203125" hidden="0" customWidth="1"/>
    <x:col min="3806" max="3806" width="8.83203125" hidden="0" customWidth="1"/>
    <x:col min="3807" max="3807" width="8.83203125" hidden="0" customWidth="1"/>
    <x:col min="3808" max="3808" width="8.83203125" hidden="0" customWidth="1"/>
    <x:col min="3809" max="3809" width="8.83203125" hidden="0" customWidth="1"/>
    <x:col min="3810" max="3810" width="8.83203125" hidden="0" customWidth="1"/>
    <x:col min="3811" max="3811" width="8.83203125" hidden="0" customWidth="1"/>
    <x:col min="3812" max="3812" width="8.83203125" hidden="0" customWidth="1"/>
    <x:col min="3813" max="3813" width="8.83203125" hidden="0" customWidth="1"/>
    <x:col min="3814" max="3814" width="8.83203125" hidden="0" customWidth="1"/>
    <x:col min="3815" max="3815" width="8.83203125" hidden="0" customWidth="1"/>
    <x:col min="3816" max="3816" width="8.83203125" hidden="0" customWidth="1"/>
    <x:col min="3817" max="3817" width="8.83203125" hidden="0" customWidth="1"/>
    <x:col min="3818" max="3818" width="8.83203125" hidden="0" customWidth="1"/>
    <x:col min="3819" max="3819" width="8.83203125" hidden="0" customWidth="1"/>
    <x:col min="3820" max="3820" width="8.83203125" hidden="0" customWidth="1"/>
    <x:col min="3821" max="3821" width="8.83203125" hidden="0" customWidth="1"/>
    <x:col min="3822" max="3822" width="8.83203125" hidden="0" customWidth="1"/>
    <x:col min="3823" max="3823" width="8.83203125" hidden="0" customWidth="1"/>
    <x:col min="3824" max="3824" width="8.83203125" hidden="0" customWidth="1"/>
    <x:col min="3825" max="3825" width="8.83203125" hidden="0" customWidth="1"/>
    <x:col min="3826" max="3826" width="8.83203125" hidden="0" customWidth="1"/>
    <x:col min="3827" max="3827" width="8.83203125" hidden="0" customWidth="1"/>
    <x:col min="3828" max="3828" width="8.83203125" hidden="0" customWidth="1"/>
    <x:col min="3829" max="3829" width="8.83203125" hidden="0" customWidth="1"/>
    <x:col min="3830" max="3830" width="8.83203125" hidden="0" customWidth="1"/>
    <x:col min="3831" max="3831" width="8.83203125" hidden="0" customWidth="1"/>
    <x:col min="3832" max="3832" width="8.83203125" hidden="0" customWidth="1"/>
    <x:col min="3833" max="3833" width="8.83203125" hidden="0" customWidth="1"/>
    <x:col min="3834" max="3834" width="8.83203125" hidden="0" customWidth="1"/>
    <x:col min="3835" max="3835" width="8.83203125" hidden="0" customWidth="1"/>
    <x:col min="3836" max="3836" width="8.83203125" hidden="0" customWidth="1"/>
    <x:col min="3837" max="3837" width="8.83203125" hidden="0" customWidth="1"/>
    <x:col min="3838" max="3838" width="8.83203125" hidden="0" customWidth="1"/>
    <x:col min="3839" max="3839" width="8.83203125" hidden="0" customWidth="1"/>
    <x:col min="3840" max="3840" width="8.83203125" hidden="0" customWidth="1"/>
    <x:col min="3841" max="3841" width="8.83203125" hidden="0" customWidth="1"/>
    <x:col min="3842" max="3842" width="8.83203125" hidden="0" customWidth="1"/>
    <x:col min="3843" max="3843" width="8.83203125" hidden="0" customWidth="1"/>
    <x:col min="3844" max="3844" width="8.83203125" hidden="0" customWidth="1"/>
    <x:col min="3845" max="3845" width="8.83203125" hidden="0" customWidth="1"/>
    <x:col min="3846" max="3846" width="8.83203125" hidden="0" customWidth="1"/>
    <x:col min="3847" max="3847" width="8.83203125" hidden="0" customWidth="1"/>
    <x:col min="3848" max="3848" width="8.83203125" hidden="0" customWidth="1"/>
    <x:col min="3849" max="3849" width="8.83203125" hidden="0" customWidth="1"/>
    <x:col min="3850" max="3850" width="8.83203125" hidden="0" customWidth="1"/>
    <x:col min="3851" max="3851" width="8.83203125" hidden="0" customWidth="1"/>
    <x:col min="3852" max="3852" width="8.83203125" hidden="0" customWidth="1"/>
    <x:col min="3853" max="3853" width="8.83203125" hidden="0" customWidth="1"/>
    <x:col min="3854" max="3854" width="8.83203125" hidden="0" customWidth="1"/>
    <x:col min="3855" max="3855" width="8.83203125" hidden="0" customWidth="1"/>
    <x:col min="3856" max="3856" width="8.83203125" hidden="0" customWidth="1"/>
    <x:col min="3857" max="3857" width="8.83203125" hidden="0" customWidth="1"/>
    <x:col min="3858" max="3858" width="8.83203125" hidden="0" customWidth="1"/>
    <x:col min="3859" max="3859" width="8.83203125" hidden="0" customWidth="1"/>
    <x:col min="3860" max="3860" width="8.83203125" hidden="0" customWidth="1"/>
    <x:col min="3861" max="3861" width="8.83203125" hidden="0" customWidth="1"/>
    <x:col min="3862" max="3862" width="8.83203125" hidden="0" customWidth="1"/>
    <x:col min="3863" max="3863" width="8.83203125" hidden="0" customWidth="1"/>
    <x:col min="3864" max="3864" width="8.83203125" hidden="0" customWidth="1"/>
    <x:col min="3865" max="3865" width="8.83203125" hidden="0" customWidth="1"/>
    <x:col min="3866" max="3866" width="8.83203125" hidden="0" customWidth="1"/>
    <x:col min="3867" max="3867" width="8.83203125" hidden="0" customWidth="1"/>
    <x:col min="3868" max="3868" width="8.83203125" hidden="0" customWidth="1"/>
    <x:col min="3869" max="3869" width="8.83203125" hidden="0" customWidth="1"/>
    <x:col min="3870" max="3870" width="8.83203125" hidden="0" customWidth="1"/>
    <x:col min="3871" max="3871" width="8.83203125" hidden="0" customWidth="1"/>
    <x:col min="3872" max="3872" width="8.83203125" hidden="0" customWidth="1"/>
    <x:col min="3873" max="3873" width="8.83203125" hidden="0" customWidth="1"/>
    <x:col min="3874" max="3874" width="8.83203125" hidden="0" customWidth="1"/>
    <x:col min="3875" max="3875" width="8.83203125" hidden="0" customWidth="1"/>
    <x:col min="3876" max="3876" width="8.83203125" hidden="0" customWidth="1"/>
    <x:col min="3877" max="3877" width="8.83203125" hidden="0" customWidth="1"/>
    <x:col min="3878" max="3878" width="8.83203125" hidden="0" customWidth="1"/>
    <x:col min="3879" max="3879" width="8.83203125" hidden="0" customWidth="1"/>
    <x:col min="3880" max="3880" width="8.83203125" hidden="0" customWidth="1"/>
    <x:col min="3881" max="3881" width="8.83203125" hidden="0" customWidth="1"/>
    <x:col min="3882" max="3882" width="8.83203125" hidden="0" customWidth="1"/>
    <x:col min="3883" max="3883" width="8.83203125" hidden="0" customWidth="1"/>
    <x:col min="3884" max="3884" width="8.83203125" hidden="0" customWidth="1"/>
    <x:col min="3885" max="3885" width="8.83203125" hidden="0" customWidth="1"/>
    <x:col min="3886" max="3886" width="8.83203125" hidden="0" customWidth="1"/>
    <x:col min="3887" max="3887" width="8.83203125" hidden="0" customWidth="1"/>
    <x:col min="3888" max="3888" width="8.83203125" hidden="0" customWidth="1"/>
    <x:col min="3889" max="3889" width="8.83203125" hidden="0" customWidth="1"/>
    <x:col min="3890" max="3890" width="8.83203125" hidden="0" customWidth="1"/>
    <x:col min="3891" max="3891" width="8.83203125" hidden="0" customWidth="1"/>
    <x:col min="3892" max="3892" width="8.83203125" hidden="0" customWidth="1"/>
    <x:col min="3893" max="3893" width="8.83203125" hidden="0" customWidth="1"/>
    <x:col min="3894" max="3894" width="8.83203125" hidden="0" customWidth="1"/>
    <x:col min="3895" max="3895" width="8.83203125" hidden="0" customWidth="1"/>
    <x:col min="3896" max="3896" width="8.83203125" hidden="0" customWidth="1"/>
    <x:col min="3897" max="3897" width="8.83203125" hidden="0" customWidth="1"/>
    <x:col min="3898" max="3898" width="8.83203125" hidden="0" customWidth="1"/>
    <x:col min="3899" max="3899" width="8.83203125" hidden="0" customWidth="1"/>
    <x:col min="3900" max="3900" width="8.83203125" hidden="0" customWidth="1"/>
    <x:col min="3901" max="3901" width="8.83203125" hidden="0" customWidth="1"/>
    <x:col min="3902" max="3902" width="8.83203125" hidden="0" customWidth="1"/>
    <x:col min="3903" max="3903" width="8.83203125" hidden="0" customWidth="1"/>
    <x:col min="3904" max="3904" width="8.83203125" hidden="0" customWidth="1"/>
    <x:col min="3905" max="3905" width="8.83203125" hidden="0" customWidth="1"/>
    <x:col min="3906" max="3906" width="8.83203125" hidden="0" customWidth="1"/>
    <x:col min="3907" max="3907" width="8.83203125" hidden="0" customWidth="1"/>
    <x:col min="3908" max="3908" width="8.83203125" hidden="0" customWidth="1"/>
    <x:col min="3909" max="3909" width="8.83203125" hidden="0" customWidth="1"/>
    <x:col min="3910" max="3910" width="8.83203125" hidden="0" customWidth="1"/>
    <x:col min="3911" max="3911" width="8.83203125" hidden="0" customWidth="1"/>
    <x:col min="3912" max="3912" width="8.83203125" hidden="0" customWidth="1"/>
    <x:col min="3913" max="3913" width="8.83203125" hidden="0" customWidth="1"/>
    <x:col min="3914" max="3914" width="8.83203125" hidden="0" customWidth="1"/>
    <x:col min="3915" max="3915" width="8.83203125" hidden="0" customWidth="1"/>
    <x:col min="3916" max="3916" width="8.83203125" hidden="0" customWidth="1"/>
    <x:col min="3917" max="3917" width="8.83203125" hidden="0" customWidth="1"/>
    <x:col min="3918" max="3918" width="8.83203125" hidden="0" customWidth="1"/>
    <x:col min="3919" max="3919" width="8.83203125" hidden="0" customWidth="1"/>
    <x:col min="3920" max="3920" width="8.83203125" hidden="0" customWidth="1"/>
    <x:col min="3921" max="3921" width="8.83203125" hidden="0" customWidth="1"/>
    <x:col min="3922" max="3922" width="8.83203125" hidden="0" customWidth="1"/>
    <x:col min="3923" max="3923" width="8.83203125" hidden="0" customWidth="1"/>
    <x:col min="3924" max="3924" width="8.83203125" hidden="0" customWidth="1"/>
    <x:col min="3925" max="3925" width="8.83203125" hidden="0" customWidth="1"/>
    <x:col min="3926" max="3926" width="8.83203125" hidden="0" customWidth="1"/>
    <x:col min="3927" max="3927" width="8.83203125" hidden="0" customWidth="1"/>
    <x:col min="3928" max="3928" width="8.83203125" hidden="0" customWidth="1"/>
    <x:col min="3929" max="3929" width="8.83203125" hidden="0" customWidth="1"/>
    <x:col min="3930" max="3930" width="8.83203125" hidden="0" customWidth="1"/>
    <x:col min="3931" max="3931" width="8.83203125" hidden="0" customWidth="1"/>
    <x:col min="3932" max="3932" width="8.83203125" hidden="0" customWidth="1"/>
    <x:col min="3933" max="3933" width="8.83203125" hidden="0" customWidth="1"/>
    <x:col min="3934" max="3934" width="8.83203125" hidden="0" customWidth="1"/>
    <x:col min="3935" max="3935" width="8.83203125" hidden="0" customWidth="1"/>
    <x:col min="3936" max="3936" width="8.83203125" hidden="0" customWidth="1"/>
    <x:col min="3937" max="3937" width="8.83203125" hidden="0" customWidth="1"/>
    <x:col min="3938" max="3938" width="8.83203125" hidden="0" customWidth="1"/>
    <x:col min="3939" max="3939" width="8.83203125" hidden="0" customWidth="1"/>
    <x:col min="3940" max="3940" width="8.83203125" hidden="0" customWidth="1"/>
    <x:col min="3941" max="3941" width="8.83203125" hidden="0" customWidth="1"/>
    <x:col min="3942" max="3942" width="8.83203125" hidden="0" customWidth="1"/>
    <x:col min="3943" max="3943" width="8.83203125" hidden="0" customWidth="1"/>
    <x:col min="3944" max="3944" width="8.83203125" hidden="0" customWidth="1"/>
    <x:col min="3945" max="3945" width="8.83203125" hidden="0" customWidth="1"/>
    <x:col min="3946" max="3946" width="8.83203125" hidden="0" customWidth="1"/>
    <x:col min="3947" max="3947" width="8.83203125" hidden="0" customWidth="1"/>
    <x:col min="3948" max="3948" width="8.83203125" hidden="0" customWidth="1"/>
    <x:col min="3949" max="3949" width="8.83203125" hidden="0" customWidth="1"/>
    <x:col min="3950" max="3950" width="8.83203125" hidden="0" customWidth="1"/>
    <x:col min="3951" max="3951" width="8.83203125" hidden="0" customWidth="1"/>
    <x:col min="3952" max="3952" width="8.83203125" hidden="0" customWidth="1"/>
    <x:col min="3953" max="3953" width="8.83203125" hidden="0" customWidth="1"/>
    <x:col min="3954" max="3954" width="8.83203125" hidden="0" customWidth="1"/>
    <x:col min="3955" max="3955" width="8.83203125" hidden="0" customWidth="1"/>
    <x:col min="3956" max="3956" width="8.83203125" hidden="0" customWidth="1"/>
    <x:col min="3957" max="3957" width="8.83203125" hidden="0" customWidth="1"/>
    <x:col min="3958" max="3958" width="8.83203125" hidden="0" customWidth="1"/>
    <x:col min="3959" max="3959" width="8.83203125" hidden="0" customWidth="1"/>
    <x:col min="3960" max="3960" width="8.83203125" hidden="0" customWidth="1"/>
    <x:col min="3961" max="3961" width="8.83203125" hidden="0" customWidth="1"/>
    <x:col min="3962" max="3962" width="8.83203125" hidden="0" customWidth="1"/>
    <x:col min="3963" max="3963" width="8.83203125" hidden="0" customWidth="1"/>
    <x:col min="3964" max="3964" width="8.83203125" hidden="0" customWidth="1"/>
    <x:col min="3965" max="3965" width="8.83203125" hidden="0" customWidth="1"/>
    <x:col min="3966" max="3966" width="8.83203125" hidden="0" customWidth="1"/>
    <x:col min="3967" max="3967" width="8.83203125" hidden="0" customWidth="1"/>
    <x:col min="3968" max="3968" width="8.83203125" hidden="0" customWidth="1"/>
    <x:col min="3969" max="3969" width="8.83203125" hidden="0" customWidth="1"/>
    <x:col min="3970" max="3970" width="8.83203125" hidden="0" customWidth="1"/>
    <x:col min="3971" max="3971" width="8.83203125" hidden="0" customWidth="1"/>
    <x:col min="3972" max="3972" width="8.83203125" hidden="0" customWidth="1"/>
    <x:col min="3973" max="3973" width="8.83203125" hidden="0" customWidth="1"/>
    <x:col min="3974" max="3974" width="8.83203125" hidden="0" customWidth="1"/>
    <x:col min="3975" max="3975" width="8.83203125" hidden="0" customWidth="1"/>
    <x:col min="3976" max="3976" width="8.83203125" hidden="0" customWidth="1"/>
    <x:col min="3977" max="3977" width="8.83203125" hidden="0" customWidth="1"/>
    <x:col min="3978" max="3978" width="8.83203125" hidden="0" customWidth="1"/>
    <x:col min="3979" max="3979" width="8.83203125" hidden="0" customWidth="1"/>
    <x:col min="3980" max="3980" width="8.83203125" hidden="0" customWidth="1"/>
    <x:col min="3981" max="3981" width="8.83203125" hidden="0" customWidth="1"/>
    <x:col min="3982" max="3982" width="8.83203125" hidden="0" customWidth="1"/>
    <x:col min="3983" max="3983" width="8.83203125" hidden="0" customWidth="1"/>
    <x:col min="3984" max="3984" width="8.83203125" hidden="0" customWidth="1"/>
    <x:col min="3985" max="3985" width="8.83203125" hidden="0" customWidth="1"/>
    <x:col min="3986" max="3986" width="8.83203125" hidden="0" customWidth="1"/>
    <x:col min="3987" max="3987" width="8.83203125" hidden="0" customWidth="1"/>
    <x:col min="3988" max="3988" width="8.83203125" hidden="0" customWidth="1"/>
    <x:col min="3989" max="3989" width="8.83203125" hidden="0" customWidth="1"/>
    <x:col min="3990" max="3990" width="8.83203125" hidden="0" customWidth="1"/>
    <x:col min="3991" max="3991" width="8.83203125" hidden="0" customWidth="1"/>
    <x:col min="3992" max="3992" width="8.83203125" hidden="0" customWidth="1"/>
    <x:col min="3993" max="3993" width="8.83203125" hidden="0" customWidth="1"/>
    <x:col min="3994" max="3994" width="8.83203125" hidden="0" customWidth="1"/>
    <x:col min="3995" max="3995" width="8.83203125" hidden="0" customWidth="1"/>
    <x:col min="3996" max="3996" width="8.83203125" hidden="0" customWidth="1"/>
    <x:col min="3997" max="3997" width="8.83203125" hidden="0" customWidth="1"/>
    <x:col min="3998" max="3998" width="8.83203125" hidden="0" customWidth="1"/>
    <x:col min="3999" max="3999" width="8.83203125" hidden="0" customWidth="1"/>
    <x:col min="4000" max="4000" width="8.83203125" hidden="0" customWidth="1"/>
    <x:col min="4001" max="4001" width="8.83203125" hidden="0" customWidth="1"/>
    <x:col min="4002" max="4002" width="8.83203125" hidden="0" customWidth="1"/>
    <x:col min="4003" max="4003" width="8.83203125" hidden="0" customWidth="1"/>
    <x:col min="4004" max="4004" width="8.83203125" hidden="0" customWidth="1"/>
    <x:col min="4005" max="4005" width="8.83203125" hidden="0" customWidth="1"/>
    <x:col min="4006" max="4006" width="8.83203125" hidden="0" customWidth="1"/>
    <x:col min="4007" max="4007" width="8.83203125" hidden="0" customWidth="1"/>
    <x:col min="4008" max="4008" width="8.83203125" hidden="0" customWidth="1"/>
    <x:col min="4009" max="4009" width="8.83203125" hidden="0" customWidth="1"/>
    <x:col min="4010" max="4010" width="8.83203125" hidden="0" customWidth="1"/>
    <x:col min="4011" max="4011" width="8.83203125" hidden="0" customWidth="1"/>
    <x:col min="4012" max="4012" width="8.83203125" hidden="0" customWidth="1"/>
    <x:col min="4013" max="4013" width="8.83203125" hidden="0" customWidth="1"/>
    <x:col min="4014" max="4014" width="8.83203125" hidden="0" customWidth="1"/>
    <x:col min="4015" max="4015" width="8.83203125" hidden="0" customWidth="1"/>
    <x:col min="4016" max="4016" width="8.83203125" hidden="0" customWidth="1"/>
    <x:col min="4017" max="4017" width="8.83203125" hidden="0" customWidth="1"/>
    <x:col min="4018" max="4018" width="8.83203125" hidden="0" customWidth="1"/>
    <x:col min="4019" max="4019" width="8.83203125" hidden="0" customWidth="1"/>
    <x:col min="4020" max="4020" width="8.83203125" hidden="0" customWidth="1"/>
    <x:col min="4021" max="4021" width="8.83203125" hidden="0" customWidth="1"/>
    <x:col min="4022" max="4022" width="8.83203125" hidden="0" customWidth="1"/>
    <x:col min="4023" max="4023" width="8.83203125" hidden="0" customWidth="1"/>
    <x:col min="4024" max="4024" width="8.83203125" hidden="0" customWidth="1"/>
    <x:col min="4025" max="4025" width="8.83203125" hidden="0" customWidth="1"/>
    <x:col min="4026" max="4026" width="8.83203125" hidden="0" customWidth="1"/>
    <x:col min="4027" max="4027" width="8.83203125" hidden="0" customWidth="1"/>
    <x:col min="4028" max="4028" width="8.83203125" hidden="0" customWidth="1"/>
    <x:col min="4029" max="4029" width="8.83203125" hidden="0" customWidth="1"/>
    <x:col min="4030" max="4030" width="8.83203125" hidden="0" customWidth="1"/>
    <x:col min="4031" max="4031" width="8.83203125" hidden="0" customWidth="1"/>
    <x:col min="4032" max="4032" width="8.83203125" hidden="0" customWidth="1"/>
    <x:col min="4033" max="4033" width="8.83203125" hidden="0" customWidth="1"/>
    <x:col min="4034" max="4034" width="8.83203125" hidden="0" customWidth="1"/>
    <x:col min="4035" max="4035" width="8.83203125" hidden="0" customWidth="1"/>
    <x:col min="4036" max="4036" width="8.83203125" hidden="0" customWidth="1"/>
    <x:col min="4037" max="4037" width="8.83203125" hidden="0" customWidth="1"/>
    <x:col min="4038" max="4038" width="8.83203125" hidden="0" customWidth="1"/>
    <x:col min="4039" max="4039" width="8.83203125" hidden="0" customWidth="1"/>
    <x:col min="4040" max="4040" width="8.83203125" hidden="0" customWidth="1"/>
    <x:col min="4041" max="4041" width="8.83203125" hidden="0" customWidth="1"/>
    <x:col min="4042" max="4042" width="8.83203125" hidden="0" customWidth="1"/>
    <x:col min="4043" max="4043" width="8.83203125" hidden="0" customWidth="1"/>
    <x:col min="4044" max="4044" width="8.83203125" hidden="0" customWidth="1"/>
    <x:col min="4045" max="4045" width="8.83203125" hidden="0" customWidth="1"/>
    <x:col min="4046" max="4046" width="8.83203125" hidden="0" customWidth="1"/>
    <x:col min="4047" max="4047" width="8.83203125" hidden="0" customWidth="1"/>
    <x:col min="4048" max="4048" width="8.83203125" hidden="0" customWidth="1"/>
    <x:col min="4049" max="4049" width="8.83203125" hidden="0" customWidth="1"/>
    <x:col min="4050" max="4050" width="8.83203125" hidden="0" customWidth="1"/>
    <x:col min="4051" max="4051" width="8.83203125" hidden="0" customWidth="1"/>
    <x:col min="4052" max="4052" width="8.83203125" hidden="0" customWidth="1"/>
    <x:col min="4053" max="4053" width="8.83203125" hidden="0" customWidth="1"/>
    <x:col min="4054" max="4054" width="8.83203125" hidden="0" customWidth="1"/>
    <x:col min="4055" max="4055" width="8.83203125" hidden="0" customWidth="1"/>
    <x:col min="4056" max="4056" width="8.83203125" hidden="0" customWidth="1"/>
    <x:col min="4057" max="4057" width="8.83203125" hidden="0" customWidth="1"/>
    <x:col min="4058" max="4058" width="8.83203125" hidden="0" customWidth="1"/>
    <x:col min="4059" max="4059" width="8.83203125" hidden="0" customWidth="1"/>
    <x:col min="4060" max="4060" width="8.83203125" hidden="0" customWidth="1"/>
    <x:col min="4061" max="4061" width="8.83203125" hidden="0" customWidth="1"/>
    <x:col min="4062" max="4062" width="8.83203125" hidden="0" customWidth="1"/>
    <x:col min="4063" max="4063" width="8.83203125" hidden="0" customWidth="1"/>
    <x:col min="4064" max="4064" width="8.83203125" hidden="0" customWidth="1"/>
    <x:col min="4065" max="4065" width="8.83203125" hidden="0" customWidth="1"/>
    <x:col min="4066" max="4066" width="8.83203125" hidden="0" customWidth="1"/>
    <x:col min="4067" max="4067" width="8.83203125" hidden="0" customWidth="1"/>
    <x:col min="4068" max="4068" width="8.83203125" hidden="0" customWidth="1"/>
    <x:col min="4069" max="4069" width="8.83203125" hidden="0" customWidth="1"/>
    <x:col min="4070" max="4070" width="8.83203125" hidden="0" customWidth="1"/>
    <x:col min="4071" max="4071" width="8.83203125" hidden="0" customWidth="1"/>
    <x:col min="4072" max="4072" width="8.83203125" hidden="0" customWidth="1"/>
    <x:col min="4073" max="4073" width="8.83203125" hidden="0" customWidth="1"/>
    <x:col min="4074" max="4074" width="8.83203125" hidden="0" customWidth="1"/>
    <x:col min="4075" max="4075" width="8.83203125" hidden="0" customWidth="1"/>
    <x:col min="4076" max="4076" width="8.83203125" hidden="0" customWidth="1"/>
    <x:col min="4077" max="4077" width="8.83203125" hidden="0" customWidth="1"/>
    <x:col min="4078" max="4078" width="8.83203125" hidden="0" customWidth="1"/>
    <x:col min="4079" max="4079" width="8.83203125" hidden="0" customWidth="1"/>
    <x:col min="4080" max="4080" width="8.83203125" hidden="0" customWidth="1"/>
    <x:col min="4081" max="4081" width="8.83203125" hidden="0" customWidth="1"/>
    <x:col min="4082" max="4082" width="8.83203125" hidden="0" customWidth="1"/>
    <x:col min="4083" max="4083" width="8.83203125" hidden="0" customWidth="1"/>
    <x:col min="4084" max="4084" width="8.83203125" hidden="0" customWidth="1"/>
    <x:col min="4085" max="4085" width="8.83203125" hidden="0" customWidth="1"/>
    <x:col min="4086" max="4086" width="8.83203125" hidden="0" customWidth="1"/>
    <x:col min="4087" max="4087" width="8.83203125" hidden="0" customWidth="1"/>
    <x:col min="4088" max="4088" width="8.83203125" hidden="0" customWidth="1"/>
    <x:col min="4089" max="4089" width="8.83203125" hidden="0" customWidth="1"/>
    <x:col min="4090" max="4090" width="8.83203125" hidden="0" customWidth="1"/>
    <x:col min="4091" max="4091" width="8.83203125" hidden="0" customWidth="1"/>
    <x:col min="4092" max="4092" width="8.83203125" hidden="0" customWidth="1"/>
    <x:col min="4093" max="4093" width="8.83203125" hidden="0" customWidth="1"/>
    <x:col min="4094" max="4094" width="8.83203125" hidden="0" customWidth="1"/>
    <x:col min="4095" max="4095" width="8.83203125" hidden="0" customWidth="1"/>
    <x:col min="4096" max="4096" width="8.83203125" hidden="0" customWidth="1"/>
    <x:col min="4097" max="4097" width="8.83203125" hidden="0" customWidth="1"/>
    <x:col min="4098" max="4098" width="8.83203125" hidden="0" customWidth="1"/>
    <x:col min="4099" max="4099" width="8.83203125" hidden="0" customWidth="1"/>
    <x:col min="4100" max="4100" width="8.83203125" hidden="0" customWidth="1"/>
    <x:col min="4101" max="4101" width="8.83203125" hidden="0" customWidth="1"/>
    <x:col min="4102" max="4102" width="8.83203125" hidden="0" customWidth="1"/>
    <x:col min="4103" max="4103" width="8.83203125" hidden="0" customWidth="1"/>
    <x:col min="4104" max="4104" width="8.83203125" hidden="0" customWidth="1"/>
    <x:col min="4105" max="4105" width="8.83203125" hidden="0" customWidth="1"/>
    <x:col min="4106" max="4106" width="8.83203125" hidden="0" customWidth="1"/>
    <x:col min="4107" max="4107" width="8.83203125" hidden="0" customWidth="1"/>
    <x:col min="4108" max="4108" width="8.83203125" hidden="0" customWidth="1"/>
    <x:col min="4109" max="4109" width="8.83203125" hidden="0" customWidth="1"/>
    <x:col min="4110" max="4110" width="8.83203125" hidden="0" customWidth="1"/>
    <x:col min="4111" max="4111" width="8.83203125" hidden="0" customWidth="1"/>
    <x:col min="4112" max="4112" width="8.83203125" hidden="0" customWidth="1"/>
    <x:col min="4113" max="4113" width="8.83203125" hidden="0" customWidth="1"/>
    <x:col min="4114" max="4114" width="8.83203125" hidden="0" customWidth="1"/>
    <x:col min="4115" max="4115" width="8.83203125" hidden="0" customWidth="1"/>
    <x:col min="4116" max="4116" width="8.83203125" hidden="0" customWidth="1"/>
    <x:col min="4117" max="4117" width="8.83203125" hidden="0" customWidth="1"/>
    <x:col min="4118" max="4118" width="8.83203125" hidden="0" customWidth="1"/>
    <x:col min="4119" max="4119" width="8.83203125" hidden="0" customWidth="1"/>
    <x:col min="4120" max="4120" width="8.83203125" hidden="0" customWidth="1"/>
    <x:col min="4121" max="4121" width="8.83203125" hidden="0" customWidth="1"/>
    <x:col min="4122" max="4122" width="8.83203125" hidden="0" customWidth="1"/>
    <x:col min="4123" max="4123" width="8.83203125" hidden="0" customWidth="1"/>
    <x:col min="4124" max="4124" width="8.83203125" hidden="0" customWidth="1"/>
    <x:col min="4125" max="4125" width="8.83203125" hidden="0" customWidth="1"/>
    <x:col min="4126" max="4126" width="8.83203125" hidden="0" customWidth="1"/>
    <x:col min="4127" max="4127" width="8.83203125" hidden="0" customWidth="1"/>
    <x:col min="4128" max="4128" width="8.83203125" hidden="0" customWidth="1"/>
    <x:col min="4129" max="4129" width="8.83203125" hidden="0" customWidth="1"/>
    <x:col min="4130" max="4130" width="8.83203125" hidden="0" customWidth="1"/>
    <x:col min="4131" max="4131" width="8.83203125" hidden="0" customWidth="1"/>
    <x:col min="4132" max="4132" width="8.83203125" hidden="0" customWidth="1"/>
    <x:col min="4133" max="4133" width="8.83203125" hidden="0" customWidth="1"/>
    <x:col min="4134" max="4134" width="8.83203125" hidden="0" customWidth="1"/>
    <x:col min="4135" max="4135" width="8.83203125" hidden="0" customWidth="1"/>
    <x:col min="4136" max="4136" width="8.83203125" hidden="0" customWidth="1"/>
    <x:col min="4137" max="4137" width="8.83203125" hidden="0" customWidth="1"/>
    <x:col min="4138" max="4138" width="8.83203125" hidden="0" customWidth="1"/>
    <x:col min="4139" max="4139" width="8.83203125" hidden="0" customWidth="1"/>
    <x:col min="4140" max="4140" width="8.83203125" hidden="0" customWidth="1"/>
    <x:col min="4141" max="4141" width="8.83203125" hidden="0" customWidth="1"/>
    <x:col min="4142" max="4142" width="8.83203125" hidden="0" customWidth="1"/>
    <x:col min="4143" max="4143" width="8.83203125" hidden="0" customWidth="1"/>
    <x:col min="4144" max="4144" width="8.83203125" hidden="0" customWidth="1"/>
    <x:col min="4145" max="4145" width="8.83203125" hidden="0" customWidth="1"/>
    <x:col min="4146" max="4146" width="8.83203125" hidden="0" customWidth="1"/>
    <x:col min="4147" max="4147" width="8.83203125" hidden="0" customWidth="1"/>
    <x:col min="4148" max="4148" width="8.83203125" hidden="0" customWidth="1"/>
    <x:col min="4149" max="4149" width="8.83203125" hidden="0" customWidth="1"/>
    <x:col min="4150" max="4150" width="8.83203125" hidden="0" customWidth="1"/>
    <x:col min="4151" max="4151" width="8.83203125" hidden="0" customWidth="1"/>
    <x:col min="4152" max="4152" width="8.83203125" hidden="0" customWidth="1"/>
    <x:col min="4153" max="4153" width="8.83203125" hidden="0" customWidth="1"/>
    <x:col min="4154" max="4154" width="8.83203125" hidden="0" customWidth="1"/>
    <x:col min="4155" max="4155" width="8.83203125" hidden="0" customWidth="1"/>
    <x:col min="4156" max="4156" width="8.83203125" hidden="0" customWidth="1"/>
    <x:col min="4157" max="4157" width="8.83203125" hidden="0" customWidth="1"/>
    <x:col min="4158" max="4158" width="8.83203125" hidden="0" customWidth="1"/>
    <x:col min="4159" max="4159" width="8.83203125" hidden="0" customWidth="1"/>
    <x:col min="4160" max="4160" width="8.83203125" hidden="0" customWidth="1"/>
    <x:col min="4161" max="4161" width="8.83203125" hidden="0" customWidth="1"/>
    <x:col min="4162" max="4162" width="8.83203125" hidden="0" customWidth="1"/>
    <x:col min="4163" max="4163" width="8.83203125" hidden="0" customWidth="1"/>
    <x:col min="4164" max="4164" width="8.83203125" hidden="0" customWidth="1"/>
    <x:col min="4165" max="4165" width="8.83203125" hidden="0" customWidth="1"/>
    <x:col min="4166" max="4166" width="8.83203125" hidden="0" customWidth="1"/>
    <x:col min="4167" max="4167" width="8.83203125" hidden="0" customWidth="1"/>
    <x:col min="4168" max="4168" width="8.83203125" hidden="0" customWidth="1"/>
    <x:col min="4169" max="4169" width="8.83203125" hidden="0" customWidth="1"/>
    <x:col min="4170" max="4170" width="8.83203125" hidden="0" customWidth="1"/>
    <x:col min="4171" max="4171" width="8.83203125" hidden="0" customWidth="1"/>
    <x:col min="4172" max="4172" width="8.83203125" hidden="0" customWidth="1"/>
    <x:col min="4173" max="4173" width="8.83203125" hidden="0" customWidth="1"/>
    <x:col min="4174" max="4174" width="8.83203125" hidden="0" customWidth="1"/>
    <x:col min="4175" max="4175" width="8.83203125" hidden="0" customWidth="1"/>
    <x:col min="4176" max="4176" width="8.83203125" hidden="0" customWidth="1"/>
    <x:col min="4177" max="4177" width="8.83203125" hidden="0" customWidth="1"/>
    <x:col min="4178" max="4178" width="8.83203125" hidden="0" customWidth="1"/>
    <x:col min="4179" max="4179" width="8.83203125" hidden="0" customWidth="1"/>
    <x:col min="4180" max="4180" width="8.83203125" hidden="0" customWidth="1"/>
    <x:col min="4181" max="4181" width="8.83203125" hidden="0" customWidth="1"/>
    <x:col min="4182" max="4182" width="8.83203125" hidden="0" customWidth="1"/>
    <x:col min="4183" max="4183" width="8.83203125" hidden="0" customWidth="1"/>
    <x:col min="4184" max="4184" width="8.83203125" hidden="0" customWidth="1"/>
    <x:col min="4185" max="4185" width="8.83203125" hidden="0" customWidth="1"/>
    <x:col min="4186" max="4186" width="8.83203125" hidden="0" customWidth="1"/>
    <x:col min="4187" max="4187" width="8.83203125" hidden="0" customWidth="1"/>
    <x:col min="4188" max="4188" width="8.83203125" hidden="0" customWidth="1"/>
    <x:col min="4189" max="4189" width="8.83203125" hidden="0" customWidth="1"/>
    <x:col min="4190" max="4190" width="8.83203125" hidden="0" customWidth="1"/>
    <x:col min="4191" max="4191" width="8.83203125" hidden="0" customWidth="1"/>
    <x:col min="4192" max="4192" width="8.83203125" hidden="0" customWidth="1"/>
    <x:col min="4193" max="4193" width="8.83203125" hidden="0" customWidth="1"/>
    <x:col min="4194" max="4194" width="8.83203125" hidden="0" customWidth="1"/>
    <x:col min="4195" max="4195" width="8.83203125" hidden="0" customWidth="1"/>
    <x:col min="4196" max="4196" width="8.83203125" hidden="0" customWidth="1"/>
    <x:col min="4197" max="4197" width="8.83203125" hidden="0" customWidth="1"/>
    <x:col min="4198" max="4198" width="8.83203125" hidden="0" customWidth="1"/>
    <x:col min="4199" max="4199" width="8.83203125" hidden="0" customWidth="1"/>
    <x:col min="4200" max="4200" width="8.83203125" hidden="0" customWidth="1"/>
    <x:col min="4201" max="4201" width="8.83203125" hidden="0" customWidth="1"/>
    <x:col min="4202" max="4202" width="8.83203125" hidden="0" customWidth="1"/>
    <x:col min="4203" max="4203" width="8.83203125" hidden="0" customWidth="1"/>
    <x:col min="4204" max="4204" width="8.83203125" hidden="0" customWidth="1"/>
    <x:col min="4205" max="4205" width="8.83203125" hidden="0" customWidth="1"/>
    <x:col min="4206" max="4206" width="8.83203125" hidden="0" customWidth="1"/>
    <x:col min="4207" max="4207" width="8.83203125" hidden="0" customWidth="1"/>
    <x:col min="4208" max="4208" width="8.83203125" hidden="0" customWidth="1"/>
    <x:col min="4209" max="4209" width="8.83203125" hidden="0" customWidth="1"/>
    <x:col min="4210" max="4210" width="8.83203125" hidden="0" customWidth="1"/>
    <x:col min="4211" max="4211" width="8.83203125" hidden="0" customWidth="1"/>
    <x:col min="4212" max="4212" width="8.83203125" hidden="0" customWidth="1"/>
    <x:col min="4213" max="4213" width="8.83203125" hidden="0" customWidth="1"/>
    <x:col min="4214" max="4214" width="8.83203125" hidden="0" customWidth="1"/>
    <x:col min="4215" max="4215" width="8.83203125" hidden="0" customWidth="1"/>
    <x:col min="4216" max="4216" width="8.83203125" hidden="0" customWidth="1"/>
    <x:col min="4217" max="4217" width="8.83203125" hidden="0" customWidth="1"/>
    <x:col min="4218" max="4218" width="8.83203125" hidden="0" customWidth="1"/>
    <x:col min="4219" max="4219" width="8.83203125" hidden="0" customWidth="1"/>
    <x:col min="4220" max="4220" width="8.83203125" hidden="0" customWidth="1"/>
    <x:col min="4221" max="4221" width="8.83203125" hidden="0" customWidth="1"/>
    <x:col min="4222" max="4222" width="8.83203125" hidden="0" customWidth="1"/>
    <x:col min="4223" max="4223" width="8.83203125" hidden="0" customWidth="1"/>
    <x:col min="4224" max="4224" width="8.83203125" hidden="0" customWidth="1"/>
    <x:col min="4225" max="4225" width="8.83203125" hidden="0" customWidth="1"/>
    <x:col min="4226" max="4226" width="8.83203125" hidden="0" customWidth="1"/>
    <x:col min="4227" max="4227" width="8.83203125" hidden="0" customWidth="1"/>
    <x:col min="4228" max="4228" width="8.83203125" hidden="0" customWidth="1"/>
    <x:col min="4229" max="4229" width="8.83203125" hidden="0" customWidth="1"/>
    <x:col min="4230" max="4230" width="8.83203125" hidden="0" customWidth="1"/>
    <x:col min="4231" max="4231" width="8.83203125" hidden="0" customWidth="1"/>
    <x:col min="4232" max="4232" width="8.83203125" hidden="0" customWidth="1"/>
    <x:col min="4233" max="4233" width="8.83203125" hidden="0" customWidth="1"/>
    <x:col min="4234" max="4234" width="8.83203125" hidden="0" customWidth="1"/>
    <x:col min="4235" max="4235" width="8.83203125" hidden="0" customWidth="1"/>
    <x:col min="4236" max="4236" width="8.83203125" hidden="0" customWidth="1"/>
    <x:col min="4237" max="4237" width="8.83203125" hidden="0" customWidth="1"/>
    <x:col min="4238" max="4238" width="8.83203125" hidden="0" customWidth="1"/>
    <x:col min="4239" max="4239" width="8.83203125" hidden="0" customWidth="1"/>
    <x:col min="4240" max="4240" width="8.83203125" hidden="0" customWidth="1"/>
    <x:col min="4241" max="4241" width="8.83203125" hidden="0" customWidth="1"/>
    <x:col min="4242" max="4242" width="8.83203125" hidden="0" customWidth="1"/>
    <x:col min="4243" max="4243" width="8.83203125" hidden="0" customWidth="1"/>
    <x:col min="4244" max="4244" width="8.83203125" hidden="0" customWidth="1"/>
    <x:col min="4245" max="4245" width="8.83203125" hidden="0" customWidth="1"/>
    <x:col min="4246" max="4246" width="8.83203125" hidden="0" customWidth="1"/>
    <x:col min="4247" max="4247" width="8.83203125" hidden="0" customWidth="1"/>
    <x:col min="4248" max="4248" width="8.83203125" hidden="0" customWidth="1"/>
    <x:col min="4249" max="4249" width="8.83203125" hidden="0" customWidth="1"/>
    <x:col min="4250" max="4250" width="8.83203125" hidden="0" customWidth="1"/>
    <x:col min="4251" max="4251" width="8.83203125" hidden="0" customWidth="1"/>
    <x:col min="4252" max="4252" width="8.83203125" hidden="0" customWidth="1"/>
    <x:col min="4253" max="4253" width="8.83203125" hidden="0" customWidth="1"/>
    <x:col min="4254" max="4254" width="8.83203125" hidden="0" customWidth="1"/>
    <x:col min="4255" max="4255" width="8.83203125" hidden="0" customWidth="1"/>
    <x:col min="4256" max="4256" width="8.83203125" hidden="0" customWidth="1"/>
    <x:col min="4257" max="4257" width="8.83203125" hidden="0" customWidth="1"/>
    <x:col min="4258" max="4258" width="8.83203125" hidden="0" customWidth="1"/>
    <x:col min="4259" max="4259" width="8.83203125" hidden="0" customWidth="1"/>
    <x:col min="4260" max="4260" width="8.83203125" hidden="0" customWidth="1"/>
    <x:col min="4261" max="4261" width="8.83203125" hidden="0" customWidth="1"/>
    <x:col min="4262" max="4262" width="8.83203125" hidden="0" customWidth="1"/>
    <x:col min="4263" max="4263" width="8.83203125" hidden="0" customWidth="1"/>
    <x:col min="4264" max="4264" width="8.83203125" hidden="0" customWidth="1"/>
    <x:col min="4265" max="4265" width="8.83203125" hidden="0" customWidth="1"/>
    <x:col min="4266" max="4266" width="8.83203125" hidden="0" customWidth="1"/>
    <x:col min="4267" max="4267" width="8.83203125" hidden="0" customWidth="1"/>
    <x:col min="4268" max="4268" width="8.83203125" hidden="0" customWidth="1"/>
    <x:col min="4269" max="4269" width="8.83203125" hidden="0" customWidth="1"/>
    <x:col min="4270" max="4270" width="8.83203125" hidden="0" customWidth="1"/>
    <x:col min="4271" max="4271" width="8.83203125" hidden="0" customWidth="1"/>
    <x:col min="4272" max="4272" width="8.83203125" hidden="0" customWidth="1"/>
    <x:col min="4273" max="4273" width="8.83203125" hidden="0" customWidth="1"/>
    <x:col min="4274" max="4274" width="8.83203125" hidden="0" customWidth="1"/>
    <x:col min="4275" max="4275" width="8.83203125" hidden="0" customWidth="1"/>
    <x:col min="4276" max="4276" width="8.83203125" hidden="0" customWidth="1"/>
    <x:col min="4277" max="4277" width="8.83203125" hidden="0" customWidth="1"/>
    <x:col min="4278" max="4278" width="8.83203125" hidden="0" customWidth="1"/>
    <x:col min="4279" max="4279" width="8.83203125" hidden="0" customWidth="1"/>
    <x:col min="4280" max="4280" width="8.83203125" hidden="0" customWidth="1"/>
    <x:col min="4281" max="4281" width="8.83203125" hidden="0" customWidth="1"/>
    <x:col min="4282" max="4282" width="8.83203125" hidden="0" customWidth="1"/>
    <x:col min="4283" max="4283" width="8.83203125" hidden="0" customWidth="1"/>
    <x:col min="4284" max="4284" width="8.83203125" hidden="0" customWidth="1"/>
    <x:col min="4285" max="4285" width="8.83203125" hidden="0" customWidth="1"/>
    <x:col min="4286" max="4286" width="8.83203125" hidden="0" customWidth="1"/>
    <x:col min="4287" max="4287" width="8.83203125" hidden="0" customWidth="1"/>
    <x:col min="4288" max="4288" width="8.83203125" hidden="0" customWidth="1"/>
    <x:col min="4289" max="4289" width="8.83203125" hidden="0" customWidth="1"/>
    <x:col min="4290" max="4290" width="8.83203125" hidden="0" customWidth="1"/>
    <x:col min="4291" max="4291" width="8.83203125" hidden="0" customWidth="1"/>
    <x:col min="4292" max="4292" width="8.83203125" hidden="0" customWidth="1"/>
    <x:col min="4293" max="4293" width="8.83203125" hidden="0" customWidth="1"/>
    <x:col min="4294" max="4294" width="8.83203125" hidden="0" customWidth="1"/>
    <x:col min="4295" max="4295" width="8.83203125" hidden="0" customWidth="1"/>
    <x:col min="4296" max="4296" width="8.83203125" hidden="0" customWidth="1"/>
    <x:col min="4297" max="4297" width="8.83203125" hidden="0" customWidth="1"/>
    <x:col min="4298" max="4298" width="8.83203125" hidden="0" customWidth="1"/>
    <x:col min="4299" max="4299" width="8.83203125" hidden="0" customWidth="1"/>
    <x:col min="4300" max="4300" width="8.83203125" hidden="0" customWidth="1"/>
    <x:col min="4301" max="4301" width="8.83203125" hidden="0" customWidth="1"/>
    <x:col min="4302" max="4302" width="8.83203125" hidden="0" customWidth="1"/>
    <x:col min="4303" max="4303" width="8.83203125" hidden="0" customWidth="1"/>
    <x:col min="4304" max="4304" width="8.83203125" hidden="0" customWidth="1"/>
    <x:col min="4305" max="4305" width="8.83203125" hidden="0" customWidth="1"/>
    <x:col min="4306" max="4306" width="8.83203125" hidden="0" customWidth="1"/>
    <x:col min="4307" max="4307" width="8.83203125" hidden="0" customWidth="1"/>
    <x:col min="4308" max="4308" width="8.83203125" hidden="0" customWidth="1"/>
    <x:col min="4309" max="4309" width="8.83203125" hidden="0" customWidth="1"/>
    <x:col min="4310" max="4310" width="8.83203125" hidden="0" customWidth="1"/>
    <x:col min="4311" max="4311" width="8.83203125" hidden="0" customWidth="1"/>
    <x:col min="4312" max="4312" width="8.83203125" hidden="0" customWidth="1"/>
    <x:col min="4313" max="4313" width="8.83203125" hidden="0" customWidth="1"/>
    <x:col min="4314" max="4314" width="8.83203125" hidden="0" customWidth="1"/>
    <x:col min="4315" max="4315" width="8.83203125" hidden="0" customWidth="1"/>
    <x:col min="4316" max="4316" width="8.83203125" hidden="0" customWidth="1"/>
    <x:col min="4317" max="4317" width="8.83203125" hidden="0" customWidth="1"/>
    <x:col min="4318" max="4318" width="8.83203125" hidden="0" customWidth="1"/>
    <x:col min="4319" max="4319" width="8.83203125" hidden="0" customWidth="1"/>
    <x:col min="4320" max="4320" width="8.83203125" hidden="0" customWidth="1"/>
    <x:col min="4321" max="4321" width="8.83203125" hidden="0" customWidth="1"/>
    <x:col min="4322" max="4322" width="8.83203125" hidden="0" customWidth="1"/>
    <x:col min="4323" max="4323" width="8.83203125" hidden="0" customWidth="1"/>
    <x:col min="4324" max="4324" width="8.83203125" hidden="0" customWidth="1"/>
    <x:col min="4325" max="4325" width="8.83203125" hidden="0" customWidth="1"/>
    <x:col min="4326" max="4326" width="8.83203125" hidden="0" customWidth="1"/>
    <x:col min="4327" max="4327" width="8.83203125" hidden="0" customWidth="1"/>
    <x:col min="4328" max="4328" width="8.83203125" hidden="0" customWidth="1"/>
    <x:col min="4329" max="4329" width="8.83203125" hidden="0" customWidth="1"/>
    <x:col min="4330" max="4330" width="8.83203125" hidden="0" customWidth="1"/>
    <x:col min="4331" max="4331" width="8.83203125" hidden="0" customWidth="1"/>
    <x:col min="4332" max="4332" width="8.83203125" hidden="0" customWidth="1"/>
    <x:col min="4333" max="4333" width="8.83203125" hidden="0" customWidth="1"/>
    <x:col min="4334" max="4334" width="8.83203125" hidden="0" customWidth="1"/>
    <x:col min="4335" max="4335" width="8.83203125" hidden="0" customWidth="1"/>
    <x:col min="4336" max="4336" width="8.83203125" hidden="0" customWidth="1"/>
    <x:col min="4337" max="4337" width="8.83203125" hidden="0" customWidth="1"/>
    <x:col min="4338" max="4338" width="8.83203125" hidden="0" customWidth="1"/>
    <x:col min="4339" max="4339" width="8.83203125" hidden="0" customWidth="1"/>
    <x:col min="4340" max="4340" width="8.83203125" hidden="0" customWidth="1"/>
    <x:col min="4341" max="4341" width="8.83203125" hidden="0" customWidth="1"/>
    <x:col min="4342" max="4342" width="8.83203125" hidden="0" customWidth="1"/>
    <x:col min="4343" max="4343" width="8.83203125" hidden="0" customWidth="1"/>
    <x:col min="4344" max="4344" width="8.83203125" hidden="0" customWidth="1"/>
    <x:col min="4345" max="4345" width="8.83203125" hidden="0" customWidth="1"/>
    <x:col min="4346" max="4346" width="8.83203125" hidden="0" customWidth="1"/>
    <x:col min="4347" max="4347" width="8.83203125" hidden="0" customWidth="1"/>
    <x:col min="4348" max="4348" width="8.83203125" hidden="0" customWidth="1"/>
    <x:col min="4349" max="4349" width="8.83203125" hidden="0" customWidth="1"/>
    <x:col min="4350" max="4350" width="8.83203125" hidden="0" customWidth="1"/>
    <x:col min="4351" max="4351" width="8.83203125" hidden="0" customWidth="1"/>
    <x:col min="4352" max="4352" width="8.83203125" hidden="0" customWidth="1"/>
    <x:col min="4353" max="4353" width="8.83203125" hidden="0" customWidth="1"/>
    <x:col min="4354" max="4354" width="8.83203125" hidden="0" customWidth="1"/>
    <x:col min="4355" max="4355" width="8.83203125" hidden="0" customWidth="1"/>
    <x:col min="4356" max="4356" width="8.83203125" hidden="0" customWidth="1"/>
    <x:col min="4357" max="4357" width="8.83203125" hidden="0" customWidth="1"/>
    <x:col min="4358" max="4358" width="8.83203125" hidden="0" customWidth="1"/>
    <x:col min="4359" max="4359" width="8.83203125" hidden="0" customWidth="1"/>
    <x:col min="4360" max="4360" width="8.83203125" hidden="0" customWidth="1"/>
    <x:col min="4361" max="4361" width="8.83203125" hidden="0" customWidth="1"/>
    <x:col min="4362" max="4362" width="8.83203125" hidden="0" customWidth="1"/>
    <x:col min="4363" max="4363" width="8.83203125" hidden="0" customWidth="1"/>
    <x:col min="4364" max="4364" width="8.83203125" hidden="0" customWidth="1"/>
    <x:col min="4365" max="4365" width="8.83203125" hidden="0" customWidth="1"/>
    <x:col min="4366" max="4366" width="8.83203125" hidden="0" customWidth="1"/>
    <x:col min="4367" max="4367" width="8.83203125" hidden="0" customWidth="1"/>
    <x:col min="4368" max="4368" width="8.83203125" hidden="0" customWidth="1"/>
    <x:col min="4369" max="4369" width="8.83203125" hidden="0" customWidth="1"/>
    <x:col min="4370" max="4370" width="8.83203125" hidden="0" customWidth="1"/>
    <x:col min="4371" max="4371" width="8.83203125" hidden="0" customWidth="1"/>
    <x:col min="4372" max="4372" width="8.83203125" hidden="0" customWidth="1"/>
    <x:col min="4373" max="4373" width="8.83203125" hidden="0" customWidth="1"/>
    <x:col min="4374" max="4374" width="8.83203125" hidden="0" customWidth="1"/>
    <x:col min="4375" max="4375" width="8.83203125" hidden="0" customWidth="1"/>
    <x:col min="4376" max="4376" width="8.83203125" hidden="0" customWidth="1"/>
    <x:col min="4377" max="4377" width="8.83203125" hidden="0" customWidth="1"/>
    <x:col min="4378" max="4378" width="8.83203125" hidden="0" customWidth="1"/>
    <x:col min="4379" max="4379" width="8.83203125" hidden="0" customWidth="1"/>
    <x:col min="4380" max="4380" width="8.83203125" hidden="0" customWidth="1"/>
    <x:col min="4381" max="4381" width="8.83203125" hidden="0" customWidth="1"/>
    <x:col min="4382" max="4382" width="8.83203125" hidden="0" customWidth="1"/>
    <x:col min="4383" max="4383" width="8.83203125" hidden="0" customWidth="1"/>
    <x:col min="4384" max="4384" width="8.83203125" hidden="0" customWidth="1"/>
    <x:col min="4385" max="4385" width="8.83203125" hidden="0" customWidth="1"/>
    <x:col min="4386" max="4386" width="8.83203125" hidden="0" customWidth="1"/>
    <x:col min="4387" max="4387" width="8.83203125" hidden="0" customWidth="1"/>
    <x:col min="4388" max="4388" width="8.83203125" hidden="0" customWidth="1"/>
    <x:col min="4389" max="4389" width="8.83203125" hidden="0" customWidth="1"/>
    <x:col min="4390" max="4390" width="8.83203125" hidden="0" customWidth="1"/>
    <x:col min="4391" max="4391" width="8.83203125" hidden="0" customWidth="1"/>
    <x:col min="4392" max="4392" width="8.83203125" hidden="0" customWidth="1"/>
    <x:col min="4393" max="4393" width="8.83203125" hidden="0" customWidth="1"/>
    <x:col min="4394" max="4394" width="8.83203125" hidden="0" customWidth="1"/>
    <x:col min="4395" max="4395" width="8.83203125" hidden="0" customWidth="1"/>
    <x:col min="4396" max="4396" width="8.83203125" hidden="0" customWidth="1"/>
    <x:col min="4397" max="4397" width="8.83203125" hidden="0" customWidth="1"/>
    <x:col min="4398" max="4398" width="8.83203125" hidden="0" customWidth="1"/>
    <x:col min="4399" max="4399" width="8.83203125" hidden="0" customWidth="1"/>
    <x:col min="4400" max="4400" width="8.83203125" hidden="0" customWidth="1"/>
    <x:col min="4401" max="4401" width="8.83203125" hidden="0" customWidth="1"/>
    <x:col min="4402" max="4402" width="8.83203125" hidden="0" customWidth="1"/>
    <x:col min="4403" max="4403" width="8.83203125" hidden="0" customWidth="1"/>
    <x:col min="4404" max="4404" width="8.83203125" hidden="0" customWidth="1"/>
    <x:col min="4405" max="4405" width="8.83203125" hidden="0" customWidth="1"/>
    <x:col min="4406" max="4406" width="8.83203125" hidden="0" customWidth="1"/>
    <x:col min="4407" max="4407" width="8.83203125" hidden="0" customWidth="1"/>
    <x:col min="4408" max="4408" width="8.83203125" hidden="0" customWidth="1"/>
    <x:col min="4409" max="4409" width="8.83203125" hidden="0" customWidth="1"/>
    <x:col min="4410" max="4410" width="8.83203125" hidden="0" customWidth="1"/>
    <x:col min="4411" max="4411" width="8.83203125" hidden="0" customWidth="1"/>
    <x:col min="4412" max="4412" width="8.83203125" hidden="0" customWidth="1"/>
    <x:col min="4413" max="4413" width="8.83203125" hidden="0" customWidth="1"/>
    <x:col min="4414" max="4414" width="8.83203125" hidden="0" customWidth="1"/>
    <x:col min="4415" max="4415" width="8.83203125" hidden="0" customWidth="1"/>
    <x:col min="4416" max="4416" width="8.83203125" hidden="0" customWidth="1"/>
    <x:col min="4417" max="4417" width="8.83203125" hidden="0" customWidth="1"/>
    <x:col min="4418" max="4418" width="8.83203125" hidden="0" customWidth="1"/>
    <x:col min="4419" max="4419" width="8.83203125" hidden="0" customWidth="1"/>
    <x:col min="4420" max="4420" width="8.83203125" hidden="0" customWidth="1"/>
    <x:col min="4421" max="4421" width="8.83203125" hidden="0" customWidth="1"/>
    <x:col min="4422" max="4422" width="8.83203125" hidden="0" customWidth="1"/>
    <x:col min="4423" max="4423" width="8.83203125" hidden="0" customWidth="1"/>
    <x:col min="4424" max="4424" width="8.83203125" hidden="0" customWidth="1"/>
    <x:col min="4425" max="4425" width="8.83203125" hidden="0" customWidth="1"/>
    <x:col min="4426" max="4426" width="8.83203125" hidden="0" customWidth="1"/>
    <x:col min="4427" max="4427" width="8.83203125" hidden="0" customWidth="1"/>
    <x:col min="4428" max="4428" width="8.83203125" hidden="0" customWidth="1"/>
    <x:col min="4429" max="4429" width="8.83203125" hidden="0" customWidth="1"/>
    <x:col min="4430" max="4430" width="8.83203125" hidden="0" customWidth="1"/>
    <x:col min="4431" max="4431" width="8.83203125" hidden="0" customWidth="1"/>
    <x:col min="4432" max="4432" width="8.83203125" hidden="0" customWidth="1"/>
    <x:col min="4433" max="4433" width="8.83203125" hidden="0" customWidth="1"/>
    <x:col min="4434" max="4434" width="8.83203125" hidden="0" customWidth="1"/>
    <x:col min="4435" max="4435" width="8.83203125" hidden="0" customWidth="1"/>
    <x:col min="4436" max="4436" width="8.83203125" hidden="0" customWidth="1"/>
    <x:col min="4437" max="4437" width="8.83203125" hidden="0" customWidth="1"/>
    <x:col min="4438" max="4438" width="8.83203125" hidden="0" customWidth="1"/>
    <x:col min="4439" max="4439" width="8.83203125" hidden="0" customWidth="1"/>
    <x:col min="4440" max="4440" width="8.83203125" hidden="0" customWidth="1"/>
    <x:col min="4441" max="4441" width="8.83203125" hidden="0" customWidth="1"/>
    <x:col min="4442" max="4442" width="8.83203125" hidden="0" customWidth="1"/>
    <x:col min="4443" max="4443" width="8.83203125" hidden="0" customWidth="1"/>
    <x:col min="4444" max="4444" width="8.83203125" hidden="0" customWidth="1"/>
    <x:col min="4445" max="4445" width="8.83203125" hidden="0" customWidth="1"/>
    <x:col min="4446" max="4446" width="8.83203125" hidden="0" customWidth="1"/>
    <x:col min="4447" max="4447" width="8.83203125" hidden="0" customWidth="1"/>
    <x:col min="4448" max="4448" width="8.83203125" hidden="0" customWidth="1"/>
    <x:col min="4449" max="4449" width="8.83203125" hidden="0" customWidth="1"/>
    <x:col min="4450" max="4450" width="8.83203125" hidden="0" customWidth="1"/>
    <x:col min="4451" max="4451" width="8.83203125" hidden="0" customWidth="1"/>
    <x:col min="4452" max="4452" width="8.83203125" hidden="0" customWidth="1"/>
    <x:col min="4453" max="4453" width="8.83203125" hidden="0" customWidth="1"/>
    <x:col min="4454" max="4454" width="8.83203125" hidden="0" customWidth="1"/>
    <x:col min="4455" max="4455" width="8.83203125" hidden="0" customWidth="1"/>
    <x:col min="4456" max="4456" width="8.83203125" hidden="0" customWidth="1"/>
    <x:col min="4457" max="4457" width="8.83203125" hidden="0" customWidth="1"/>
    <x:col min="4458" max="4458" width="8.83203125" hidden="0" customWidth="1"/>
    <x:col min="4459" max="4459" width="8.83203125" hidden="0" customWidth="1"/>
    <x:col min="4460" max="4460" width="8.83203125" hidden="0" customWidth="1"/>
    <x:col min="4461" max="4461" width="8.83203125" hidden="0" customWidth="1"/>
    <x:col min="4462" max="4462" width="8.83203125" hidden="0" customWidth="1"/>
    <x:col min="4463" max="4463" width="8.83203125" hidden="0" customWidth="1"/>
    <x:col min="4464" max="4464" width="8.83203125" hidden="0" customWidth="1"/>
    <x:col min="4465" max="4465" width="8.83203125" hidden="0" customWidth="1"/>
    <x:col min="4466" max="4466" width="8.83203125" hidden="0" customWidth="1"/>
    <x:col min="4467" max="4467" width="8.83203125" hidden="0" customWidth="1"/>
    <x:col min="4468" max="4468" width="8.83203125" hidden="0" customWidth="1"/>
    <x:col min="4469" max="4469" width="8.83203125" hidden="0" customWidth="1"/>
    <x:col min="4470" max="4470" width="8.83203125" hidden="0" customWidth="1"/>
    <x:col min="4471" max="4471" width="8.83203125" hidden="0" customWidth="1"/>
    <x:col min="4472" max="4472" width="8.83203125" hidden="0" customWidth="1"/>
    <x:col min="4473" max="4473" width="8.83203125" hidden="0" customWidth="1"/>
    <x:col min="4474" max="4474" width="8.83203125" hidden="0" customWidth="1"/>
    <x:col min="4475" max="4475" width="8.83203125" hidden="0" customWidth="1"/>
    <x:col min="4476" max="4476" width="8.83203125" hidden="0" customWidth="1"/>
    <x:col min="4477" max="4477" width="8.83203125" hidden="0" customWidth="1"/>
    <x:col min="4478" max="4478" width="8.83203125" hidden="0" customWidth="1"/>
    <x:col min="4479" max="4479" width="8.83203125" hidden="0" customWidth="1"/>
    <x:col min="4480" max="4480" width="8.83203125" hidden="0" customWidth="1"/>
    <x:col min="4481" max="4481" width="8.83203125" hidden="0" customWidth="1"/>
    <x:col min="4482" max="4482" width="8.83203125" hidden="0" customWidth="1"/>
    <x:col min="4483" max="4483" width="8.83203125" hidden="0" customWidth="1"/>
    <x:col min="4484" max="4484" width="8.83203125" hidden="0" customWidth="1"/>
    <x:col min="4485" max="4485" width="8.83203125" hidden="0" customWidth="1"/>
    <x:col min="4486" max="4486" width="8.83203125" hidden="0" customWidth="1"/>
    <x:col min="4487" max="4487" width="8.83203125" hidden="0" customWidth="1"/>
    <x:col min="4488" max="4488" width="8.83203125" hidden="0" customWidth="1"/>
    <x:col min="4489" max="4489" width="8.83203125" hidden="0" customWidth="1"/>
    <x:col min="4490" max="4490" width="8.83203125" hidden="0" customWidth="1"/>
    <x:col min="4491" max="4491" width="8.83203125" hidden="0" customWidth="1"/>
    <x:col min="4492" max="4492" width="8.83203125" hidden="0" customWidth="1"/>
    <x:col min="4493" max="4493" width="8.83203125" hidden="0" customWidth="1"/>
    <x:col min="4494" max="4494" width="8.83203125" hidden="0" customWidth="1"/>
    <x:col min="4495" max="4495" width="8.83203125" hidden="0" customWidth="1"/>
    <x:col min="4496" max="4496" width="8.83203125" hidden="0" customWidth="1"/>
    <x:col min="4497" max="4497" width="8.83203125" hidden="0" customWidth="1"/>
    <x:col min="4498" max="4498" width="8.83203125" hidden="0" customWidth="1"/>
    <x:col min="4499" max="4499" width="8.83203125" hidden="0" customWidth="1"/>
    <x:col min="4500" max="4500" width="8.83203125" hidden="0" customWidth="1"/>
    <x:col min="4501" max="4501" width="8.83203125" hidden="0" customWidth="1"/>
    <x:col min="4502" max="4502" width="8.83203125" hidden="0" customWidth="1"/>
    <x:col min="4503" max="4503" width="8.83203125" hidden="0" customWidth="1"/>
    <x:col min="4504" max="4504" width="8.83203125" hidden="0" customWidth="1"/>
    <x:col min="4505" max="4505" width="8.83203125" hidden="0" customWidth="1"/>
    <x:col min="4506" max="4506" width="8.83203125" hidden="0" customWidth="1"/>
    <x:col min="4507" max="4507" width="8.83203125" hidden="0" customWidth="1"/>
    <x:col min="4508" max="4508" width="8.83203125" hidden="0" customWidth="1"/>
    <x:col min="4509" max="4509" width="8.83203125" hidden="0" customWidth="1"/>
    <x:col min="4510" max="4510" width="8.83203125" hidden="0" customWidth="1"/>
    <x:col min="4511" max="4511" width="8.83203125" hidden="0" customWidth="1"/>
    <x:col min="4512" max="4512" width="8.83203125" hidden="0" customWidth="1"/>
    <x:col min="4513" max="4513" width="8.83203125" hidden="0" customWidth="1"/>
    <x:col min="4514" max="4514" width="8.83203125" hidden="0" customWidth="1"/>
    <x:col min="4515" max="4515" width="8.83203125" hidden="0" customWidth="1"/>
    <x:col min="4516" max="4516" width="8.83203125" hidden="0" customWidth="1"/>
    <x:col min="4517" max="4517" width="8.83203125" hidden="0" customWidth="1"/>
    <x:col min="4518" max="4518" width="8.83203125" hidden="0" customWidth="1"/>
    <x:col min="4519" max="4519" width="8.83203125" hidden="0" customWidth="1"/>
    <x:col min="4520" max="4520" width="8.83203125" hidden="0" customWidth="1"/>
    <x:col min="4521" max="4521" width="8.83203125" hidden="0" customWidth="1"/>
    <x:col min="4522" max="4522" width="8.83203125" hidden="0" customWidth="1"/>
    <x:col min="4523" max="4523" width="8.83203125" hidden="0" customWidth="1"/>
    <x:col min="4524" max="4524" width="8.83203125" hidden="0" customWidth="1"/>
    <x:col min="4525" max="4525" width="8.83203125" hidden="0" customWidth="1"/>
    <x:col min="4526" max="4526" width="8.83203125" hidden="0" customWidth="1"/>
    <x:col min="4527" max="4527" width="8.83203125" hidden="0" customWidth="1"/>
    <x:col min="4528" max="4528" width="8.83203125" hidden="0" customWidth="1"/>
    <x:col min="4529" max="4529" width="8.83203125" hidden="0" customWidth="1"/>
    <x:col min="4530" max="4530" width="8.83203125" hidden="0" customWidth="1"/>
    <x:col min="4531" max="4531" width="8.83203125" hidden="0" customWidth="1"/>
    <x:col min="4532" max="4532" width="8.83203125" hidden="0" customWidth="1"/>
    <x:col min="4533" max="4533" width="8.83203125" hidden="0" customWidth="1"/>
    <x:col min="4534" max="4534" width="8.83203125" hidden="0" customWidth="1"/>
    <x:col min="4535" max="4535" width="8.83203125" hidden="0" customWidth="1"/>
    <x:col min="4536" max="4536" width="8.83203125" hidden="0" customWidth="1"/>
    <x:col min="4537" max="4537" width="8.83203125" hidden="0" customWidth="1"/>
    <x:col min="4538" max="4538" width="8.83203125" hidden="0" customWidth="1"/>
    <x:col min="4539" max="4539" width="8.83203125" hidden="0" customWidth="1"/>
    <x:col min="4540" max="4540" width="8.83203125" hidden="0" customWidth="1"/>
    <x:col min="4541" max="4541" width="8.83203125" hidden="0" customWidth="1"/>
    <x:col min="4542" max="4542" width="8.83203125" hidden="0" customWidth="1"/>
    <x:col min="4543" max="4543" width="8.83203125" hidden="0" customWidth="1"/>
    <x:col min="4544" max="4544" width="8.83203125" hidden="0" customWidth="1"/>
    <x:col min="4545" max="4545" width="8.83203125" hidden="0" customWidth="1"/>
    <x:col min="4546" max="4546" width="8.83203125" hidden="0" customWidth="1"/>
    <x:col min="4547" max="4547" width="8.83203125" hidden="0" customWidth="1"/>
    <x:col min="4548" max="4548" width="8.83203125" hidden="0" customWidth="1"/>
    <x:col min="4549" max="4549" width="8.83203125" hidden="0" customWidth="1"/>
    <x:col min="4550" max="4550" width="8.83203125" hidden="0" customWidth="1"/>
    <x:col min="4551" max="4551" width="8.83203125" hidden="0" customWidth="1"/>
    <x:col min="4552" max="4552" width="8.83203125" hidden="0" customWidth="1"/>
    <x:col min="4553" max="4553" width="8.83203125" hidden="0" customWidth="1"/>
    <x:col min="4554" max="4554" width="8.83203125" hidden="0" customWidth="1"/>
    <x:col min="4555" max="4555" width="8.83203125" hidden="0" customWidth="1"/>
    <x:col min="4556" max="4556" width="8.83203125" hidden="0" customWidth="1"/>
    <x:col min="4557" max="4557" width="8.83203125" hidden="0" customWidth="1"/>
    <x:col min="4558" max="4558" width="8.83203125" hidden="0" customWidth="1"/>
    <x:col min="4559" max="4559" width="8.83203125" hidden="0" customWidth="1"/>
    <x:col min="4560" max="4560" width="8.83203125" hidden="0" customWidth="1"/>
    <x:col min="4561" max="4561" width="8.83203125" hidden="0" customWidth="1"/>
    <x:col min="4562" max="4562" width="8.83203125" hidden="0" customWidth="1"/>
    <x:col min="4563" max="4563" width="8.83203125" hidden="0" customWidth="1"/>
    <x:col min="4564" max="4564" width="8.83203125" hidden="0" customWidth="1"/>
    <x:col min="4565" max="4565" width="8.83203125" hidden="0" customWidth="1"/>
    <x:col min="4566" max="4566" width="8.83203125" hidden="0" customWidth="1"/>
    <x:col min="4567" max="4567" width="8.83203125" hidden="0" customWidth="1"/>
    <x:col min="4568" max="4568" width="8.83203125" hidden="0" customWidth="1"/>
    <x:col min="4569" max="4569" width="8.83203125" hidden="0" customWidth="1"/>
    <x:col min="4570" max="4570" width="8.83203125" hidden="0" customWidth="1"/>
    <x:col min="4571" max="4571" width="8.83203125" hidden="0" customWidth="1"/>
    <x:col min="4572" max="4572" width="8.83203125" hidden="0" customWidth="1"/>
    <x:col min="4573" max="4573" width="8.83203125" hidden="0" customWidth="1"/>
    <x:col min="4574" max="4574" width="8.83203125" hidden="0" customWidth="1"/>
    <x:col min="4575" max="4575" width="8.83203125" hidden="0" customWidth="1"/>
    <x:col min="4576" max="4576" width="8.83203125" hidden="0" customWidth="1"/>
    <x:col min="4577" max="4577" width="8.83203125" hidden="0" customWidth="1"/>
    <x:col min="4578" max="4578" width="8.83203125" hidden="0" customWidth="1"/>
    <x:col min="4579" max="4579" width="8.83203125" hidden="0" customWidth="1"/>
    <x:col min="4580" max="4580" width="8.83203125" hidden="0" customWidth="1"/>
    <x:col min="4581" max="4581" width="8.83203125" hidden="0" customWidth="1"/>
    <x:col min="4582" max="4582" width="8.83203125" hidden="0" customWidth="1"/>
    <x:col min="4583" max="4583" width="8.83203125" hidden="0" customWidth="1"/>
    <x:col min="4584" max="4584" width="8.83203125" hidden="0" customWidth="1"/>
    <x:col min="4585" max="4585" width="8.83203125" hidden="0" customWidth="1"/>
    <x:col min="4586" max="4586" width="8.83203125" hidden="0" customWidth="1"/>
    <x:col min="4587" max="4587" width="8.83203125" hidden="0" customWidth="1"/>
    <x:col min="4588" max="4588" width="8.83203125" hidden="0" customWidth="1"/>
    <x:col min="4589" max="4589" width="8.83203125" hidden="0" customWidth="1"/>
    <x:col min="4590" max="4590" width="8.83203125" hidden="0" customWidth="1"/>
    <x:col min="4591" max="4591" width="8.83203125" hidden="0" customWidth="1"/>
    <x:col min="4592" max="4592" width="8.83203125" hidden="0" customWidth="1"/>
    <x:col min="4593" max="4593" width="8.83203125" hidden="0" customWidth="1"/>
    <x:col min="4594" max="4594" width="8.83203125" hidden="0" customWidth="1"/>
    <x:col min="4595" max="4595" width="8.83203125" hidden="0" customWidth="1"/>
    <x:col min="4596" max="4596" width="8.83203125" hidden="0" customWidth="1"/>
    <x:col min="4597" max="4597" width="8.83203125" hidden="0" customWidth="1"/>
    <x:col min="4598" max="4598" width="8.83203125" hidden="0" customWidth="1"/>
    <x:col min="4599" max="4599" width="8.83203125" hidden="0" customWidth="1"/>
    <x:col min="4600" max="4600" width="8.83203125" hidden="0" customWidth="1"/>
    <x:col min="4601" max="4601" width="8.83203125" hidden="0" customWidth="1"/>
    <x:col min="4602" max="4602" width="8.83203125" hidden="0" customWidth="1"/>
    <x:col min="4603" max="4603" width="8.83203125" hidden="0" customWidth="1"/>
    <x:col min="4604" max="4604" width="8.83203125" hidden="0" customWidth="1"/>
    <x:col min="4605" max="4605" width="8.83203125" hidden="0" customWidth="1"/>
    <x:col min="4606" max="4606" width="8.83203125" hidden="0" customWidth="1"/>
    <x:col min="4607" max="4607" width="8.83203125" hidden="0" customWidth="1"/>
    <x:col min="4608" max="4608" width="8.83203125" hidden="0" customWidth="1"/>
    <x:col min="4609" max="4609" width="8.83203125" hidden="0" customWidth="1"/>
    <x:col min="4610" max="4610" width="8.83203125" hidden="0" customWidth="1"/>
    <x:col min="4611" max="4611" width="8.83203125" hidden="0" customWidth="1"/>
    <x:col min="4612" max="4612" width="8.83203125" hidden="0" customWidth="1"/>
    <x:col min="4613" max="4613" width="8.83203125" hidden="0" customWidth="1"/>
    <x:col min="4614" max="4614" width="8.83203125" hidden="0" customWidth="1"/>
    <x:col min="4615" max="4615" width="8.83203125" hidden="0" customWidth="1"/>
    <x:col min="4616" max="4616" width="8.83203125" hidden="0" customWidth="1"/>
    <x:col min="4617" max="4617" width="8.83203125" hidden="0" customWidth="1"/>
    <x:col min="4618" max="4618" width="8.83203125" hidden="0" customWidth="1"/>
    <x:col min="4619" max="4619" width="8.83203125" hidden="0" customWidth="1"/>
    <x:col min="4620" max="4620" width="8.83203125" hidden="0" customWidth="1"/>
    <x:col min="4621" max="4621" width="8.83203125" hidden="0" customWidth="1"/>
    <x:col min="4622" max="4622" width="8.83203125" hidden="0" customWidth="1"/>
    <x:col min="4623" max="4623" width="8.83203125" hidden="0" customWidth="1"/>
    <x:col min="4624" max="4624" width="8.83203125" hidden="0" customWidth="1"/>
    <x:col min="4625" max="4625" width="8.83203125" hidden="0" customWidth="1"/>
    <x:col min="4626" max="4626" width="8.83203125" hidden="0" customWidth="1"/>
    <x:col min="4627" max="4627" width="8.83203125" hidden="0" customWidth="1"/>
    <x:col min="4628" max="4628" width="8.83203125" hidden="0" customWidth="1"/>
    <x:col min="4629" max="4629" width="8.83203125" hidden="0" customWidth="1"/>
    <x:col min="4630" max="4630" width="8.83203125" hidden="0" customWidth="1"/>
    <x:col min="4631" max="4631" width="8.83203125" hidden="0" customWidth="1"/>
    <x:col min="4632" max="4632" width="8.83203125" hidden="0" customWidth="1"/>
    <x:col min="4633" max="4633" width="8.83203125" hidden="0" customWidth="1"/>
    <x:col min="4634" max="4634" width="8.83203125" hidden="0" customWidth="1"/>
    <x:col min="4635" max="4635" width="8.83203125" hidden="0" customWidth="1"/>
    <x:col min="4636" max="4636" width="8.83203125" hidden="0" customWidth="1"/>
    <x:col min="4637" max="4637" width="8.83203125" hidden="0" customWidth="1"/>
    <x:col min="4638" max="4638" width="8.83203125" hidden="0" customWidth="1"/>
    <x:col min="4639" max="4639" width="8.83203125" hidden="0" customWidth="1"/>
    <x:col min="4640" max="4640" width="8.83203125" hidden="0" customWidth="1"/>
    <x:col min="4641" max="4641" width="8.83203125" hidden="0" customWidth="1"/>
    <x:col min="4642" max="4642" width="8.83203125" hidden="0" customWidth="1"/>
    <x:col min="4643" max="4643" width="8.83203125" hidden="0" customWidth="1"/>
    <x:col min="4644" max="4644" width="8.83203125" hidden="0" customWidth="1"/>
    <x:col min="4645" max="4645" width="8.83203125" hidden="0" customWidth="1"/>
    <x:col min="4646" max="4646" width="8.83203125" hidden="0" customWidth="1"/>
    <x:col min="4647" max="4647" width="8.83203125" hidden="0" customWidth="1"/>
    <x:col min="4648" max="4648" width="8.83203125" hidden="0" customWidth="1"/>
    <x:col min="4649" max="4649" width="8.83203125" hidden="0" customWidth="1"/>
    <x:col min="4650" max="4650" width="8.83203125" hidden="0" customWidth="1"/>
    <x:col min="4651" max="4651" width="8.83203125" hidden="0" customWidth="1"/>
    <x:col min="4652" max="4652" width="8.83203125" hidden="0" customWidth="1"/>
    <x:col min="4653" max="4653" width="8.83203125" hidden="0" customWidth="1"/>
    <x:col min="4654" max="4654" width="8.83203125" hidden="0" customWidth="1"/>
    <x:col min="4655" max="4655" width="8.83203125" hidden="0" customWidth="1"/>
    <x:col min="4656" max="4656" width="8.83203125" hidden="0" customWidth="1"/>
    <x:col min="4657" max="4657" width="8.83203125" hidden="0" customWidth="1"/>
    <x:col min="4658" max="4658" width="8.83203125" hidden="0" customWidth="1"/>
    <x:col min="4659" max="4659" width="8.83203125" hidden="0" customWidth="1"/>
    <x:col min="4660" max="4660" width="8.83203125" hidden="0" customWidth="1"/>
    <x:col min="4661" max="4661" width="8.83203125" hidden="0" customWidth="1"/>
    <x:col min="4662" max="4662" width="8.83203125" hidden="0" customWidth="1"/>
    <x:col min="4663" max="4663" width="8.83203125" hidden="0" customWidth="1"/>
    <x:col min="4664" max="4664" width="8.83203125" hidden="0" customWidth="1"/>
    <x:col min="4665" max="4665" width="8.83203125" hidden="0" customWidth="1"/>
    <x:col min="4666" max="4666" width="8.83203125" hidden="0" customWidth="1"/>
    <x:col min="4667" max="4667" width="8.83203125" hidden="0" customWidth="1"/>
    <x:col min="4668" max="4668" width="8.83203125" hidden="0" customWidth="1"/>
    <x:col min="4669" max="4669" width="8.83203125" hidden="0" customWidth="1"/>
    <x:col min="4670" max="4670" width="8.83203125" hidden="0" customWidth="1"/>
    <x:col min="4671" max="4671" width="8.83203125" hidden="0" customWidth="1"/>
    <x:col min="4672" max="4672" width="8.83203125" hidden="0" customWidth="1"/>
    <x:col min="4673" max="4673" width="8.83203125" hidden="0" customWidth="1"/>
    <x:col min="4674" max="4674" width="8.83203125" hidden="0" customWidth="1"/>
    <x:col min="4675" max="4675" width="8.83203125" hidden="0" customWidth="1"/>
    <x:col min="4676" max="4676" width="8.83203125" hidden="0" customWidth="1"/>
    <x:col min="4677" max="4677" width="8.83203125" hidden="0" customWidth="1"/>
    <x:col min="4678" max="4678" width="8.83203125" hidden="0" customWidth="1"/>
    <x:col min="4679" max="4679" width="8.83203125" hidden="0" customWidth="1"/>
    <x:col min="4680" max="4680" width="8.83203125" hidden="0" customWidth="1"/>
    <x:col min="4681" max="4681" width="8.83203125" hidden="0" customWidth="1"/>
    <x:col min="4682" max="4682" width="8.83203125" hidden="0" customWidth="1"/>
    <x:col min="4683" max="4683" width="8.83203125" hidden="0" customWidth="1"/>
    <x:col min="4684" max="4684" width="8.83203125" hidden="0" customWidth="1"/>
    <x:col min="4685" max="4685" width="8.83203125" hidden="0" customWidth="1"/>
    <x:col min="4686" max="4686" width="8.83203125" hidden="0" customWidth="1"/>
    <x:col min="4687" max="4687" width="8.83203125" hidden="0" customWidth="1"/>
    <x:col min="4688" max="4688" width="8.83203125" hidden="0" customWidth="1"/>
    <x:col min="4689" max="4689" width="8.83203125" hidden="0" customWidth="1"/>
    <x:col min="4690" max="4690" width="8.83203125" hidden="0" customWidth="1"/>
    <x:col min="4691" max="4691" width="8.83203125" hidden="0" customWidth="1"/>
    <x:col min="4692" max="4692" width="8.83203125" hidden="0" customWidth="1"/>
    <x:col min="4693" max="4693" width="8.83203125" hidden="0" customWidth="1"/>
    <x:col min="4694" max="4694" width="8.83203125" hidden="0" customWidth="1"/>
    <x:col min="4695" max="4695" width="8.83203125" hidden="0" customWidth="1"/>
    <x:col min="4696" max="4696" width="8.83203125" hidden="0" customWidth="1"/>
    <x:col min="4697" max="4697" width="8.83203125" hidden="0" customWidth="1"/>
    <x:col min="4698" max="4698" width="8.83203125" hidden="0" customWidth="1"/>
    <x:col min="4699" max="4699" width="8.83203125" hidden="0" customWidth="1"/>
    <x:col min="4700" max="4700" width="8.83203125" hidden="0" customWidth="1"/>
    <x:col min="4701" max="4701" width="8.83203125" hidden="0" customWidth="1"/>
    <x:col min="4702" max="4702" width="8.83203125" hidden="0" customWidth="1"/>
    <x:col min="4703" max="4703" width="8.83203125" hidden="0" customWidth="1"/>
    <x:col min="4704" max="4704" width="8.83203125" hidden="0" customWidth="1"/>
    <x:col min="4705" max="4705" width="8.83203125" hidden="0" customWidth="1"/>
    <x:col min="4706" max="4706" width="8.83203125" hidden="0" customWidth="1"/>
    <x:col min="4707" max="4707" width="8.83203125" hidden="0" customWidth="1"/>
    <x:col min="4708" max="4708" width="8.83203125" hidden="0" customWidth="1"/>
    <x:col min="4709" max="4709" width="8.83203125" hidden="0" customWidth="1"/>
    <x:col min="4710" max="4710" width="8.83203125" hidden="0" customWidth="1"/>
    <x:col min="4711" max="4711" width="8.83203125" hidden="0" customWidth="1"/>
    <x:col min="4712" max="4712" width="8.83203125" hidden="0" customWidth="1"/>
    <x:col min="4713" max="4713" width="8.83203125" hidden="0" customWidth="1"/>
    <x:col min="4714" max="4714" width="8.83203125" hidden="0" customWidth="1"/>
    <x:col min="4715" max="4715" width="8.83203125" hidden="0" customWidth="1"/>
    <x:col min="4716" max="4716" width="8.83203125" hidden="0" customWidth="1"/>
    <x:col min="4717" max="4717" width="8.83203125" hidden="0" customWidth="1"/>
    <x:col min="4718" max="4718" width="8.83203125" hidden="0" customWidth="1"/>
    <x:col min="4719" max="4719" width="8.83203125" hidden="0" customWidth="1"/>
    <x:col min="4720" max="4720" width="8.83203125" hidden="0" customWidth="1"/>
    <x:col min="4721" max="4721" width="8.83203125" hidden="0" customWidth="1"/>
    <x:col min="4722" max="4722" width="8.83203125" hidden="0" customWidth="1"/>
    <x:col min="4723" max="4723" width="8.83203125" hidden="0" customWidth="1"/>
    <x:col min="4724" max="4724" width="8.83203125" hidden="0" customWidth="1"/>
    <x:col min="4725" max="4725" width="8.83203125" hidden="0" customWidth="1"/>
    <x:col min="4726" max="4726" width="8.83203125" hidden="0" customWidth="1"/>
    <x:col min="4727" max="4727" width="8.83203125" hidden="0" customWidth="1"/>
    <x:col min="4728" max="4728" width="8.83203125" hidden="0" customWidth="1"/>
    <x:col min="4729" max="4729" width="8.83203125" hidden="0" customWidth="1"/>
    <x:col min="4730" max="4730" width="8.83203125" hidden="0" customWidth="1"/>
    <x:col min="4731" max="4731" width="8.83203125" hidden="0" customWidth="1"/>
    <x:col min="4732" max="4732" width="8.83203125" hidden="0" customWidth="1"/>
    <x:col min="4733" max="4733" width="8.83203125" hidden="0" customWidth="1"/>
    <x:col min="4734" max="4734" width="8.83203125" hidden="0" customWidth="1"/>
    <x:col min="4735" max="4735" width="8.83203125" hidden="0" customWidth="1"/>
    <x:col min="4736" max="4736" width="8.83203125" hidden="0" customWidth="1"/>
    <x:col min="4737" max="4737" width="8.83203125" hidden="0" customWidth="1"/>
    <x:col min="4738" max="4738" width="8.83203125" hidden="0" customWidth="1"/>
    <x:col min="4739" max="4739" width="8.83203125" hidden="0" customWidth="1"/>
    <x:col min="4740" max="4740" width="8.83203125" hidden="0" customWidth="1"/>
    <x:col min="4741" max="4741" width="8.83203125" hidden="0" customWidth="1"/>
    <x:col min="4742" max="4742" width="8.83203125" hidden="0" customWidth="1"/>
    <x:col min="4743" max="4743" width="8.83203125" hidden="0" customWidth="1"/>
    <x:col min="4744" max="4744" width="8.83203125" hidden="0" customWidth="1"/>
    <x:col min="4745" max="4745" width="8.83203125" hidden="0" customWidth="1"/>
    <x:col min="4746" max="4746" width="8.83203125" hidden="0" customWidth="1"/>
    <x:col min="4747" max="4747" width="8.83203125" hidden="0" customWidth="1"/>
    <x:col min="4748" max="4748" width="8.83203125" hidden="0" customWidth="1"/>
    <x:col min="4749" max="4749" width="8.83203125" hidden="0" customWidth="1"/>
    <x:col min="4750" max="4750" width="8.83203125" hidden="0" customWidth="1"/>
    <x:col min="4751" max="4751" width="8.83203125" hidden="0" customWidth="1"/>
    <x:col min="4752" max="4752" width="8.83203125" hidden="0" customWidth="1"/>
    <x:col min="4753" max="4753" width="8.83203125" hidden="0" customWidth="1"/>
    <x:col min="4754" max="4754" width="8.83203125" hidden="0" customWidth="1"/>
    <x:col min="4755" max="4755" width="8.83203125" hidden="0" customWidth="1"/>
    <x:col min="4756" max="4756" width="8.83203125" hidden="0" customWidth="1"/>
    <x:col min="4757" max="4757" width="8.83203125" hidden="0" customWidth="1"/>
    <x:col min="4758" max="4758" width="8.83203125" hidden="0" customWidth="1"/>
    <x:col min="4759" max="4759" width="8.83203125" hidden="0" customWidth="1"/>
    <x:col min="4760" max="4760" width="8.83203125" hidden="0" customWidth="1"/>
    <x:col min="4761" max="4761" width="8.83203125" hidden="0" customWidth="1"/>
    <x:col min="4762" max="4762" width="8.83203125" hidden="0" customWidth="1"/>
    <x:col min="4763" max="4763" width="8.83203125" hidden="0" customWidth="1"/>
    <x:col min="4764" max="4764" width="8.83203125" hidden="0" customWidth="1"/>
    <x:col min="4765" max="4765" width="8.83203125" hidden="0" customWidth="1"/>
    <x:col min="4766" max="4766" width="8.83203125" hidden="0" customWidth="1"/>
    <x:col min="4767" max="4767" width="8.83203125" hidden="0" customWidth="1"/>
    <x:col min="4768" max="4768" width="8.83203125" hidden="0" customWidth="1"/>
    <x:col min="4769" max="4769" width="8.83203125" hidden="0" customWidth="1"/>
    <x:col min="4770" max="4770" width="8.83203125" hidden="0" customWidth="1"/>
    <x:col min="4771" max="4771" width="8.83203125" hidden="0" customWidth="1"/>
    <x:col min="4772" max="4772" width="8.83203125" hidden="0" customWidth="1"/>
    <x:col min="4773" max="4773" width="8.83203125" hidden="0" customWidth="1"/>
    <x:col min="4774" max="4774" width="8.83203125" hidden="0" customWidth="1"/>
    <x:col min="4775" max="4775" width="8.83203125" hidden="0" customWidth="1"/>
    <x:col min="4776" max="4776" width="8.83203125" hidden="0" customWidth="1"/>
    <x:col min="4777" max="4777" width="8.83203125" hidden="0" customWidth="1"/>
    <x:col min="4778" max="4778" width="8.83203125" hidden="0" customWidth="1"/>
    <x:col min="4779" max="4779" width="8.83203125" hidden="0" customWidth="1"/>
    <x:col min="4780" max="4780" width="8.83203125" hidden="0" customWidth="1"/>
    <x:col min="4781" max="4781" width="8.83203125" hidden="0" customWidth="1"/>
    <x:col min="4782" max="4782" width="8.83203125" hidden="0" customWidth="1"/>
    <x:col min="4783" max="4783" width="8.83203125" hidden="0" customWidth="1"/>
    <x:col min="4784" max="4784" width="8.83203125" hidden="0" customWidth="1"/>
    <x:col min="4785" max="4785" width="8.83203125" hidden="0" customWidth="1"/>
    <x:col min="4786" max="4786" width="8.83203125" hidden="0" customWidth="1"/>
    <x:col min="4787" max="4787" width="8.83203125" hidden="0" customWidth="1"/>
    <x:col min="4788" max="4788" width="8.83203125" hidden="0" customWidth="1"/>
    <x:col min="4789" max="4789" width="8.83203125" hidden="0" customWidth="1"/>
    <x:col min="4790" max="4790" width="8.83203125" hidden="0" customWidth="1"/>
    <x:col min="4791" max="4791" width="8.83203125" hidden="0" customWidth="1"/>
    <x:col min="4792" max="4792" width="8.83203125" hidden="0" customWidth="1"/>
    <x:col min="4793" max="4793" width="8.83203125" hidden="0" customWidth="1"/>
    <x:col min="4794" max="4794" width="8.83203125" hidden="0" customWidth="1"/>
    <x:col min="4795" max="4795" width="8.83203125" hidden="0" customWidth="1"/>
    <x:col min="4796" max="4796" width="8.83203125" hidden="0" customWidth="1"/>
    <x:col min="4797" max="4797" width="8.83203125" hidden="0" customWidth="1"/>
    <x:col min="4798" max="4798" width="8.83203125" hidden="0" customWidth="1"/>
    <x:col min="4799" max="4799" width="8.83203125" hidden="0" customWidth="1"/>
    <x:col min="4800" max="4800" width="8.83203125" hidden="0" customWidth="1"/>
    <x:col min="4801" max="4801" width="8.83203125" hidden="0" customWidth="1"/>
    <x:col min="4802" max="4802" width="8.83203125" hidden="0" customWidth="1"/>
    <x:col min="4803" max="4803" width="8.83203125" hidden="0" customWidth="1"/>
    <x:col min="4804" max="4804" width="8.83203125" hidden="0" customWidth="1"/>
    <x:col min="4805" max="4805" width="8.83203125" hidden="0" customWidth="1"/>
    <x:col min="4806" max="4806" width="8.83203125" hidden="0" customWidth="1"/>
    <x:col min="4807" max="4807" width="8.83203125" hidden="0" customWidth="1"/>
    <x:col min="4808" max="4808" width="8.83203125" hidden="0" customWidth="1"/>
    <x:col min="4809" max="4809" width="8.83203125" hidden="0" customWidth="1"/>
    <x:col min="4810" max="4810" width="8.83203125" hidden="0" customWidth="1"/>
    <x:col min="4811" max="4811" width="8.83203125" hidden="0" customWidth="1"/>
    <x:col min="4812" max="4812" width="8.83203125" hidden="0" customWidth="1"/>
    <x:col min="4813" max="4813" width="8.83203125" hidden="0" customWidth="1"/>
    <x:col min="4814" max="4814" width="8.83203125" hidden="0" customWidth="1"/>
    <x:col min="4815" max="4815" width="8.83203125" hidden="0" customWidth="1"/>
    <x:col min="4816" max="4816" width="8.83203125" hidden="0" customWidth="1"/>
    <x:col min="4817" max="4817" width="8.83203125" hidden="0" customWidth="1"/>
    <x:col min="4818" max="4818" width="8.83203125" hidden="0" customWidth="1"/>
    <x:col min="4819" max="4819" width="8.83203125" hidden="0" customWidth="1"/>
    <x:col min="4820" max="4820" width="8.83203125" hidden="0" customWidth="1"/>
    <x:col min="4821" max="4821" width="8.83203125" hidden="0" customWidth="1"/>
    <x:col min="4822" max="4822" width="8.83203125" hidden="0" customWidth="1"/>
    <x:col min="4823" max="4823" width="8.83203125" hidden="0" customWidth="1"/>
    <x:col min="4824" max="4824" width="8.83203125" hidden="0" customWidth="1"/>
    <x:col min="4825" max="4825" width="8.83203125" hidden="0" customWidth="1"/>
    <x:col min="4826" max="4826" width="8.83203125" hidden="0" customWidth="1"/>
    <x:col min="4827" max="4827" width="8.83203125" hidden="0" customWidth="1"/>
    <x:col min="4828" max="4828" width="8.83203125" hidden="0" customWidth="1"/>
    <x:col min="4829" max="4829" width="8.83203125" hidden="0" customWidth="1"/>
    <x:col min="4830" max="4830" width="8.83203125" hidden="0" customWidth="1"/>
    <x:col min="4831" max="4831" width="8.83203125" hidden="0" customWidth="1"/>
    <x:col min="4832" max="4832" width="8.83203125" hidden="0" customWidth="1"/>
    <x:col min="4833" max="4833" width="8.83203125" hidden="0" customWidth="1"/>
    <x:col min="4834" max="4834" width="8.83203125" hidden="0" customWidth="1"/>
    <x:col min="4835" max="4835" width="8.83203125" hidden="0" customWidth="1"/>
    <x:col min="4836" max="4836" width="8.83203125" hidden="0" customWidth="1"/>
    <x:col min="4837" max="4837" width="8.83203125" hidden="0" customWidth="1"/>
    <x:col min="4838" max="4838" width="8.83203125" hidden="0" customWidth="1"/>
    <x:col min="4839" max="4839" width="8.83203125" hidden="0" customWidth="1"/>
    <x:col min="4840" max="4840" width="8.83203125" hidden="0" customWidth="1"/>
    <x:col min="4841" max="4841" width="8.83203125" hidden="0" customWidth="1"/>
    <x:col min="4842" max="4842" width="8.83203125" hidden="0" customWidth="1"/>
    <x:col min="4843" max="4843" width="8.83203125" hidden="0" customWidth="1"/>
    <x:col min="4844" max="4844" width="8.83203125" hidden="0" customWidth="1"/>
    <x:col min="4845" max="4845" width="8.83203125" hidden="0" customWidth="1"/>
    <x:col min="4846" max="4846" width="8.83203125" hidden="0" customWidth="1"/>
    <x:col min="4847" max="4847" width="8.83203125" hidden="0" customWidth="1"/>
    <x:col min="4848" max="4848" width="8.83203125" hidden="0" customWidth="1"/>
    <x:col min="4849" max="4849" width="8.83203125" hidden="0" customWidth="1"/>
    <x:col min="4850" max="4850" width="8.83203125" hidden="0" customWidth="1"/>
    <x:col min="4851" max="4851" width="8.83203125" hidden="0" customWidth="1"/>
    <x:col min="4852" max="4852" width="8.83203125" hidden="0" customWidth="1"/>
    <x:col min="4853" max="4853" width="8.83203125" hidden="0" customWidth="1"/>
    <x:col min="4854" max="4854" width="8.83203125" hidden="0" customWidth="1"/>
    <x:col min="4855" max="4855" width="8.83203125" hidden="0" customWidth="1"/>
    <x:col min="4856" max="4856" width="8.83203125" hidden="0" customWidth="1"/>
    <x:col min="4857" max="4857" width="8.83203125" hidden="0" customWidth="1"/>
    <x:col min="4858" max="4858" width="8.83203125" hidden="0" customWidth="1"/>
    <x:col min="4859" max="4859" width="8.83203125" hidden="0" customWidth="1"/>
    <x:col min="4860" max="4860" width="8.83203125" hidden="0" customWidth="1"/>
    <x:col min="4861" max="4861" width="8.83203125" hidden="0" customWidth="1"/>
    <x:col min="4862" max="4862" width="8.83203125" hidden="0" customWidth="1"/>
    <x:col min="4863" max="4863" width="8.83203125" hidden="0" customWidth="1"/>
    <x:col min="4864" max="4864" width="8.83203125" hidden="0" customWidth="1"/>
    <x:col min="4865" max="4865" width="8.83203125" hidden="0" customWidth="1"/>
    <x:col min="4866" max="4866" width="8.83203125" hidden="0" customWidth="1"/>
    <x:col min="4867" max="4867" width="8.83203125" hidden="0" customWidth="1"/>
    <x:col min="4868" max="4868" width="8.83203125" hidden="0" customWidth="1"/>
    <x:col min="4869" max="4869" width="8.83203125" hidden="0" customWidth="1"/>
    <x:col min="4870" max="4870" width="8.83203125" hidden="0" customWidth="1"/>
    <x:col min="4871" max="4871" width="8.83203125" hidden="0" customWidth="1"/>
    <x:col min="4872" max="4872" width="8.83203125" hidden="0" customWidth="1"/>
    <x:col min="4873" max="4873" width="8.83203125" hidden="0" customWidth="1"/>
    <x:col min="4874" max="4874" width="8.83203125" hidden="0" customWidth="1"/>
    <x:col min="4875" max="4875" width="8.83203125" hidden="0" customWidth="1"/>
    <x:col min="4876" max="4876" width="8.83203125" hidden="0" customWidth="1"/>
    <x:col min="4877" max="4877" width="8.83203125" hidden="0" customWidth="1"/>
    <x:col min="4878" max="4878" width="8.83203125" hidden="0" customWidth="1"/>
    <x:col min="4879" max="4879" width="8.83203125" hidden="0" customWidth="1"/>
    <x:col min="4880" max="4880" width="8.83203125" hidden="0" customWidth="1"/>
    <x:col min="4881" max="4881" width="8.83203125" hidden="0" customWidth="1"/>
    <x:col min="4882" max="4882" width="8.83203125" hidden="0" customWidth="1"/>
    <x:col min="4883" max="4883" width="8.83203125" hidden="0" customWidth="1"/>
    <x:col min="4884" max="4884" width="8.83203125" hidden="0" customWidth="1"/>
    <x:col min="4885" max="4885" width="8.83203125" hidden="0" customWidth="1"/>
    <x:col min="4886" max="4886" width="8.83203125" hidden="0" customWidth="1"/>
    <x:col min="4887" max="4887" width="8.83203125" hidden="0" customWidth="1"/>
    <x:col min="4888" max="4888" width="8.83203125" hidden="0" customWidth="1"/>
    <x:col min="4889" max="4889" width="8.83203125" hidden="0" customWidth="1"/>
    <x:col min="4890" max="4890" width="8.83203125" hidden="0" customWidth="1"/>
    <x:col min="4891" max="4891" width="8.83203125" hidden="0" customWidth="1"/>
    <x:col min="4892" max="4892" width="8.83203125" hidden="0" customWidth="1"/>
    <x:col min="4893" max="4893" width="8.83203125" hidden="0" customWidth="1"/>
    <x:col min="4894" max="4894" width="8.83203125" hidden="0" customWidth="1"/>
    <x:col min="4895" max="4895" width="8.83203125" hidden="0" customWidth="1"/>
    <x:col min="4896" max="4896" width="8.83203125" hidden="0" customWidth="1"/>
    <x:col min="4897" max="4897" width="8.83203125" hidden="0" customWidth="1"/>
    <x:col min="4898" max="4898" width="8.83203125" hidden="0" customWidth="1"/>
    <x:col min="4899" max="4899" width="8.83203125" hidden="0" customWidth="1"/>
    <x:col min="4900" max="4900" width="8.83203125" hidden="0" customWidth="1"/>
    <x:col min="4901" max="4901" width="8.83203125" hidden="0" customWidth="1"/>
    <x:col min="4902" max="4902" width="8.83203125" hidden="0" customWidth="1"/>
    <x:col min="4903" max="4903" width="8.83203125" hidden="0" customWidth="1"/>
    <x:col min="4904" max="4904" width="8.83203125" hidden="0" customWidth="1"/>
    <x:col min="4905" max="4905" width="8.83203125" hidden="0" customWidth="1"/>
    <x:col min="4906" max="4906" width="8.83203125" hidden="0" customWidth="1"/>
    <x:col min="4907" max="4907" width="8.83203125" hidden="0" customWidth="1"/>
    <x:col min="4908" max="4908" width="8.83203125" hidden="0" customWidth="1"/>
    <x:col min="4909" max="4909" width="8.83203125" hidden="0" customWidth="1"/>
    <x:col min="4910" max="4910" width="8.83203125" hidden="0" customWidth="1"/>
    <x:col min="4911" max="4911" width="8.83203125" hidden="0" customWidth="1"/>
    <x:col min="4912" max="4912" width="8.83203125" hidden="0" customWidth="1"/>
    <x:col min="4913" max="4913" width="8.83203125" hidden="0" customWidth="1"/>
    <x:col min="4914" max="4914" width="8.83203125" hidden="0" customWidth="1"/>
    <x:col min="4915" max="4915" width="8.83203125" hidden="0" customWidth="1"/>
    <x:col min="4916" max="4916" width="8.83203125" hidden="0" customWidth="1"/>
    <x:col min="4917" max="4917" width="8.83203125" hidden="0" customWidth="1"/>
    <x:col min="4918" max="4918" width="8.83203125" hidden="0" customWidth="1"/>
    <x:col min="4919" max="4919" width="8.83203125" hidden="0" customWidth="1"/>
    <x:col min="4920" max="4920" width="8.83203125" hidden="0" customWidth="1"/>
    <x:col min="4921" max="4921" width="8.83203125" hidden="0" customWidth="1"/>
    <x:col min="4922" max="4922" width="8.83203125" hidden="0" customWidth="1"/>
    <x:col min="4923" max="4923" width="8.83203125" hidden="0" customWidth="1"/>
    <x:col min="4924" max="4924" width="8.83203125" hidden="0" customWidth="1"/>
    <x:col min="4925" max="4925" width="8.83203125" hidden="0" customWidth="1"/>
    <x:col min="4926" max="4926" width="8.83203125" hidden="0" customWidth="1"/>
    <x:col min="4927" max="4927" width="8.83203125" hidden="0" customWidth="1"/>
    <x:col min="4928" max="4928" width="8.83203125" hidden="0" customWidth="1"/>
    <x:col min="4929" max="4929" width="8.83203125" hidden="0" customWidth="1"/>
    <x:col min="4930" max="4930" width="8.83203125" hidden="0" customWidth="1"/>
    <x:col min="4931" max="4931" width="8.83203125" hidden="0" customWidth="1"/>
    <x:col min="4932" max="4932" width="8.83203125" hidden="0" customWidth="1"/>
    <x:col min="4933" max="4933" width="8.83203125" hidden="0" customWidth="1"/>
    <x:col min="4934" max="4934" width="8.83203125" hidden="0" customWidth="1"/>
    <x:col min="4935" max="4935" width="8.83203125" hidden="0" customWidth="1"/>
    <x:col min="4936" max="4936" width="8.83203125" hidden="0" customWidth="1"/>
    <x:col min="4937" max="4937" width="8.83203125" hidden="0" customWidth="1"/>
    <x:col min="4938" max="4938" width="8.83203125" hidden="0" customWidth="1"/>
    <x:col min="4939" max="4939" width="8.83203125" hidden="0" customWidth="1"/>
    <x:col min="4940" max="4940" width="8.83203125" hidden="0" customWidth="1"/>
    <x:col min="4941" max="4941" width="8.83203125" hidden="0" customWidth="1"/>
    <x:col min="4942" max="4942" width="8.83203125" hidden="0" customWidth="1"/>
    <x:col min="4943" max="4943" width="8.83203125" hidden="0" customWidth="1"/>
    <x:col min="4944" max="4944" width="8.83203125" hidden="0" customWidth="1"/>
    <x:col min="4945" max="4945" width="8.83203125" hidden="0" customWidth="1"/>
    <x:col min="4946" max="4946" width="8.83203125" hidden="0" customWidth="1"/>
    <x:col min="4947" max="4947" width="8.83203125" hidden="0" customWidth="1"/>
    <x:col min="4948" max="4948" width="8.83203125" hidden="0" customWidth="1"/>
    <x:col min="4949" max="4949" width="8.83203125" hidden="0" customWidth="1"/>
    <x:col min="4950" max="4950" width="8.83203125" hidden="0" customWidth="1"/>
    <x:col min="4951" max="4951" width="8.83203125" hidden="0" customWidth="1"/>
    <x:col min="4952" max="4952" width="8.83203125" hidden="0" customWidth="1"/>
    <x:col min="4953" max="4953" width="8.83203125" hidden="0" customWidth="1"/>
    <x:col min="4954" max="4954" width="8.83203125" hidden="0" customWidth="1"/>
    <x:col min="4955" max="4955" width="8.83203125" hidden="0" customWidth="1"/>
    <x:col min="4956" max="4956" width="8.83203125" hidden="0" customWidth="1"/>
    <x:col min="4957" max="4957" width="8.83203125" hidden="0" customWidth="1"/>
    <x:col min="4958" max="4958" width="8.83203125" hidden="0" customWidth="1"/>
    <x:col min="4959" max="4959" width="8.83203125" hidden="0" customWidth="1"/>
    <x:col min="4960" max="4960" width="8.83203125" hidden="0" customWidth="1"/>
    <x:col min="4961" max="4961" width="8.83203125" hidden="0" customWidth="1"/>
    <x:col min="4962" max="4962" width="8.83203125" hidden="0" customWidth="1"/>
    <x:col min="4963" max="4963" width="8.83203125" hidden="0" customWidth="1"/>
    <x:col min="4964" max="4964" width="8.83203125" hidden="0" customWidth="1"/>
    <x:col min="4965" max="4965" width="8.83203125" hidden="0" customWidth="1"/>
    <x:col min="4966" max="4966" width="8.83203125" hidden="0" customWidth="1"/>
    <x:col min="4967" max="4967" width="8.83203125" hidden="0" customWidth="1"/>
    <x:col min="4968" max="4968" width="8.83203125" hidden="0" customWidth="1"/>
    <x:col min="4969" max="4969" width="8.83203125" hidden="0" customWidth="1"/>
    <x:col min="4970" max="4970" width="8.83203125" hidden="0" customWidth="1"/>
    <x:col min="4971" max="4971" width="8.83203125" hidden="0" customWidth="1"/>
    <x:col min="4972" max="4972" width="8.83203125" hidden="0" customWidth="1"/>
    <x:col min="4973" max="4973" width="8.83203125" hidden="0" customWidth="1"/>
    <x:col min="4974" max="4974" width="8.83203125" hidden="0" customWidth="1"/>
    <x:col min="4975" max="4975" width="8.83203125" hidden="0" customWidth="1"/>
    <x:col min="4976" max="4976" width="8.83203125" hidden="0" customWidth="1"/>
    <x:col min="4977" max="4977" width="8.83203125" hidden="0" customWidth="1"/>
    <x:col min="4978" max="4978" width="8.83203125" hidden="0" customWidth="1"/>
    <x:col min="4979" max="4979" width="8.83203125" hidden="0" customWidth="1"/>
    <x:col min="4980" max="4980" width="8.83203125" hidden="0" customWidth="1"/>
    <x:col min="4981" max="4981" width="8.83203125" hidden="0" customWidth="1"/>
    <x:col min="4982" max="4982" width="8.83203125" hidden="0" customWidth="1"/>
    <x:col min="4983" max="4983" width="8.83203125" hidden="0" customWidth="1"/>
    <x:col min="4984" max="4984" width="8.83203125" hidden="0" customWidth="1"/>
    <x:col min="4985" max="4985" width="8.83203125" hidden="0" customWidth="1"/>
    <x:col min="4986" max="4986" width="8.83203125" hidden="0" customWidth="1"/>
    <x:col min="4987" max="4987" width="8.83203125" hidden="0" customWidth="1"/>
    <x:col min="4988" max="4988" width="8.83203125" hidden="0" customWidth="1"/>
    <x:col min="4989" max="4989" width="8.83203125" hidden="0" customWidth="1"/>
    <x:col min="4990" max="4990" width="8.83203125" hidden="0" customWidth="1"/>
    <x:col min="4991" max="4991" width="8.83203125" hidden="0" customWidth="1"/>
    <x:col min="4992" max="4992" width="8.83203125" hidden="0" customWidth="1"/>
    <x:col min="4993" max="4993" width="8.83203125" hidden="0" customWidth="1"/>
    <x:col min="4994" max="4994" width="8.83203125" hidden="0" customWidth="1"/>
    <x:col min="4995" max="4995" width="8.83203125" hidden="0" customWidth="1"/>
    <x:col min="4996" max="4996" width="8.83203125" hidden="0" customWidth="1"/>
    <x:col min="4997" max="4997" width="8.83203125" hidden="0" customWidth="1"/>
    <x:col min="4998" max="4998" width="8.83203125" hidden="0" customWidth="1"/>
    <x:col min="4999" max="4999" width="8.83203125" hidden="0" customWidth="1"/>
    <x:col min="5000" max="5000" width="8.83203125" hidden="0" customWidth="1"/>
    <x:col min="5001" max="5001" width="8.83203125" hidden="0" customWidth="1"/>
    <x:col min="5002" max="5002" width="8.83203125" hidden="0" customWidth="1"/>
    <x:col min="5003" max="5003" width="8.83203125" hidden="0" customWidth="1"/>
    <x:col min="5004" max="5004" width="8.83203125" hidden="0" customWidth="1"/>
    <x:col min="5005" max="5005" width="8.83203125" hidden="0" customWidth="1"/>
    <x:col min="5006" max="5006" width="8.83203125" hidden="0" customWidth="1"/>
    <x:col min="5007" max="5007" width="8.83203125" hidden="0" customWidth="1"/>
    <x:col min="5008" max="5008" width="8.83203125" hidden="0" customWidth="1"/>
    <x:col min="5009" max="5009" width="8.83203125" hidden="0" customWidth="1"/>
    <x:col min="5010" max="5010" width="8.83203125" hidden="0" customWidth="1"/>
    <x:col min="5011" max="5011" width="8.83203125" hidden="0" customWidth="1"/>
    <x:col min="5012" max="5012" width="8.83203125" hidden="0" customWidth="1"/>
    <x:col min="5013" max="5013" width="8.83203125" hidden="0" customWidth="1"/>
    <x:col min="5014" max="5014" width="8.83203125" hidden="0" customWidth="1"/>
    <x:col min="5015" max="5015" width="8.83203125" hidden="0" customWidth="1"/>
    <x:col min="5016" max="5016" width="8.83203125" hidden="0" customWidth="1"/>
    <x:col min="5017" max="5017" width="8.83203125" hidden="0" customWidth="1"/>
    <x:col min="5018" max="5018" width="8.83203125" hidden="0" customWidth="1"/>
    <x:col min="5019" max="5019" width="8.83203125" hidden="0" customWidth="1"/>
    <x:col min="5020" max="5020" width="8.83203125" hidden="0" customWidth="1"/>
    <x:col min="5021" max="5021" width="8.83203125" hidden="0" customWidth="1"/>
    <x:col min="5022" max="5022" width="8.83203125" hidden="0" customWidth="1"/>
    <x:col min="5023" max="5023" width="8.83203125" hidden="0" customWidth="1"/>
    <x:col min="5024" max="5024" width="8.83203125" hidden="0" customWidth="1"/>
    <x:col min="5025" max="5025" width="8.83203125" hidden="0" customWidth="1"/>
    <x:col min="5026" max="5026" width="8.83203125" hidden="0" customWidth="1"/>
    <x:col min="5027" max="5027" width="8.83203125" hidden="0" customWidth="1"/>
    <x:col min="5028" max="5028" width="8.83203125" hidden="0" customWidth="1"/>
    <x:col min="5029" max="5029" width="8.83203125" hidden="0" customWidth="1"/>
    <x:col min="5030" max="5030" width="8.83203125" hidden="0" customWidth="1"/>
    <x:col min="5031" max="5031" width="8.83203125" hidden="0" customWidth="1"/>
    <x:col min="5032" max="5032" width="8.83203125" hidden="0" customWidth="1"/>
    <x:col min="5033" max="5033" width="8.83203125" hidden="0" customWidth="1"/>
    <x:col min="5034" max="5034" width="8.83203125" hidden="0" customWidth="1"/>
    <x:col min="5035" max="5035" width="8.83203125" hidden="0" customWidth="1"/>
    <x:col min="5036" max="5036" width="8.83203125" hidden="0" customWidth="1"/>
    <x:col min="5037" max="5037" width="8.83203125" hidden="0" customWidth="1"/>
    <x:col min="5038" max="5038" width="8.83203125" hidden="0" customWidth="1"/>
    <x:col min="5039" max="5039" width="8.83203125" hidden="0" customWidth="1"/>
    <x:col min="5040" max="5040" width="8.83203125" hidden="0" customWidth="1"/>
    <x:col min="5041" max="5041" width="8.83203125" hidden="0" customWidth="1"/>
    <x:col min="5042" max="5042" width="8.83203125" hidden="0" customWidth="1"/>
    <x:col min="5043" max="5043" width="8.83203125" hidden="0" customWidth="1"/>
    <x:col min="5044" max="5044" width="8.83203125" hidden="0" customWidth="1"/>
    <x:col min="5045" max="5045" width="8.83203125" hidden="0" customWidth="1"/>
    <x:col min="5046" max="5046" width="8.83203125" hidden="0" customWidth="1"/>
    <x:col min="5047" max="5047" width="8.83203125" hidden="0" customWidth="1"/>
    <x:col min="5048" max="5048" width="8.83203125" hidden="0" customWidth="1"/>
    <x:col min="5049" max="5049" width="8.83203125" hidden="0" customWidth="1"/>
    <x:col min="5050" max="5050" width="8.83203125" hidden="0" customWidth="1"/>
    <x:col min="5051" max="5051" width="8.83203125" hidden="0" customWidth="1"/>
    <x:col min="5052" max="5052" width="8.83203125" hidden="0" customWidth="1"/>
    <x:col min="5053" max="5053" width="8.83203125" hidden="0" customWidth="1"/>
    <x:col min="5054" max="5054" width="8.83203125" hidden="0" customWidth="1"/>
    <x:col min="5055" max="5055" width="8.83203125" hidden="0" customWidth="1"/>
    <x:col min="5056" max="5056" width="8.83203125" hidden="0" customWidth="1"/>
    <x:col min="5057" max="5057" width="8.83203125" hidden="0" customWidth="1"/>
    <x:col min="5058" max="5058" width="8.83203125" hidden="0" customWidth="1"/>
    <x:col min="5059" max="5059" width="8.83203125" hidden="0" customWidth="1"/>
    <x:col min="5060" max="5060" width="8.83203125" hidden="0" customWidth="1"/>
    <x:col min="5061" max="5061" width="8.83203125" hidden="0" customWidth="1"/>
    <x:col min="5062" max="5062" width="8.83203125" hidden="0" customWidth="1"/>
    <x:col min="5063" max="5063" width="8.83203125" hidden="0" customWidth="1"/>
    <x:col min="5064" max="5064" width="8.83203125" hidden="0" customWidth="1"/>
    <x:col min="5065" max="5065" width="8.83203125" hidden="0" customWidth="1"/>
    <x:col min="5066" max="5066" width="8.83203125" hidden="0" customWidth="1"/>
    <x:col min="5067" max="5067" width="8.83203125" hidden="0" customWidth="1"/>
    <x:col min="5068" max="5068" width="8.83203125" hidden="0" customWidth="1"/>
    <x:col min="5069" max="5069" width="8.83203125" hidden="0" customWidth="1"/>
    <x:col min="5070" max="5070" width="8.83203125" hidden="0" customWidth="1"/>
    <x:col min="5071" max="5071" width="8.83203125" hidden="0" customWidth="1"/>
    <x:col min="5072" max="5072" width="8.83203125" hidden="0" customWidth="1"/>
    <x:col min="5073" max="5073" width="8.83203125" hidden="0" customWidth="1"/>
    <x:col min="5074" max="5074" width="8.83203125" hidden="0" customWidth="1"/>
    <x:col min="5075" max="5075" width="8.83203125" hidden="0" customWidth="1"/>
    <x:col min="5076" max="5076" width="8.83203125" hidden="0" customWidth="1"/>
    <x:col min="5077" max="5077" width="8.83203125" hidden="0" customWidth="1"/>
    <x:col min="5078" max="5078" width="8.83203125" hidden="0" customWidth="1"/>
    <x:col min="5079" max="5079" width="8.83203125" hidden="0" customWidth="1"/>
    <x:col min="5080" max="5080" width="8.83203125" hidden="0" customWidth="1"/>
    <x:col min="5081" max="5081" width="8.83203125" hidden="0" customWidth="1"/>
    <x:col min="5082" max="5082" width="8.83203125" hidden="0" customWidth="1"/>
    <x:col min="5083" max="5083" width="8.83203125" hidden="0" customWidth="1"/>
    <x:col min="5084" max="5084" width="8.83203125" hidden="0" customWidth="1"/>
    <x:col min="5085" max="5085" width="8.83203125" hidden="0" customWidth="1"/>
    <x:col min="5086" max="5086" width="8.83203125" hidden="0" customWidth="1"/>
    <x:col min="5087" max="5087" width="8.83203125" hidden="0" customWidth="1"/>
    <x:col min="5088" max="5088" width="8.83203125" hidden="0" customWidth="1"/>
    <x:col min="5089" max="5089" width="8.83203125" hidden="0" customWidth="1"/>
    <x:col min="5090" max="5090" width="8.83203125" hidden="0" customWidth="1"/>
    <x:col min="5091" max="5091" width="8.83203125" hidden="0" customWidth="1"/>
    <x:col min="5092" max="5092" width="8.83203125" hidden="0" customWidth="1"/>
    <x:col min="5093" max="5093" width="8.83203125" hidden="0" customWidth="1"/>
    <x:col min="5094" max="5094" width="8.83203125" hidden="0" customWidth="1"/>
    <x:col min="5095" max="5095" width="8.83203125" hidden="0" customWidth="1"/>
    <x:col min="5096" max="5096" width="8.83203125" hidden="0" customWidth="1"/>
    <x:col min="5097" max="5097" width="8.83203125" hidden="0" customWidth="1"/>
    <x:col min="5098" max="5098" width="8.83203125" hidden="0" customWidth="1"/>
    <x:col min="5099" max="5099" width="8.83203125" hidden="0" customWidth="1"/>
    <x:col min="5100" max="5100" width="8.83203125" hidden="0" customWidth="1"/>
    <x:col min="5101" max="5101" width="8.83203125" hidden="0" customWidth="1"/>
    <x:col min="5102" max="5102" width="8.83203125" hidden="0" customWidth="1"/>
    <x:col min="5103" max="5103" width="8.83203125" hidden="0" customWidth="1"/>
    <x:col min="5104" max="5104" width="8.83203125" hidden="0" customWidth="1"/>
    <x:col min="5105" max="5105" width="8.83203125" hidden="0" customWidth="1"/>
    <x:col min="5106" max="5106" width="8.83203125" hidden="0" customWidth="1"/>
    <x:col min="5107" max="5107" width="8.83203125" hidden="0" customWidth="1"/>
    <x:col min="5108" max="5108" width="8.83203125" hidden="0" customWidth="1"/>
    <x:col min="5109" max="5109" width="8.83203125" hidden="0" customWidth="1"/>
    <x:col min="5110" max="5110" width="8.83203125" hidden="0" customWidth="1"/>
    <x:col min="5111" max="5111" width="8.83203125" hidden="0" customWidth="1"/>
    <x:col min="5112" max="5112" width="8.83203125" hidden="0" customWidth="1"/>
    <x:col min="5113" max="5113" width="8.83203125" hidden="0" customWidth="1"/>
    <x:col min="5114" max="5114" width="8.83203125" hidden="0" customWidth="1"/>
    <x:col min="5115" max="5115" width="8.83203125" hidden="0" customWidth="1"/>
    <x:col min="5116" max="5116" width="8.83203125" hidden="0" customWidth="1"/>
    <x:col min="5117" max="5117" width="8.83203125" hidden="0" customWidth="1"/>
    <x:col min="5118" max="5118" width="8.83203125" hidden="0" customWidth="1"/>
    <x:col min="5119" max="5119" width="8.83203125" hidden="0" customWidth="1"/>
    <x:col min="5120" max="5120" width="8.83203125" hidden="0" customWidth="1"/>
    <x:col min="5121" max="5121" width="8.83203125" hidden="0" customWidth="1"/>
    <x:col min="5122" max="5122" width="8.83203125" hidden="0" customWidth="1"/>
    <x:col min="5123" max="5123" width="8.83203125" hidden="0" customWidth="1"/>
    <x:col min="5124" max="5124" width="8.83203125" hidden="0" customWidth="1"/>
    <x:col min="5125" max="5125" width="8.83203125" hidden="0" customWidth="1"/>
    <x:col min="5126" max="5126" width="8.83203125" hidden="0" customWidth="1"/>
    <x:col min="5127" max="5127" width="8.83203125" hidden="0" customWidth="1"/>
    <x:col min="5128" max="5128" width="8.83203125" hidden="0" customWidth="1"/>
    <x:col min="5129" max="5129" width="8.83203125" hidden="0" customWidth="1"/>
    <x:col min="5130" max="5130" width="8.83203125" hidden="0" customWidth="1"/>
    <x:col min="5131" max="5131" width="8.83203125" hidden="0" customWidth="1"/>
    <x:col min="5132" max="5132" width="8.83203125" hidden="0" customWidth="1"/>
    <x:col min="5133" max="5133" width="8.83203125" hidden="0" customWidth="1"/>
    <x:col min="5134" max="5134" width="8.83203125" hidden="0" customWidth="1"/>
    <x:col min="5135" max="5135" width="8.83203125" hidden="0" customWidth="1"/>
    <x:col min="5136" max="5136" width="8.83203125" hidden="0" customWidth="1"/>
    <x:col min="5137" max="5137" width="8.83203125" hidden="0" customWidth="1"/>
    <x:col min="5138" max="5138" width="8.83203125" hidden="0" customWidth="1"/>
    <x:col min="5139" max="5139" width="8.83203125" hidden="0" customWidth="1"/>
    <x:col min="5140" max="5140" width="8.83203125" hidden="0" customWidth="1"/>
    <x:col min="5141" max="5141" width="8.83203125" hidden="0" customWidth="1"/>
    <x:col min="5142" max="5142" width="8.83203125" hidden="0" customWidth="1"/>
    <x:col min="5143" max="5143" width="8.83203125" hidden="0" customWidth="1"/>
    <x:col min="5144" max="5144" width="8.83203125" hidden="0" customWidth="1"/>
    <x:col min="5145" max="5145" width="8.83203125" hidden="0" customWidth="1"/>
    <x:col min="5146" max="5146" width="8.83203125" hidden="0" customWidth="1"/>
    <x:col min="5147" max="5147" width="8.83203125" hidden="0" customWidth="1"/>
    <x:col min="5148" max="5148" width="8.83203125" hidden="0" customWidth="1"/>
    <x:col min="5149" max="5149" width="8.83203125" hidden="0" customWidth="1"/>
    <x:col min="5150" max="5150" width="8.83203125" hidden="0" customWidth="1"/>
    <x:col min="5151" max="5151" width="8.83203125" hidden="0" customWidth="1"/>
    <x:col min="5152" max="5152" width="8.83203125" hidden="0" customWidth="1"/>
    <x:col min="5153" max="5153" width="8.83203125" hidden="0" customWidth="1"/>
    <x:col min="5154" max="5154" width="8.83203125" hidden="0" customWidth="1"/>
    <x:col min="5155" max="5155" width="8.83203125" hidden="0" customWidth="1"/>
    <x:col min="5156" max="5156" width="8.83203125" hidden="0" customWidth="1"/>
    <x:col min="5157" max="5157" width="8.83203125" hidden="0" customWidth="1"/>
    <x:col min="5158" max="5158" width="8.83203125" hidden="0" customWidth="1"/>
    <x:col min="5159" max="5159" width="8.83203125" hidden="0" customWidth="1"/>
    <x:col min="5160" max="5160" width="8.83203125" hidden="0" customWidth="1"/>
    <x:col min="5161" max="5161" width="8.83203125" hidden="0" customWidth="1"/>
    <x:col min="5162" max="5162" width="8.83203125" hidden="0" customWidth="1"/>
    <x:col min="5163" max="5163" width="8.83203125" hidden="0" customWidth="1"/>
    <x:col min="5164" max="5164" width="8.83203125" hidden="0" customWidth="1"/>
    <x:col min="5165" max="5165" width="8.83203125" hidden="0" customWidth="1"/>
    <x:col min="5166" max="5166" width="8.83203125" hidden="0" customWidth="1"/>
    <x:col min="5167" max="5167" width="8.83203125" hidden="0" customWidth="1"/>
    <x:col min="5168" max="5168" width="8.83203125" hidden="0" customWidth="1"/>
    <x:col min="5169" max="5169" width="8.83203125" hidden="0" customWidth="1"/>
    <x:col min="5170" max="5170" width="8.83203125" hidden="0" customWidth="1"/>
    <x:col min="5171" max="5171" width="8.83203125" hidden="0" customWidth="1"/>
    <x:col min="5172" max="5172" width="8.83203125" hidden="0" customWidth="1"/>
    <x:col min="5173" max="5173" width="8.83203125" hidden="0" customWidth="1"/>
    <x:col min="5174" max="5174" width="8.83203125" hidden="0" customWidth="1"/>
    <x:col min="5175" max="5175" width="8.83203125" hidden="0" customWidth="1"/>
    <x:col min="5176" max="5176" width="8.83203125" hidden="0" customWidth="1"/>
    <x:col min="5177" max="5177" width="8.83203125" hidden="0" customWidth="1"/>
    <x:col min="5178" max="5178" width="8.83203125" hidden="0" customWidth="1"/>
    <x:col min="5179" max="5179" width="8.83203125" hidden="0" customWidth="1"/>
    <x:col min="5180" max="5180" width="8.83203125" hidden="0" customWidth="1"/>
    <x:col min="5181" max="5181" width="8.83203125" hidden="0" customWidth="1"/>
    <x:col min="5182" max="5182" width="8.83203125" hidden="0" customWidth="1"/>
    <x:col min="5183" max="5183" width="8.83203125" hidden="0" customWidth="1"/>
    <x:col min="5184" max="5184" width="8.83203125" hidden="0" customWidth="1"/>
    <x:col min="5185" max="5185" width="8.83203125" hidden="0" customWidth="1"/>
    <x:col min="5186" max="5186" width="8.83203125" hidden="0" customWidth="1"/>
    <x:col min="5187" max="5187" width="8.83203125" hidden="0" customWidth="1"/>
    <x:col min="5188" max="5188" width="8.83203125" hidden="0" customWidth="1"/>
    <x:col min="5189" max="5189" width="8.83203125" hidden="0" customWidth="1"/>
    <x:col min="5190" max="5190" width="8.83203125" hidden="0" customWidth="1"/>
    <x:col min="5191" max="5191" width="8.83203125" hidden="0" customWidth="1"/>
    <x:col min="5192" max="5192" width="8.83203125" hidden="0" customWidth="1"/>
    <x:col min="5193" max="5193" width="8.83203125" hidden="0" customWidth="1"/>
    <x:col min="5194" max="5194" width="8.83203125" hidden="0" customWidth="1"/>
    <x:col min="5195" max="5195" width="8.83203125" hidden="0" customWidth="1"/>
    <x:col min="5196" max="5196" width="8.83203125" hidden="0" customWidth="1"/>
    <x:col min="5197" max="5197" width="8.83203125" hidden="0" customWidth="1"/>
    <x:col min="5198" max="5198" width="8.83203125" hidden="0" customWidth="1"/>
    <x:col min="5199" max="5199" width="8.83203125" hidden="0" customWidth="1"/>
    <x:col min="5200" max="5200" width="8.83203125" hidden="0" customWidth="1"/>
    <x:col min="5201" max="5201" width="8.83203125" hidden="0" customWidth="1"/>
    <x:col min="5202" max="5202" width="8.83203125" hidden="0" customWidth="1"/>
    <x:col min="5203" max="5203" width="8.83203125" hidden="0" customWidth="1"/>
    <x:col min="5204" max="5204" width="8.83203125" hidden="0" customWidth="1"/>
    <x:col min="5205" max="5205" width="8.83203125" hidden="0" customWidth="1"/>
    <x:col min="5206" max="5206" width="8.83203125" hidden="0" customWidth="1"/>
    <x:col min="5207" max="5207" width="8.83203125" hidden="0" customWidth="1"/>
    <x:col min="5208" max="5208" width="8.83203125" hidden="0" customWidth="1"/>
    <x:col min="5209" max="5209" width="8.83203125" hidden="0" customWidth="1"/>
    <x:col min="5210" max="5210" width="8.83203125" hidden="0" customWidth="1"/>
    <x:col min="5211" max="5211" width="8.83203125" hidden="0" customWidth="1"/>
    <x:col min="5212" max="5212" width="8.83203125" hidden="0" customWidth="1"/>
    <x:col min="5213" max="5213" width="8.83203125" hidden="0" customWidth="1"/>
    <x:col min="5214" max="5214" width="8.83203125" hidden="0" customWidth="1"/>
    <x:col min="5215" max="5215" width="8.83203125" hidden="0" customWidth="1"/>
    <x:col min="5216" max="5216" width="8.83203125" hidden="0" customWidth="1"/>
    <x:col min="5217" max="5217" width="8.83203125" hidden="0" customWidth="1"/>
    <x:col min="5218" max="5218" width="8.83203125" hidden="0" customWidth="1"/>
    <x:col min="5219" max="5219" width="8.83203125" hidden="0" customWidth="1"/>
    <x:col min="5220" max="5220" width="8.83203125" hidden="0" customWidth="1"/>
    <x:col min="5221" max="5221" width="8.83203125" hidden="0" customWidth="1"/>
    <x:col min="5222" max="5222" width="8.83203125" hidden="0" customWidth="1"/>
    <x:col min="5223" max="5223" width="8.83203125" hidden="0" customWidth="1"/>
    <x:col min="5224" max="5224" width="8.83203125" hidden="0" customWidth="1"/>
    <x:col min="5225" max="5225" width="8.83203125" hidden="0" customWidth="1"/>
    <x:col min="5226" max="5226" width="8.83203125" hidden="0" customWidth="1"/>
    <x:col min="5227" max="5227" width="8.83203125" hidden="0" customWidth="1"/>
    <x:col min="5228" max="5228" width="8.83203125" hidden="0" customWidth="1"/>
    <x:col min="5229" max="5229" width="8.83203125" hidden="0" customWidth="1"/>
    <x:col min="5230" max="5230" width="8.83203125" hidden="0" customWidth="1"/>
    <x:col min="5231" max="5231" width="8.83203125" hidden="0" customWidth="1"/>
    <x:col min="5232" max="5232" width="8.83203125" hidden="0" customWidth="1"/>
    <x:col min="5233" max="5233" width="8.83203125" hidden="0" customWidth="1"/>
    <x:col min="5234" max="5234" width="8.83203125" hidden="0" customWidth="1"/>
    <x:col min="5235" max="5235" width="8.83203125" hidden="0" customWidth="1"/>
    <x:col min="5236" max="5236" width="8.83203125" hidden="0" customWidth="1"/>
    <x:col min="5237" max="5237" width="8.83203125" hidden="0" customWidth="1"/>
    <x:col min="5238" max="5238" width="8.83203125" hidden="0" customWidth="1"/>
    <x:col min="5239" max="5239" width="8.83203125" hidden="0" customWidth="1"/>
    <x:col min="5240" max="5240" width="8.83203125" hidden="0" customWidth="1"/>
    <x:col min="5241" max="5241" width="8.83203125" hidden="0" customWidth="1"/>
    <x:col min="5242" max="5242" width="8.83203125" hidden="0" customWidth="1"/>
    <x:col min="5243" max="5243" width="8.83203125" hidden="0" customWidth="1"/>
    <x:col min="5244" max="5244" width="8.83203125" hidden="0" customWidth="1"/>
    <x:col min="5245" max="5245" width="8.83203125" hidden="0" customWidth="1"/>
    <x:col min="5246" max="5246" width="8.83203125" hidden="0" customWidth="1"/>
    <x:col min="5247" max="5247" width="8.83203125" hidden="0" customWidth="1"/>
    <x:col min="5248" max="5248" width="8.83203125" hidden="0" customWidth="1"/>
    <x:col min="5249" max="5249" width="8.83203125" hidden="0" customWidth="1"/>
    <x:col min="5250" max="5250" width="8.83203125" hidden="0" customWidth="1"/>
    <x:col min="5251" max="5251" width="8.83203125" hidden="0" customWidth="1"/>
    <x:col min="5252" max="5252" width="8.83203125" hidden="0" customWidth="1"/>
    <x:col min="5253" max="5253" width="8.83203125" hidden="0" customWidth="1"/>
    <x:col min="5254" max="5254" width="8.83203125" hidden="0" customWidth="1"/>
    <x:col min="5255" max="5255" width="8.83203125" hidden="0" customWidth="1"/>
    <x:col min="5256" max="5256" width="8.83203125" hidden="0" customWidth="1"/>
    <x:col min="5257" max="5257" width="8.83203125" hidden="0" customWidth="1"/>
    <x:col min="5258" max="5258" width="8.83203125" hidden="0" customWidth="1"/>
    <x:col min="5259" max="5259" width="8.83203125" hidden="0" customWidth="1"/>
    <x:col min="5260" max="5260" width="8.83203125" hidden="0" customWidth="1"/>
    <x:col min="5261" max="5261" width="8.83203125" hidden="0" customWidth="1"/>
    <x:col min="5262" max="5262" width="8.83203125" hidden="0" customWidth="1"/>
    <x:col min="5263" max="5263" width="8.83203125" hidden="0" customWidth="1"/>
    <x:col min="5264" max="5264" width="8.83203125" hidden="0" customWidth="1"/>
    <x:col min="5265" max="5265" width="8.83203125" hidden="0" customWidth="1"/>
    <x:col min="5266" max="5266" width="8.83203125" hidden="0" customWidth="1"/>
    <x:col min="5267" max="5267" width="8.83203125" hidden="0" customWidth="1"/>
    <x:col min="5268" max="5268" width="8.83203125" hidden="0" customWidth="1"/>
    <x:col min="5269" max="5269" width="8.83203125" hidden="0" customWidth="1"/>
    <x:col min="5270" max="5270" width="8.83203125" hidden="0" customWidth="1"/>
    <x:col min="5271" max="5271" width="8.83203125" hidden="0" customWidth="1"/>
    <x:col min="5272" max="5272" width="8.83203125" hidden="0" customWidth="1"/>
    <x:col min="5273" max="5273" width="8.83203125" hidden="0" customWidth="1"/>
    <x:col min="5274" max="5274" width="8.83203125" hidden="0" customWidth="1"/>
    <x:col min="5275" max="5275" width="8.83203125" hidden="0" customWidth="1"/>
    <x:col min="5276" max="5276" width="8.83203125" hidden="0" customWidth="1"/>
    <x:col min="5277" max="5277" width="8.83203125" hidden="0" customWidth="1"/>
    <x:col min="5278" max="5278" width="8.83203125" hidden="0" customWidth="1"/>
    <x:col min="5279" max="5279" width="8.83203125" hidden="0" customWidth="1"/>
    <x:col min="5280" max="5280" width="8.83203125" hidden="0" customWidth="1"/>
    <x:col min="5281" max="5281" width="8.83203125" hidden="0" customWidth="1"/>
    <x:col min="5282" max="5282" width="8.83203125" hidden="0" customWidth="1"/>
    <x:col min="5283" max="5283" width="8.83203125" hidden="0" customWidth="1"/>
    <x:col min="5284" max="5284" width="8.83203125" hidden="0" customWidth="1"/>
    <x:col min="5285" max="5285" width="8.83203125" hidden="0" customWidth="1"/>
    <x:col min="5286" max="5286" width="8.83203125" hidden="0" customWidth="1"/>
    <x:col min="5287" max="5287" width="8.83203125" hidden="0" customWidth="1"/>
    <x:col min="5288" max="5288" width="8.83203125" hidden="0" customWidth="1"/>
    <x:col min="5289" max="5289" width="8.83203125" hidden="0" customWidth="1"/>
    <x:col min="5290" max="5290" width="8.83203125" hidden="0" customWidth="1"/>
    <x:col min="5291" max="5291" width="8.83203125" hidden="0" customWidth="1"/>
    <x:col min="5292" max="5292" width="8.83203125" hidden="0" customWidth="1"/>
    <x:col min="5293" max="5293" width="8.83203125" hidden="0" customWidth="1"/>
    <x:col min="5294" max="5294" width="8.83203125" hidden="0" customWidth="1"/>
    <x:col min="5295" max="5295" width="8.83203125" hidden="0" customWidth="1"/>
    <x:col min="5296" max="5296" width="8.83203125" hidden="0" customWidth="1"/>
    <x:col min="5297" max="5297" width="8.83203125" hidden="0" customWidth="1"/>
    <x:col min="5298" max="5298" width="8.83203125" hidden="0" customWidth="1"/>
    <x:col min="5299" max="5299" width="8.83203125" hidden="0" customWidth="1"/>
    <x:col min="5300" max="5300" width="8.83203125" hidden="0" customWidth="1"/>
    <x:col min="5301" max="5301" width="8.83203125" hidden="0" customWidth="1"/>
    <x:col min="5302" max="5302" width="8.83203125" hidden="0" customWidth="1"/>
    <x:col min="5303" max="5303" width="8.83203125" hidden="0" customWidth="1"/>
    <x:col min="5304" max="5304" width="8.83203125" hidden="0" customWidth="1"/>
    <x:col min="5305" max="5305" width="8.83203125" hidden="0" customWidth="1"/>
    <x:col min="5306" max="5306" width="8.83203125" hidden="0" customWidth="1"/>
    <x:col min="5307" max="5307" width="8.83203125" hidden="0" customWidth="1"/>
    <x:col min="5308" max="5308" width="8.83203125" hidden="0" customWidth="1"/>
    <x:col min="5309" max="5309" width="8.83203125" hidden="0" customWidth="1"/>
    <x:col min="5310" max="5310" width="8.83203125" hidden="0" customWidth="1"/>
    <x:col min="5311" max="5311" width="8.83203125" hidden="0" customWidth="1"/>
    <x:col min="5312" max="5312" width="8.83203125" hidden="0" customWidth="1"/>
    <x:col min="5313" max="5313" width="8.83203125" hidden="0" customWidth="1"/>
    <x:col min="5314" max="5314" width="8.83203125" hidden="0" customWidth="1"/>
    <x:col min="5315" max="5315" width="8.83203125" hidden="0" customWidth="1"/>
    <x:col min="5316" max="5316" width="8.83203125" hidden="0" customWidth="1"/>
    <x:col min="5317" max="5317" width="8.83203125" hidden="0" customWidth="1"/>
    <x:col min="5318" max="5318" width="8.83203125" hidden="0" customWidth="1"/>
    <x:col min="5319" max="5319" width="8.83203125" hidden="0" customWidth="1"/>
    <x:col min="5320" max="5320" width="8.83203125" hidden="0" customWidth="1"/>
    <x:col min="5321" max="5321" width="8.83203125" hidden="0" customWidth="1"/>
    <x:col min="5322" max="5322" width="8.83203125" hidden="0" customWidth="1"/>
    <x:col min="5323" max="5323" width="8.83203125" hidden="0" customWidth="1"/>
    <x:col min="5324" max="5324" width="8.83203125" hidden="0" customWidth="1"/>
    <x:col min="5325" max="5325" width="8.83203125" hidden="0" customWidth="1"/>
    <x:col min="5326" max="5326" width="8.83203125" hidden="0" customWidth="1"/>
    <x:col min="5327" max="5327" width="8.83203125" hidden="0" customWidth="1"/>
    <x:col min="5328" max="5328" width="8.83203125" hidden="0" customWidth="1"/>
    <x:col min="5329" max="5329" width="8.83203125" hidden="0" customWidth="1"/>
    <x:col min="5330" max="5330" width="8.83203125" hidden="0" customWidth="1"/>
    <x:col min="5331" max="5331" width="8.83203125" hidden="0" customWidth="1"/>
    <x:col min="5332" max="5332" width="8.83203125" hidden="0" customWidth="1"/>
    <x:col min="5333" max="5333" width="8.83203125" hidden="0" customWidth="1"/>
    <x:col min="5334" max="5334" width="8.83203125" hidden="0" customWidth="1"/>
    <x:col min="5335" max="5335" width="8.83203125" hidden="0" customWidth="1"/>
    <x:col min="5336" max="5336" width="8.83203125" hidden="0" customWidth="1"/>
    <x:col min="5337" max="5337" width="8.83203125" hidden="0" customWidth="1"/>
    <x:col min="5338" max="5338" width="8.83203125" hidden="0" customWidth="1"/>
    <x:col min="5339" max="5339" width="8.83203125" hidden="0" customWidth="1"/>
    <x:col min="5340" max="5340" width="8.83203125" hidden="0" customWidth="1"/>
    <x:col min="5341" max="5341" width="8.83203125" hidden="0" customWidth="1"/>
    <x:col min="5342" max="5342" width="8.83203125" hidden="0" customWidth="1"/>
    <x:col min="5343" max="5343" width="8.83203125" hidden="0" customWidth="1"/>
    <x:col min="5344" max="5344" width="8.83203125" hidden="0" customWidth="1"/>
    <x:col min="5345" max="5345" width="8.83203125" hidden="0" customWidth="1"/>
    <x:col min="5346" max="5346" width="8.83203125" hidden="0" customWidth="1"/>
    <x:col min="5347" max="5347" width="8.83203125" hidden="0" customWidth="1"/>
    <x:col min="5348" max="5348" width="8.83203125" hidden="0" customWidth="1"/>
    <x:col min="5349" max="5349" width="8.83203125" hidden="0" customWidth="1"/>
    <x:col min="5350" max="5350" width="8.83203125" hidden="0" customWidth="1"/>
    <x:col min="5351" max="5351" width="8.83203125" hidden="0" customWidth="1"/>
    <x:col min="5352" max="5352" width="8.83203125" hidden="0" customWidth="1"/>
    <x:col min="5353" max="5353" width="8.83203125" hidden="0" customWidth="1"/>
    <x:col min="5354" max="5354" width="8.83203125" hidden="0" customWidth="1"/>
    <x:col min="5355" max="5355" width="8.83203125" hidden="0" customWidth="1"/>
    <x:col min="5356" max="5356" width="8.83203125" hidden="0" customWidth="1"/>
    <x:col min="5357" max="5357" width="8.83203125" hidden="0" customWidth="1"/>
    <x:col min="5358" max="5358" width="8.83203125" hidden="0" customWidth="1"/>
    <x:col min="5359" max="5359" width="8.83203125" hidden="0" customWidth="1"/>
    <x:col min="5360" max="5360" width="8.83203125" hidden="0" customWidth="1"/>
    <x:col min="5361" max="5361" width="8.83203125" hidden="0" customWidth="1"/>
    <x:col min="5362" max="5362" width="8.83203125" hidden="0" customWidth="1"/>
    <x:col min="5363" max="5363" width="8.83203125" hidden="0" customWidth="1"/>
    <x:col min="5364" max="5364" width="8.83203125" hidden="0" customWidth="1"/>
    <x:col min="5365" max="5365" width="8.83203125" hidden="0" customWidth="1"/>
    <x:col min="5366" max="5366" width="8.83203125" hidden="0" customWidth="1"/>
    <x:col min="5367" max="5367" width="8.83203125" hidden="0" customWidth="1"/>
    <x:col min="5368" max="5368" width="8.83203125" hidden="0" customWidth="1"/>
    <x:col min="5369" max="5369" width="8.83203125" hidden="0" customWidth="1"/>
    <x:col min="5370" max="5370" width="8.83203125" hidden="0" customWidth="1"/>
    <x:col min="5371" max="5371" width="8.83203125" hidden="0" customWidth="1"/>
    <x:col min="5372" max="5372" width="8.83203125" hidden="0" customWidth="1"/>
    <x:col min="5373" max="5373" width="8.83203125" hidden="0" customWidth="1"/>
    <x:col min="5374" max="5374" width="8.83203125" hidden="0" customWidth="1"/>
    <x:col min="5375" max="5375" width="8.83203125" hidden="0" customWidth="1"/>
    <x:col min="5376" max="5376" width="8.83203125" hidden="0" customWidth="1"/>
    <x:col min="5377" max="5377" width="8.83203125" hidden="0" customWidth="1"/>
    <x:col min="5378" max="5378" width="8.83203125" hidden="0" customWidth="1"/>
    <x:col min="5379" max="5379" width="8.83203125" hidden="0" customWidth="1"/>
    <x:col min="5380" max="5380" width="8.83203125" hidden="0" customWidth="1"/>
    <x:col min="5381" max="5381" width="8.83203125" hidden="0" customWidth="1"/>
    <x:col min="5382" max="5382" width="8.83203125" hidden="0" customWidth="1"/>
    <x:col min="5383" max="5383" width="8.83203125" hidden="0" customWidth="1"/>
    <x:col min="5384" max="5384" width="8.83203125" hidden="0" customWidth="1"/>
    <x:col min="5385" max="5385" width="8.83203125" hidden="0" customWidth="1"/>
    <x:col min="5386" max="5386" width="8.83203125" hidden="0" customWidth="1"/>
    <x:col min="5387" max="5387" width="8.83203125" hidden="0" customWidth="1"/>
    <x:col min="5388" max="5388" width="8.83203125" hidden="0" customWidth="1"/>
    <x:col min="5389" max="5389" width="8.83203125" hidden="0" customWidth="1"/>
    <x:col min="5390" max="5390" width="8.83203125" hidden="0" customWidth="1"/>
    <x:col min="5391" max="5391" width="8.83203125" hidden="0" customWidth="1"/>
    <x:col min="5392" max="5392" width="8.83203125" hidden="0" customWidth="1"/>
    <x:col min="5393" max="5393" width="8.83203125" hidden="0" customWidth="1"/>
    <x:col min="5394" max="5394" width="8.83203125" hidden="0" customWidth="1"/>
    <x:col min="5395" max="5395" width="8.83203125" hidden="0" customWidth="1"/>
    <x:col min="5396" max="5396" width="8.83203125" hidden="0" customWidth="1"/>
    <x:col min="5397" max="5397" width="8.83203125" hidden="0" customWidth="1"/>
    <x:col min="5398" max="5398" width="8.83203125" hidden="0" customWidth="1"/>
    <x:col min="5399" max="5399" width="8.83203125" hidden="0" customWidth="1"/>
    <x:col min="5400" max="5400" width="8.83203125" hidden="0" customWidth="1"/>
    <x:col min="5401" max="5401" width="8.83203125" hidden="0" customWidth="1"/>
    <x:col min="5402" max="5402" width="8.83203125" hidden="0" customWidth="1"/>
    <x:col min="5403" max="5403" width="8.83203125" hidden="0" customWidth="1"/>
    <x:col min="5404" max="5404" width="8.83203125" hidden="0" customWidth="1"/>
    <x:col min="5405" max="5405" width="8.83203125" hidden="0" customWidth="1"/>
    <x:col min="5406" max="5406" width="8.83203125" hidden="0" customWidth="1"/>
    <x:col min="5407" max="5407" width="8.83203125" hidden="0" customWidth="1"/>
    <x:col min="5408" max="5408" width="8.83203125" hidden="0" customWidth="1"/>
    <x:col min="5409" max="5409" width="8.83203125" hidden="0" customWidth="1"/>
    <x:col min="5410" max="5410" width="8.83203125" hidden="0" customWidth="1"/>
    <x:col min="5411" max="5411" width="8.83203125" hidden="0" customWidth="1"/>
    <x:col min="5412" max="5412" width="8.83203125" hidden="0" customWidth="1"/>
    <x:col min="5413" max="5413" width="8.83203125" hidden="0" customWidth="1"/>
    <x:col min="5414" max="5414" width="8.83203125" hidden="0" customWidth="1"/>
    <x:col min="5415" max="5415" width="8.83203125" hidden="0" customWidth="1"/>
    <x:col min="5416" max="5416" width="8.83203125" hidden="0" customWidth="1"/>
    <x:col min="5417" max="5417" width="8.83203125" hidden="0" customWidth="1"/>
    <x:col min="5418" max="5418" width="8.83203125" hidden="0" customWidth="1"/>
    <x:col min="5419" max="5419" width="8.83203125" hidden="0" customWidth="1"/>
    <x:col min="5420" max="5420" width="8.83203125" hidden="0" customWidth="1"/>
    <x:col min="5421" max="5421" width="8.83203125" hidden="0" customWidth="1"/>
    <x:col min="5422" max="5422" width="8.83203125" hidden="0" customWidth="1"/>
    <x:col min="5423" max="5423" width="8.83203125" hidden="0" customWidth="1"/>
    <x:col min="5424" max="5424" width="8.83203125" hidden="0" customWidth="1"/>
    <x:col min="5425" max="5425" width="8.83203125" hidden="0" customWidth="1"/>
    <x:col min="5426" max="5426" width="8.83203125" hidden="0" customWidth="1"/>
    <x:col min="5427" max="5427" width="8.83203125" hidden="0" customWidth="1"/>
    <x:col min="5428" max="5428" width="8.83203125" hidden="0" customWidth="1"/>
    <x:col min="5429" max="5429" width="8.83203125" hidden="0" customWidth="1"/>
    <x:col min="5430" max="5430" width="8.83203125" hidden="0" customWidth="1"/>
    <x:col min="5431" max="5431" width="8.83203125" hidden="0" customWidth="1"/>
    <x:col min="5432" max="5432" width="8.83203125" hidden="0" customWidth="1"/>
    <x:col min="5433" max="5433" width="8.83203125" hidden="0" customWidth="1"/>
    <x:col min="5434" max="5434" width="8.83203125" hidden="0" customWidth="1"/>
    <x:col min="5435" max="5435" width="8.83203125" hidden="0" customWidth="1"/>
    <x:col min="5436" max="5436" width="8.83203125" hidden="0" customWidth="1"/>
    <x:col min="5437" max="5437" width="8.83203125" hidden="0" customWidth="1"/>
    <x:col min="5438" max="5438" width="8.83203125" hidden="0" customWidth="1"/>
    <x:col min="5439" max="5439" width="8.83203125" hidden="0" customWidth="1"/>
    <x:col min="5440" max="5440" width="8.83203125" hidden="0" customWidth="1"/>
    <x:col min="5441" max="5441" width="8.83203125" hidden="0" customWidth="1"/>
    <x:col min="5442" max="5442" width="8.83203125" hidden="0" customWidth="1"/>
    <x:col min="5443" max="5443" width="8.83203125" hidden="0" customWidth="1"/>
    <x:col min="5444" max="5444" width="8.83203125" hidden="0" customWidth="1"/>
    <x:col min="5445" max="5445" width="8.83203125" hidden="0" customWidth="1"/>
    <x:col min="5446" max="5446" width="8.83203125" hidden="0" customWidth="1"/>
    <x:col min="5447" max="5447" width="8.83203125" hidden="0" customWidth="1"/>
    <x:col min="5448" max="5448" width="8.83203125" hidden="0" customWidth="1"/>
    <x:col min="5449" max="5449" width="8.83203125" hidden="0" customWidth="1"/>
    <x:col min="5450" max="5450" width="8.83203125" hidden="0" customWidth="1"/>
    <x:col min="5451" max="5451" width="8.83203125" hidden="0" customWidth="1"/>
    <x:col min="5452" max="5452" width="8.83203125" hidden="0" customWidth="1"/>
    <x:col min="5453" max="5453" width="8.83203125" hidden="0" customWidth="1"/>
    <x:col min="5454" max="5454" width="8.83203125" hidden="0" customWidth="1"/>
    <x:col min="5455" max="5455" width="8.83203125" hidden="0" customWidth="1"/>
    <x:col min="5456" max="5456" width="8.83203125" hidden="0" customWidth="1"/>
    <x:col min="5457" max="5457" width="8.83203125" hidden="0" customWidth="1"/>
    <x:col min="5458" max="5458" width="8.83203125" hidden="0" customWidth="1"/>
    <x:col min="5459" max="5459" width="8.83203125" hidden="0" customWidth="1"/>
    <x:col min="5460" max="5460" width="8.83203125" hidden="0" customWidth="1"/>
    <x:col min="5461" max="5461" width="8.83203125" hidden="0" customWidth="1"/>
    <x:col min="5462" max="5462" width="8.83203125" hidden="0" customWidth="1"/>
    <x:col min="5463" max="5463" width="8.83203125" hidden="0" customWidth="1"/>
    <x:col min="5464" max="5464" width="8.83203125" hidden="0" customWidth="1"/>
    <x:col min="5465" max="5465" width="8.83203125" hidden="0" customWidth="1"/>
    <x:col min="5466" max="5466" width="8.83203125" hidden="0" customWidth="1"/>
    <x:col min="5467" max="5467" width="8.83203125" hidden="0" customWidth="1"/>
    <x:col min="5468" max="5468" width="8.83203125" hidden="0" customWidth="1"/>
    <x:col min="5469" max="5469" width="8.83203125" hidden="0" customWidth="1"/>
    <x:col min="5470" max="5470" width="8.83203125" hidden="0" customWidth="1"/>
    <x:col min="5471" max="5471" width="8.83203125" hidden="0" customWidth="1"/>
    <x:col min="5472" max="5472" width="8.83203125" hidden="0" customWidth="1"/>
    <x:col min="5473" max="5473" width="8.83203125" hidden="0" customWidth="1"/>
    <x:col min="5474" max="5474" width="8.83203125" hidden="0" customWidth="1"/>
    <x:col min="5475" max="5475" width="8.83203125" hidden="0" customWidth="1"/>
    <x:col min="5476" max="5476" width="8.83203125" hidden="0" customWidth="1"/>
    <x:col min="5477" max="5477" width="8.83203125" hidden="0" customWidth="1"/>
    <x:col min="5478" max="5478" width="8.83203125" hidden="0" customWidth="1"/>
    <x:col min="5479" max="5479" width="8.83203125" hidden="0" customWidth="1"/>
    <x:col min="5480" max="5480" width="8.83203125" hidden="0" customWidth="1"/>
    <x:col min="5481" max="5481" width="8.83203125" hidden="0" customWidth="1"/>
    <x:col min="5482" max="5482" width="8.83203125" hidden="0" customWidth="1"/>
    <x:col min="5483" max="5483" width="8.83203125" hidden="0" customWidth="1"/>
    <x:col min="5484" max="5484" width="8.83203125" hidden="0" customWidth="1"/>
    <x:col min="5485" max="5485" width="8.83203125" hidden="0" customWidth="1"/>
    <x:col min="5486" max="5486" width="8.83203125" hidden="0" customWidth="1"/>
    <x:col min="5487" max="5487" width="8.83203125" hidden="0" customWidth="1"/>
    <x:col min="5488" max="5488" width="8.83203125" hidden="0" customWidth="1"/>
    <x:col min="5489" max="5489" width="8.83203125" hidden="0" customWidth="1"/>
    <x:col min="5490" max="5490" width="8.83203125" hidden="0" customWidth="1"/>
    <x:col min="5491" max="5491" width="8.83203125" hidden="0" customWidth="1"/>
    <x:col min="5492" max="5492" width="8.83203125" hidden="0" customWidth="1"/>
    <x:col min="5493" max="5493" width="8.83203125" hidden="0" customWidth="1"/>
    <x:col min="5494" max="5494" width="8.83203125" hidden="0" customWidth="1"/>
    <x:col min="5495" max="5495" width="8.83203125" hidden="0" customWidth="1"/>
    <x:col min="5496" max="5496" width="8.83203125" hidden="0" customWidth="1"/>
    <x:col min="5497" max="5497" width="8.83203125" hidden="0" customWidth="1"/>
    <x:col min="5498" max="5498" width="8.83203125" hidden="0" customWidth="1"/>
    <x:col min="5499" max="5499" width="8.83203125" hidden="0" customWidth="1"/>
    <x:col min="5500" max="5500" width="8.83203125" hidden="0" customWidth="1"/>
    <x:col min="5501" max="5501" width="8.83203125" hidden="0" customWidth="1"/>
    <x:col min="5502" max="5502" width="8.83203125" hidden="0" customWidth="1"/>
    <x:col min="5503" max="5503" width="8.83203125" hidden="0" customWidth="1"/>
    <x:col min="5504" max="5504" width="8.83203125" hidden="0" customWidth="1"/>
    <x:col min="5505" max="5505" width="8.83203125" hidden="0" customWidth="1"/>
    <x:col min="5506" max="5506" width="8.83203125" hidden="0" customWidth="1"/>
    <x:col min="5507" max="5507" width="8.83203125" hidden="0" customWidth="1"/>
    <x:col min="5508" max="5508" width="8.83203125" hidden="0" customWidth="1"/>
    <x:col min="5509" max="5509" width="8.83203125" hidden="0" customWidth="1"/>
    <x:col min="5510" max="5510" width="8.83203125" hidden="0" customWidth="1"/>
    <x:col min="5511" max="5511" width="8.83203125" hidden="0" customWidth="1"/>
    <x:col min="5512" max="5512" width="8.83203125" hidden="0" customWidth="1"/>
    <x:col min="5513" max="5513" width="8.83203125" hidden="0" customWidth="1"/>
    <x:col min="5514" max="5514" width="8.83203125" hidden="0" customWidth="1"/>
    <x:col min="5515" max="5515" width="8.83203125" hidden="0" customWidth="1"/>
    <x:col min="5516" max="5516" width="8.83203125" hidden="0" customWidth="1"/>
    <x:col min="5517" max="5517" width="8.83203125" hidden="0" customWidth="1"/>
    <x:col min="5518" max="5518" width="8.83203125" hidden="0" customWidth="1"/>
    <x:col min="5519" max="5519" width="8.83203125" hidden="0" customWidth="1"/>
    <x:col min="5520" max="5520" width="8.83203125" hidden="0" customWidth="1"/>
    <x:col min="5521" max="5521" width="8.83203125" hidden="0" customWidth="1"/>
    <x:col min="5522" max="5522" width="8.83203125" hidden="0" customWidth="1"/>
    <x:col min="5523" max="5523" width="8.83203125" hidden="0" customWidth="1"/>
    <x:col min="5524" max="5524" width="8.83203125" hidden="0" customWidth="1"/>
    <x:col min="5525" max="5525" width="8.83203125" hidden="0" customWidth="1"/>
    <x:col min="5526" max="5526" width="8.83203125" hidden="0" customWidth="1"/>
    <x:col min="5527" max="5527" width="8.83203125" hidden="0" customWidth="1"/>
    <x:col min="5528" max="5528" width="8.83203125" hidden="0" customWidth="1"/>
    <x:col min="5529" max="5529" width="8.83203125" hidden="0" customWidth="1"/>
    <x:col min="5530" max="5530" width="8.83203125" hidden="0" customWidth="1"/>
    <x:col min="5531" max="5531" width="8.83203125" hidden="0" customWidth="1"/>
    <x:col min="5532" max="5532" width="8.83203125" hidden="0" customWidth="1"/>
    <x:col min="5533" max="5533" width="8.83203125" hidden="0" customWidth="1"/>
    <x:col min="5534" max="5534" width="8.83203125" hidden="0" customWidth="1"/>
    <x:col min="5535" max="5535" width="8.83203125" hidden="0" customWidth="1"/>
    <x:col min="5536" max="5536" width="8.83203125" hidden="0" customWidth="1"/>
    <x:col min="5537" max="5537" width="8.83203125" hidden="0" customWidth="1"/>
    <x:col min="5538" max="5538" width="8.83203125" hidden="0" customWidth="1"/>
    <x:col min="5539" max="5539" width="8.83203125" hidden="0" customWidth="1"/>
    <x:col min="5540" max="5540" width="8.83203125" hidden="0" customWidth="1"/>
    <x:col min="5541" max="5541" width="8.83203125" hidden="0" customWidth="1"/>
    <x:col min="5542" max="5542" width="8.83203125" hidden="0" customWidth="1"/>
    <x:col min="5543" max="5543" width="8.83203125" hidden="0" customWidth="1"/>
    <x:col min="5544" max="5544" width="8.83203125" hidden="0" customWidth="1"/>
    <x:col min="5545" max="5545" width="8.83203125" hidden="0" customWidth="1"/>
    <x:col min="5546" max="5546" width="8.83203125" hidden="0" customWidth="1"/>
    <x:col min="5547" max="5547" width="8.83203125" hidden="0" customWidth="1"/>
    <x:col min="5548" max="5548" width="8.83203125" hidden="0" customWidth="1"/>
    <x:col min="5549" max="5549" width="8.83203125" hidden="0" customWidth="1"/>
    <x:col min="5550" max="5550" width="8.83203125" hidden="0" customWidth="1"/>
    <x:col min="5551" max="5551" width="8.83203125" hidden="0" customWidth="1"/>
    <x:col min="5552" max="5552" width="8.83203125" hidden="0" customWidth="1"/>
    <x:col min="5553" max="5553" width="8.83203125" hidden="0" customWidth="1"/>
    <x:col min="5554" max="5554" width="8.83203125" hidden="0" customWidth="1"/>
    <x:col min="5555" max="5555" width="8.83203125" hidden="0" customWidth="1"/>
    <x:col min="5556" max="5556" width="8.83203125" hidden="0" customWidth="1"/>
    <x:col min="5557" max="5557" width="8.83203125" hidden="0" customWidth="1"/>
    <x:col min="5558" max="5558" width="8.83203125" hidden="0" customWidth="1"/>
    <x:col min="5559" max="5559" width="8.83203125" hidden="0" customWidth="1"/>
    <x:col min="5560" max="5560" width="8.83203125" hidden="0" customWidth="1"/>
    <x:col min="5561" max="5561" width="8.83203125" hidden="0" customWidth="1"/>
    <x:col min="5562" max="5562" width="8.83203125" hidden="0" customWidth="1"/>
    <x:col min="5563" max="5563" width="8.83203125" hidden="0" customWidth="1"/>
    <x:col min="5564" max="5564" width="8.83203125" hidden="0" customWidth="1"/>
    <x:col min="5565" max="5565" width="8.83203125" hidden="0" customWidth="1"/>
    <x:col min="5566" max="5566" width="8.83203125" hidden="0" customWidth="1"/>
    <x:col min="5567" max="5567" width="8.83203125" hidden="0" customWidth="1"/>
    <x:col min="5568" max="5568" width="8.83203125" hidden="0" customWidth="1"/>
    <x:col min="5569" max="5569" width="8.83203125" hidden="0" customWidth="1"/>
    <x:col min="5570" max="5570" width="8.83203125" hidden="0" customWidth="1"/>
    <x:col min="5571" max="5571" width="8.83203125" hidden="0" customWidth="1"/>
    <x:col min="5572" max="5572" width="8.83203125" hidden="0" customWidth="1"/>
    <x:col min="5573" max="5573" width="8.83203125" hidden="0" customWidth="1"/>
    <x:col min="5574" max="5574" width="8.83203125" hidden="0" customWidth="1"/>
    <x:col min="5575" max="5575" width="8.83203125" hidden="0" customWidth="1"/>
    <x:col min="5576" max="5576" width="8.83203125" hidden="0" customWidth="1"/>
    <x:col min="5577" max="5577" width="8.83203125" hidden="0" customWidth="1"/>
    <x:col min="5578" max="5578" width="8.83203125" hidden="0" customWidth="1"/>
    <x:col min="5579" max="5579" width="8.83203125" hidden="0" customWidth="1"/>
    <x:col min="5580" max="5580" width="8.83203125" hidden="0" customWidth="1"/>
    <x:col min="5581" max="5581" width="8.83203125" hidden="0" customWidth="1"/>
    <x:col min="5582" max="5582" width="8.83203125" hidden="0" customWidth="1"/>
    <x:col min="5583" max="5583" width="8.83203125" hidden="0" customWidth="1"/>
    <x:col min="5584" max="5584" width="8.83203125" hidden="0" customWidth="1"/>
    <x:col min="5585" max="5585" width="8.83203125" hidden="0" customWidth="1"/>
    <x:col min="5586" max="5586" width="8.83203125" hidden="0" customWidth="1"/>
    <x:col min="5587" max="5587" width="8.83203125" hidden="0" customWidth="1"/>
    <x:col min="5588" max="5588" width="8.83203125" hidden="0" customWidth="1"/>
    <x:col min="5589" max="5589" width="8.83203125" hidden="0" customWidth="1"/>
    <x:col min="5590" max="5590" width="8.83203125" hidden="0" customWidth="1"/>
    <x:col min="5591" max="5591" width="8.83203125" hidden="0" customWidth="1"/>
    <x:col min="5592" max="5592" width="8.83203125" hidden="0" customWidth="1"/>
    <x:col min="5593" max="5593" width="8.83203125" hidden="0" customWidth="1"/>
    <x:col min="5594" max="5594" width="8.83203125" hidden="0" customWidth="1"/>
    <x:col min="5595" max="5595" width="8.83203125" hidden="0" customWidth="1"/>
    <x:col min="5596" max="5596" width="8.83203125" hidden="0" customWidth="1"/>
    <x:col min="5597" max="5597" width="8.83203125" hidden="0" customWidth="1"/>
    <x:col min="5598" max="5598" width="8.83203125" hidden="0" customWidth="1"/>
    <x:col min="5599" max="5599" width="8.83203125" hidden="0" customWidth="1"/>
    <x:col min="5600" max="5600" width="8.83203125" hidden="0" customWidth="1"/>
    <x:col min="5601" max="5601" width="8.83203125" hidden="0" customWidth="1"/>
    <x:col min="5602" max="5602" width="8.83203125" hidden="0" customWidth="1"/>
    <x:col min="5603" max="5603" width="8.83203125" hidden="0" customWidth="1"/>
    <x:col min="5604" max="5604" width="8.83203125" hidden="0" customWidth="1"/>
    <x:col min="5605" max="5605" width="8.83203125" hidden="0" customWidth="1"/>
    <x:col min="5606" max="5606" width="8.83203125" hidden="0" customWidth="1"/>
    <x:col min="5607" max="5607" width="8.83203125" hidden="0" customWidth="1"/>
    <x:col min="5608" max="5608" width="8.83203125" hidden="0" customWidth="1"/>
    <x:col min="5609" max="5609" width="8.83203125" hidden="0" customWidth="1"/>
    <x:col min="5610" max="5610" width="8.83203125" hidden="0" customWidth="1"/>
    <x:col min="5611" max="5611" width="8.83203125" hidden="0" customWidth="1"/>
    <x:col min="5612" max="5612" width="8.83203125" hidden="0" customWidth="1"/>
    <x:col min="5613" max="5613" width="8.83203125" hidden="0" customWidth="1"/>
    <x:col min="5614" max="5614" width="8.83203125" hidden="0" customWidth="1"/>
    <x:col min="5615" max="5615" width="8.83203125" hidden="0" customWidth="1"/>
    <x:col min="5616" max="5616" width="8.83203125" hidden="0" customWidth="1"/>
    <x:col min="5617" max="5617" width="8.83203125" hidden="0" customWidth="1"/>
    <x:col min="5618" max="5618" width="8.83203125" hidden="0" customWidth="1"/>
    <x:col min="5619" max="5619" width="8.83203125" hidden="0" customWidth="1"/>
    <x:col min="5620" max="5620" width="8.83203125" hidden="0" customWidth="1"/>
    <x:col min="5621" max="5621" width="8.83203125" hidden="0" customWidth="1"/>
    <x:col min="5622" max="5622" width="8.83203125" hidden="0" customWidth="1"/>
    <x:col min="5623" max="5623" width="8.83203125" hidden="0" customWidth="1"/>
    <x:col min="5624" max="5624" width="8.83203125" hidden="0" customWidth="1"/>
    <x:col min="5625" max="5625" width="8.83203125" hidden="0" customWidth="1"/>
    <x:col min="5626" max="5626" width="8.83203125" hidden="0" customWidth="1"/>
    <x:col min="5627" max="5627" width="8.83203125" hidden="0" customWidth="1"/>
    <x:col min="5628" max="5628" width="8.83203125" hidden="0" customWidth="1"/>
    <x:col min="5629" max="5629" width="8.83203125" hidden="0" customWidth="1"/>
    <x:col min="5630" max="5630" width="8.83203125" hidden="0" customWidth="1"/>
    <x:col min="5631" max="5631" width="8.83203125" hidden="0" customWidth="1"/>
    <x:col min="5632" max="5632" width="8.83203125" hidden="0" customWidth="1"/>
    <x:col min="5633" max="5633" width="8.83203125" hidden="0" customWidth="1"/>
    <x:col min="5634" max="5634" width="8.83203125" hidden="0" customWidth="1"/>
    <x:col min="5635" max="5635" width="8.83203125" hidden="0" customWidth="1"/>
    <x:col min="5636" max="5636" width="8.83203125" hidden="0" customWidth="1"/>
    <x:col min="5637" max="5637" width="8.83203125" hidden="0" customWidth="1"/>
    <x:col min="5638" max="5638" width="8.83203125" hidden="0" customWidth="1"/>
    <x:col min="5639" max="5639" width="8.83203125" hidden="0" customWidth="1"/>
    <x:col min="5640" max="5640" width="8.83203125" hidden="0" customWidth="1"/>
    <x:col min="5641" max="5641" width="8.83203125" hidden="0" customWidth="1"/>
    <x:col min="5642" max="5642" width="8.83203125" hidden="0" customWidth="1"/>
    <x:col min="5643" max="5643" width="8.83203125" hidden="0" customWidth="1"/>
    <x:col min="5644" max="5644" width="8.83203125" hidden="0" customWidth="1"/>
    <x:col min="5645" max="5645" width="8.83203125" hidden="0" customWidth="1"/>
    <x:col min="5646" max="5646" width="8.83203125" hidden="0" customWidth="1"/>
    <x:col min="5647" max="5647" width="8.83203125" hidden="0" customWidth="1"/>
    <x:col min="5648" max="5648" width="8.83203125" hidden="0" customWidth="1"/>
    <x:col min="5649" max="5649" width="8.83203125" hidden="0" customWidth="1"/>
    <x:col min="5650" max="5650" width="8.83203125" hidden="0" customWidth="1"/>
    <x:col min="5651" max="5651" width="8.83203125" hidden="0" customWidth="1"/>
    <x:col min="5652" max="5652" width="8.83203125" hidden="0" customWidth="1"/>
    <x:col min="5653" max="5653" width="8.83203125" hidden="0" customWidth="1"/>
    <x:col min="5654" max="5654" width="8.83203125" hidden="0" customWidth="1"/>
    <x:col min="5655" max="5655" width="8.83203125" hidden="0" customWidth="1"/>
    <x:col min="5656" max="5656" width="8.83203125" hidden="0" customWidth="1"/>
    <x:col min="5657" max="5657" width="8.83203125" hidden="0" customWidth="1"/>
    <x:col min="5658" max="5658" width="8.83203125" hidden="0" customWidth="1"/>
    <x:col min="5659" max="5659" width="8.83203125" hidden="0" customWidth="1"/>
    <x:col min="5660" max="5660" width="8.83203125" hidden="0" customWidth="1"/>
    <x:col min="5661" max="5661" width="8.83203125" hidden="0" customWidth="1"/>
    <x:col min="5662" max="5662" width="8.83203125" hidden="0" customWidth="1"/>
    <x:col min="5663" max="5663" width="8.83203125" hidden="0" customWidth="1"/>
    <x:col min="5664" max="5664" width="8.83203125" hidden="0" customWidth="1"/>
    <x:col min="5665" max="5665" width="8.83203125" hidden="0" customWidth="1"/>
    <x:col min="5666" max="5666" width="8.83203125" hidden="0" customWidth="1"/>
    <x:col min="5667" max="5667" width="8.83203125" hidden="0" customWidth="1"/>
    <x:col min="5668" max="5668" width="8.83203125" hidden="0" customWidth="1"/>
    <x:col min="5669" max="5669" width="8.83203125" hidden="0" customWidth="1"/>
    <x:col min="5670" max="5670" width="8.83203125" hidden="0" customWidth="1"/>
    <x:col min="5671" max="5671" width="8.83203125" hidden="0" customWidth="1"/>
    <x:col min="5672" max="5672" width="8.83203125" hidden="0" customWidth="1"/>
    <x:col min="5673" max="5673" width="8.83203125" hidden="0" customWidth="1"/>
    <x:col min="5674" max="5674" width="8.83203125" hidden="0" customWidth="1"/>
    <x:col min="5675" max="5675" width="8.83203125" hidden="0" customWidth="1"/>
    <x:col min="5676" max="5676" width="8.83203125" hidden="0" customWidth="1"/>
    <x:col min="5677" max="5677" width="8.83203125" hidden="0" customWidth="1"/>
    <x:col min="5678" max="5678" width="8.83203125" hidden="0" customWidth="1"/>
    <x:col min="5679" max="5679" width="8.83203125" hidden="0" customWidth="1"/>
    <x:col min="5680" max="5680" width="8.83203125" hidden="0" customWidth="1"/>
    <x:col min="5681" max="5681" width="8.83203125" hidden="0" customWidth="1"/>
    <x:col min="5682" max="5682" width="8.83203125" hidden="0" customWidth="1"/>
    <x:col min="5683" max="5683" width="8.83203125" hidden="0" customWidth="1"/>
    <x:col min="5684" max="5684" width="8.83203125" hidden="0" customWidth="1"/>
    <x:col min="5685" max="5685" width="8.83203125" hidden="0" customWidth="1"/>
    <x:col min="5686" max="5686" width="8.83203125" hidden="0" customWidth="1"/>
    <x:col min="5687" max="5687" width="8.83203125" hidden="0" customWidth="1"/>
    <x:col min="5688" max="5688" width="8.83203125" hidden="0" customWidth="1"/>
    <x:col min="5689" max="5689" width="8.83203125" hidden="0" customWidth="1"/>
    <x:col min="5690" max="5690" width="8.83203125" hidden="0" customWidth="1"/>
    <x:col min="5691" max="5691" width="8.83203125" hidden="0" customWidth="1"/>
    <x:col min="5692" max="5692" width="8.83203125" hidden="0" customWidth="1"/>
    <x:col min="5693" max="5693" width="8.83203125" hidden="0" customWidth="1"/>
    <x:col min="5694" max="5694" width="8.83203125" hidden="0" customWidth="1"/>
    <x:col min="5695" max="5695" width="8.83203125" hidden="0" customWidth="1"/>
    <x:col min="5696" max="5696" width="8.83203125" hidden="0" customWidth="1"/>
    <x:col min="5697" max="5697" width="8.83203125" hidden="0" customWidth="1"/>
    <x:col min="5698" max="5698" width="8.83203125" hidden="0" customWidth="1"/>
    <x:col min="5699" max="5699" width="8.83203125" hidden="0" customWidth="1"/>
    <x:col min="5700" max="5700" width="8.83203125" hidden="0" customWidth="1"/>
    <x:col min="5701" max="5701" width="8.83203125" hidden="0" customWidth="1"/>
    <x:col min="5702" max="5702" width="8.83203125" hidden="0" customWidth="1"/>
    <x:col min="5703" max="5703" width="8.83203125" hidden="0" customWidth="1"/>
    <x:col min="5704" max="5704" width="8.83203125" hidden="0" customWidth="1"/>
    <x:col min="5705" max="5705" width="8.83203125" hidden="0" customWidth="1"/>
    <x:col min="5706" max="5706" width="8.83203125" hidden="0" customWidth="1"/>
    <x:col min="5707" max="5707" width="8.83203125" hidden="0" customWidth="1"/>
    <x:col min="5708" max="5708" width="8.83203125" hidden="0" customWidth="1"/>
    <x:col min="5709" max="5709" width="8.83203125" hidden="0" customWidth="1"/>
    <x:col min="5710" max="5710" width="8.83203125" hidden="0" customWidth="1"/>
    <x:col min="5711" max="5711" width="8.83203125" hidden="0" customWidth="1"/>
    <x:col min="5712" max="5712" width="8.83203125" hidden="0" customWidth="1"/>
    <x:col min="5713" max="5713" width="8.83203125" hidden="0" customWidth="1"/>
    <x:col min="5714" max="5714" width="8.83203125" hidden="0" customWidth="1"/>
    <x:col min="5715" max="5715" width="8.83203125" hidden="0" customWidth="1"/>
    <x:col min="5716" max="5716" width="8.83203125" hidden="0" customWidth="1"/>
    <x:col min="5717" max="5717" width="8.83203125" hidden="0" customWidth="1"/>
    <x:col min="5718" max="5718" width="8.83203125" hidden="0" customWidth="1"/>
    <x:col min="5719" max="5719" width="8.83203125" hidden="0" customWidth="1"/>
    <x:col min="5720" max="5720" width="8.83203125" hidden="0" customWidth="1"/>
    <x:col min="5721" max="5721" width="8.83203125" hidden="0" customWidth="1"/>
    <x:col min="5722" max="5722" width="8.83203125" hidden="0" customWidth="1"/>
    <x:col min="5723" max="5723" width="8.83203125" hidden="0" customWidth="1"/>
    <x:col min="5724" max="5724" width="8.83203125" hidden="0" customWidth="1"/>
    <x:col min="5725" max="5725" width="8.83203125" hidden="0" customWidth="1"/>
    <x:col min="5726" max="5726" width="8.83203125" hidden="0" customWidth="1"/>
    <x:col min="5727" max="5727" width="8.83203125" hidden="0" customWidth="1"/>
    <x:col min="5728" max="5728" width="8.83203125" hidden="0" customWidth="1"/>
    <x:col min="5729" max="5729" width="8.83203125" hidden="0" customWidth="1"/>
    <x:col min="5730" max="5730" width="8.83203125" hidden="0" customWidth="1"/>
    <x:col min="5731" max="5731" width="8.83203125" hidden="0" customWidth="1"/>
    <x:col min="5732" max="5732" width="8.83203125" hidden="0" customWidth="1"/>
    <x:col min="5733" max="5733" width="8.83203125" hidden="0" customWidth="1"/>
    <x:col min="5734" max="5734" width="8.83203125" hidden="0" customWidth="1"/>
    <x:col min="5735" max="5735" width="8.83203125" hidden="0" customWidth="1"/>
    <x:col min="5736" max="5736" width="8.83203125" hidden="0" customWidth="1"/>
    <x:col min="5737" max="5737" width="8.83203125" hidden="0" customWidth="1"/>
    <x:col min="5738" max="5738" width="8.83203125" hidden="0" customWidth="1"/>
    <x:col min="5739" max="5739" width="8.83203125" hidden="0" customWidth="1"/>
    <x:col min="5740" max="5740" width="8.83203125" hidden="0" customWidth="1"/>
    <x:col min="5741" max="5741" width="8.83203125" hidden="0" customWidth="1"/>
    <x:col min="5742" max="5742" width="8.83203125" hidden="0" customWidth="1"/>
    <x:col min="5743" max="5743" width="8.83203125" hidden="0" customWidth="1"/>
    <x:col min="5744" max="5744" width="8.83203125" hidden="0" customWidth="1"/>
    <x:col min="5745" max="5745" width="8.83203125" hidden="0" customWidth="1"/>
    <x:col min="5746" max="5746" width="8.83203125" hidden="0" customWidth="1"/>
    <x:col min="5747" max="5747" width="8.83203125" hidden="0" customWidth="1"/>
    <x:col min="5748" max="5748" width="8.83203125" hidden="0" customWidth="1"/>
    <x:col min="5749" max="5749" width="8.83203125" hidden="0" customWidth="1"/>
    <x:col min="5750" max="5750" width="8.83203125" hidden="0" customWidth="1"/>
    <x:col min="5751" max="5751" width="8.83203125" hidden="0" customWidth="1"/>
    <x:col min="5752" max="5752" width="8.83203125" hidden="0" customWidth="1"/>
    <x:col min="5753" max="5753" width="8.83203125" hidden="0" customWidth="1"/>
    <x:col min="5754" max="5754" width="8.83203125" hidden="0" customWidth="1"/>
    <x:col min="5755" max="5755" width="8.83203125" hidden="0" customWidth="1"/>
    <x:col min="5756" max="5756" width="8.83203125" hidden="0" customWidth="1"/>
    <x:col min="5757" max="5757" width="8.83203125" hidden="0" customWidth="1"/>
    <x:col min="5758" max="5758" width="8.83203125" hidden="0" customWidth="1"/>
    <x:col min="5759" max="5759" width="8.83203125" hidden="0" customWidth="1"/>
    <x:col min="5760" max="5760" width="8.83203125" hidden="0" customWidth="1"/>
    <x:col min="5761" max="5761" width="8.83203125" hidden="0" customWidth="1"/>
    <x:col min="5762" max="5762" width="8.83203125" hidden="0" customWidth="1"/>
    <x:col min="5763" max="5763" width="8.83203125" hidden="0" customWidth="1"/>
    <x:col min="5764" max="5764" width="8.83203125" hidden="0" customWidth="1"/>
    <x:col min="5765" max="5765" width="8.83203125" hidden="0" customWidth="1"/>
    <x:col min="5766" max="5766" width="8.83203125" hidden="0" customWidth="1"/>
    <x:col min="5767" max="5767" width="8.83203125" hidden="0" customWidth="1"/>
    <x:col min="5768" max="5768" width="8.83203125" hidden="0" customWidth="1"/>
    <x:col min="5769" max="5769" width="8.83203125" hidden="0" customWidth="1"/>
    <x:col min="5770" max="5770" width="8.83203125" hidden="0" customWidth="1"/>
    <x:col min="5771" max="5771" width="8.83203125" hidden="0" customWidth="1"/>
    <x:col min="5772" max="5772" width="8.83203125" hidden="0" customWidth="1"/>
    <x:col min="5773" max="5773" width="8.83203125" hidden="0" customWidth="1"/>
    <x:col min="5774" max="5774" width="8.83203125" hidden="0" customWidth="1"/>
    <x:col min="5775" max="5775" width="8.83203125" hidden="0" customWidth="1"/>
    <x:col min="5776" max="5776" width="8.83203125" hidden="0" customWidth="1"/>
    <x:col min="5777" max="5777" width="8.83203125" hidden="0" customWidth="1"/>
    <x:col min="5778" max="5778" width="8.83203125" hidden="0" customWidth="1"/>
    <x:col min="5779" max="5779" width="8.83203125" hidden="0" customWidth="1"/>
    <x:col min="5780" max="5780" width="8.83203125" hidden="0" customWidth="1"/>
    <x:col min="5781" max="5781" width="8.83203125" hidden="0" customWidth="1"/>
    <x:col min="5782" max="5782" width="8.83203125" hidden="0" customWidth="1"/>
    <x:col min="5783" max="5783" width="8.83203125" hidden="0" customWidth="1"/>
    <x:col min="5784" max="5784" width="8.83203125" hidden="0" customWidth="1"/>
    <x:col min="5785" max="5785" width="8.83203125" hidden="0" customWidth="1"/>
    <x:col min="5786" max="5786" width="8.83203125" hidden="0" customWidth="1"/>
    <x:col min="5787" max="5787" width="8.83203125" hidden="0" customWidth="1"/>
    <x:col min="5788" max="5788" width="8.83203125" hidden="0" customWidth="1"/>
    <x:col min="5789" max="5789" width="8.83203125" hidden="0" customWidth="1"/>
    <x:col min="5790" max="5790" width="8.83203125" hidden="0" customWidth="1"/>
    <x:col min="5791" max="5791" width="8.83203125" hidden="0" customWidth="1"/>
    <x:col min="5792" max="5792" width="8.83203125" hidden="0" customWidth="1"/>
    <x:col min="5793" max="5793" width="8.83203125" hidden="0" customWidth="1"/>
    <x:col min="5794" max="5794" width="8.83203125" hidden="0" customWidth="1"/>
    <x:col min="5795" max="5795" width="8.83203125" hidden="0" customWidth="1"/>
    <x:col min="5796" max="5796" width="8.83203125" hidden="0" customWidth="1"/>
    <x:col min="5797" max="5797" width="8.83203125" hidden="0" customWidth="1"/>
    <x:col min="5798" max="5798" width="8.83203125" hidden="0" customWidth="1"/>
    <x:col min="5799" max="5799" width="8.83203125" hidden="0" customWidth="1"/>
    <x:col min="5800" max="5800" width="8.83203125" hidden="0" customWidth="1"/>
    <x:col min="5801" max="5801" width="8.83203125" hidden="0" customWidth="1"/>
    <x:col min="5802" max="5802" width="8.83203125" hidden="0" customWidth="1"/>
    <x:col min="5803" max="5803" width="8.83203125" hidden="0" customWidth="1"/>
    <x:col min="5804" max="5804" width="8.83203125" hidden="0" customWidth="1"/>
    <x:col min="5805" max="5805" width="8.83203125" hidden="0" customWidth="1"/>
    <x:col min="5806" max="5806" width="8.83203125" hidden="0" customWidth="1"/>
    <x:col min="5807" max="5807" width="8.83203125" hidden="0" customWidth="1"/>
    <x:col min="5808" max="5808" width="8.83203125" hidden="0" customWidth="1"/>
    <x:col min="5809" max="5809" width="8.83203125" hidden="0" customWidth="1"/>
    <x:col min="5810" max="5810" width="8.83203125" hidden="0" customWidth="1"/>
    <x:col min="5811" max="5811" width="8.83203125" hidden="0" customWidth="1"/>
    <x:col min="5812" max="5812" width="8.83203125" hidden="0" customWidth="1"/>
    <x:col min="5813" max="5813" width="8.83203125" hidden="0" customWidth="1"/>
    <x:col min="5814" max="5814" width="8.83203125" hidden="0" customWidth="1"/>
    <x:col min="5815" max="5815" width="8.83203125" hidden="0" customWidth="1"/>
    <x:col min="5816" max="5816" width="8.83203125" hidden="0" customWidth="1"/>
    <x:col min="5817" max="5817" width="8.83203125" hidden="0" customWidth="1"/>
    <x:col min="5818" max="5818" width="8.83203125" hidden="0" customWidth="1"/>
    <x:col min="5819" max="5819" width="8.83203125" hidden="0" customWidth="1"/>
    <x:col min="5820" max="5820" width="8.83203125" hidden="0" customWidth="1"/>
    <x:col min="5821" max="5821" width="8.83203125" hidden="0" customWidth="1"/>
    <x:col min="5822" max="5822" width="8.83203125" hidden="0" customWidth="1"/>
    <x:col min="5823" max="5823" width="8.83203125" hidden="0" customWidth="1"/>
    <x:col min="5824" max="5824" width="8.83203125" hidden="0" customWidth="1"/>
    <x:col min="5825" max="5825" width="8.83203125" hidden="0" customWidth="1"/>
    <x:col min="5826" max="5826" width="8.83203125" hidden="0" customWidth="1"/>
    <x:col min="5827" max="5827" width="8.83203125" hidden="0" customWidth="1"/>
    <x:col min="5828" max="5828" width="8.83203125" hidden="0" customWidth="1"/>
    <x:col min="5829" max="5829" width="8.83203125" hidden="0" customWidth="1"/>
    <x:col min="5830" max="5830" width="8.83203125" hidden="0" customWidth="1"/>
    <x:col min="5831" max="5831" width="8.83203125" hidden="0" customWidth="1"/>
    <x:col min="5832" max="5832" width="8.83203125" hidden="0" customWidth="1"/>
    <x:col min="5833" max="5833" width="8.83203125" hidden="0" customWidth="1"/>
    <x:col min="5834" max="5834" width="8.83203125" hidden="0" customWidth="1"/>
    <x:col min="5835" max="5835" width="8.83203125" hidden="0" customWidth="1"/>
    <x:col min="5836" max="5836" width="8.83203125" hidden="0" customWidth="1"/>
    <x:col min="5837" max="5837" width="8.83203125" hidden="0" customWidth="1"/>
    <x:col min="5838" max="5838" width="8.83203125" hidden="0" customWidth="1"/>
    <x:col min="5839" max="5839" width="8.83203125" hidden="0" customWidth="1"/>
    <x:col min="5840" max="5840" width="8.83203125" hidden="0" customWidth="1"/>
    <x:col min="5841" max="5841" width="8.83203125" hidden="0" customWidth="1"/>
    <x:col min="5842" max="5842" width="8.83203125" hidden="0" customWidth="1"/>
    <x:col min="5843" max="5843" width="8.83203125" hidden="0" customWidth="1"/>
    <x:col min="5844" max="5844" width="8.83203125" hidden="0" customWidth="1"/>
    <x:col min="5845" max="5845" width="8.83203125" hidden="0" customWidth="1"/>
    <x:col min="5846" max="5846" width="8.83203125" hidden="0" customWidth="1"/>
    <x:col min="5847" max="5847" width="8.83203125" hidden="0" customWidth="1"/>
    <x:col min="5848" max="5848" width="8.83203125" hidden="0" customWidth="1"/>
    <x:col min="5849" max="5849" width="8.83203125" hidden="0" customWidth="1"/>
    <x:col min="5850" max="5850" width="8.83203125" hidden="0" customWidth="1"/>
    <x:col min="5851" max="5851" width="8.83203125" hidden="0" customWidth="1"/>
    <x:col min="5852" max="5852" width="8.83203125" hidden="0" customWidth="1"/>
    <x:col min="5853" max="5853" width="8.83203125" hidden="0" customWidth="1"/>
    <x:col min="5854" max="5854" width="8.83203125" hidden="0" customWidth="1"/>
    <x:col min="5855" max="5855" width="8.83203125" hidden="0" customWidth="1"/>
    <x:col min="5856" max="5856" width="8.83203125" hidden="0" customWidth="1"/>
    <x:col min="5857" max="5857" width="8.83203125" hidden="0" customWidth="1"/>
    <x:col min="5858" max="5858" width="8.83203125" hidden="0" customWidth="1"/>
    <x:col min="5859" max="5859" width="8.83203125" hidden="0" customWidth="1"/>
    <x:col min="5860" max="5860" width="8.83203125" hidden="0" customWidth="1"/>
    <x:col min="5861" max="5861" width="8.83203125" hidden="0" customWidth="1"/>
    <x:col min="5862" max="5862" width="8.83203125" hidden="0" customWidth="1"/>
    <x:col min="5863" max="5863" width="8.83203125" hidden="0" customWidth="1"/>
    <x:col min="5864" max="5864" width="8.83203125" hidden="0" customWidth="1"/>
    <x:col min="5865" max="5865" width="8.83203125" hidden="0" customWidth="1"/>
    <x:col min="5866" max="5866" width="8.83203125" hidden="0" customWidth="1"/>
    <x:col min="5867" max="5867" width="8.83203125" hidden="0" customWidth="1"/>
    <x:col min="5868" max="5868" width="8.83203125" hidden="0" customWidth="1"/>
    <x:col min="5869" max="5869" width="8.83203125" hidden="0" customWidth="1"/>
    <x:col min="5870" max="5870" width="8.83203125" hidden="0" customWidth="1"/>
    <x:col min="5871" max="5871" width="8.83203125" hidden="0" customWidth="1"/>
    <x:col min="5872" max="5872" width="8.83203125" hidden="0" customWidth="1"/>
    <x:col min="5873" max="5873" width="8.83203125" hidden="0" customWidth="1"/>
    <x:col min="5874" max="5874" width="8.83203125" hidden="0" customWidth="1"/>
    <x:col min="5875" max="5875" width="8.83203125" hidden="0" customWidth="1"/>
    <x:col min="5876" max="5876" width="8.83203125" hidden="0" customWidth="1"/>
    <x:col min="5877" max="5877" width="8.83203125" hidden="0" customWidth="1"/>
    <x:col min="5878" max="5878" width="8.83203125" hidden="0" customWidth="1"/>
    <x:col min="5879" max="5879" width="8.83203125" hidden="0" customWidth="1"/>
    <x:col min="5880" max="5880" width="8.83203125" hidden="0" customWidth="1"/>
    <x:col min="5881" max="5881" width="8.83203125" hidden="0" customWidth="1"/>
    <x:col min="5882" max="5882" width="8.83203125" hidden="0" customWidth="1"/>
    <x:col min="5883" max="5883" width="8.83203125" hidden="0" customWidth="1"/>
    <x:col min="5884" max="5884" width="8.83203125" hidden="0" customWidth="1"/>
    <x:col min="5885" max="5885" width="8.83203125" hidden="0" customWidth="1"/>
    <x:col min="5886" max="5886" width="8.83203125" hidden="0" customWidth="1"/>
    <x:col min="5887" max="5887" width="8.83203125" hidden="0" customWidth="1"/>
    <x:col min="5888" max="5888" width="8.83203125" hidden="0" customWidth="1"/>
    <x:col min="5889" max="5889" width="8.83203125" hidden="0" customWidth="1"/>
    <x:col min="5890" max="5890" width="8.83203125" hidden="0" customWidth="1"/>
    <x:col min="5891" max="5891" width="8.83203125" hidden="0" customWidth="1"/>
    <x:col min="5892" max="5892" width="8.83203125" hidden="0" customWidth="1"/>
    <x:col min="5893" max="5893" width="8.83203125" hidden="0" customWidth="1"/>
    <x:col min="5894" max="5894" width="8.83203125" hidden="0" customWidth="1"/>
    <x:col min="5895" max="5895" width="8.83203125" hidden="0" customWidth="1"/>
    <x:col min="5896" max="5896" width="8.83203125" hidden="0" customWidth="1"/>
    <x:col min="5897" max="5897" width="8.83203125" hidden="0" customWidth="1"/>
    <x:col min="5898" max="5898" width="8.83203125" hidden="0" customWidth="1"/>
    <x:col min="5899" max="5899" width="8.83203125" hidden="0" customWidth="1"/>
    <x:col min="5900" max="5900" width="8.83203125" hidden="0" customWidth="1"/>
    <x:col min="5901" max="5901" width="8.83203125" hidden="0" customWidth="1"/>
    <x:col min="5902" max="5902" width="8.83203125" hidden="0" customWidth="1"/>
    <x:col min="5903" max="5903" width="8.83203125" hidden="0" customWidth="1"/>
    <x:col min="5904" max="5904" width="8.83203125" hidden="0" customWidth="1"/>
    <x:col min="5905" max="5905" width="8.83203125" hidden="0" customWidth="1"/>
    <x:col min="5906" max="5906" width="8.83203125" hidden="0" customWidth="1"/>
    <x:col min="5907" max="5907" width="8.83203125" hidden="0" customWidth="1"/>
    <x:col min="5908" max="5908" width="8.83203125" hidden="0" customWidth="1"/>
    <x:col min="5909" max="5909" width="8.83203125" hidden="0" customWidth="1"/>
    <x:col min="5910" max="5910" width="8.83203125" hidden="0" customWidth="1"/>
    <x:col min="5911" max="5911" width="8.83203125" hidden="0" customWidth="1"/>
    <x:col min="5912" max="5912" width="8.83203125" hidden="0" customWidth="1"/>
    <x:col min="5913" max="5913" width="8.83203125" hidden="0" customWidth="1"/>
    <x:col min="5914" max="5914" width="8.83203125" hidden="0" customWidth="1"/>
    <x:col min="5915" max="5915" width="8.83203125" hidden="0" customWidth="1"/>
    <x:col min="5916" max="5916" width="8.83203125" hidden="0" customWidth="1"/>
    <x:col min="5917" max="5917" width="8.83203125" hidden="0" customWidth="1"/>
    <x:col min="5918" max="5918" width="8.83203125" hidden="0" customWidth="1"/>
    <x:col min="5919" max="5919" width="8.83203125" hidden="0" customWidth="1"/>
    <x:col min="5920" max="5920" width="8.83203125" hidden="0" customWidth="1"/>
    <x:col min="5921" max="5921" width="8.83203125" hidden="0" customWidth="1"/>
    <x:col min="5922" max="5922" width="8.83203125" hidden="0" customWidth="1"/>
    <x:col min="5923" max="5923" width="8.83203125" hidden="0" customWidth="1"/>
    <x:col min="5924" max="5924" width="8.83203125" hidden="0" customWidth="1"/>
    <x:col min="5925" max="5925" width="8.83203125" hidden="0" customWidth="1"/>
    <x:col min="5926" max="5926" width="8.83203125" hidden="0" customWidth="1"/>
    <x:col min="5927" max="5927" width="8.83203125" hidden="0" customWidth="1"/>
    <x:col min="5928" max="5928" width="8.83203125" hidden="0" customWidth="1"/>
    <x:col min="5929" max="5929" width="8.83203125" hidden="0" customWidth="1"/>
    <x:col min="5930" max="5930" width="8.83203125" hidden="0" customWidth="1"/>
    <x:col min="5931" max="5931" width="8.83203125" hidden="0" customWidth="1"/>
    <x:col min="5932" max="5932" width="8.83203125" hidden="0" customWidth="1"/>
    <x:col min="5933" max="5933" width="8.83203125" hidden="0" customWidth="1"/>
    <x:col min="5934" max="5934" width="8.83203125" hidden="0" customWidth="1"/>
    <x:col min="5935" max="5935" width="8.83203125" hidden="0" customWidth="1"/>
    <x:col min="5936" max="5936" width="8.83203125" hidden="0" customWidth="1"/>
    <x:col min="5937" max="5937" width="8.83203125" hidden="0" customWidth="1"/>
    <x:col min="5938" max="5938" width="8.83203125" hidden="0" customWidth="1"/>
    <x:col min="5939" max="5939" width="8.83203125" hidden="0" customWidth="1"/>
    <x:col min="5940" max="5940" width="8.83203125" hidden="0" customWidth="1"/>
    <x:col min="5941" max="5941" width="8.83203125" hidden="0" customWidth="1"/>
    <x:col min="5942" max="5942" width="8.83203125" hidden="0" customWidth="1"/>
    <x:col min="5943" max="5943" width="8.83203125" hidden="0" customWidth="1"/>
    <x:col min="5944" max="5944" width="8.83203125" hidden="0" customWidth="1"/>
    <x:col min="5945" max="5945" width="8.83203125" hidden="0" customWidth="1"/>
    <x:col min="5946" max="5946" width="8.83203125" hidden="0" customWidth="1"/>
    <x:col min="5947" max="5947" width="8.83203125" hidden="0" customWidth="1"/>
    <x:col min="5948" max="5948" width="8.83203125" hidden="0" customWidth="1"/>
    <x:col min="5949" max="5949" width="8.83203125" hidden="0" customWidth="1"/>
    <x:col min="5950" max="5950" width="8.83203125" hidden="0" customWidth="1"/>
    <x:col min="5951" max="5951" width="8.83203125" hidden="0" customWidth="1"/>
    <x:col min="5952" max="5952" width="8.83203125" hidden="0" customWidth="1"/>
    <x:col min="5953" max="5953" width="8.83203125" hidden="0" customWidth="1"/>
    <x:col min="5954" max="5954" width="8.83203125" hidden="0" customWidth="1"/>
    <x:col min="5955" max="5955" width="8.83203125" hidden="0" customWidth="1"/>
    <x:col min="5956" max="5956" width="8.83203125" hidden="0" customWidth="1"/>
    <x:col min="5957" max="5957" width="8.83203125" hidden="0" customWidth="1"/>
    <x:col min="5958" max="5958" width="8.83203125" hidden="0" customWidth="1"/>
    <x:col min="5959" max="5959" width="8.83203125" hidden="0" customWidth="1"/>
    <x:col min="5960" max="5960" width="8.83203125" hidden="0" customWidth="1"/>
    <x:col min="5961" max="5961" width="8.83203125" hidden="0" customWidth="1"/>
    <x:col min="5962" max="5962" width="8.83203125" hidden="0" customWidth="1"/>
    <x:col min="5963" max="5963" width="8.83203125" hidden="0" customWidth="1"/>
    <x:col min="5964" max="5964" width="8.83203125" hidden="0" customWidth="1"/>
    <x:col min="5965" max="5965" width="8.83203125" hidden="0" customWidth="1"/>
    <x:col min="5966" max="5966" width="8.83203125" hidden="0" customWidth="1"/>
    <x:col min="5967" max="5967" width="8.83203125" hidden="0" customWidth="1"/>
    <x:col min="5968" max="5968" width="8.83203125" hidden="0" customWidth="1"/>
    <x:col min="5969" max="5969" width="8.83203125" hidden="0" customWidth="1"/>
    <x:col min="5970" max="5970" width="8.83203125" hidden="0" customWidth="1"/>
    <x:col min="5971" max="5971" width="8.83203125" hidden="0" customWidth="1"/>
    <x:col min="5972" max="5972" width="8.83203125" hidden="0" customWidth="1"/>
    <x:col min="5973" max="5973" width="8.83203125" hidden="0" customWidth="1"/>
    <x:col min="5974" max="5974" width="8.83203125" hidden="0" customWidth="1"/>
    <x:col min="5975" max="5975" width="8.83203125" hidden="0" customWidth="1"/>
    <x:col min="5976" max="5976" width="8.83203125" hidden="0" customWidth="1"/>
    <x:col min="5977" max="5977" width="8.83203125" hidden="0" customWidth="1"/>
    <x:col min="5978" max="5978" width="8.83203125" hidden="0" customWidth="1"/>
    <x:col min="5979" max="5979" width="8.83203125" hidden="0" customWidth="1"/>
    <x:col min="5980" max="5980" width="8.83203125" hidden="0" customWidth="1"/>
    <x:col min="5981" max="5981" width="8.83203125" hidden="0" customWidth="1"/>
    <x:col min="5982" max="5982" width="8.83203125" hidden="0" customWidth="1"/>
    <x:col min="5983" max="5983" width="8.83203125" hidden="0" customWidth="1"/>
    <x:col min="5984" max="5984" width="8.83203125" hidden="0" customWidth="1"/>
    <x:col min="5985" max="5985" width="8.83203125" hidden="0" customWidth="1"/>
    <x:col min="5986" max="5986" width="8.83203125" hidden="0" customWidth="1"/>
    <x:col min="5987" max="5987" width="8.83203125" hidden="0" customWidth="1"/>
    <x:col min="5988" max="5988" width="8.83203125" hidden="0" customWidth="1"/>
    <x:col min="5989" max="5989" width="8.83203125" hidden="0" customWidth="1"/>
    <x:col min="5990" max="5990" width="8.83203125" hidden="0" customWidth="1"/>
    <x:col min="5991" max="5991" width="8.83203125" hidden="0" customWidth="1"/>
    <x:col min="5992" max="5992" width="8.83203125" hidden="0" customWidth="1"/>
    <x:col min="5993" max="5993" width="8.83203125" hidden="0" customWidth="1"/>
    <x:col min="5994" max="5994" width="8.83203125" hidden="0" customWidth="1"/>
    <x:col min="5995" max="5995" width="8.83203125" hidden="0" customWidth="1"/>
    <x:col min="5996" max="5996" width="8.83203125" hidden="0" customWidth="1"/>
    <x:col min="5997" max="5997" width="8.83203125" hidden="0" customWidth="1"/>
    <x:col min="5998" max="5998" width="8.83203125" hidden="0" customWidth="1"/>
    <x:col min="5999" max="5999" width="8.83203125" hidden="0" customWidth="1"/>
    <x:col min="6000" max="6000" width="8.83203125" hidden="0" customWidth="1"/>
    <x:col min="6001" max="6001" width="8.83203125" hidden="0" customWidth="1"/>
    <x:col min="6002" max="6002" width="8.83203125" hidden="0" customWidth="1"/>
    <x:col min="6003" max="6003" width="8.83203125" hidden="0" customWidth="1"/>
    <x:col min="6004" max="6004" width="8.83203125" hidden="0" customWidth="1"/>
    <x:col min="6005" max="6005" width="8.83203125" hidden="0" customWidth="1"/>
    <x:col min="6006" max="6006" width="8.83203125" hidden="0" customWidth="1"/>
    <x:col min="6007" max="6007" width="8.83203125" hidden="0" customWidth="1"/>
    <x:col min="6008" max="6008" width="8.83203125" hidden="0" customWidth="1"/>
    <x:col min="6009" max="6009" width="8.83203125" hidden="0" customWidth="1"/>
    <x:col min="6010" max="6010" width="8.83203125" hidden="0" customWidth="1"/>
    <x:col min="6011" max="6011" width="8.83203125" hidden="0" customWidth="1"/>
    <x:col min="6012" max="6012" width="8.83203125" hidden="0" customWidth="1"/>
    <x:col min="6013" max="6013" width="8.83203125" hidden="0" customWidth="1"/>
    <x:col min="6014" max="6014" width="8.83203125" hidden="0" customWidth="1"/>
    <x:col min="6015" max="6015" width="8.83203125" hidden="0" customWidth="1"/>
    <x:col min="6016" max="6016" width="8.83203125" hidden="0" customWidth="1"/>
    <x:col min="6017" max="6017" width="8.83203125" hidden="0" customWidth="1"/>
    <x:col min="6018" max="6018" width="8.83203125" hidden="0" customWidth="1"/>
    <x:col min="6019" max="6019" width="8.83203125" hidden="0" customWidth="1"/>
    <x:col min="6020" max="6020" width="8.83203125" hidden="0" customWidth="1"/>
    <x:col min="6021" max="6021" width="8.83203125" hidden="0" customWidth="1"/>
    <x:col min="6022" max="6022" width="8.83203125" hidden="0" customWidth="1"/>
    <x:col min="6023" max="6023" width="8.83203125" hidden="0" customWidth="1"/>
    <x:col min="6024" max="6024" width="8.83203125" hidden="0" customWidth="1"/>
    <x:col min="6025" max="6025" width="8.83203125" hidden="0" customWidth="1"/>
    <x:col min="6026" max="6026" width="8.83203125" hidden="0" customWidth="1"/>
    <x:col min="6027" max="6027" width="8.83203125" hidden="0" customWidth="1"/>
    <x:col min="6028" max="6028" width="8.83203125" hidden="0" customWidth="1"/>
    <x:col min="6029" max="6029" width="8.83203125" hidden="0" customWidth="1"/>
    <x:col min="6030" max="6030" width="8.83203125" hidden="0" customWidth="1"/>
    <x:col min="6031" max="6031" width="8.83203125" hidden="0" customWidth="1"/>
    <x:col min="6032" max="6032" width="8.83203125" hidden="0" customWidth="1"/>
    <x:col min="6033" max="6033" width="8.83203125" hidden="0" customWidth="1"/>
    <x:col min="6034" max="6034" width="8.83203125" hidden="0" customWidth="1"/>
    <x:col min="6035" max="6035" width="8.83203125" hidden="0" customWidth="1"/>
    <x:col min="6036" max="6036" width="8.83203125" hidden="0" customWidth="1"/>
    <x:col min="6037" max="6037" width="8.83203125" hidden="0" customWidth="1"/>
    <x:col min="6038" max="6038" width="8.83203125" hidden="0" customWidth="1"/>
    <x:col min="6039" max="6039" width="8.83203125" hidden="0" customWidth="1"/>
    <x:col min="6040" max="6040" width="8.83203125" hidden="0" customWidth="1"/>
    <x:col min="6041" max="6041" width="8.83203125" hidden="0" customWidth="1"/>
    <x:col min="6042" max="6042" width="8.83203125" hidden="0" customWidth="1"/>
    <x:col min="6043" max="6043" width="8.83203125" hidden="0" customWidth="1"/>
    <x:col min="6044" max="6044" width="8.83203125" hidden="0" customWidth="1"/>
    <x:col min="6045" max="6045" width="8.83203125" hidden="0" customWidth="1"/>
    <x:col min="6046" max="6046" width="8.83203125" hidden="0" customWidth="1"/>
    <x:col min="6047" max="6047" width="8.83203125" hidden="0" customWidth="1"/>
    <x:col min="6048" max="6048" width="8.83203125" hidden="0" customWidth="1"/>
    <x:col min="6049" max="6049" width="8.83203125" hidden="0" customWidth="1"/>
    <x:col min="6050" max="6050" width="8.83203125" hidden="0" customWidth="1"/>
    <x:col min="6051" max="6051" width="8.83203125" hidden="0" customWidth="1"/>
    <x:col min="6052" max="6052" width="8.83203125" hidden="0" customWidth="1"/>
    <x:col min="6053" max="6053" width="8.83203125" hidden="0" customWidth="1"/>
    <x:col min="6054" max="6054" width="8.83203125" hidden="0" customWidth="1"/>
    <x:col min="6055" max="6055" width="8.83203125" hidden="0" customWidth="1"/>
    <x:col min="6056" max="6056" width="8.83203125" hidden="0" customWidth="1"/>
    <x:col min="6057" max="6057" width="8.83203125" hidden="0" customWidth="1"/>
    <x:col min="6058" max="6058" width="8.83203125" hidden="0" customWidth="1"/>
    <x:col min="6059" max="6059" width="8.83203125" hidden="0" customWidth="1"/>
    <x:col min="6060" max="6060" width="8.83203125" hidden="0" customWidth="1"/>
    <x:col min="6061" max="6061" width="8.83203125" hidden="0" customWidth="1"/>
    <x:col min="6062" max="6062" width="8.83203125" hidden="0" customWidth="1"/>
    <x:col min="6063" max="6063" width="8.83203125" hidden="0" customWidth="1"/>
    <x:col min="6064" max="6064" width="8.83203125" hidden="0" customWidth="1"/>
    <x:col min="6065" max="6065" width="8.83203125" hidden="0" customWidth="1"/>
    <x:col min="6066" max="6066" width="8.83203125" hidden="0" customWidth="1"/>
    <x:col min="6067" max="6067" width="8.83203125" hidden="0" customWidth="1"/>
    <x:col min="6068" max="6068" width="8.83203125" hidden="0" customWidth="1"/>
    <x:col min="6069" max="6069" width="8.83203125" hidden="0" customWidth="1"/>
    <x:col min="6070" max="6070" width="8.83203125" hidden="0" customWidth="1"/>
    <x:col min="6071" max="6071" width="8.83203125" hidden="0" customWidth="1"/>
    <x:col min="6072" max="6072" width="8.83203125" hidden="0" customWidth="1"/>
    <x:col min="6073" max="6073" width="8.83203125" hidden="0" customWidth="1"/>
    <x:col min="6074" max="6074" width="8.83203125" hidden="0" customWidth="1"/>
    <x:col min="6075" max="6075" width="8.83203125" hidden="0" customWidth="1"/>
    <x:col min="6076" max="6076" width="8.83203125" hidden="0" customWidth="1"/>
    <x:col min="6077" max="6077" width="8.83203125" hidden="0" customWidth="1"/>
    <x:col min="6078" max="6078" width="8.83203125" hidden="0" customWidth="1"/>
    <x:col min="6079" max="6079" width="8.83203125" hidden="0" customWidth="1"/>
    <x:col min="6080" max="6080" width="8.83203125" hidden="0" customWidth="1"/>
    <x:col min="6081" max="6081" width="8.83203125" hidden="0" customWidth="1"/>
    <x:col min="6082" max="6082" width="8.83203125" hidden="0" customWidth="1"/>
    <x:col min="6083" max="6083" width="8.83203125" hidden="0" customWidth="1"/>
    <x:col min="6084" max="6084" width="8.83203125" hidden="0" customWidth="1"/>
    <x:col min="6085" max="6085" width="8.83203125" hidden="0" customWidth="1"/>
    <x:col min="6086" max="6086" width="8.83203125" hidden="0" customWidth="1"/>
    <x:col min="6087" max="6087" width="8.83203125" hidden="0" customWidth="1"/>
    <x:col min="6088" max="6088" width="8.83203125" hidden="0" customWidth="1"/>
    <x:col min="6089" max="6089" width="8.83203125" hidden="0" customWidth="1"/>
    <x:col min="6090" max="6090" width="8.83203125" hidden="0" customWidth="1"/>
    <x:col min="6091" max="6091" width="8.83203125" hidden="0" customWidth="1"/>
    <x:col min="6092" max="6092" width="8.83203125" hidden="0" customWidth="1"/>
    <x:col min="6093" max="6093" width="8.83203125" hidden="0" customWidth="1"/>
    <x:col min="6094" max="6094" width="8.83203125" hidden="0" customWidth="1"/>
    <x:col min="6095" max="6095" width="8.83203125" hidden="0" customWidth="1"/>
    <x:col min="6096" max="6096" width="8.83203125" hidden="0" customWidth="1"/>
    <x:col min="6097" max="6097" width="8.83203125" hidden="0" customWidth="1"/>
    <x:col min="6098" max="6098" width="8.83203125" hidden="0" customWidth="1"/>
    <x:col min="6099" max="6099" width="8.83203125" hidden="0" customWidth="1"/>
    <x:col min="6100" max="6100" width="8.83203125" hidden="0" customWidth="1"/>
    <x:col min="6101" max="6101" width="8.83203125" hidden="0" customWidth="1"/>
    <x:col min="6102" max="6102" width="8.83203125" hidden="0" customWidth="1"/>
    <x:col min="6103" max="6103" width="8.83203125" hidden="0" customWidth="1"/>
    <x:col min="6104" max="6104" width="8.83203125" hidden="0" customWidth="1"/>
    <x:col min="6105" max="6105" width="8.83203125" hidden="0" customWidth="1"/>
    <x:col min="6106" max="6106" width="8.83203125" hidden="0" customWidth="1"/>
    <x:col min="6107" max="6107" width="8.83203125" hidden="0" customWidth="1"/>
    <x:col min="6108" max="6108" width="8.83203125" hidden="0" customWidth="1"/>
    <x:col min="6109" max="6109" width="8.83203125" hidden="0" customWidth="1"/>
    <x:col min="6110" max="6110" width="8.83203125" hidden="0" customWidth="1"/>
    <x:col min="6111" max="6111" width="8.83203125" hidden="0" customWidth="1"/>
    <x:col min="6112" max="6112" width="8.83203125" hidden="0" customWidth="1"/>
    <x:col min="6113" max="6113" width="8.83203125" hidden="0" customWidth="1"/>
    <x:col min="6114" max="6114" width="8.83203125" hidden="0" customWidth="1"/>
    <x:col min="6115" max="6115" width="8.83203125" hidden="0" customWidth="1"/>
    <x:col min="6116" max="6116" width="8.83203125" hidden="0" customWidth="1"/>
    <x:col min="6117" max="6117" width="8.83203125" hidden="0" customWidth="1"/>
    <x:col min="6118" max="6118" width="8.83203125" hidden="0" customWidth="1"/>
    <x:col min="6119" max="6119" width="8.83203125" hidden="0" customWidth="1"/>
    <x:col min="6120" max="6120" width="8.83203125" hidden="0" customWidth="1"/>
    <x:col min="6121" max="6121" width="8.83203125" hidden="0" customWidth="1"/>
    <x:col min="6122" max="6122" width="8.83203125" hidden="0" customWidth="1"/>
    <x:col min="6123" max="6123" width="8.83203125" hidden="0" customWidth="1"/>
    <x:col min="6124" max="6124" width="8.83203125" hidden="0" customWidth="1"/>
    <x:col min="6125" max="6125" width="8.83203125" hidden="0" customWidth="1"/>
    <x:col min="6126" max="6126" width="8.83203125" hidden="0" customWidth="1"/>
    <x:col min="6127" max="6127" width="8.83203125" hidden="0" customWidth="1"/>
    <x:col min="6128" max="6128" width="8.83203125" hidden="0" customWidth="1"/>
    <x:col min="6129" max="6129" width="8.83203125" hidden="0" customWidth="1"/>
    <x:col min="6130" max="6130" width="8.83203125" hidden="0" customWidth="1"/>
    <x:col min="6131" max="6131" width="8.83203125" hidden="0" customWidth="1"/>
    <x:col min="6132" max="6132" width="8.83203125" hidden="0" customWidth="1"/>
    <x:col min="6133" max="6133" width="8.83203125" hidden="0" customWidth="1"/>
    <x:col min="6134" max="6134" width="8.83203125" hidden="0" customWidth="1"/>
    <x:col min="6135" max="6135" width="8.83203125" hidden="0" customWidth="1"/>
    <x:col min="6136" max="6136" width="8.83203125" hidden="0" customWidth="1"/>
    <x:col min="6137" max="6137" width="8.83203125" hidden="0" customWidth="1"/>
    <x:col min="6138" max="6138" width="8.83203125" hidden="0" customWidth="1"/>
    <x:col min="6139" max="6139" width="8.83203125" hidden="0" customWidth="1"/>
    <x:col min="6140" max="6140" width="8.83203125" hidden="0" customWidth="1"/>
    <x:col min="6141" max="6141" width="8.83203125" hidden="0" customWidth="1"/>
    <x:col min="6142" max="6142" width="8.83203125" hidden="0" customWidth="1"/>
    <x:col min="6143" max="6143" width="8.83203125" hidden="0" customWidth="1"/>
    <x:col min="6144" max="6144" width="8.83203125" hidden="0" customWidth="1"/>
    <x:col min="6145" max="6145" width="8.83203125" hidden="0" customWidth="1"/>
    <x:col min="6146" max="6146" width="8.83203125" hidden="0" customWidth="1"/>
    <x:col min="6147" max="6147" width="8.83203125" hidden="0" customWidth="1"/>
    <x:col min="6148" max="6148" width="8.83203125" hidden="0" customWidth="1"/>
    <x:col min="6149" max="6149" width="8.83203125" hidden="0" customWidth="1"/>
    <x:col min="6150" max="6150" width="8.83203125" hidden="0" customWidth="1"/>
    <x:col min="6151" max="6151" width="8.83203125" hidden="0" customWidth="1"/>
    <x:col min="6152" max="6152" width="8.83203125" hidden="0" customWidth="1"/>
    <x:col min="6153" max="6153" width="8.83203125" hidden="0" customWidth="1"/>
    <x:col min="6154" max="6154" width="8.83203125" hidden="0" customWidth="1"/>
    <x:col min="6155" max="6155" width="8.83203125" hidden="0" customWidth="1"/>
    <x:col min="6156" max="6156" width="8.83203125" hidden="0" customWidth="1"/>
    <x:col min="6157" max="6157" width="8.83203125" hidden="0" customWidth="1"/>
    <x:col min="6158" max="6158" width="8.83203125" hidden="0" customWidth="1"/>
    <x:col min="6159" max="6159" width="8.83203125" hidden="0" customWidth="1"/>
    <x:col min="6160" max="6160" width="8.83203125" hidden="0" customWidth="1"/>
    <x:col min="6161" max="6161" width="8.83203125" hidden="0" customWidth="1"/>
    <x:col min="6162" max="6162" width="8.83203125" hidden="0" customWidth="1"/>
    <x:col min="6163" max="6163" width="8.83203125" hidden="0" customWidth="1"/>
    <x:col min="6164" max="6164" width="8.83203125" hidden="0" customWidth="1"/>
    <x:col min="6165" max="6165" width="8.83203125" hidden="0" customWidth="1"/>
    <x:col min="6166" max="6166" width="8.83203125" hidden="0" customWidth="1"/>
    <x:col min="6167" max="6167" width="8.83203125" hidden="0" customWidth="1"/>
    <x:col min="6168" max="6168" width="8.83203125" hidden="0" customWidth="1"/>
    <x:col min="6169" max="6169" width="8.83203125" hidden="0" customWidth="1"/>
    <x:col min="6170" max="6170" width="8.83203125" hidden="0" customWidth="1"/>
    <x:col min="6171" max="6171" width="8.83203125" hidden="0" customWidth="1"/>
    <x:col min="6172" max="6172" width="8.83203125" hidden="0" customWidth="1"/>
    <x:col min="6173" max="6173" width="8.83203125" hidden="0" customWidth="1"/>
    <x:col min="6174" max="6174" width="8.83203125" hidden="0" customWidth="1"/>
    <x:col min="6175" max="6175" width="8.83203125" hidden="0" customWidth="1"/>
    <x:col min="6176" max="6176" width="8.83203125" hidden="0" customWidth="1"/>
    <x:col min="6177" max="6177" width="8.83203125" hidden="0" customWidth="1"/>
    <x:col min="6178" max="6178" width="8.83203125" hidden="0" customWidth="1"/>
    <x:col min="6179" max="6179" width="8.83203125" hidden="0" customWidth="1"/>
    <x:col min="6180" max="6180" width="8.83203125" hidden="0" customWidth="1"/>
    <x:col min="6181" max="6181" width="8.83203125" hidden="0" customWidth="1"/>
    <x:col min="6182" max="6182" width="8.83203125" hidden="0" customWidth="1"/>
    <x:col min="6183" max="6183" width="8.83203125" hidden="0" customWidth="1"/>
    <x:col min="6184" max="6184" width="8.83203125" hidden="0" customWidth="1"/>
    <x:col min="6185" max="6185" width="8.83203125" hidden="0" customWidth="1"/>
    <x:col min="6186" max="6186" width="8.83203125" hidden="0" customWidth="1"/>
    <x:col min="6187" max="6187" width="8.83203125" hidden="0" customWidth="1"/>
    <x:col min="6188" max="6188" width="8.83203125" hidden="0" customWidth="1"/>
    <x:col min="6189" max="6189" width="8.83203125" hidden="0" customWidth="1"/>
    <x:col min="6190" max="6190" width="8.83203125" hidden="0" customWidth="1"/>
    <x:col min="6191" max="6191" width="8.83203125" hidden="0" customWidth="1"/>
    <x:col min="6192" max="6192" width="8.83203125" hidden="0" customWidth="1"/>
    <x:col min="6193" max="6193" width="8.83203125" hidden="0" customWidth="1"/>
    <x:col min="6194" max="6194" width="8.83203125" hidden="0" customWidth="1"/>
    <x:col min="6195" max="6195" width="8.83203125" hidden="0" customWidth="1"/>
    <x:col min="6196" max="6196" width="8.83203125" hidden="0" customWidth="1"/>
    <x:col min="6197" max="6197" width="8.83203125" hidden="0" customWidth="1"/>
    <x:col min="6198" max="6198" width="8.83203125" hidden="0" customWidth="1"/>
    <x:col min="6199" max="6199" width="8.83203125" hidden="0" customWidth="1"/>
    <x:col min="6200" max="6200" width="8.83203125" hidden="0" customWidth="1"/>
    <x:col min="6201" max="6201" width="8.83203125" hidden="0" customWidth="1"/>
    <x:col min="6202" max="6202" width="8.83203125" hidden="0" customWidth="1"/>
    <x:col min="6203" max="6203" width="8.83203125" hidden="0" customWidth="1"/>
    <x:col min="6204" max="6204" width="8.83203125" hidden="0" customWidth="1"/>
    <x:col min="6205" max="6205" width="8.83203125" hidden="0" customWidth="1"/>
    <x:col min="6206" max="6206" width="8.83203125" hidden="0" customWidth="1"/>
    <x:col min="6207" max="6207" width="8.83203125" hidden="0" customWidth="1"/>
    <x:col min="6208" max="6208" width="8.83203125" hidden="0" customWidth="1"/>
    <x:col min="6209" max="6209" width="8.83203125" hidden="0" customWidth="1"/>
    <x:col min="6210" max="6210" width="8.83203125" hidden="0" customWidth="1"/>
    <x:col min="6211" max="6211" width="8.83203125" hidden="0" customWidth="1"/>
    <x:col min="6212" max="6212" width="8.83203125" hidden="0" customWidth="1"/>
    <x:col min="6213" max="6213" width="8.83203125" hidden="0" customWidth="1"/>
    <x:col min="6214" max="6214" width="8.83203125" hidden="0" customWidth="1"/>
    <x:col min="6215" max="6215" width="8.83203125" hidden="0" customWidth="1"/>
    <x:col min="6216" max="6216" width="8.83203125" hidden="0" customWidth="1"/>
    <x:col min="6217" max="6217" width="8.83203125" hidden="0" customWidth="1"/>
    <x:col min="6218" max="6218" width="8.83203125" hidden="0" customWidth="1"/>
    <x:col min="6219" max="6219" width="8.83203125" hidden="0" customWidth="1"/>
    <x:col min="6220" max="6220" width="8.83203125" hidden="0" customWidth="1"/>
    <x:col min="6221" max="6221" width="8.83203125" hidden="0" customWidth="1"/>
    <x:col min="6222" max="6222" width="8.83203125" hidden="0" customWidth="1"/>
    <x:col min="6223" max="6223" width="8.83203125" hidden="0" customWidth="1"/>
    <x:col min="6224" max="6224" width="8.83203125" hidden="0" customWidth="1"/>
    <x:col min="6225" max="6225" width="8.83203125" hidden="0" customWidth="1"/>
    <x:col min="6226" max="6226" width="8.83203125" hidden="0" customWidth="1"/>
    <x:col min="6227" max="6227" width="8.83203125" hidden="0" customWidth="1"/>
    <x:col min="6228" max="6228" width="8.83203125" hidden="0" customWidth="1"/>
    <x:col min="6229" max="6229" width="8.83203125" hidden="0" customWidth="1"/>
    <x:col min="6230" max="6230" width="8.83203125" hidden="0" customWidth="1"/>
    <x:col min="6231" max="6231" width="8.83203125" hidden="0" customWidth="1"/>
    <x:col min="6232" max="6232" width="8.83203125" hidden="0" customWidth="1"/>
    <x:col min="6233" max="6233" width="8.83203125" hidden="0" customWidth="1"/>
    <x:col min="6234" max="6234" width="8.83203125" hidden="0" customWidth="1"/>
    <x:col min="6235" max="6235" width="8.83203125" hidden="0" customWidth="1"/>
    <x:col min="6236" max="6236" width="8.83203125" hidden="0" customWidth="1"/>
    <x:col min="6237" max="6237" width="8.83203125" hidden="0" customWidth="1"/>
    <x:col min="6238" max="6238" width="8.83203125" hidden="0" customWidth="1"/>
    <x:col min="6239" max="6239" width="8.83203125" hidden="0" customWidth="1"/>
    <x:col min="6240" max="6240" width="8.83203125" hidden="0" customWidth="1"/>
    <x:col min="6241" max="6241" width="8.83203125" hidden="0" customWidth="1"/>
    <x:col min="6242" max="6242" width="8.83203125" hidden="0" customWidth="1"/>
    <x:col min="6243" max="6243" width="8.83203125" hidden="0" customWidth="1"/>
    <x:col min="6244" max="6244" width="8.83203125" hidden="0" customWidth="1"/>
    <x:col min="6245" max="6245" width="8.83203125" hidden="0" customWidth="1"/>
    <x:col min="6246" max="6246" width="8.83203125" hidden="0" customWidth="1"/>
    <x:col min="6247" max="6247" width="8.83203125" hidden="0" customWidth="1"/>
    <x:col min="6248" max="6248" width="8.83203125" hidden="0" customWidth="1"/>
    <x:col min="6249" max="6249" width="8.83203125" hidden="0" customWidth="1"/>
    <x:col min="6250" max="6250" width="8.83203125" hidden="0" customWidth="1"/>
    <x:col min="6251" max="6251" width="8.83203125" hidden="0" customWidth="1"/>
    <x:col min="6252" max="6252" width="8.83203125" hidden="0" customWidth="1"/>
    <x:col min="6253" max="6253" width="8.83203125" hidden="0" customWidth="1"/>
    <x:col min="6254" max="6254" width="8.83203125" hidden="0" customWidth="1"/>
    <x:col min="6255" max="6255" width="8.83203125" hidden="0" customWidth="1"/>
    <x:col min="6256" max="6256" width="8.83203125" hidden="0" customWidth="1"/>
    <x:col min="6257" max="6257" width="8.83203125" hidden="0" customWidth="1"/>
    <x:col min="6258" max="6258" width="8.83203125" hidden="0" customWidth="1"/>
    <x:col min="6259" max="6259" width="8.83203125" hidden="0" customWidth="1"/>
    <x:col min="6260" max="6260" width="8.83203125" hidden="0" customWidth="1"/>
    <x:col min="6261" max="6261" width="8.83203125" hidden="0" customWidth="1"/>
    <x:col min="6262" max="6262" width="8.83203125" hidden="0" customWidth="1"/>
    <x:col min="6263" max="6263" width="8.83203125" hidden="0" customWidth="1"/>
    <x:col min="6264" max="6264" width="8.83203125" hidden="0" customWidth="1"/>
    <x:col min="6265" max="6265" width="8.83203125" hidden="0" customWidth="1"/>
    <x:col min="6266" max="6266" width="8.83203125" hidden="0" customWidth="1"/>
    <x:col min="6267" max="6267" width="8.83203125" hidden="0" customWidth="1"/>
    <x:col min="6268" max="6268" width="8.83203125" hidden="0" customWidth="1"/>
    <x:col min="6269" max="6269" width="8.83203125" hidden="0" customWidth="1"/>
    <x:col min="6270" max="6270" width="8.83203125" hidden="0" customWidth="1"/>
    <x:col min="6271" max="6271" width="8.83203125" hidden="0" customWidth="1"/>
    <x:col min="6272" max="6272" width="8.83203125" hidden="0" customWidth="1"/>
    <x:col min="6273" max="6273" width="8.83203125" hidden="0" customWidth="1"/>
    <x:col min="6274" max="6274" width="8.83203125" hidden="0" customWidth="1"/>
    <x:col min="6275" max="6275" width="8.83203125" hidden="0" customWidth="1"/>
    <x:col min="6276" max="6276" width="8.83203125" hidden="0" customWidth="1"/>
    <x:col min="6277" max="6277" width="8.83203125" hidden="0" customWidth="1"/>
    <x:col min="6278" max="6278" width="8.83203125" hidden="0" customWidth="1"/>
    <x:col min="6279" max="6279" width="8.83203125" hidden="0" customWidth="1"/>
    <x:col min="6280" max="6280" width="8.83203125" hidden="0" customWidth="1"/>
    <x:col min="6281" max="6281" width="8.83203125" hidden="0" customWidth="1"/>
    <x:col min="6282" max="6282" width="8.83203125" hidden="0" customWidth="1"/>
    <x:col min="6283" max="6283" width="8.83203125" hidden="0" customWidth="1"/>
    <x:col min="6284" max="6284" width="8.83203125" hidden="0" customWidth="1"/>
    <x:col min="6285" max="6285" width="8.83203125" hidden="0" customWidth="1"/>
    <x:col min="6286" max="6286" width="8.83203125" hidden="0" customWidth="1"/>
    <x:col min="6287" max="6287" width="8.83203125" hidden="0" customWidth="1"/>
    <x:col min="6288" max="6288" width="8.83203125" hidden="0" customWidth="1"/>
    <x:col min="6289" max="6289" width="8.83203125" hidden="0" customWidth="1"/>
    <x:col min="6290" max="6290" width="8.83203125" hidden="0" customWidth="1"/>
    <x:col min="6291" max="6291" width="8.83203125" hidden="0" customWidth="1"/>
    <x:col min="6292" max="6292" width="8.83203125" hidden="0" customWidth="1"/>
    <x:col min="6293" max="6293" width="8.83203125" hidden="0" customWidth="1"/>
    <x:col min="6294" max="6294" width="8.83203125" hidden="0" customWidth="1"/>
    <x:col min="6295" max="6295" width="8.83203125" hidden="0" customWidth="1"/>
    <x:col min="6296" max="6296" width="8.83203125" hidden="0" customWidth="1"/>
    <x:col min="6297" max="6297" width="8.83203125" hidden="0" customWidth="1"/>
    <x:col min="6298" max="6298" width="8.83203125" hidden="0" customWidth="1"/>
    <x:col min="6299" max="6299" width="8.83203125" hidden="0" customWidth="1"/>
    <x:col min="6300" max="6300" width="8.83203125" hidden="0" customWidth="1"/>
    <x:col min="6301" max="6301" width="8.83203125" hidden="0" customWidth="1"/>
    <x:col min="6302" max="6302" width="8.83203125" hidden="0" customWidth="1"/>
    <x:col min="6303" max="6303" width="8.83203125" hidden="0" customWidth="1"/>
    <x:col min="6304" max="6304" width="8.83203125" hidden="0" customWidth="1"/>
    <x:col min="6305" max="6305" width="8.83203125" hidden="0" customWidth="1"/>
    <x:col min="6306" max="6306" width="8.83203125" hidden="0" customWidth="1"/>
    <x:col min="6307" max="6307" width="8.83203125" hidden="0" customWidth="1"/>
    <x:col min="6308" max="6308" width="8.83203125" hidden="0" customWidth="1"/>
    <x:col min="6309" max="6309" width="8.83203125" hidden="0" customWidth="1"/>
    <x:col min="6310" max="6310" width="8.83203125" hidden="0" customWidth="1"/>
    <x:col min="6311" max="6311" width="8.83203125" hidden="0" customWidth="1"/>
    <x:col min="6312" max="6312" width="8.83203125" hidden="0" customWidth="1"/>
    <x:col min="6313" max="6313" width="8.83203125" hidden="0" customWidth="1"/>
    <x:col min="6314" max="6314" width="8.83203125" hidden="0" customWidth="1"/>
    <x:col min="6315" max="6315" width="8.83203125" hidden="0" customWidth="1"/>
    <x:col min="6316" max="6316" width="8.83203125" hidden="0" customWidth="1"/>
    <x:col min="6317" max="6317" width="8.83203125" hidden="0" customWidth="1"/>
    <x:col min="6318" max="6318" width="8.83203125" hidden="0" customWidth="1"/>
    <x:col min="6319" max="6319" width="8.83203125" hidden="0" customWidth="1"/>
    <x:col min="6320" max="6320" width="8.83203125" hidden="0" customWidth="1"/>
    <x:col min="6321" max="6321" width="8.83203125" hidden="0" customWidth="1"/>
    <x:col min="6322" max="6322" width="8.83203125" hidden="0" customWidth="1"/>
    <x:col min="6323" max="6323" width="8.83203125" hidden="0" customWidth="1"/>
    <x:col min="6324" max="6324" width="8.83203125" hidden="0" customWidth="1"/>
    <x:col min="6325" max="6325" width="8.83203125" hidden="0" customWidth="1"/>
    <x:col min="6326" max="6326" width="8.83203125" hidden="0" customWidth="1"/>
    <x:col min="6327" max="6327" width="8.83203125" hidden="0" customWidth="1"/>
    <x:col min="6328" max="6328" width="8.83203125" hidden="0" customWidth="1"/>
    <x:col min="6329" max="6329" width="8.83203125" hidden="0" customWidth="1"/>
    <x:col min="6330" max="6330" width="8.83203125" hidden="0" customWidth="1"/>
    <x:col min="6331" max="6331" width="8.83203125" hidden="0" customWidth="1"/>
    <x:col min="6332" max="6332" width="8.83203125" hidden="0" customWidth="1"/>
    <x:col min="6333" max="6333" width="8.83203125" hidden="0" customWidth="1"/>
    <x:col min="6334" max="6334" width="8.83203125" hidden="0" customWidth="1"/>
    <x:col min="6335" max="6335" width="8.83203125" hidden="0" customWidth="1"/>
    <x:col min="6336" max="6336" width="8.83203125" hidden="0" customWidth="1"/>
    <x:col min="6337" max="6337" width="8.83203125" hidden="0" customWidth="1"/>
    <x:col min="6338" max="6338" width="8.83203125" hidden="0" customWidth="1"/>
    <x:col min="6339" max="6339" width="8.83203125" hidden="0" customWidth="1"/>
    <x:col min="6340" max="6340" width="8.83203125" hidden="0" customWidth="1"/>
    <x:col min="6341" max="6341" width="8.83203125" hidden="0" customWidth="1"/>
    <x:col min="6342" max="6342" width="8.83203125" hidden="0" customWidth="1"/>
    <x:col min="6343" max="6343" width="8.83203125" hidden="0" customWidth="1"/>
    <x:col min="6344" max="6344" width="8.83203125" hidden="0" customWidth="1"/>
    <x:col min="6345" max="6345" width="8.83203125" hidden="0" customWidth="1"/>
    <x:col min="6346" max="6346" width="8.83203125" hidden="0" customWidth="1"/>
    <x:col min="6347" max="6347" width="8.83203125" hidden="0" customWidth="1"/>
    <x:col min="6348" max="6348" width="8.83203125" hidden="0" customWidth="1"/>
    <x:col min="6349" max="6349" width="8.83203125" hidden="0" customWidth="1"/>
    <x:col min="6350" max="6350" width="8.83203125" hidden="0" customWidth="1"/>
    <x:col min="6351" max="6351" width="8.83203125" hidden="0" customWidth="1"/>
    <x:col min="6352" max="6352" width="8.83203125" hidden="0" customWidth="1"/>
    <x:col min="6353" max="6353" width="8.83203125" hidden="0" customWidth="1"/>
    <x:col min="6354" max="6354" width="8.83203125" hidden="0" customWidth="1"/>
    <x:col min="6355" max="6355" width="8.83203125" hidden="0" customWidth="1"/>
    <x:col min="6356" max="6356" width="8.83203125" hidden="0" customWidth="1"/>
    <x:col min="6357" max="6357" width="8.83203125" hidden="0" customWidth="1"/>
    <x:col min="6358" max="6358" width="8.83203125" hidden="0" customWidth="1"/>
    <x:col min="6359" max="6359" width="8.83203125" hidden="0" customWidth="1"/>
    <x:col min="6360" max="6360" width="8.83203125" hidden="0" customWidth="1"/>
    <x:col min="6361" max="6361" width="8.83203125" hidden="0" customWidth="1"/>
    <x:col min="6362" max="6362" width="8.83203125" hidden="0" customWidth="1"/>
    <x:col min="6363" max="6363" width="8.83203125" hidden="0" customWidth="1"/>
    <x:col min="6364" max="6364" width="8.83203125" hidden="0" customWidth="1"/>
    <x:col min="6365" max="6365" width="8.83203125" hidden="0" customWidth="1"/>
    <x:col min="6366" max="6366" width="8.83203125" hidden="0" customWidth="1"/>
    <x:col min="6367" max="6367" width="8.83203125" hidden="0" customWidth="1"/>
    <x:col min="6368" max="6368" width="8.83203125" hidden="0" customWidth="1"/>
    <x:col min="6369" max="6369" width="8.83203125" hidden="0" customWidth="1"/>
    <x:col min="6370" max="6370" width="8.83203125" hidden="0" customWidth="1"/>
    <x:col min="6371" max="6371" width="8.83203125" hidden="0" customWidth="1"/>
    <x:col min="6372" max="6372" width="8.83203125" hidden="0" customWidth="1"/>
    <x:col min="6373" max="6373" width="8.83203125" hidden="0" customWidth="1"/>
    <x:col min="6374" max="6374" width="8.83203125" hidden="0" customWidth="1"/>
    <x:col min="6375" max="6375" width="8.83203125" hidden="0" customWidth="1"/>
    <x:col min="6376" max="6376" width="8.83203125" hidden="0" customWidth="1"/>
    <x:col min="6377" max="6377" width="8.83203125" hidden="0" customWidth="1"/>
    <x:col min="6378" max="6378" width="8.83203125" hidden="0" customWidth="1"/>
    <x:col min="6379" max="6379" width="8.83203125" hidden="0" customWidth="1"/>
    <x:col min="6380" max="6380" width="8.83203125" hidden="0" customWidth="1"/>
    <x:col min="6381" max="6381" width="8.83203125" hidden="0" customWidth="1"/>
    <x:col min="6382" max="6382" width="8.83203125" hidden="0" customWidth="1"/>
    <x:col min="6383" max="6383" width="8.83203125" hidden="0" customWidth="1"/>
    <x:col min="6384" max="6384" width="8.83203125" hidden="0" customWidth="1"/>
    <x:col min="6385" max="6385" width="8.83203125" hidden="0" customWidth="1"/>
    <x:col min="6386" max="6386" width="8.83203125" hidden="0" customWidth="1"/>
    <x:col min="6387" max="6387" width="8.83203125" hidden="0" customWidth="1"/>
    <x:col min="6388" max="6388" width="8.83203125" hidden="0" customWidth="1"/>
    <x:col min="6389" max="6389" width="8.83203125" hidden="0" customWidth="1"/>
    <x:col min="6390" max="6390" width="8.83203125" hidden="0" customWidth="1"/>
    <x:col min="6391" max="6391" width="8.83203125" hidden="0" customWidth="1"/>
    <x:col min="6392" max="6392" width="8.83203125" hidden="0" customWidth="1"/>
    <x:col min="6393" max="6393" width="8.83203125" hidden="0" customWidth="1"/>
    <x:col min="6394" max="6394" width="8.83203125" hidden="0" customWidth="1"/>
    <x:col min="6395" max="6395" width="8.83203125" hidden="0" customWidth="1"/>
    <x:col min="6396" max="6396" width="8.83203125" hidden="0" customWidth="1"/>
    <x:col min="6397" max="6397" width="8.83203125" hidden="0" customWidth="1"/>
    <x:col min="6398" max="6398" width="8.83203125" hidden="0" customWidth="1"/>
    <x:col min="6399" max="6399" width="8.83203125" hidden="0" customWidth="1"/>
    <x:col min="6400" max="6400" width="8.83203125" hidden="0" customWidth="1"/>
    <x:col min="6401" max="6401" width="8.83203125" hidden="0" customWidth="1"/>
    <x:col min="6402" max="6402" width="8.83203125" hidden="0" customWidth="1"/>
    <x:col min="6403" max="6403" width="8.83203125" hidden="0" customWidth="1"/>
    <x:col min="6404" max="6404" width="8.83203125" hidden="0" customWidth="1"/>
    <x:col min="6405" max="6405" width="8.83203125" hidden="0" customWidth="1"/>
    <x:col min="6406" max="6406" width="8.83203125" hidden="0" customWidth="1"/>
    <x:col min="6407" max="6407" width="8.83203125" hidden="0" customWidth="1"/>
    <x:col min="6408" max="6408" width="8.83203125" hidden="0" customWidth="1"/>
    <x:col min="6409" max="6409" width="8.83203125" hidden="0" customWidth="1"/>
    <x:col min="6410" max="6410" width="8.83203125" hidden="0" customWidth="1"/>
    <x:col min="6411" max="6411" width="8.83203125" hidden="0" customWidth="1"/>
    <x:col min="6412" max="6412" width="8.83203125" hidden="0" customWidth="1"/>
    <x:col min="6413" max="6413" width="8.83203125" hidden="0" customWidth="1"/>
    <x:col min="6414" max="6414" width="8.83203125" hidden="0" customWidth="1"/>
    <x:col min="6415" max="6415" width="8.83203125" hidden="0" customWidth="1"/>
    <x:col min="6416" max="6416" width="8.83203125" hidden="0" customWidth="1"/>
    <x:col min="6417" max="6417" width="8.83203125" hidden="0" customWidth="1"/>
    <x:col min="6418" max="6418" width="8.83203125" hidden="0" customWidth="1"/>
    <x:col min="6419" max="6419" width="8.83203125" hidden="0" customWidth="1"/>
    <x:col min="6420" max="6420" width="8.83203125" hidden="0" customWidth="1"/>
    <x:col min="6421" max="6421" width="8.83203125" hidden="0" customWidth="1"/>
    <x:col min="6422" max="6422" width="8.83203125" hidden="0" customWidth="1"/>
    <x:col min="6423" max="6423" width="8.83203125" hidden="0" customWidth="1"/>
    <x:col min="6424" max="6424" width="8.83203125" hidden="0" customWidth="1"/>
    <x:col min="6425" max="6425" width="8.83203125" hidden="0" customWidth="1"/>
    <x:col min="6426" max="6426" width="8.83203125" hidden="0" customWidth="1"/>
    <x:col min="6427" max="6427" width="8.83203125" hidden="0" customWidth="1"/>
    <x:col min="6428" max="6428" width="8.83203125" hidden="0" customWidth="1"/>
    <x:col min="6429" max="6429" width="8.83203125" hidden="0" customWidth="1"/>
    <x:col min="6430" max="6430" width="8.83203125" hidden="0" customWidth="1"/>
    <x:col min="6431" max="6431" width="8.83203125" hidden="0" customWidth="1"/>
    <x:col min="6432" max="6432" width="8.83203125" hidden="0" customWidth="1"/>
    <x:col min="6433" max="6433" width="8.83203125" hidden="0" customWidth="1"/>
    <x:col min="6434" max="6434" width="8.83203125" hidden="0" customWidth="1"/>
    <x:col min="6435" max="6435" width="8.83203125" hidden="0" customWidth="1"/>
    <x:col min="6436" max="6436" width="8.83203125" hidden="0" customWidth="1"/>
    <x:col min="6437" max="6437" width="8.83203125" hidden="0" customWidth="1"/>
    <x:col min="6438" max="6438" width="8.83203125" hidden="0" customWidth="1"/>
    <x:col min="6439" max="6439" width="8.83203125" hidden="0" customWidth="1"/>
    <x:col min="6440" max="6440" width="8.83203125" hidden="0" customWidth="1"/>
    <x:col min="6441" max="6441" width="8.83203125" hidden="0" customWidth="1"/>
    <x:col min="6442" max="6442" width="8.83203125" hidden="0" customWidth="1"/>
    <x:col min="6443" max="6443" width="8.83203125" hidden="0" customWidth="1"/>
    <x:col min="6444" max="6444" width="8.83203125" hidden="0" customWidth="1"/>
    <x:col min="6445" max="6445" width="8.83203125" hidden="0" customWidth="1"/>
    <x:col min="6446" max="6446" width="8.83203125" hidden="0" customWidth="1"/>
    <x:col min="6447" max="6447" width="8.83203125" hidden="0" customWidth="1"/>
    <x:col min="6448" max="6448" width="8.83203125" hidden="0" customWidth="1"/>
    <x:col min="6449" max="6449" width="8.83203125" hidden="0" customWidth="1"/>
    <x:col min="6450" max="6450" width="8.83203125" hidden="0" customWidth="1"/>
    <x:col min="6451" max="6451" width="8.83203125" hidden="0" customWidth="1"/>
    <x:col min="6452" max="6452" width="8.83203125" hidden="0" customWidth="1"/>
    <x:col min="6453" max="6453" width="8.83203125" hidden="0" customWidth="1"/>
    <x:col min="6454" max="6454" width="8.83203125" hidden="0" customWidth="1"/>
    <x:col min="6455" max="6455" width="8.83203125" hidden="0" customWidth="1"/>
    <x:col min="6456" max="6456" width="8.83203125" hidden="0" customWidth="1"/>
    <x:col min="6457" max="6457" width="8.83203125" hidden="0" customWidth="1"/>
    <x:col min="6458" max="6458" width="8.83203125" hidden="0" customWidth="1"/>
    <x:col min="6459" max="6459" width="8.83203125" hidden="0" customWidth="1"/>
    <x:col min="6460" max="6460" width="8.83203125" hidden="0" customWidth="1"/>
    <x:col min="6461" max="6461" width="8.83203125" hidden="0" customWidth="1"/>
    <x:col min="6462" max="6462" width="8.83203125" hidden="0" customWidth="1"/>
    <x:col min="6463" max="6463" width="8.83203125" hidden="0" customWidth="1"/>
    <x:col min="6464" max="6464" width="8.83203125" hidden="0" customWidth="1"/>
    <x:col min="6465" max="6465" width="8.83203125" hidden="0" customWidth="1"/>
    <x:col min="6466" max="6466" width="8.83203125" hidden="0" customWidth="1"/>
    <x:col min="6467" max="6467" width="8.83203125" hidden="0" customWidth="1"/>
    <x:col min="6468" max="6468" width="8.83203125" hidden="0" customWidth="1"/>
    <x:col min="6469" max="6469" width="8.83203125" hidden="0" customWidth="1"/>
    <x:col min="6470" max="6470" width="8.83203125" hidden="0" customWidth="1"/>
    <x:col min="6471" max="6471" width="8.83203125" hidden="0" customWidth="1"/>
    <x:col min="6472" max="6472" width="8.83203125" hidden="0" customWidth="1"/>
    <x:col min="6473" max="6473" width="8.83203125" hidden="0" customWidth="1"/>
    <x:col min="6474" max="6474" width="8.83203125" hidden="0" customWidth="1"/>
    <x:col min="6475" max="6475" width="8.83203125" hidden="0" customWidth="1"/>
    <x:col min="6476" max="6476" width="8.83203125" hidden="0" customWidth="1"/>
    <x:col min="6477" max="6477" width="8.83203125" hidden="0" customWidth="1"/>
    <x:col min="6478" max="6478" width="8.83203125" hidden="0" customWidth="1"/>
    <x:col min="6479" max="6479" width="8.83203125" hidden="0" customWidth="1"/>
    <x:col min="6480" max="6480" width="8.83203125" hidden="0" customWidth="1"/>
    <x:col min="6481" max="6481" width="8.83203125" hidden="0" customWidth="1"/>
    <x:col min="6482" max="6482" width="8.83203125" hidden="0" customWidth="1"/>
    <x:col min="6483" max="6483" width="8.83203125" hidden="0" customWidth="1"/>
    <x:col min="6484" max="6484" width="8.83203125" hidden="0" customWidth="1"/>
    <x:col min="6485" max="6485" width="8.83203125" hidden="0" customWidth="1"/>
    <x:col min="6486" max="6486" width="8.83203125" hidden="0" customWidth="1"/>
    <x:col min="6487" max="6487" width="8.83203125" hidden="0" customWidth="1"/>
    <x:col min="6488" max="6488" width="8.83203125" hidden="0" customWidth="1"/>
    <x:col min="6489" max="6489" width="8.83203125" hidden="0" customWidth="1"/>
    <x:col min="6490" max="6490" width="8.83203125" hidden="0" customWidth="1"/>
    <x:col min="6491" max="6491" width="8.83203125" hidden="0" customWidth="1"/>
    <x:col min="6492" max="6492" width="8.83203125" hidden="0" customWidth="1"/>
    <x:col min="6493" max="6493" width="8.83203125" hidden="0" customWidth="1"/>
    <x:col min="6494" max="6494" width="8.83203125" hidden="0" customWidth="1"/>
    <x:col min="6495" max="6495" width="8.83203125" hidden="0" customWidth="1"/>
    <x:col min="6496" max="6496" width="8.83203125" hidden="0" customWidth="1"/>
    <x:col min="6497" max="6497" width="8.83203125" hidden="0" customWidth="1"/>
    <x:col min="6498" max="6498" width="8.83203125" hidden="0" customWidth="1"/>
    <x:col min="6499" max="6499" width="8.83203125" hidden="0" customWidth="1"/>
    <x:col min="6500" max="6500" width="8.83203125" hidden="0" customWidth="1"/>
    <x:col min="6501" max="6501" width="8.83203125" hidden="0" customWidth="1"/>
    <x:col min="6502" max="6502" width="8.83203125" hidden="0" customWidth="1"/>
    <x:col min="6503" max="6503" width="8.83203125" hidden="0" customWidth="1"/>
    <x:col min="6504" max="6504" width="8.83203125" hidden="0" customWidth="1"/>
    <x:col min="6505" max="6505" width="8.83203125" hidden="0" customWidth="1"/>
    <x:col min="6506" max="6506" width="8.83203125" hidden="0" customWidth="1"/>
    <x:col min="6507" max="6507" width="8.83203125" hidden="0" customWidth="1"/>
    <x:col min="6508" max="6508" width="8.83203125" hidden="0" customWidth="1"/>
    <x:col min="6509" max="6509" width="8.83203125" hidden="0" customWidth="1"/>
    <x:col min="6510" max="6510" width="8.83203125" hidden="0" customWidth="1"/>
    <x:col min="6511" max="6511" width="8.83203125" hidden="0" customWidth="1"/>
    <x:col min="6512" max="6512" width="8.83203125" hidden="0" customWidth="1"/>
    <x:col min="6513" max="6513" width="8.83203125" hidden="0" customWidth="1"/>
    <x:col min="6514" max="6514" width="8.83203125" hidden="0" customWidth="1"/>
    <x:col min="6515" max="6515" width="8.83203125" hidden="0" customWidth="1"/>
    <x:col min="6516" max="6516" width="8.83203125" hidden="0" customWidth="1"/>
    <x:col min="6517" max="6517" width="8.83203125" hidden="0" customWidth="1"/>
    <x:col min="6518" max="6518" width="8.83203125" hidden="0" customWidth="1"/>
    <x:col min="6519" max="6519" width="8.83203125" hidden="0" customWidth="1"/>
    <x:col min="6520" max="6520" width="8.83203125" hidden="0" customWidth="1"/>
    <x:col min="6521" max="6521" width="8.83203125" hidden="0" customWidth="1"/>
    <x:col min="6522" max="6522" width="8.83203125" hidden="0" customWidth="1"/>
    <x:col min="6523" max="6523" width="8.83203125" hidden="0" customWidth="1"/>
    <x:col min="6524" max="6524" width="8.83203125" hidden="0" customWidth="1"/>
    <x:col min="6525" max="6525" width="8.83203125" hidden="0" customWidth="1"/>
    <x:col min="6526" max="6526" width="8.83203125" hidden="0" customWidth="1"/>
    <x:col min="6527" max="6527" width="8.83203125" hidden="0" customWidth="1"/>
    <x:col min="6528" max="6528" width="8.83203125" hidden="0" customWidth="1"/>
    <x:col min="6529" max="6529" width="8.83203125" hidden="0" customWidth="1"/>
    <x:col min="6530" max="6530" width="8.83203125" hidden="0" customWidth="1"/>
    <x:col min="6531" max="6531" width="8.83203125" hidden="0" customWidth="1"/>
    <x:col min="6532" max="6532" width="8.83203125" hidden="0" customWidth="1"/>
    <x:col min="6533" max="6533" width="8.83203125" hidden="0" customWidth="1"/>
    <x:col min="6534" max="6534" width="8.83203125" hidden="0" customWidth="1"/>
    <x:col min="6535" max="6535" width="8.83203125" hidden="0" customWidth="1"/>
    <x:col min="6536" max="6536" width="8.83203125" hidden="0" customWidth="1"/>
    <x:col min="6537" max="6537" width="8.83203125" hidden="0" customWidth="1"/>
    <x:col min="6538" max="6538" width="8.83203125" hidden="0" customWidth="1"/>
    <x:col min="6539" max="6539" width="8.83203125" hidden="0" customWidth="1"/>
    <x:col min="6540" max="6540" width="8.83203125" hidden="0" customWidth="1"/>
    <x:col min="6541" max="6541" width="8.83203125" hidden="0" customWidth="1"/>
    <x:col min="6542" max="6542" width="8.83203125" hidden="0" customWidth="1"/>
    <x:col min="6543" max="6543" width="8.83203125" hidden="0" customWidth="1"/>
    <x:col min="6544" max="6544" width="8.83203125" hidden="0" customWidth="1"/>
    <x:col min="6545" max="6545" width="8.83203125" hidden="0" customWidth="1"/>
    <x:col min="6546" max="6546" width="8.83203125" hidden="0" customWidth="1"/>
    <x:col min="6547" max="6547" width="8.83203125" hidden="0" customWidth="1"/>
    <x:col min="6548" max="6548" width="8.83203125" hidden="0" customWidth="1"/>
    <x:col min="6549" max="6549" width="8.83203125" hidden="0" customWidth="1"/>
    <x:col min="6550" max="6550" width="8.83203125" hidden="0" customWidth="1"/>
    <x:col min="6551" max="6551" width="8.83203125" hidden="0" customWidth="1"/>
    <x:col min="6552" max="6552" width="8.83203125" hidden="0" customWidth="1"/>
    <x:col min="6553" max="6553" width="8.83203125" hidden="0" customWidth="1"/>
    <x:col min="6554" max="6554" width="8.83203125" hidden="0" customWidth="1"/>
    <x:col min="6555" max="6555" width="8.83203125" hidden="0" customWidth="1"/>
    <x:col min="6556" max="6556" width="8.83203125" hidden="0" customWidth="1"/>
    <x:col min="6557" max="6557" width="8.83203125" hidden="0" customWidth="1"/>
    <x:col min="6558" max="6558" width="8.83203125" hidden="0" customWidth="1"/>
    <x:col min="6559" max="6559" width="8.83203125" hidden="0" customWidth="1"/>
    <x:col min="6560" max="6560" width="8.83203125" hidden="0" customWidth="1"/>
    <x:col min="6561" max="6561" width="8.83203125" hidden="0" customWidth="1"/>
    <x:col min="6562" max="6562" width="8.83203125" hidden="0" customWidth="1"/>
    <x:col min="6563" max="6563" width="8.83203125" hidden="0" customWidth="1"/>
    <x:col min="6564" max="6564" width="8.83203125" hidden="0" customWidth="1"/>
    <x:col min="6565" max="6565" width="8.83203125" hidden="0" customWidth="1"/>
    <x:col min="6566" max="6566" width="8.83203125" hidden="0" customWidth="1"/>
    <x:col min="6567" max="6567" width="8.83203125" hidden="0" customWidth="1"/>
    <x:col min="6568" max="6568" width="8.83203125" hidden="0" customWidth="1"/>
    <x:col min="6569" max="6569" width="8.83203125" hidden="0" customWidth="1"/>
    <x:col min="6570" max="6570" width="8.83203125" hidden="0" customWidth="1"/>
    <x:col min="6571" max="6571" width="8.83203125" hidden="0" customWidth="1"/>
    <x:col min="6572" max="6572" width="8.83203125" hidden="0" customWidth="1"/>
    <x:col min="6573" max="6573" width="8.83203125" hidden="0" customWidth="1"/>
    <x:col min="6574" max="6574" width="8.83203125" hidden="0" customWidth="1"/>
    <x:col min="6575" max="6575" width="8.83203125" hidden="0" customWidth="1"/>
    <x:col min="6576" max="6576" width="8.83203125" hidden="0" customWidth="1"/>
    <x:col min="6577" max="6577" width="8.83203125" hidden="0" customWidth="1"/>
    <x:col min="6578" max="6578" width="8.83203125" hidden="0" customWidth="1"/>
    <x:col min="6579" max="6579" width="8.83203125" hidden="0" customWidth="1"/>
    <x:col min="6580" max="6580" width="8.83203125" hidden="0" customWidth="1"/>
    <x:col min="6581" max="6581" width="8.83203125" hidden="0" customWidth="1"/>
    <x:col min="6582" max="6582" width="8.83203125" hidden="0" customWidth="1"/>
    <x:col min="6583" max="6583" width="8.83203125" hidden="0" customWidth="1"/>
    <x:col min="6584" max="6584" width="8.83203125" hidden="0" customWidth="1"/>
    <x:col min="6585" max="6585" width="8.83203125" hidden="0" customWidth="1"/>
    <x:col min="6586" max="6586" width="8.83203125" hidden="0" customWidth="1"/>
    <x:col min="6587" max="6587" width="8.83203125" hidden="0" customWidth="1"/>
    <x:col min="6588" max="6588" width="8.83203125" hidden="0" customWidth="1"/>
    <x:col min="6589" max="6589" width="8.83203125" hidden="0" customWidth="1"/>
    <x:col min="6590" max="6590" width="8.83203125" hidden="0" customWidth="1"/>
    <x:col min="6591" max="6591" width="8.83203125" hidden="0" customWidth="1"/>
    <x:col min="6592" max="6592" width="8.83203125" hidden="0" customWidth="1"/>
    <x:col min="6593" max="6593" width="8.83203125" hidden="0" customWidth="1"/>
    <x:col min="6594" max="6594" width="8.83203125" hidden="0" customWidth="1"/>
    <x:col min="6595" max="6595" width="8.83203125" hidden="0" customWidth="1"/>
    <x:col min="6596" max="6596" width="8.83203125" hidden="0" customWidth="1"/>
    <x:col min="6597" max="6597" width="8.83203125" hidden="0" customWidth="1"/>
    <x:col min="6598" max="6598" width="8.83203125" hidden="0" customWidth="1"/>
    <x:col min="6599" max="6599" width="8.83203125" hidden="0" customWidth="1"/>
    <x:col min="6600" max="6600" width="8.83203125" hidden="0" customWidth="1"/>
    <x:col min="6601" max="6601" width="8.83203125" hidden="0" customWidth="1"/>
    <x:col min="6602" max="6602" width="8.83203125" hidden="0" customWidth="1"/>
    <x:col min="6603" max="6603" width="8.83203125" hidden="0" customWidth="1"/>
    <x:col min="6604" max="6604" width="8.83203125" hidden="0" customWidth="1"/>
    <x:col min="6605" max="6605" width="8.83203125" hidden="0" customWidth="1"/>
    <x:col min="6606" max="6606" width="8.83203125" hidden="0" customWidth="1"/>
    <x:col min="6607" max="6607" width="8.83203125" hidden="0" customWidth="1"/>
    <x:col min="6608" max="6608" width="8.83203125" hidden="0" customWidth="1"/>
    <x:col min="6609" max="6609" width="8.83203125" hidden="0" customWidth="1"/>
    <x:col min="6610" max="6610" width="8.83203125" hidden="0" customWidth="1"/>
    <x:col min="6611" max="6611" width="8.83203125" hidden="0" customWidth="1"/>
    <x:col min="6612" max="6612" width="8.83203125" hidden="0" customWidth="1"/>
    <x:col min="6613" max="6613" width="8.83203125" hidden="0" customWidth="1"/>
    <x:col min="6614" max="6614" width="8.83203125" hidden="0" customWidth="1"/>
    <x:col min="6615" max="6615" width="8.83203125" hidden="0" customWidth="1"/>
    <x:col min="6616" max="6616" width="8.83203125" hidden="0" customWidth="1"/>
    <x:col min="6617" max="6617" width="8.83203125" hidden="0" customWidth="1"/>
    <x:col min="6618" max="6618" width="8.83203125" hidden="0" customWidth="1"/>
    <x:col min="6619" max="6619" width="8.83203125" hidden="0" customWidth="1"/>
    <x:col min="6620" max="6620" width="8.83203125" hidden="0" customWidth="1"/>
    <x:col min="6621" max="6621" width="8.83203125" hidden="0" customWidth="1"/>
    <x:col min="6622" max="6622" width="8.83203125" hidden="0" customWidth="1"/>
    <x:col min="6623" max="6623" width="8.83203125" hidden="0" customWidth="1"/>
    <x:col min="6624" max="6624" width="8.83203125" hidden="0" customWidth="1"/>
    <x:col min="6625" max="6625" width="8.83203125" hidden="0" customWidth="1"/>
    <x:col min="6626" max="6626" width="8.83203125" hidden="0" customWidth="1"/>
    <x:col min="6627" max="6627" width="8.83203125" hidden="0" customWidth="1"/>
    <x:col min="6628" max="6628" width="8.83203125" hidden="0" customWidth="1"/>
    <x:col min="6629" max="6629" width="8.83203125" hidden="0" customWidth="1"/>
    <x:col min="6630" max="6630" width="8.83203125" hidden="0" customWidth="1"/>
    <x:col min="6631" max="6631" width="8.83203125" hidden="0" customWidth="1"/>
    <x:col min="6632" max="6632" width="8.83203125" hidden="0" customWidth="1"/>
    <x:col min="6633" max="6633" width="8.83203125" hidden="0" customWidth="1"/>
    <x:col min="6634" max="6634" width="8.83203125" hidden="0" customWidth="1"/>
    <x:col min="6635" max="6635" width="8.83203125" hidden="0" customWidth="1"/>
    <x:col min="6636" max="6636" width="8.83203125" hidden="0" customWidth="1"/>
    <x:col min="6637" max="6637" width="8.83203125" hidden="0" customWidth="1"/>
    <x:col min="6638" max="6638" width="8.83203125" hidden="0" customWidth="1"/>
    <x:col min="6639" max="6639" width="8.83203125" hidden="0" customWidth="1"/>
    <x:col min="6640" max="6640" width="8.83203125" hidden="0" customWidth="1"/>
    <x:col min="6641" max="6641" width="8.83203125" hidden="0" customWidth="1"/>
    <x:col min="6642" max="6642" width="8.83203125" hidden="0" customWidth="1"/>
    <x:col min="6643" max="6643" width="8.83203125" hidden="0" customWidth="1"/>
    <x:col min="6644" max="6644" width="8.83203125" hidden="0" customWidth="1"/>
    <x:col min="6645" max="6645" width="8.83203125" hidden="0" customWidth="1"/>
    <x:col min="6646" max="6646" width="8.83203125" hidden="0" customWidth="1"/>
    <x:col min="6647" max="6647" width="8.83203125" hidden="0" customWidth="1"/>
    <x:col min="6648" max="6648" width="8.83203125" hidden="0" customWidth="1"/>
    <x:col min="6649" max="6649" width="8.83203125" hidden="0" customWidth="1"/>
    <x:col min="6650" max="6650" width="8.83203125" hidden="0" customWidth="1"/>
    <x:col min="6651" max="6651" width="8.83203125" hidden="0" customWidth="1"/>
    <x:col min="6652" max="6652" width="8.83203125" hidden="0" customWidth="1"/>
    <x:col min="6653" max="6653" width="8.83203125" hidden="0" customWidth="1"/>
    <x:col min="6654" max="6654" width="8.83203125" hidden="0" customWidth="1"/>
    <x:col min="6655" max="6655" width="8.83203125" hidden="0" customWidth="1"/>
    <x:col min="6656" max="6656" width="8.83203125" hidden="0" customWidth="1"/>
    <x:col min="6657" max="6657" width="8.83203125" hidden="0" customWidth="1"/>
    <x:col min="6658" max="6658" width="8.83203125" hidden="0" customWidth="1"/>
    <x:col min="6659" max="6659" width="8.83203125" hidden="0" customWidth="1"/>
    <x:col min="6660" max="6660" width="8.83203125" hidden="0" customWidth="1"/>
    <x:col min="6661" max="6661" width="8.83203125" hidden="0" customWidth="1"/>
    <x:col min="6662" max="6662" width="8.83203125" hidden="0" customWidth="1"/>
    <x:col min="6663" max="6663" width="8.83203125" hidden="0" customWidth="1"/>
    <x:col min="6664" max="6664" width="8.83203125" hidden="0" customWidth="1"/>
    <x:col min="6665" max="6665" width="8.83203125" hidden="0" customWidth="1"/>
    <x:col min="6666" max="6666" width="8.83203125" hidden="0" customWidth="1"/>
    <x:col min="6667" max="6667" width="8.83203125" hidden="0" customWidth="1"/>
    <x:col min="6668" max="6668" width="8.83203125" hidden="0" customWidth="1"/>
    <x:col min="6669" max="6669" width="8.83203125" hidden="0" customWidth="1"/>
    <x:col min="6670" max="6670" width="8.83203125" hidden="0" customWidth="1"/>
    <x:col min="6671" max="6671" width="8.83203125" hidden="0" customWidth="1"/>
    <x:col min="6672" max="6672" width="8.83203125" hidden="0" customWidth="1"/>
    <x:col min="6673" max="6673" width="8.83203125" hidden="0" customWidth="1"/>
    <x:col min="6674" max="6674" width="8.83203125" hidden="0" customWidth="1"/>
    <x:col min="6675" max="6675" width="8.83203125" hidden="0" customWidth="1"/>
    <x:col min="6676" max="6676" width="8.83203125" hidden="0" customWidth="1"/>
    <x:col min="6677" max="6677" width="8.83203125" hidden="0" customWidth="1"/>
    <x:col min="6678" max="6678" width="8.83203125" hidden="0" customWidth="1"/>
    <x:col min="6679" max="6679" width="8.83203125" hidden="0" customWidth="1"/>
    <x:col min="6680" max="6680" width="8.83203125" hidden="0" customWidth="1"/>
    <x:col min="6681" max="6681" width="8.83203125" hidden="0" customWidth="1"/>
    <x:col min="6682" max="6682" width="8.83203125" hidden="0" customWidth="1"/>
    <x:col min="6683" max="6683" width="8.83203125" hidden="0" customWidth="1"/>
    <x:col min="6684" max="6684" width="8.83203125" hidden="0" customWidth="1"/>
    <x:col min="6685" max="6685" width="8.83203125" hidden="0" customWidth="1"/>
    <x:col min="6686" max="6686" width="8.83203125" hidden="0" customWidth="1"/>
    <x:col min="6687" max="6687" width="8.83203125" hidden="0" customWidth="1"/>
    <x:col min="6688" max="6688" width="8.83203125" hidden="0" customWidth="1"/>
    <x:col min="6689" max="6689" width="8.83203125" hidden="0" customWidth="1"/>
    <x:col min="6690" max="6690" width="8.83203125" hidden="0" customWidth="1"/>
    <x:col min="6691" max="6691" width="8.83203125" hidden="0" customWidth="1"/>
    <x:col min="6692" max="6692" width="8.83203125" hidden="0" customWidth="1"/>
    <x:col min="6693" max="6693" width="8.83203125" hidden="0" customWidth="1"/>
    <x:col min="6694" max="6694" width="8.83203125" hidden="0" customWidth="1"/>
    <x:col min="6695" max="6695" width="8.83203125" hidden="0" customWidth="1"/>
    <x:col min="6696" max="6696" width="8.83203125" hidden="0" customWidth="1"/>
    <x:col min="6697" max="6697" width="8.83203125" hidden="0" customWidth="1"/>
    <x:col min="6698" max="6698" width="8.83203125" hidden="0" customWidth="1"/>
    <x:col min="6699" max="6699" width="8.83203125" hidden="0" customWidth="1"/>
    <x:col min="6700" max="6700" width="8.83203125" hidden="0" customWidth="1"/>
    <x:col min="6701" max="6701" width="8.83203125" hidden="0" customWidth="1"/>
    <x:col min="6702" max="6702" width="8.83203125" hidden="0" customWidth="1"/>
    <x:col min="6703" max="6703" width="8.83203125" hidden="0" customWidth="1"/>
    <x:col min="6704" max="6704" width="8.83203125" hidden="0" customWidth="1"/>
    <x:col min="6705" max="6705" width="8.83203125" hidden="0" customWidth="1"/>
    <x:col min="6706" max="6706" width="8.83203125" hidden="0" customWidth="1"/>
    <x:col min="6707" max="6707" width="8.83203125" hidden="0" customWidth="1"/>
    <x:col min="6708" max="6708" width="8.83203125" hidden="0" customWidth="1"/>
    <x:col min="6709" max="6709" width="8.83203125" hidden="0" customWidth="1"/>
    <x:col min="6710" max="6710" width="8.83203125" hidden="0" customWidth="1"/>
    <x:col min="6711" max="6711" width="8.83203125" hidden="0" customWidth="1"/>
    <x:col min="6712" max="6712" width="8.83203125" hidden="0" customWidth="1"/>
    <x:col min="6713" max="6713" width="8.83203125" hidden="0" customWidth="1"/>
    <x:col min="6714" max="6714" width="8.83203125" hidden="0" customWidth="1"/>
    <x:col min="6715" max="6715" width="8.83203125" hidden="0" customWidth="1"/>
    <x:col min="6716" max="6716" width="8.83203125" hidden="0" customWidth="1"/>
    <x:col min="6717" max="6717" width="8.83203125" hidden="0" customWidth="1"/>
    <x:col min="6718" max="6718" width="8.83203125" hidden="0" customWidth="1"/>
    <x:col min="6719" max="6719" width="8.83203125" hidden="0" customWidth="1"/>
    <x:col min="6720" max="6720" width="8.83203125" hidden="0" customWidth="1"/>
    <x:col min="6721" max="6721" width="8.83203125" hidden="0" customWidth="1"/>
    <x:col min="6722" max="6722" width="8.83203125" hidden="0" customWidth="1"/>
    <x:col min="6723" max="6723" width="8.83203125" hidden="0" customWidth="1"/>
    <x:col min="6724" max="6724" width="8.83203125" hidden="0" customWidth="1"/>
    <x:col min="6725" max="6725" width="8.83203125" hidden="0" customWidth="1"/>
    <x:col min="6726" max="6726" width="8.83203125" hidden="0" customWidth="1"/>
    <x:col min="6727" max="6727" width="8.83203125" hidden="0" customWidth="1"/>
    <x:col min="6728" max="6728" width="8.83203125" hidden="0" customWidth="1"/>
    <x:col min="6729" max="6729" width="8.83203125" hidden="0" customWidth="1"/>
    <x:col min="6730" max="6730" width="8.83203125" hidden="0" customWidth="1"/>
    <x:col min="6731" max="6731" width="8.83203125" hidden="0" customWidth="1"/>
    <x:col min="6732" max="6732" width="8.83203125" hidden="0" customWidth="1"/>
    <x:col min="6733" max="6733" width="8.83203125" hidden="0" customWidth="1"/>
    <x:col min="6734" max="6734" width="8.83203125" hidden="0" customWidth="1"/>
    <x:col min="6735" max="6735" width="8.83203125" hidden="0" customWidth="1"/>
    <x:col min="6736" max="6736" width="8.83203125" hidden="0" customWidth="1"/>
    <x:col min="6737" max="6737" width="8.83203125" hidden="0" customWidth="1"/>
    <x:col min="6738" max="6738" width="8.83203125" hidden="0" customWidth="1"/>
    <x:col min="6739" max="6739" width="8.83203125" hidden="0" customWidth="1"/>
    <x:col min="6740" max="6740" width="8.83203125" hidden="0" customWidth="1"/>
    <x:col min="6741" max="6741" width="8.83203125" hidden="0" customWidth="1"/>
    <x:col min="6742" max="6742" width="8.83203125" hidden="0" customWidth="1"/>
    <x:col min="6743" max="6743" width="8.83203125" hidden="0" customWidth="1"/>
    <x:col min="6744" max="6744" width="8.83203125" hidden="0" customWidth="1"/>
    <x:col min="6745" max="6745" width="8.83203125" hidden="0" customWidth="1"/>
    <x:col min="6746" max="6746" width="8.83203125" hidden="0" customWidth="1"/>
    <x:col min="6747" max="6747" width="8.83203125" hidden="0" customWidth="1"/>
    <x:col min="6748" max="6748" width="8.83203125" hidden="0" customWidth="1"/>
    <x:col min="6749" max="6749" width="8.83203125" hidden="0" customWidth="1"/>
    <x:col min="6750" max="6750" width="8.83203125" hidden="0" customWidth="1"/>
    <x:col min="6751" max="6751" width="8.83203125" hidden="0" customWidth="1"/>
    <x:col min="6752" max="6752" width="8.83203125" hidden="0" customWidth="1"/>
    <x:col min="6753" max="6753" width="8.83203125" hidden="0" customWidth="1"/>
    <x:col min="6754" max="6754" width="8.83203125" hidden="0" customWidth="1"/>
    <x:col min="6755" max="6755" width="8.83203125" hidden="0" customWidth="1"/>
    <x:col min="6756" max="6756" width="8.83203125" hidden="0" customWidth="1"/>
    <x:col min="6757" max="6757" width="8.83203125" hidden="0" customWidth="1"/>
    <x:col min="6758" max="6758" width="8.83203125" hidden="0" customWidth="1"/>
    <x:col min="6759" max="6759" width="8.83203125" hidden="0" customWidth="1"/>
    <x:col min="6760" max="6760" width="8.83203125" hidden="0" customWidth="1"/>
    <x:col min="6761" max="6761" width="8.83203125" hidden="0" customWidth="1"/>
    <x:col min="6762" max="6762" width="8.83203125" hidden="0" customWidth="1"/>
    <x:col min="6763" max="6763" width="8.83203125" hidden="0" customWidth="1"/>
    <x:col min="6764" max="6764" width="8.83203125" hidden="0" customWidth="1"/>
    <x:col min="6765" max="6765" width="8.83203125" hidden="0" customWidth="1"/>
    <x:col min="6766" max="6766" width="8.83203125" hidden="0" customWidth="1"/>
    <x:col min="6767" max="6767" width="8.83203125" hidden="0" customWidth="1"/>
    <x:col min="6768" max="6768" width="8.83203125" hidden="0" customWidth="1"/>
    <x:col min="6769" max="6769" width="8.83203125" hidden="0" customWidth="1"/>
    <x:col min="6770" max="6770" width="8.83203125" hidden="0" customWidth="1"/>
    <x:col min="6771" max="6771" width="8.83203125" hidden="0" customWidth="1"/>
    <x:col min="6772" max="6772" width="8.83203125" hidden="0" customWidth="1"/>
    <x:col min="6773" max="6773" width="8.83203125" hidden="0" customWidth="1"/>
    <x:col min="6774" max="6774" width="8.83203125" hidden="0" customWidth="1"/>
    <x:col min="6775" max="6775" width="8.83203125" hidden="0" customWidth="1"/>
    <x:col min="6776" max="6776" width="8.83203125" hidden="0" customWidth="1"/>
    <x:col min="6777" max="6777" width="8.83203125" hidden="0" customWidth="1"/>
    <x:col min="6778" max="6778" width="8.83203125" hidden="0" customWidth="1"/>
    <x:col min="6779" max="6779" width="8.83203125" hidden="0" customWidth="1"/>
    <x:col min="6780" max="6780" width="8.83203125" hidden="0" customWidth="1"/>
    <x:col min="6781" max="6781" width="8.83203125" hidden="0" customWidth="1"/>
    <x:col min="6782" max="6782" width="8.83203125" hidden="0" customWidth="1"/>
    <x:col min="6783" max="6783" width="8.83203125" hidden="0" customWidth="1"/>
    <x:col min="6784" max="6784" width="8.83203125" hidden="0" customWidth="1"/>
    <x:col min="6785" max="6785" width="8.83203125" hidden="0" customWidth="1"/>
    <x:col min="6786" max="6786" width="8.83203125" hidden="0" customWidth="1"/>
    <x:col min="6787" max="6787" width="8.83203125" hidden="0" customWidth="1"/>
    <x:col min="6788" max="6788" width="8.83203125" hidden="0" customWidth="1"/>
    <x:col min="6789" max="6789" width="8.83203125" hidden="0" customWidth="1"/>
    <x:col min="6790" max="6790" width="8.83203125" hidden="0" customWidth="1"/>
    <x:col min="6791" max="6791" width="8.83203125" hidden="0" customWidth="1"/>
    <x:col min="6792" max="6792" width="8.83203125" hidden="0" customWidth="1"/>
    <x:col min="6793" max="6793" width="8.83203125" hidden="0" customWidth="1"/>
    <x:col min="6794" max="6794" width="8.83203125" hidden="0" customWidth="1"/>
    <x:col min="6795" max="6795" width="8.83203125" hidden="0" customWidth="1"/>
    <x:col min="6796" max="6796" width="8.83203125" hidden="0" customWidth="1"/>
    <x:col min="6797" max="6797" width="8.83203125" hidden="0" customWidth="1"/>
    <x:col min="6798" max="6798" width="8.83203125" hidden="0" customWidth="1"/>
    <x:col min="6799" max="6799" width="8.83203125" hidden="0" customWidth="1"/>
    <x:col min="6800" max="6800" width="8.83203125" hidden="0" customWidth="1"/>
    <x:col min="6801" max="6801" width="8.83203125" hidden="0" customWidth="1"/>
    <x:col min="6802" max="6802" width="8.83203125" hidden="0" customWidth="1"/>
    <x:col min="6803" max="6803" width="8.83203125" hidden="0" customWidth="1"/>
    <x:col min="6804" max="6804" width="8.83203125" hidden="0" customWidth="1"/>
    <x:col min="6805" max="6805" width="8.83203125" hidden="0" customWidth="1"/>
    <x:col min="6806" max="6806" width="8.83203125" hidden="0" customWidth="1"/>
    <x:col min="6807" max="6807" width="8.83203125" hidden="0" customWidth="1"/>
    <x:col min="6808" max="6808" width="8.83203125" hidden="0" customWidth="1"/>
    <x:col min="6809" max="6809" width="8.83203125" hidden="0" customWidth="1"/>
    <x:col min="6810" max="6810" width="8.83203125" hidden="0" customWidth="1"/>
    <x:col min="6811" max="6811" width="8.83203125" hidden="0" customWidth="1"/>
    <x:col min="6812" max="6812" width="8.83203125" hidden="0" customWidth="1"/>
    <x:col min="6813" max="6813" width="8.83203125" hidden="0" customWidth="1"/>
    <x:col min="6814" max="6814" width="8.83203125" hidden="0" customWidth="1"/>
    <x:col min="6815" max="6815" width="8.83203125" hidden="0" customWidth="1"/>
    <x:col min="6816" max="6816" width="8.83203125" hidden="0" customWidth="1"/>
    <x:col min="6817" max="6817" width="8.83203125" hidden="0" customWidth="1"/>
    <x:col min="6818" max="6818" width="8.83203125" hidden="0" customWidth="1"/>
    <x:col min="6819" max="6819" width="8.83203125" hidden="0" customWidth="1"/>
    <x:col min="6820" max="6820" width="8.83203125" hidden="0" customWidth="1"/>
    <x:col min="6821" max="6821" width="8.83203125" hidden="0" customWidth="1"/>
    <x:col min="6822" max="6822" width="8.83203125" hidden="0" customWidth="1"/>
    <x:col min="6823" max="6823" width="8.83203125" hidden="0" customWidth="1"/>
    <x:col min="6824" max="6824" width="8.83203125" hidden="0" customWidth="1"/>
    <x:col min="6825" max="6825" width="8.83203125" hidden="0" customWidth="1"/>
    <x:col min="6826" max="6826" width="8.83203125" hidden="0" customWidth="1"/>
    <x:col min="6827" max="6827" width="8.83203125" hidden="0" customWidth="1"/>
    <x:col min="6828" max="6828" width="8.83203125" hidden="0" customWidth="1"/>
    <x:col min="6829" max="6829" width="8.83203125" hidden="0" customWidth="1"/>
    <x:col min="6830" max="6830" width="8.83203125" hidden="0" customWidth="1"/>
    <x:col min="6831" max="6831" width="8.83203125" hidden="0" customWidth="1"/>
    <x:col min="6832" max="6832" width="8.83203125" hidden="0" customWidth="1"/>
    <x:col min="6833" max="6833" width="8.83203125" hidden="0" customWidth="1"/>
    <x:col min="6834" max="6834" width="8.83203125" hidden="0" customWidth="1"/>
    <x:col min="6835" max="6835" width="8.83203125" hidden="0" customWidth="1"/>
    <x:col min="6836" max="6836" width="8.83203125" hidden="0" customWidth="1"/>
    <x:col min="6837" max="6837" width="8.83203125" hidden="0" customWidth="1"/>
    <x:col min="6838" max="6838" width="8.83203125" hidden="0" customWidth="1"/>
    <x:col min="6839" max="6839" width="8.83203125" hidden="0" customWidth="1"/>
    <x:col min="6840" max="6840" width="8.83203125" hidden="0" customWidth="1"/>
    <x:col min="6841" max="6841" width="8.83203125" hidden="0" customWidth="1"/>
    <x:col min="6842" max="6842" width="8.83203125" hidden="0" customWidth="1"/>
    <x:col min="6843" max="6843" width="8.83203125" hidden="0" customWidth="1"/>
    <x:col min="6844" max="6844" width="8.83203125" hidden="0" customWidth="1"/>
    <x:col min="6845" max="6845" width="8.83203125" hidden="0" customWidth="1"/>
    <x:col min="6846" max="6846" width="8.83203125" hidden="0" customWidth="1"/>
    <x:col min="6847" max="6847" width="8.83203125" hidden="0" customWidth="1"/>
    <x:col min="6848" max="6848" width="8.83203125" hidden="0" customWidth="1"/>
    <x:col min="6849" max="6849" width="8.83203125" hidden="0" customWidth="1"/>
    <x:col min="6850" max="6850" width="8.83203125" hidden="0" customWidth="1"/>
    <x:col min="6851" max="6851" width="8.83203125" hidden="0" customWidth="1"/>
    <x:col min="6852" max="6852" width="8.83203125" hidden="0" customWidth="1"/>
    <x:col min="6853" max="6853" width="8.83203125" hidden="0" customWidth="1"/>
    <x:col min="6854" max="6854" width="8.83203125" hidden="0" customWidth="1"/>
    <x:col min="6855" max="6855" width="8.83203125" hidden="0" customWidth="1"/>
    <x:col min="6856" max="6856" width="8.83203125" hidden="0" customWidth="1"/>
    <x:col min="6857" max="6857" width="8.83203125" hidden="0" customWidth="1"/>
    <x:col min="6858" max="6858" width="8.83203125" hidden="0" customWidth="1"/>
    <x:col min="6859" max="6859" width="8.83203125" hidden="0" customWidth="1"/>
    <x:col min="6860" max="6860" width="8.83203125" hidden="0" customWidth="1"/>
    <x:col min="6861" max="6861" width="8.83203125" hidden="0" customWidth="1"/>
    <x:col min="6862" max="6862" width="8.83203125" hidden="0" customWidth="1"/>
    <x:col min="6863" max="6863" width="8.83203125" hidden="0" customWidth="1"/>
    <x:col min="6864" max="6864" width="8.83203125" hidden="0" customWidth="1"/>
    <x:col min="6865" max="6865" width="8.83203125" hidden="0" customWidth="1"/>
    <x:col min="6866" max="6866" width="8.83203125" hidden="0" customWidth="1"/>
    <x:col min="6867" max="6867" width="8.83203125" hidden="0" customWidth="1"/>
    <x:col min="6868" max="6868" width="8.83203125" hidden="0" customWidth="1"/>
    <x:col min="6869" max="6869" width="8.83203125" hidden="0" customWidth="1"/>
    <x:col min="6870" max="6870" width="8.83203125" hidden="0" customWidth="1"/>
    <x:col min="6871" max="6871" width="8.83203125" hidden="0" customWidth="1"/>
    <x:col min="6872" max="6872" width="8.83203125" hidden="0" customWidth="1"/>
    <x:col min="6873" max="6873" width="8.83203125" hidden="0" customWidth="1"/>
    <x:col min="6874" max="6874" width="8.83203125" hidden="0" customWidth="1"/>
    <x:col min="6875" max="6875" width="8.83203125" hidden="0" customWidth="1"/>
    <x:col min="6876" max="6876" width="8.83203125" hidden="0" customWidth="1"/>
    <x:col min="6877" max="6877" width="8.83203125" hidden="0" customWidth="1"/>
    <x:col min="6878" max="6878" width="8.83203125" hidden="0" customWidth="1"/>
    <x:col min="6879" max="6879" width="8.83203125" hidden="0" customWidth="1"/>
    <x:col min="6880" max="6880" width="8.83203125" hidden="0" customWidth="1"/>
    <x:col min="6881" max="6881" width="8.83203125" hidden="0" customWidth="1"/>
    <x:col min="6882" max="6882" width="8.83203125" hidden="0" customWidth="1"/>
    <x:col min="6883" max="6883" width="8.83203125" hidden="0" customWidth="1"/>
    <x:col min="6884" max="6884" width="8.83203125" hidden="0" customWidth="1"/>
    <x:col min="6885" max="6885" width="8.83203125" hidden="0" customWidth="1"/>
    <x:col min="6886" max="6886" width="8.83203125" hidden="0" customWidth="1"/>
    <x:col min="6887" max="6887" width="8.83203125" hidden="0" customWidth="1"/>
    <x:col min="6888" max="6888" width="8.83203125" hidden="0" customWidth="1"/>
    <x:col min="6889" max="6889" width="8.83203125" hidden="0" customWidth="1"/>
    <x:col min="6890" max="6890" width="8.83203125" hidden="0" customWidth="1"/>
    <x:col min="6891" max="6891" width="8.83203125" hidden="0" customWidth="1"/>
    <x:col min="6892" max="6892" width="8.83203125" hidden="0" customWidth="1"/>
    <x:col min="6893" max="6893" width="8.83203125" hidden="0" customWidth="1"/>
    <x:col min="6894" max="6894" width="8.83203125" hidden="0" customWidth="1"/>
    <x:col min="6895" max="6895" width="8.83203125" hidden="0" customWidth="1"/>
    <x:col min="6896" max="6896" width="8.83203125" hidden="0" customWidth="1"/>
    <x:col min="6897" max="6897" width="8.83203125" hidden="0" customWidth="1"/>
    <x:col min="6898" max="6898" width="8.83203125" hidden="0" customWidth="1"/>
    <x:col min="6899" max="6899" width="8.83203125" hidden="0" customWidth="1"/>
    <x:col min="6900" max="6900" width="8.83203125" hidden="0" customWidth="1"/>
    <x:col min="6901" max="6901" width="8.83203125" hidden="0" customWidth="1"/>
    <x:col min="6902" max="6902" width="8.83203125" hidden="0" customWidth="1"/>
    <x:col min="6903" max="6903" width="8.83203125" hidden="0" customWidth="1"/>
    <x:col min="6904" max="6904" width="8.83203125" hidden="0" customWidth="1"/>
    <x:col min="6905" max="6905" width="8.83203125" hidden="0" customWidth="1"/>
    <x:col min="6906" max="6906" width="8.83203125" hidden="0" customWidth="1"/>
    <x:col min="6907" max="6907" width="8.83203125" hidden="0" customWidth="1"/>
    <x:col min="6908" max="6908" width="8.83203125" hidden="0" customWidth="1"/>
    <x:col min="6909" max="6909" width="8.83203125" hidden="0" customWidth="1"/>
    <x:col min="6910" max="6910" width="8.83203125" hidden="0" customWidth="1"/>
    <x:col min="6911" max="6911" width="8.83203125" hidden="0" customWidth="1"/>
    <x:col min="6912" max="6912" width="8.83203125" hidden="0" customWidth="1"/>
    <x:col min="6913" max="6913" width="8.83203125" hidden="0" customWidth="1"/>
    <x:col min="6914" max="6914" width="8.83203125" hidden="0" customWidth="1"/>
    <x:col min="6915" max="6915" width="8.83203125" hidden="0" customWidth="1"/>
    <x:col min="6916" max="6916" width="8.83203125" hidden="0" customWidth="1"/>
    <x:col min="6917" max="6917" width="8.83203125" hidden="0" customWidth="1"/>
    <x:col min="6918" max="6918" width="8.83203125" hidden="0" customWidth="1"/>
    <x:col min="6919" max="6919" width="8.83203125" hidden="0" customWidth="1"/>
    <x:col min="6920" max="6920" width="8.83203125" hidden="0" customWidth="1"/>
    <x:col min="6921" max="6921" width="8.83203125" hidden="0" customWidth="1"/>
    <x:col min="6922" max="6922" width="8.83203125" hidden="0" customWidth="1"/>
    <x:col min="6923" max="6923" width="8.83203125" hidden="0" customWidth="1"/>
    <x:col min="6924" max="6924" width="8.83203125" hidden="0" customWidth="1"/>
    <x:col min="6925" max="6925" width="8.83203125" hidden="0" customWidth="1"/>
    <x:col min="6926" max="6926" width="8.83203125" hidden="0" customWidth="1"/>
    <x:col min="6927" max="6927" width="8.83203125" hidden="0" customWidth="1"/>
    <x:col min="6928" max="6928" width="8.83203125" hidden="0" customWidth="1"/>
    <x:col min="6929" max="6929" width="8.83203125" hidden="0" customWidth="1"/>
    <x:col min="6930" max="6930" width="8.83203125" hidden="0" customWidth="1"/>
    <x:col min="6931" max="6931" width="8.83203125" hidden="0" customWidth="1"/>
    <x:col min="6932" max="6932" width="8.83203125" hidden="0" customWidth="1"/>
    <x:col min="6933" max="6933" width="8.83203125" hidden="0" customWidth="1"/>
    <x:col min="6934" max="6934" width="8.83203125" hidden="0" customWidth="1"/>
    <x:col min="6935" max="6935" width="8.83203125" hidden="0" customWidth="1"/>
    <x:col min="6936" max="6936" width="8.83203125" hidden="0" customWidth="1"/>
    <x:col min="6937" max="6937" width="8.83203125" hidden="0" customWidth="1"/>
    <x:col min="6938" max="6938" width="8.83203125" hidden="0" customWidth="1"/>
    <x:col min="6939" max="6939" width="8.83203125" hidden="0" customWidth="1"/>
    <x:col min="6940" max="6940" width="8.83203125" hidden="0" customWidth="1"/>
    <x:col min="6941" max="6941" width="8.83203125" hidden="0" customWidth="1"/>
    <x:col min="6942" max="6942" width="8.83203125" hidden="0" customWidth="1"/>
    <x:col min="6943" max="6943" width="8.83203125" hidden="0" customWidth="1"/>
    <x:col min="6944" max="6944" width="8.83203125" hidden="0" customWidth="1"/>
    <x:col min="6945" max="6945" width="8.83203125" hidden="0" customWidth="1"/>
    <x:col min="6946" max="6946" width="8.83203125" hidden="0" customWidth="1"/>
    <x:col min="6947" max="6947" width="8.83203125" hidden="0" customWidth="1"/>
    <x:col min="6948" max="6948" width="8.83203125" hidden="0" customWidth="1"/>
    <x:col min="6949" max="6949" width="8.83203125" hidden="0" customWidth="1"/>
    <x:col min="6950" max="6950" width="8.83203125" hidden="0" customWidth="1"/>
    <x:col min="6951" max="6951" width="8.83203125" hidden="0" customWidth="1"/>
    <x:col min="6952" max="6952" width="8.83203125" hidden="0" customWidth="1"/>
    <x:col min="6953" max="6953" width="8.83203125" hidden="0" customWidth="1"/>
    <x:col min="6954" max="6954" width="8.83203125" hidden="0" customWidth="1"/>
    <x:col min="6955" max="6955" width="8.83203125" hidden="0" customWidth="1"/>
    <x:col min="6956" max="6956" width="8.83203125" hidden="0" customWidth="1"/>
    <x:col min="6957" max="6957" width="8.83203125" hidden="0" customWidth="1"/>
    <x:col min="6958" max="6958" width="8.83203125" hidden="0" customWidth="1"/>
    <x:col min="6959" max="6959" width="8.83203125" hidden="0" customWidth="1"/>
    <x:col min="6960" max="6960" width="8.83203125" hidden="0" customWidth="1"/>
    <x:col min="6961" max="6961" width="8.83203125" hidden="0" customWidth="1"/>
    <x:col min="6962" max="6962" width="8.83203125" hidden="0" customWidth="1"/>
    <x:col min="6963" max="6963" width="8.83203125" hidden="0" customWidth="1"/>
    <x:col min="6964" max="6964" width="8.83203125" hidden="0" customWidth="1"/>
    <x:col min="6965" max="6965" width="8.83203125" hidden="0" customWidth="1"/>
    <x:col min="6966" max="6966" width="8.83203125" hidden="0" customWidth="1"/>
    <x:col min="6967" max="6967" width="8.83203125" hidden="0" customWidth="1"/>
    <x:col min="6968" max="6968" width="8.83203125" hidden="0" customWidth="1"/>
    <x:col min="6969" max="6969" width="8.83203125" hidden="0" customWidth="1"/>
    <x:col min="6970" max="6970" width="8.83203125" hidden="0" customWidth="1"/>
    <x:col min="6971" max="6971" width="8.83203125" hidden="0" customWidth="1"/>
    <x:col min="6972" max="6972" width="8.83203125" hidden="0" customWidth="1"/>
    <x:col min="6973" max="6973" width="8.83203125" hidden="0" customWidth="1"/>
    <x:col min="6974" max="6974" width="8.83203125" hidden="0" customWidth="1"/>
    <x:col min="6975" max="6975" width="8.83203125" hidden="0" customWidth="1"/>
    <x:col min="6976" max="6976" width="8.83203125" hidden="0" customWidth="1"/>
    <x:col min="6977" max="6977" width="8.83203125" hidden="0" customWidth="1"/>
    <x:col min="6978" max="6978" width="8.83203125" hidden="0" customWidth="1"/>
    <x:col min="6979" max="6979" width="8.83203125" hidden="0" customWidth="1"/>
    <x:col min="6980" max="6980" width="8.83203125" hidden="0" customWidth="1"/>
    <x:col min="6981" max="6981" width="8.83203125" hidden="0" customWidth="1"/>
    <x:col min="6982" max="6982" width="8.83203125" hidden="0" customWidth="1"/>
    <x:col min="6983" max="6983" width="8.83203125" hidden="0" customWidth="1"/>
    <x:col min="6984" max="6984" width="8.83203125" hidden="0" customWidth="1"/>
    <x:col min="6985" max="6985" width="8.83203125" hidden="0" customWidth="1"/>
    <x:col min="6986" max="6986" width="8.83203125" hidden="0" customWidth="1"/>
    <x:col min="6987" max="6987" width="8.83203125" hidden="0" customWidth="1"/>
    <x:col min="6988" max="6988" width="8.83203125" hidden="0" customWidth="1"/>
    <x:col min="6989" max="6989" width="8.83203125" hidden="0" customWidth="1"/>
    <x:col min="6990" max="6990" width="8.83203125" hidden="0" customWidth="1"/>
    <x:col min="6991" max="6991" width="8.83203125" hidden="0" customWidth="1"/>
    <x:col min="6992" max="6992" width="8.83203125" hidden="0" customWidth="1"/>
    <x:col min="6993" max="6993" width="8.83203125" hidden="0" customWidth="1"/>
    <x:col min="6994" max="6994" width="8.83203125" hidden="0" customWidth="1"/>
    <x:col min="6995" max="6995" width="8.83203125" hidden="0" customWidth="1"/>
    <x:col min="6996" max="6996" width="8.83203125" hidden="0" customWidth="1"/>
    <x:col min="6997" max="6997" width="8.83203125" hidden="0" customWidth="1"/>
    <x:col min="6998" max="6998" width="8.83203125" hidden="0" customWidth="1"/>
    <x:col min="6999" max="6999" width="8.83203125" hidden="0" customWidth="1"/>
    <x:col min="7000" max="7000" width="8.83203125" hidden="0" customWidth="1"/>
    <x:col min="7001" max="7001" width="8.83203125" hidden="0" customWidth="1"/>
    <x:col min="7002" max="7002" width="8.83203125" hidden="0" customWidth="1"/>
    <x:col min="7003" max="7003" width="8.83203125" hidden="0" customWidth="1"/>
    <x:col min="7004" max="7004" width="8.83203125" hidden="0" customWidth="1"/>
    <x:col min="7005" max="7005" width="8.83203125" hidden="0" customWidth="1"/>
    <x:col min="7006" max="7006" width="8.83203125" hidden="0" customWidth="1"/>
    <x:col min="7007" max="7007" width="8.83203125" hidden="0" customWidth="1"/>
    <x:col min="7008" max="7008" width="8.83203125" hidden="0" customWidth="1"/>
    <x:col min="7009" max="7009" width="8.83203125" hidden="0" customWidth="1"/>
    <x:col min="7010" max="7010" width="8.83203125" hidden="0" customWidth="1"/>
    <x:col min="7011" max="7011" width="8.83203125" hidden="0" customWidth="1"/>
    <x:col min="7012" max="7012" width="8.83203125" hidden="0" customWidth="1"/>
    <x:col min="7013" max="7013" width="8.83203125" hidden="0" customWidth="1"/>
    <x:col min="7014" max="7014" width="8.83203125" hidden="0" customWidth="1"/>
    <x:col min="7015" max="7015" width="8.83203125" hidden="0" customWidth="1"/>
    <x:col min="7016" max="7016" width="8.83203125" hidden="0" customWidth="1"/>
    <x:col min="7017" max="7017" width="8.83203125" hidden="0" customWidth="1"/>
    <x:col min="7018" max="7018" width="8.83203125" hidden="0" customWidth="1"/>
    <x:col min="7019" max="7019" width="8.83203125" hidden="0" customWidth="1"/>
    <x:col min="7020" max="7020" width="8.83203125" hidden="0" customWidth="1"/>
    <x:col min="7021" max="7021" width="8.83203125" hidden="0" customWidth="1"/>
    <x:col min="7022" max="7022" width="8.83203125" hidden="0" customWidth="1"/>
    <x:col min="7023" max="7023" width="8.83203125" hidden="0" customWidth="1"/>
    <x:col min="7024" max="7024" width="8.83203125" hidden="0" customWidth="1"/>
    <x:col min="7025" max="7025" width="8.83203125" hidden="0" customWidth="1"/>
    <x:col min="7026" max="7026" width="8.83203125" hidden="0" customWidth="1"/>
    <x:col min="7027" max="7027" width="8.83203125" hidden="0" customWidth="1"/>
    <x:col min="7028" max="7028" width="8.83203125" hidden="0" customWidth="1"/>
    <x:col min="7029" max="7029" width="8.83203125" hidden="0" customWidth="1"/>
    <x:col min="7030" max="7030" width="8.83203125" hidden="0" customWidth="1"/>
    <x:col min="7031" max="7031" width="8.83203125" hidden="0" customWidth="1"/>
    <x:col min="7032" max="7032" width="8.83203125" hidden="0" customWidth="1"/>
    <x:col min="7033" max="7033" width="8.83203125" hidden="0" customWidth="1"/>
    <x:col min="7034" max="7034" width="8.83203125" hidden="0" customWidth="1"/>
    <x:col min="7035" max="7035" width="8.83203125" hidden="0" customWidth="1"/>
    <x:col min="7036" max="7036" width="8.83203125" hidden="0" customWidth="1"/>
    <x:col min="7037" max="7037" width="8.83203125" hidden="0" customWidth="1"/>
    <x:col min="7038" max="7038" width="8.83203125" hidden="0" customWidth="1"/>
    <x:col min="7039" max="7039" width="8.83203125" hidden="0" customWidth="1"/>
    <x:col min="7040" max="7040" width="8.83203125" hidden="0" customWidth="1"/>
    <x:col min="7041" max="7041" width="8.83203125" hidden="0" customWidth="1"/>
    <x:col min="7042" max="7042" width="8.83203125" hidden="0" customWidth="1"/>
    <x:col min="7043" max="7043" width="8.83203125" hidden="0" customWidth="1"/>
    <x:col min="7044" max="7044" width="8.83203125" hidden="0" customWidth="1"/>
    <x:col min="7045" max="7045" width="8.83203125" hidden="0" customWidth="1"/>
    <x:col min="7046" max="7046" width="8.83203125" hidden="0" customWidth="1"/>
    <x:col min="7047" max="7047" width="8.83203125" hidden="0" customWidth="1"/>
    <x:col min="7048" max="7048" width="8.83203125" hidden="0" customWidth="1"/>
    <x:col min="7049" max="7049" width="8.83203125" hidden="0" customWidth="1"/>
    <x:col min="7050" max="7050" width="8.83203125" hidden="0" customWidth="1"/>
    <x:col min="7051" max="7051" width="8.83203125" hidden="0" customWidth="1"/>
    <x:col min="7052" max="7052" width="8.83203125" hidden="0" customWidth="1"/>
    <x:col min="7053" max="7053" width="8.83203125" hidden="0" customWidth="1"/>
    <x:col min="7054" max="7054" width="8.83203125" hidden="0" customWidth="1"/>
    <x:col min="7055" max="7055" width="8.83203125" hidden="0" customWidth="1"/>
    <x:col min="7056" max="7056" width="8.83203125" hidden="0" customWidth="1"/>
    <x:col min="7057" max="7057" width="8.83203125" hidden="0" customWidth="1"/>
    <x:col min="7058" max="7058" width="8.83203125" hidden="0" customWidth="1"/>
    <x:col min="7059" max="7059" width="8.83203125" hidden="0" customWidth="1"/>
    <x:col min="7060" max="7060" width="8.83203125" hidden="0" customWidth="1"/>
    <x:col min="7061" max="7061" width="8.83203125" hidden="0" customWidth="1"/>
    <x:col min="7062" max="7062" width="8.83203125" hidden="0" customWidth="1"/>
    <x:col min="7063" max="7063" width="8.83203125" hidden="0" customWidth="1"/>
    <x:col min="7064" max="7064" width="8.83203125" hidden="0" customWidth="1"/>
    <x:col min="7065" max="7065" width="8.83203125" hidden="0" customWidth="1"/>
    <x:col min="7066" max="7066" width="8.83203125" hidden="0" customWidth="1"/>
    <x:col min="7067" max="7067" width="8.83203125" hidden="0" customWidth="1"/>
    <x:col min="7068" max="7068" width="8.83203125" hidden="0" customWidth="1"/>
    <x:col min="7069" max="7069" width="8.83203125" hidden="0" customWidth="1"/>
    <x:col min="7070" max="7070" width="8.83203125" hidden="0" customWidth="1"/>
    <x:col min="7071" max="7071" width="8.83203125" hidden="0" customWidth="1"/>
    <x:col min="7072" max="7072" width="8.83203125" hidden="0" customWidth="1"/>
    <x:col min="7073" max="7073" width="8.83203125" hidden="0" customWidth="1"/>
    <x:col min="7074" max="7074" width="8.83203125" hidden="0" customWidth="1"/>
    <x:col min="7075" max="7075" width="8.83203125" hidden="0" customWidth="1"/>
    <x:col min="7076" max="7076" width="8.83203125" hidden="0" customWidth="1"/>
    <x:col min="7077" max="7077" width="8.83203125" hidden="0" customWidth="1"/>
    <x:col min="7078" max="7078" width="8.83203125" hidden="0" customWidth="1"/>
    <x:col min="7079" max="7079" width="8.83203125" hidden="0" customWidth="1"/>
    <x:col min="7080" max="7080" width="8.83203125" hidden="0" customWidth="1"/>
    <x:col min="7081" max="7081" width="8.83203125" hidden="0" customWidth="1"/>
    <x:col min="7082" max="7082" width="8.83203125" hidden="0" customWidth="1"/>
    <x:col min="7083" max="7083" width="8.83203125" hidden="0" customWidth="1"/>
    <x:col min="7084" max="7084" width="8.83203125" hidden="0" customWidth="1"/>
    <x:col min="7085" max="7085" width="8.83203125" hidden="0" customWidth="1"/>
    <x:col min="7086" max="7086" width="8.83203125" hidden="0" customWidth="1"/>
    <x:col min="7087" max="7087" width="8.83203125" hidden="0" customWidth="1"/>
    <x:col min="7088" max="7088" width="8.83203125" hidden="0" customWidth="1"/>
    <x:col min="7089" max="7089" width="8.83203125" hidden="0" customWidth="1"/>
    <x:col min="7090" max="7090" width="8.83203125" hidden="0" customWidth="1"/>
    <x:col min="7091" max="7091" width="8.83203125" hidden="0" customWidth="1"/>
    <x:col min="7092" max="7092" width="8.83203125" hidden="0" customWidth="1"/>
    <x:col min="7093" max="7093" width="8.83203125" hidden="0" customWidth="1"/>
    <x:col min="7094" max="7094" width="8.83203125" hidden="0" customWidth="1"/>
    <x:col min="7095" max="7095" width="8.83203125" hidden="0" customWidth="1"/>
    <x:col min="7096" max="7096" width="8.83203125" hidden="0" customWidth="1"/>
    <x:col min="7097" max="7097" width="8.83203125" hidden="0" customWidth="1"/>
    <x:col min="7098" max="7098" width="8.83203125" hidden="0" customWidth="1"/>
    <x:col min="7099" max="7099" width="8.83203125" hidden="0" customWidth="1"/>
    <x:col min="7100" max="7100" width="8.83203125" hidden="0" customWidth="1"/>
    <x:col min="7101" max="7101" width="8.83203125" hidden="0" customWidth="1"/>
    <x:col min="7102" max="7102" width="8.83203125" hidden="0" customWidth="1"/>
    <x:col min="7103" max="7103" width="8.83203125" hidden="0" customWidth="1"/>
    <x:col min="7104" max="7104" width="8.83203125" hidden="0" customWidth="1"/>
    <x:col min="7105" max="7105" width="8.83203125" hidden="0" customWidth="1"/>
    <x:col min="7106" max="7106" width="8.83203125" hidden="0" customWidth="1"/>
    <x:col min="7107" max="7107" width="8.83203125" hidden="0" customWidth="1"/>
    <x:col min="7108" max="7108" width="8.83203125" hidden="0" customWidth="1"/>
    <x:col min="7109" max="7109" width="8.83203125" hidden="0" customWidth="1"/>
    <x:col min="7110" max="7110" width="8.83203125" hidden="0" customWidth="1"/>
    <x:col min="7111" max="7111" width="8.83203125" hidden="0" customWidth="1"/>
    <x:col min="7112" max="7112" width="8.83203125" hidden="0" customWidth="1"/>
    <x:col min="7113" max="7113" width="8.83203125" hidden="0" customWidth="1"/>
    <x:col min="7114" max="7114" width="8.83203125" hidden="0" customWidth="1"/>
    <x:col min="7115" max="7115" width="8.83203125" hidden="0" customWidth="1"/>
    <x:col min="7116" max="7116" width="8.83203125" hidden="0" customWidth="1"/>
    <x:col min="7117" max="7117" width="8.83203125" hidden="0" customWidth="1"/>
    <x:col min="7118" max="7118" width="8.83203125" hidden="0" customWidth="1"/>
    <x:col min="7119" max="7119" width="8.83203125" hidden="0" customWidth="1"/>
    <x:col min="7120" max="7120" width="8.83203125" hidden="0" customWidth="1"/>
    <x:col min="7121" max="7121" width="8.83203125" hidden="0" customWidth="1"/>
    <x:col min="7122" max="7122" width="8.83203125" hidden="0" customWidth="1"/>
    <x:col min="7123" max="7123" width="8.83203125" hidden="0" customWidth="1"/>
    <x:col min="7124" max="7124" width="8.83203125" hidden="0" customWidth="1"/>
    <x:col min="7125" max="7125" width="8.83203125" hidden="0" customWidth="1"/>
    <x:col min="7126" max="7126" width="8.83203125" hidden="0" customWidth="1"/>
    <x:col min="7127" max="7127" width="8.83203125" hidden="0" customWidth="1"/>
    <x:col min="7128" max="7128" width="8.83203125" hidden="0" customWidth="1"/>
    <x:col min="7129" max="7129" width="8.83203125" hidden="0" customWidth="1"/>
    <x:col min="7130" max="7130" width="8.83203125" hidden="0" customWidth="1"/>
    <x:col min="7131" max="7131" width="8.83203125" hidden="0" customWidth="1"/>
    <x:col min="7132" max="7132" width="8.83203125" hidden="0" customWidth="1"/>
    <x:col min="7133" max="7133" width="8.83203125" hidden="0" customWidth="1"/>
    <x:col min="7134" max="7134" width="8.83203125" hidden="0" customWidth="1"/>
    <x:col min="7135" max="7135" width="8.83203125" hidden="0" customWidth="1"/>
    <x:col min="7136" max="7136" width="8.83203125" hidden="0" customWidth="1"/>
    <x:col min="7137" max="7137" width="8.83203125" hidden="0" customWidth="1"/>
    <x:col min="7138" max="7138" width="8.83203125" hidden="0" customWidth="1"/>
    <x:col min="7139" max="7139" width="8.83203125" hidden="0" customWidth="1"/>
    <x:col min="7140" max="7140" width="8.83203125" hidden="0" customWidth="1"/>
    <x:col min="7141" max="7141" width="8.83203125" hidden="0" customWidth="1"/>
    <x:col min="7142" max="7142" width="8.83203125" hidden="0" customWidth="1"/>
    <x:col min="7143" max="7143" width="8.83203125" hidden="0" customWidth="1"/>
    <x:col min="7144" max="7144" width="8.83203125" hidden="0" customWidth="1"/>
    <x:col min="7145" max="7145" width="8.83203125" hidden="0" customWidth="1"/>
    <x:col min="7146" max="7146" width="8.83203125" hidden="0" customWidth="1"/>
    <x:col min="7147" max="7147" width="8.83203125" hidden="0" customWidth="1"/>
    <x:col min="7148" max="7148" width="8.83203125" hidden="0" customWidth="1"/>
    <x:col min="7149" max="7149" width="8.83203125" hidden="0" customWidth="1"/>
    <x:col min="7150" max="7150" width="8.83203125" hidden="0" customWidth="1"/>
    <x:col min="7151" max="7151" width="8.83203125" hidden="0" customWidth="1"/>
    <x:col min="7152" max="7152" width="8.83203125" hidden="0" customWidth="1"/>
    <x:col min="7153" max="7153" width="8.83203125" hidden="0" customWidth="1"/>
    <x:col min="7154" max="7154" width="8.83203125" hidden="0" customWidth="1"/>
    <x:col min="7155" max="7155" width="8.83203125" hidden="0" customWidth="1"/>
    <x:col min="7156" max="7156" width="8.83203125" hidden="0" customWidth="1"/>
    <x:col min="7157" max="7157" width="8.83203125" hidden="0" customWidth="1"/>
    <x:col min="7158" max="7158" width="8.83203125" hidden="0" customWidth="1"/>
    <x:col min="7159" max="7159" width="8.83203125" hidden="0" customWidth="1"/>
    <x:col min="7160" max="7160" width="8.83203125" hidden="0" customWidth="1"/>
    <x:col min="7161" max="7161" width="8.83203125" hidden="0" customWidth="1"/>
    <x:col min="7162" max="7162" width="8.83203125" hidden="0" customWidth="1"/>
    <x:col min="7163" max="7163" width="8.83203125" hidden="0" customWidth="1"/>
    <x:col min="7164" max="7164" width="8.83203125" hidden="0" customWidth="1"/>
    <x:col min="7165" max="7165" width="8.83203125" hidden="0" customWidth="1"/>
    <x:col min="7166" max="7166" width="8.83203125" hidden="0" customWidth="1"/>
    <x:col min="7167" max="7167" width="8.83203125" hidden="0" customWidth="1"/>
    <x:col min="7168" max="7168" width="8.83203125" hidden="0" customWidth="1"/>
    <x:col min="7169" max="7169" width="8.83203125" hidden="0" customWidth="1"/>
    <x:col min="7170" max="7170" width="8.83203125" hidden="0" customWidth="1"/>
    <x:col min="7171" max="7171" width="8.83203125" hidden="0" customWidth="1"/>
    <x:col min="7172" max="7172" width="8.83203125" hidden="0" customWidth="1"/>
    <x:col min="7173" max="7173" width="8.83203125" hidden="0" customWidth="1"/>
    <x:col min="7174" max="7174" width="8.83203125" hidden="0" customWidth="1"/>
    <x:col min="7175" max="7175" width="8.83203125" hidden="0" customWidth="1"/>
    <x:col min="7176" max="7176" width="8.83203125" hidden="0" customWidth="1"/>
    <x:col min="7177" max="7177" width="8.83203125" hidden="0" customWidth="1"/>
    <x:col min="7178" max="7178" width="8.83203125" hidden="0" customWidth="1"/>
    <x:col min="7179" max="7179" width="8.83203125" hidden="0" customWidth="1"/>
    <x:col min="7180" max="7180" width="8.83203125" hidden="0" customWidth="1"/>
    <x:col min="7181" max="7181" width="8.83203125" hidden="0" customWidth="1"/>
    <x:col min="7182" max="7182" width="8.83203125" hidden="0" customWidth="1"/>
    <x:col min="7183" max="7183" width="8.83203125" hidden="0" customWidth="1"/>
    <x:col min="7184" max="7184" width="8.83203125" hidden="0" customWidth="1"/>
    <x:col min="7185" max="7185" width="8.83203125" hidden="0" customWidth="1"/>
    <x:col min="7186" max="7186" width="8.83203125" hidden="0" customWidth="1"/>
    <x:col min="7187" max="7187" width="8.83203125" hidden="0" customWidth="1"/>
    <x:col min="7188" max="7188" width="8.83203125" hidden="0" customWidth="1"/>
    <x:col min="7189" max="7189" width="8.83203125" hidden="0" customWidth="1"/>
    <x:col min="7190" max="7190" width="8.83203125" hidden="0" customWidth="1"/>
    <x:col min="7191" max="7191" width="8.83203125" hidden="0" customWidth="1"/>
    <x:col min="7192" max="7192" width="8.83203125" hidden="0" customWidth="1"/>
    <x:col min="7193" max="7193" width="8.83203125" hidden="0" customWidth="1"/>
    <x:col min="7194" max="7194" width="8.83203125" hidden="0" customWidth="1"/>
    <x:col min="7195" max="7195" width="8.83203125" hidden="0" customWidth="1"/>
    <x:col min="7196" max="7196" width="8.83203125" hidden="0" customWidth="1"/>
    <x:col min="7197" max="7197" width="8.83203125" hidden="0" customWidth="1"/>
    <x:col min="7198" max="7198" width="8.83203125" hidden="0" customWidth="1"/>
    <x:col min="7199" max="7199" width="8.83203125" hidden="0" customWidth="1"/>
    <x:col min="7200" max="7200" width="8.83203125" hidden="0" customWidth="1"/>
    <x:col min="7201" max="7201" width="8.83203125" hidden="0" customWidth="1"/>
    <x:col min="7202" max="7202" width="8.83203125" hidden="0" customWidth="1"/>
    <x:col min="7203" max="7203" width="8.83203125" hidden="0" customWidth="1"/>
    <x:col min="7204" max="7204" width="8.83203125" hidden="0" customWidth="1"/>
    <x:col min="7205" max="7205" width="8.83203125" hidden="0" customWidth="1"/>
    <x:col min="7206" max="7206" width="8.83203125" hidden="0" customWidth="1"/>
    <x:col min="7207" max="7207" width="8.83203125" hidden="0" customWidth="1"/>
    <x:col min="7208" max="7208" width="8.83203125" hidden="0" customWidth="1"/>
    <x:col min="7209" max="7209" width="8.83203125" hidden="0" customWidth="1"/>
    <x:col min="7210" max="7210" width="8.83203125" hidden="0" customWidth="1"/>
    <x:col min="7211" max="7211" width="8.83203125" hidden="0" customWidth="1"/>
    <x:col min="7212" max="7212" width="8.83203125" hidden="0" customWidth="1"/>
    <x:col min="7213" max="7213" width="8.83203125" hidden="0" customWidth="1"/>
    <x:col min="7214" max="7214" width="8.83203125" hidden="0" customWidth="1"/>
    <x:col min="7215" max="7215" width="8.83203125" hidden="0" customWidth="1"/>
    <x:col min="7216" max="7216" width="8.83203125" hidden="0" customWidth="1"/>
    <x:col min="7217" max="7217" width="8.83203125" hidden="0" customWidth="1"/>
    <x:col min="7218" max="7218" width="8.83203125" hidden="0" customWidth="1"/>
    <x:col min="7219" max="7219" width="8.83203125" hidden="0" customWidth="1"/>
    <x:col min="7220" max="7220" width="8.83203125" hidden="0" customWidth="1"/>
    <x:col min="7221" max="7221" width="8.83203125" hidden="0" customWidth="1"/>
    <x:col min="7222" max="7222" width="8.83203125" hidden="0" customWidth="1"/>
    <x:col min="7223" max="7223" width="8.83203125" hidden="0" customWidth="1"/>
    <x:col min="7224" max="7224" width="8.83203125" hidden="0" customWidth="1"/>
    <x:col min="7225" max="7225" width="8.83203125" hidden="0" customWidth="1"/>
    <x:col min="7226" max="7226" width="8.83203125" hidden="0" customWidth="1"/>
    <x:col min="7227" max="7227" width="8.83203125" hidden="0" customWidth="1"/>
    <x:col min="7228" max="7228" width="8.83203125" hidden="0" customWidth="1"/>
    <x:col min="7229" max="7229" width="8.83203125" hidden="0" customWidth="1"/>
    <x:col min="7230" max="7230" width="8.83203125" hidden="0" customWidth="1"/>
    <x:col min="7231" max="7231" width="8.83203125" hidden="0" customWidth="1"/>
    <x:col min="7232" max="7232" width="8.83203125" hidden="0" customWidth="1"/>
    <x:col min="7233" max="7233" width="8.83203125" hidden="0" customWidth="1"/>
    <x:col min="7234" max="7234" width="8.83203125" hidden="0" customWidth="1"/>
    <x:col min="7235" max="7235" width="8.83203125" hidden="0" customWidth="1"/>
    <x:col min="7236" max="7236" width="8.83203125" hidden="0" customWidth="1"/>
    <x:col min="7237" max="7237" width="8.83203125" hidden="0" customWidth="1"/>
    <x:col min="7238" max="7238" width="8.83203125" hidden="0" customWidth="1"/>
    <x:col min="7239" max="7239" width="8.83203125" hidden="0" customWidth="1"/>
    <x:col min="7240" max="7240" width="8.83203125" hidden="0" customWidth="1"/>
    <x:col min="7241" max="7241" width="8.83203125" hidden="0" customWidth="1"/>
    <x:col min="7242" max="7242" width="8.83203125" hidden="0" customWidth="1"/>
    <x:col min="7243" max="7243" width="8.83203125" hidden="0" customWidth="1"/>
    <x:col min="7244" max="7244" width="8.83203125" hidden="0" customWidth="1"/>
    <x:col min="7245" max="7245" width="8.83203125" hidden="0" customWidth="1"/>
    <x:col min="7246" max="7246" width="8.83203125" hidden="0" customWidth="1"/>
    <x:col min="7247" max="7247" width="8.83203125" hidden="0" customWidth="1"/>
    <x:col min="7248" max="7248" width="8.83203125" hidden="0" customWidth="1"/>
    <x:col min="7249" max="7249" width="8.83203125" hidden="0" customWidth="1"/>
    <x:col min="7250" max="7250" width="8.83203125" hidden="0" customWidth="1"/>
    <x:col min="7251" max="7251" width="8.83203125" hidden="0" customWidth="1"/>
    <x:col min="7252" max="7252" width="8.83203125" hidden="0" customWidth="1"/>
    <x:col min="7253" max="7253" width="8.83203125" hidden="0" customWidth="1"/>
    <x:col min="7254" max="7254" width="8.83203125" hidden="0" customWidth="1"/>
    <x:col min="7255" max="7255" width="8.83203125" hidden="0" customWidth="1"/>
    <x:col min="7256" max="7256" width="8.83203125" hidden="0" customWidth="1"/>
    <x:col min="7257" max="7257" width="8.83203125" hidden="0" customWidth="1"/>
    <x:col min="7258" max="7258" width="8.83203125" hidden="0" customWidth="1"/>
    <x:col min="7259" max="7259" width="8.83203125" hidden="0" customWidth="1"/>
    <x:col min="7260" max="7260" width="8.83203125" hidden="0" customWidth="1"/>
    <x:col min="7261" max="7261" width="8.83203125" hidden="0" customWidth="1"/>
    <x:col min="7262" max="7262" width="8.83203125" hidden="0" customWidth="1"/>
    <x:col min="7263" max="7263" width="8.83203125" hidden="0" customWidth="1"/>
    <x:col min="7264" max="7264" width="8.83203125" hidden="0" customWidth="1"/>
    <x:col min="7265" max="7265" width="8.83203125" hidden="0" customWidth="1"/>
    <x:col min="7266" max="7266" width="8.83203125" hidden="0" customWidth="1"/>
    <x:col min="7267" max="7267" width="8.83203125" hidden="0" customWidth="1"/>
    <x:col min="7268" max="7268" width="8.83203125" hidden="0" customWidth="1"/>
    <x:col min="7269" max="7269" width="8.83203125" hidden="0" customWidth="1"/>
    <x:col min="7270" max="7270" width="8.83203125" hidden="0" customWidth="1"/>
    <x:col min="7271" max="7271" width="8.83203125" hidden="0" customWidth="1"/>
    <x:col min="7272" max="7272" width="8.83203125" hidden="0" customWidth="1"/>
    <x:col min="7273" max="7273" width="8.83203125" hidden="0" customWidth="1"/>
    <x:col min="7274" max="7274" width="8.83203125" hidden="0" customWidth="1"/>
    <x:col min="7275" max="7275" width="8.83203125" hidden="0" customWidth="1"/>
    <x:col min="7276" max="7276" width="8.83203125" hidden="0" customWidth="1"/>
    <x:col min="7277" max="7277" width="8.83203125" hidden="0" customWidth="1"/>
    <x:col min="7278" max="7278" width="8.83203125" hidden="0" customWidth="1"/>
    <x:col min="7279" max="7279" width="8.83203125" hidden="0" customWidth="1"/>
    <x:col min="7280" max="7280" width="8.83203125" hidden="0" customWidth="1"/>
    <x:col min="7281" max="7281" width="8.83203125" hidden="0" customWidth="1"/>
    <x:col min="7282" max="7282" width="8.83203125" hidden="0" customWidth="1"/>
    <x:col min="7283" max="7283" width="8.83203125" hidden="0" customWidth="1"/>
    <x:col min="7284" max="7284" width="8.83203125" hidden="0" customWidth="1"/>
    <x:col min="7285" max="7285" width="8.83203125" hidden="0" customWidth="1"/>
    <x:col min="7286" max="7286" width="8.83203125" hidden="0" customWidth="1"/>
    <x:col min="7287" max="7287" width="8.83203125" hidden="0" customWidth="1"/>
    <x:col min="7288" max="7288" width="8.83203125" hidden="0" customWidth="1"/>
    <x:col min="7289" max="7289" width="8.83203125" hidden="0" customWidth="1"/>
    <x:col min="7290" max="7290" width="8.83203125" hidden="0" customWidth="1"/>
    <x:col min="7291" max="7291" width="8.83203125" hidden="0" customWidth="1"/>
    <x:col min="7292" max="7292" width="8.83203125" hidden="0" customWidth="1"/>
    <x:col min="7293" max="7293" width="8.83203125" hidden="0" customWidth="1"/>
    <x:col min="7294" max="7294" width="8.83203125" hidden="0" customWidth="1"/>
    <x:col min="7295" max="7295" width="8.83203125" hidden="0" customWidth="1"/>
    <x:col min="7296" max="7296" width="8.83203125" hidden="0" customWidth="1"/>
    <x:col min="7297" max="7297" width="8.83203125" hidden="0" customWidth="1"/>
    <x:col min="7298" max="7298" width="8.83203125" hidden="0" customWidth="1"/>
    <x:col min="7299" max="7299" width="8.83203125" hidden="0" customWidth="1"/>
    <x:col min="7300" max="7300" width="8.83203125" hidden="0" customWidth="1"/>
    <x:col min="7301" max="7301" width="8.83203125" hidden="0" customWidth="1"/>
    <x:col min="7302" max="7302" width="8.83203125" hidden="0" customWidth="1"/>
    <x:col min="7303" max="7303" width="8.83203125" hidden="0" customWidth="1"/>
    <x:col min="7304" max="7304" width="8.83203125" hidden="0" customWidth="1"/>
    <x:col min="7305" max="7305" width="8.83203125" hidden="0" customWidth="1"/>
    <x:col min="7306" max="7306" width="8.83203125" hidden="0" customWidth="1"/>
    <x:col min="7307" max="7307" width="8.83203125" hidden="0" customWidth="1"/>
    <x:col min="7308" max="7308" width="8.83203125" hidden="0" customWidth="1"/>
    <x:col min="7309" max="7309" width="8.83203125" hidden="0" customWidth="1"/>
    <x:col min="7310" max="7310" width="8.83203125" hidden="0" customWidth="1"/>
    <x:col min="7311" max="7311" width="8.83203125" hidden="0" customWidth="1"/>
    <x:col min="7312" max="7312" width="8.83203125" hidden="0" customWidth="1"/>
    <x:col min="7313" max="7313" width="8.83203125" hidden="0" customWidth="1"/>
    <x:col min="7314" max="7314" width="8.83203125" hidden="0" customWidth="1"/>
    <x:col min="7315" max="7315" width="8.83203125" hidden="0" customWidth="1"/>
    <x:col min="7316" max="7316" width="8.83203125" hidden="0" customWidth="1"/>
    <x:col min="7317" max="7317" width="8.83203125" hidden="0" customWidth="1"/>
    <x:col min="7318" max="7318" width="8.83203125" hidden="0" customWidth="1"/>
    <x:col min="7319" max="7319" width="8.83203125" hidden="0" customWidth="1"/>
    <x:col min="7320" max="7320" width="8.83203125" hidden="0" customWidth="1"/>
    <x:col min="7321" max="7321" width="8.83203125" hidden="0" customWidth="1"/>
    <x:col min="7322" max="7322" width="8.83203125" hidden="0" customWidth="1"/>
    <x:col min="7323" max="7323" width="8.83203125" hidden="0" customWidth="1"/>
    <x:col min="7324" max="7324" width="8.83203125" hidden="0" customWidth="1"/>
    <x:col min="7325" max="7325" width="8.83203125" hidden="0" customWidth="1"/>
    <x:col min="7326" max="7326" width="8.83203125" hidden="0" customWidth="1"/>
    <x:col min="7327" max="7327" width="8.83203125" hidden="0" customWidth="1"/>
    <x:col min="7328" max="7328" width="8.83203125" hidden="0" customWidth="1"/>
    <x:col min="7329" max="7329" width="8.83203125" hidden="0" customWidth="1"/>
    <x:col min="7330" max="7330" width="8.83203125" hidden="0" customWidth="1"/>
    <x:col min="7331" max="7331" width="8.83203125" hidden="0" customWidth="1"/>
    <x:col min="7332" max="7332" width="8.83203125" hidden="0" customWidth="1"/>
    <x:col min="7333" max="7333" width="8.83203125" hidden="0" customWidth="1"/>
    <x:col min="7334" max="7334" width="8.83203125" hidden="0" customWidth="1"/>
    <x:col min="7335" max="7335" width="8.83203125" hidden="0" customWidth="1"/>
    <x:col min="7336" max="7336" width="8.83203125" hidden="0" customWidth="1"/>
    <x:col min="7337" max="7337" width="8.83203125" hidden="0" customWidth="1"/>
    <x:col min="7338" max="7338" width="8.83203125" hidden="0" customWidth="1"/>
    <x:col min="7339" max="7339" width="8.83203125" hidden="0" customWidth="1"/>
    <x:col min="7340" max="7340" width="8.83203125" hidden="0" customWidth="1"/>
    <x:col min="7341" max="7341" width="8.83203125" hidden="0" customWidth="1"/>
    <x:col min="7342" max="7342" width="8.83203125" hidden="0" customWidth="1"/>
    <x:col min="7343" max="7343" width="8.83203125" hidden="0" customWidth="1"/>
    <x:col min="7344" max="7344" width="8.83203125" hidden="0" customWidth="1"/>
    <x:col min="7345" max="7345" width="8.83203125" hidden="0" customWidth="1"/>
    <x:col min="7346" max="7346" width="8.83203125" hidden="0" customWidth="1"/>
    <x:col min="7347" max="7347" width="8.83203125" hidden="0" customWidth="1"/>
    <x:col min="7348" max="7348" width="8.83203125" hidden="0" customWidth="1"/>
    <x:col min="7349" max="7349" width="8.83203125" hidden="0" customWidth="1"/>
    <x:col min="7350" max="7350" width="8.83203125" hidden="0" customWidth="1"/>
    <x:col min="7351" max="7351" width="8.83203125" hidden="0" customWidth="1"/>
    <x:col min="7352" max="7352" width="8.83203125" hidden="0" customWidth="1"/>
    <x:col min="7353" max="7353" width="8.83203125" hidden="0" customWidth="1"/>
    <x:col min="7354" max="7354" width="8.83203125" hidden="0" customWidth="1"/>
    <x:col min="7355" max="7355" width="8.83203125" hidden="0" customWidth="1"/>
    <x:col min="7356" max="7356" width="8.83203125" hidden="0" customWidth="1"/>
    <x:col min="7357" max="7357" width="8.83203125" hidden="0" customWidth="1"/>
    <x:col min="7358" max="7358" width="8.83203125" hidden="0" customWidth="1"/>
    <x:col min="7359" max="7359" width="8.83203125" hidden="0" customWidth="1"/>
    <x:col min="7360" max="7360" width="8.83203125" hidden="0" customWidth="1"/>
    <x:col min="7361" max="7361" width="8.83203125" hidden="0" customWidth="1"/>
    <x:col min="7362" max="7362" width="8.83203125" hidden="0" customWidth="1"/>
    <x:col min="7363" max="7363" width="8.83203125" hidden="0" customWidth="1"/>
    <x:col min="7364" max="7364" width="8.83203125" hidden="0" customWidth="1"/>
    <x:col min="7365" max="7365" width="8.83203125" hidden="0" customWidth="1"/>
    <x:col min="7366" max="7366" width="8.83203125" hidden="0" customWidth="1"/>
    <x:col min="7367" max="7367" width="8.83203125" hidden="0" customWidth="1"/>
    <x:col min="7368" max="7368" width="8.83203125" hidden="0" customWidth="1"/>
    <x:col min="7369" max="7369" width="8.83203125" hidden="0" customWidth="1"/>
    <x:col min="7370" max="7370" width="8.83203125" hidden="0" customWidth="1"/>
    <x:col min="7371" max="7371" width="8.83203125" hidden="0" customWidth="1"/>
    <x:col min="7372" max="7372" width="8.83203125" hidden="0" customWidth="1"/>
    <x:col min="7373" max="7373" width="8.83203125" hidden="0" customWidth="1"/>
    <x:col min="7374" max="7374" width="8.83203125" hidden="0" customWidth="1"/>
    <x:col min="7375" max="7375" width="8.83203125" hidden="0" customWidth="1"/>
    <x:col min="7376" max="7376" width="8.83203125" hidden="0" customWidth="1"/>
    <x:col min="7377" max="7377" width="8.83203125" hidden="0" customWidth="1"/>
    <x:col min="7378" max="7378" width="8.83203125" hidden="0" customWidth="1"/>
    <x:col min="7379" max="7379" width="8.83203125" hidden="0" customWidth="1"/>
    <x:col min="7380" max="7380" width="8.83203125" hidden="0" customWidth="1"/>
    <x:col min="7381" max="7381" width="8.83203125" hidden="0" customWidth="1"/>
    <x:col min="7382" max="7382" width="8.83203125" hidden="0" customWidth="1"/>
    <x:col min="7383" max="7383" width="8.83203125" hidden="0" customWidth="1"/>
    <x:col min="7384" max="7384" width="8.83203125" hidden="0" customWidth="1"/>
    <x:col min="7385" max="7385" width="8.83203125" hidden="0" customWidth="1"/>
    <x:col min="7386" max="7386" width="8.83203125" hidden="0" customWidth="1"/>
    <x:col min="7387" max="7387" width="8.83203125" hidden="0" customWidth="1"/>
    <x:col min="7388" max="7388" width="8.83203125" hidden="0" customWidth="1"/>
    <x:col min="7389" max="7389" width="8.83203125" hidden="0" customWidth="1"/>
    <x:col min="7390" max="7390" width="8.83203125" hidden="0" customWidth="1"/>
    <x:col min="7391" max="7391" width="8.83203125" hidden="0" customWidth="1"/>
    <x:col min="7392" max="7392" width="8.83203125" hidden="0" customWidth="1"/>
    <x:col min="7393" max="7393" width="8.83203125" hidden="0" customWidth="1"/>
    <x:col min="7394" max="7394" width="8.83203125" hidden="0" customWidth="1"/>
    <x:col min="7395" max="7395" width="8.83203125" hidden="0" customWidth="1"/>
    <x:col min="7396" max="7396" width="8.83203125" hidden="0" customWidth="1"/>
    <x:col min="7397" max="7397" width="8.83203125" hidden="0" customWidth="1"/>
    <x:col min="7398" max="7398" width="8.83203125" hidden="0" customWidth="1"/>
    <x:col min="7399" max="7399" width="8.83203125" hidden="0" customWidth="1"/>
    <x:col min="7400" max="7400" width="8.83203125" hidden="0" customWidth="1"/>
    <x:col min="7401" max="7401" width="8.83203125" hidden="0" customWidth="1"/>
    <x:col min="7402" max="7402" width="8.83203125" hidden="0" customWidth="1"/>
    <x:col min="7403" max="7403" width="8.83203125" hidden="0" customWidth="1"/>
    <x:col min="7404" max="7404" width="8.83203125" hidden="0" customWidth="1"/>
    <x:col min="7405" max="7405" width="8.83203125" hidden="0" customWidth="1"/>
    <x:col min="7406" max="7406" width="8.83203125" hidden="0" customWidth="1"/>
    <x:col min="7407" max="7407" width="8.83203125" hidden="0" customWidth="1"/>
    <x:col min="7408" max="7408" width="8.83203125" hidden="0" customWidth="1"/>
    <x:col min="7409" max="7409" width="8.83203125" hidden="0" customWidth="1"/>
    <x:col min="7410" max="7410" width="8.83203125" hidden="0" customWidth="1"/>
    <x:col min="7411" max="7411" width="8.83203125" hidden="0" customWidth="1"/>
    <x:col min="7412" max="7412" width="8.83203125" hidden="0" customWidth="1"/>
    <x:col min="7413" max="7413" width="8.83203125" hidden="0" customWidth="1"/>
    <x:col min="7414" max="7414" width="8.83203125" hidden="0" customWidth="1"/>
    <x:col min="7415" max="7415" width="8.83203125" hidden="0" customWidth="1"/>
    <x:col min="7416" max="7416" width="8.83203125" hidden="0" customWidth="1"/>
    <x:col min="7417" max="7417" width="8.83203125" hidden="0" customWidth="1"/>
    <x:col min="7418" max="7418" width="8.83203125" hidden="0" customWidth="1"/>
    <x:col min="7419" max="7419" width="8.83203125" hidden="0" customWidth="1"/>
    <x:col min="7420" max="7420" width="8.83203125" hidden="0" customWidth="1"/>
    <x:col min="7421" max="7421" width="8.83203125" hidden="0" customWidth="1"/>
    <x:col min="7422" max="7422" width="8.83203125" hidden="0" customWidth="1"/>
    <x:col min="7423" max="7423" width="8.83203125" hidden="0" customWidth="1"/>
    <x:col min="7424" max="7424" width="8.83203125" hidden="0" customWidth="1"/>
    <x:col min="7425" max="7425" width="8.83203125" hidden="0" customWidth="1"/>
    <x:col min="7426" max="7426" width="8.83203125" hidden="0" customWidth="1"/>
    <x:col min="7427" max="7427" width="8.83203125" hidden="0" customWidth="1"/>
    <x:col min="7428" max="7428" width="8.83203125" hidden="0" customWidth="1"/>
    <x:col min="7429" max="7429" width="8.83203125" hidden="0" customWidth="1"/>
    <x:col min="7430" max="7430" width="8.83203125" hidden="0" customWidth="1"/>
    <x:col min="7431" max="7431" width="8.83203125" hidden="0" customWidth="1"/>
    <x:col min="7432" max="7432" width="8.83203125" hidden="0" customWidth="1"/>
    <x:col min="7433" max="7433" width="8.83203125" hidden="0" customWidth="1"/>
    <x:col min="7434" max="7434" width="8.83203125" hidden="0" customWidth="1"/>
    <x:col min="7435" max="7435" width="8.83203125" hidden="0" customWidth="1"/>
    <x:col min="7436" max="7436" width="8.83203125" hidden="0" customWidth="1"/>
    <x:col min="7437" max="7437" width="8.83203125" hidden="0" customWidth="1"/>
    <x:col min="7438" max="7438" width="8.83203125" hidden="0" customWidth="1"/>
    <x:col min="7439" max="7439" width="8.83203125" hidden="0" customWidth="1"/>
    <x:col min="7440" max="7440" width="8.83203125" hidden="0" customWidth="1"/>
    <x:col min="7441" max="7441" width="8.83203125" hidden="0" customWidth="1"/>
    <x:col min="7442" max="7442" width="8.83203125" hidden="0" customWidth="1"/>
    <x:col min="7443" max="7443" width="8.83203125" hidden="0" customWidth="1"/>
    <x:col min="7444" max="7444" width="8.83203125" hidden="0" customWidth="1"/>
    <x:col min="7445" max="7445" width="8.83203125" hidden="0" customWidth="1"/>
    <x:col min="7446" max="7446" width="8.83203125" hidden="0" customWidth="1"/>
    <x:col min="7447" max="7447" width="8.83203125" hidden="0" customWidth="1"/>
    <x:col min="7448" max="7448" width="8.83203125" hidden="0" customWidth="1"/>
    <x:col min="7449" max="7449" width="8.83203125" hidden="0" customWidth="1"/>
    <x:col min="7450" max="7450" width="8.83203125" hidden="0" customWidth="1"/>
    <x:col min="7451" max="7451" width="8.83203125" hidden="0" customWidth="1"/>
    <x:col min="7452" max="7452" width="8.83203125" hidden="0" customWidth="1"/>
    <x:col min="7453" max="7453" width="8.83203125" hidden="0" customWidth="1"/>
    <x:col min="7454" max="7454" width="8.83203125" hidden="0" customWidth="1"/>
    <x:col min="7455" max="7455" width="8.83203125" hidden="0" customWidth="1"/>
    <x:col min="7456" max="7456" width="8.83203125" hidden="0" customWidth="1"/>
    <x:col min="7457" max="7457" width="8.83203125" hidden="0" customWidth="1"/>
    <x:col min="7458" max="7458" width="8.83203125" hidden="0" customWidth="1"/>
    <x:col min="7459" max="7459" width="8.83203125" hidden="0" customWidth="1"/>
    <x:col min="7460" max="7460" width="8.83203125" hidden="0" customWidth="1"/>
    <x:col min="7461" max="7461" width="8.83203125" hidden="0" customWidth="1"/>
    <x:col min="7462" max="7462" width="8.83203125" hidden="0" customWidth="1"/>
    <x:col min="7463" max="7463" width="8.83203125" hidden="0" customWidth="1"/>
    <x:col min="7464" max="7464" width="8.83203125" hidden="0" customWidth="1"/>
    <x:col min="7465" max="7465" width="8.83203125" hidden="0" customWidth="1"/>
    <x:col min="7466" max="7466" width="8.83203125" hidden="0" customWidth="1"/>
    <x:col min="7467" max="7467" width="8.83203125" hidden="0" customWidth="1"/>
    <x:col min="7468" max="7468" width="8.83203125" hidden="0" customWidth="1"/>
    <x:col min="7469" max="7469" width="8.83203125" hidden="0" customWidth="1"/>
    <x:col min="7470" max="7470" width="8.83203125" hidden="0" customWidth="1"/>
    <x:col min="7471" max="7471" width="8.83203125" hidden="0" customWidth="1"/>
    <x:col min="7472" max="7472" width="8.83203125" hidden="0" customWidth="1"/>
    <x:col min="7473" max="7473" width="8.83203125" hidden="0" customWidth="1"/>
    <x:col min="7474" max="7474" width="8.83203125" hidden="0" customWidth="1"/>
    <x:col min="7475" max="7475" width="8.83203125" hidden="0" customWidth="1"/>
    <x:col min="7476" max="7476" width="8.83203125" hidden="0" customWidth="1"/>
    <x:col min="7477" max="7477" width="8.83203125" hidden="0" customWidth="1"/>
    <x:col min="7478" max="7478" width="8.83203125" hidden="0" customWidth="1"/>
    <x:col min="7479" max="7479" width="8.83203125" hidden="0" customWidth="1"/>
    <x:col min="7480" max="7480" width="8.83203125" hidden="0" customWidth="1"/>
    <x:col min="7481" max="7481" width="8.83203125" hidden="0" customWidth="1"/>
    <x:col min="7482" max="7482" width="8.83203125" hidden="0" customWidth="1"/>
    <x:col min="7483" max="7483" width="8.83203125" hidden="0" customWidth="1"/>
    <x:col min="7484" max="7484" width="8.83203125" hidden="0" customWidth="1"/>
    <x:col min="7485" max="7485" width="8.83203125" hidden="0" customWidth="1"/>
    <x:col min="7486" max="7486" width="8.83203125" hidden="0" customWidth="1"/>
    <x:col min="7487" max="7487" width="8.83203125" hidden="0" customWidth="1"/>
    <x:col min="7488" max="7488" width="8.83203125" hidden="0" customWidth="1"/>
    <x:col min="7489" max="7489" width="8.83203125" hidden="0" customWidth="1"/>
    <x:col min="7490" max="7490" width="8.83203125" hidden="0" customWidth="1"/>
    <x:col min="7491" max="7491" width="8.83203125" hidden="0" customWidth="1"/>
    <x:col min="7492" max="7492" width="8.83203125" hidden="0" customWidth="1"/>
    <x:col min="7493" max="7493" width="8.83203125" hidden="0" customWidth="1"/>
    <x:col min="7494" max="7494" width="8.83203125" hidden="0" customWidth="1"/>
    <x:col min="7495" max="7495" width="8.83203125" hidden="0" customWidth="1"/>
    <x:col min="7496" max="7496" width="8.83203125" hidden="0" customWidth="1"/>
    <x:col min="7497" max="7497" width="8.83203125" hidden="0" customWidth="1"/>
    <x:col min="7498" max="7498" width="8.83203125" hidden="0" customWidth="1"/>
    <x:col min="7499" max="7499" width="8.83203125" hidden="0" customWidth="1"/>
    <x:col min="7500" max="7500" width="8.83203125" hidden="0" customWidth="1"/>
    <x:col min="7501" max="7501" width="8.83203125" hidden="0" customWidth="1"/>
    <x:col min="7502" max="7502" width="8.83203125" hidden="0" customWidth="1"/>
    <x:col min="7503" max="7503" width="8.83203125" hidden="0" customWidth="1"/>
    <x:col min="7504" max="7504" width="8.83203125" hidden="0" customWidth="1"/>
    <x:col min="7505" max="7505" width="8.83203125" hidden="0" customWidth="1"/>
    <x:col min="7506" max="7506" width="8.83203125" hidden="0" customWidth="1"/>
    <x:col min="7507" max="7507" width="8.83203125" hidden="0" customWidth="1"/>
    <x:col min="7508" max="7508" width="8.83203125" hidden="0" customWidth="1"/>
    <x:col min="7509" max="7509" width="8.83203125" hidden="0" customWidth="1"/>
    <x:col min="7510" max="7510" width="8.83203125" hidden="0" customWidth="1"/>
    <x:col min="7511" max="7511" width="8.83203125" hidden="0" customWidth="1"/>
    <x:col min="7512" max="7512" width="8.83203125" hidden="0" customWidth="1"/>
    <x:col min="7513" max="7513" width="8.83203125" hidden="0" customWidth="1"/>
    <x:col min="7514" max="7514" width="8.83203125" hidden="0" customWidth="1"/>
    <x:col min="7515" max="7515" width="8.83203125" hidden="0" customWidth="1"/>
    <x:col min="7516" max="7516" width="8.83203125" hidden="0" customWidth="1"/>
    <x:col min="7517" max="7517" width="8.83203125" hidden="0" customWidth="1"/>
    <x:col min="7518" max="7518" width="8.83203125" hidden="0" customWidth="1"/>
    <x:col min="7519" max="7519" width="8.83203125" hidden="0" customWidth="1"/>
    <x:col min="7520" max="7520" width="8.83203125" hidden="0" customWidth="1"/>
    <x:col min="7521" max="7521" width="8.83203125" hidden="0" customWidth="1"/>
    <x:col min="7522" max="7522" width="8.83203125" hidden="0" customWidth="1"/>
    <x:col min="7523" max="7523" width="8.83203125" hidden="0" customWidth="1"/>
    <x:col min="7524" max="7524" width="8.83203125" hidden="0" customWidth="1"/>
    <x:col min="7525" max="7525" width="8.83203125" hidden="0" customWidth="1"/>
    <x:col min="7526" max="7526" width="8.83203125" hidden="0" customWidth="1"/>
    <x:col min="7527" max="7527" width="8.83203125" hidden="0" customWidth="1"/>
    <x:col min="7528" max="7528" width="8.83203125" hidden="0" customWidth="1"/>
    <x:col min="7529" max="7529" width="8.83203125" hidden="0" customWidth="1"/>
    <x:col min="7530" max="7530" width="8.83203125" hidden="0" customWidth="1"/>
    <x:col min="7531" max="7531" width="8.83203125" hidden="0" customWidth="1"/>
    <x:col min="7532" max="7532" width="8.83203125" hidden="0" customWidth="1"/>
    <x:col min="7533" max="7533" width="8.83203125" hidden="0" customWidth="1"/>
    <x:col min="7534" max="7534" width="8.83203125" hidden="0" customWidth="1"/>
    <x:col min="7535" max="7535" width="8.83203125" hidden="0" customWidth="1"/>
    <x:col min="7536" max="7536" width="8.83203125" hidden="0" customWidth="1"/>
    <x:col min="7537" max="7537" width="8.83203125" hidden="0" customWidth="1"/>
    <x:col min="7538" max="7538" width="8.83203125" hidden="0" customWidth="1"/>
    <x:col min="7539" max="7539" width="8.83203125" hidden="0" customWidth="1"/>
    <x:col min="7540" max="7540" width="8.83203125" hidden="0" customWidth="1"/>
    <x:col min="7541" max="7541" width="8.83203125" hidden="0" customWidth="1"/>
    <x:col min="7542" max="7542" width="8.83203125" hidden="0" customWidth="1"/>
    <x:col min="7543" max="7543" width="8.83203125" hidden="0" customWidth="1"/>
    <x:col min="7544" max="7544" width="8.83203125" hidden="0" customWidth="1"/>
    <x:col min="7545" max="7545" width="8.83203125" hidden="0" customWidth="1"/>
    <x:col min="7546" max="7546" width="8.83203125" hidden="0" customWidth="1"/>
    <x:col min="7547" max="7547" width="8.83203125" hidden="0" customWidth="1"/>
    <x:col min="7548" max="7548" width="8.83203125" hidden="0" customWidth="1"/>
    <x:col min="7549" max="7549" width="8.83203125" hidden="0" customWidth="1"/>
    <x:col min="7550" max="7550" width="8.83203125" hidden="0" customWidth="1"/>
    <x:col min="7551" max="7551" width="8.83203125" hidden="0" customWidth="1"/>
    <x:col min="7552" max="7552" width="8.83203125" hidden="0" customWidth="1"/>
    <x:col min="7553" max="7553" width="8.83203125" hidden="0" customWidth="1"/>
    <x:col min="7554" max="7554" width="8.83203125" hidden="0" customWidth="1"/>
    <x:col min="7555" max="7555" width="8.83203125" hidden="0" customWidth="1"/>
    <x:col min="7556" max="7556" width="8.83203125" hidden="0" customWidth="1"/>
    <x:col min="7557" max="7557" width="8.83203125" hidden="0" customWidth="1"/>
    <x:col min="7558" max="7558" width="8.83203125" hidden="0" customWidth="1"/>
    <x:col min="7559" max="7559" width="8.83203125" hidden="0" customWidth="1"/>
    <x:col min="7560" max="7560" width="8.83203125" hidden="0" customWidth="1"/>
    <x:col min="7561" max="7561" width="8.83203125" hidden="0" customWidth="1"/>
    <x:col min="7562" max="7562" width="8.83203125" hidden="0" customWidth="1"/>
    <x:col min="7563" max="7563" width="8.83203125" hidden="0" customWidth="1"/>
    <x:col min="7564" max="7564" width="8.83203125" hidden="0" customWidth="1"/>
    <x:col min="7565" max="7565" width="8.83203125" hidden="0" customWidth="1"/>
    <x:col min="7566" max="7566" width="8.83203125" hidden="0" customWidth="1"/>
    <x:col min="7567" max="7567" width="8.83203125" hidden="0" customWidth="1"/>
    <x:col min="7568" max="7568" width="8.83203125" hidden="0" customWidth="1"/>
    <x:col min="7569" max="7569" width="8.83203125" hidden="0" customWidth="1"/>
    <x:col min="7570" max="7570" width="8.83203125" hidden="0" customWidth="1"/>
    <x:col min="7571" max="7571" width="8.83203125" hidden="0" customWidth="1"/>
    <x:col min="7572" max="7572" width="8.83203125" hidden="0" customWidth="1"/>
    <x:col min="7573" max="7573" width="8.83203125" hidden="0" customWidth="1"/>
    <x:col min="7574" max="7574" width="8.83203125" hidden="0" customWidth="1"/>
    <x:col min="7575" max="7575" width="8.83203125" hidden="0" customWidth="1"/>
    <x:col min="7576" max="7576" width="8.83203125" hidden="0" customWidth="1"/>
    <x:col min="7577" max="7577" width="8.83203125" hidden="0" customWidth="1"/>
    <x:col min="7578" max="7578" width="8.83203125" hidden="0" customWidth="1"/>
    <x:col min="7579" max="7579" width="8.83203125" hidden="0" customWidth="1"/>
    <x:col min="7580" max="7580" width="8.83203125" hidden="0" customWidth="1"/>
    <x:col min="7581" max="7581" width="8.83203125" hidden="0" customWidth="1"/>
    <x:col min="7582" max="7582" width="8.83203125" hidden="0" customWidth="1"/>
    <x:col min="7583" max="7583" width="8.83203125" hidden="0" customWidth="1"/>
    <x:col min="7584" max="7584" width="8.83203125" hidden="0" customWidth="1"/>
    <x:col min="7585" max="7585" width="8.83203125" hidden="0" customWidth="1"/>
    <x:col min="7586" max="7586" width="8.83203125" hidden="0" customWidth="1"/>
    <x:col min="7587" max="7587" width="8.83203125" hidden="0" customWidth="1"/>
    <x:col min="7588" max="7588" width="8.83203125" hidden="0" customWidth="1"/>
    <x:col min="7589" max="7589" width="8.83203125" hidden="0" customWidth="1"/>
    <x:col min="7590" max="7590" width="8.83203125" hidden="0" customWidth="1"/>
    <x:col min="7591" max="7591" width="8.83203125" hidden="0" customWidth="1"/>
    <x:col min="7592" max="7592" width="8.83203125" hidden="0" customWidth="1"/>
    <x:col min="7593" max="7593" width="8.83203125" hidden="0" customWidth="1"/>
    <x:col min="7594" max="7594" width="8.83203125" hidden="0" customWidth="1"/>
    <x:col min="7595" max="7595" width="8.83203125" hidden="0" customWidth="1"/>
    <x:col min="7596" max="7596" width="8.83203125" hidden="0" customWidth="1"/>
    <x:col min="7597" max="7597" width="8.83203125" hidden="0" customWidth="1"/>
    <x:col min="7598" max="7598" width="8.83203125" hidden="0" customWidth="1"/>
    <x:col min="7599" max="7599" width="8.83203125" hidden="0" customWidth="1"/>
    <x:col min="7600" max="7600" width="8.83203125" hidden="0" customWidth="1"/>
    <x:col min="7601" max="7601" width="8.83203125" hidden="0" customWidth="1"/>
    <x:col min="7602" max="7602" width="8.83203125" hidden="0" customWidth="1"/>
    <x:col min="7603" max="7603" width="8.83203125" hidden="0" customWidth="1"/>
    <x:col min="7604" max="7604" width="8.83203125" hidden="0" customWidth="1"/>
    <x:col min="7605" max="7605" width="8.83203125" hidden="0" customWidth="1"/>
    <x:col min="7606" max="7606" width="8.83203125" hidden="0" customWidth="1"/>
    <x:col min="7607" max="7607" width="8.83203125" hidden="0" customWidth="1"/>
    <x:col min="7608" max="7608" width="8.83203125" hidden="0" customWidth="1"/>
    <x:col min="7609" max="7609" width="8.83203125" hidden="0" customWidth="1"/>
    <x:col min="7610" max="7610" width="8.83203125" hidden="0" customWidth="1"/>
    <x:col min="7611" max="7611" width="8.83203125" hidden="0" customWidth="1"/>
    <x:col min="7612" max="7612" width="8.83203125" hidden="0" customWidth="1"/>
    <x:col min="7613" max="7613" width="8.83203125" hidden="0" customWidth="1"/>
    <x:col min="7614" max="7614" width="8.83203125" hidden="0" customWidth="1"/>
    <x:col min="7615" max="7615" width="8.83203125" hidden="0" customWidth="1"/>
    <x:col min="7616" max="7616" width="8.83203125" hidden="0" customWidth="1"/>
    <x:col min="7617" max="7617" width="8.83203125" hidden="0" customWidth="1"/>
    <x:col min="7618" max="7618" width="8.83203125" hidden="0" customWidth="1"/>
    <x:col min="7619" max="7619" width="8.83203125" hidden="0" customWidth="1"/>
    <x:col min="7620" max="7620" width="8.83203125" hidden="0" customWidth="1"/>
    <x:col min="7621" max="7621" width="8.83203125" hidden="0" customWidth="1"/>
    <x:col min="7622" max="7622" width="8.83203125" hidden="0" customWidth="1"/>
    <x:col min="7623" max="7623" width="8.83203125" hidden="0" customWidth="1"/>
    <x:col min="7624" max="7624" width="8.83203125" hidden="0" customWidth="1"/>
    <x:col min="7625" max="7625" width="8.83203125" hidden="0" customWidth="1"/>
    <x:col min="7626" max="7626" width="8.83203125" hidden="0" customWidth="1"/>
    <x:col min="7627" max="7627" width="8.83203125" hidden="0" customWidth="1"/>
    <x:col min="7628" max="7628" width="8.83203125" hidden="0" customWidth="1"/>
    <x:col min="7629" max="7629" width="8.83203125" hidden="0" customWidth="1"/>
    <x:col min="7630" max="7630" width="8.83203125" hidden="0" customWidth="1"/>
    <x:col min="7631" max="7631" width="8.83203125" hidden="0" customWidth="1"/>
    <x:col min="7632" max="7632" width="8.83203125" hidden="0" customWidth="1"/>
    <x:col min="7633" max="7633" width="8.83203125" hidden="0" customWidth="1"/>
    <x:col min="7634" max="7634" width="8.83203125" hidden="0" customWidth="1"/>
    <x:col min="7635" max="7635" width="8.83203125" hidden="0" customWidth="1"/>
    <x:col min="7636" max="7636" width="8.83203125" hidden="0" customWidth="1"/>
    <x:col min="7637" max="7637" width="8.83203125" hidden="0" customWidth="1"/>
    <x:col min="7638" max="7638" width="8.83203125" hidden="0" customWidth="1"/>
    <x:col min="7639" max="7639" width="8.83203125" hidden="0" customWidth="1"/>
    <x:col min="7640" max="7640" width="8.83203125" hidden="0" customWidth="1"/>
    <x:col min="7641" max="7641" width="8.83203125" hidden="0" customWidth="1"/>
    <x:col min="7642" max="7642" width="8.83203125" hidden="0" customWidth="1"/>
    <x:col min="7643" max="7643" width="8.83203125" hidden="0" customWidth="1"/>
    <x:col min="7644" max="7644" width="8.83203125" hidden="0" customWidth="1"/>
    <x:col min="7645" max="7645" width="8.83203125" hidden="0" customWidth="1"/>
    <x:col min="7646" max="7646" width="8.83203125" hidden="0" customWidth="1"/>
    <x:col min="7647" max="7647" width="8.83203125" hidden="0" customWidth="1"/>
    <x:col min="7648" max="7648" width="8.83203125" hidden="0" customWidth="1"/>
    <x:col min="7649" max="7649" width="8.83203125" hidden="0" customWidth="1"/>
    <x:col min="7650" max="7650" width="8.83203125" hidden="0" customWidth="1"/>
    <x:col min="7651" max="7651" width="8.83203125" hidden="0" customWidth="1"/>
    <x:col min="7652" max="7652" width="8.83203125" hidden="0" customWidth="1"/>
    <x:col min="7653" max="7653" width="8.83203125" hidden="0" customWidth="1"/>
    <x:col min="7654" max="7654" width="8.83203125" hidden="0" customWidth="1"/>
    <x:col min="7655" max="7655" width="8.83203125" hidden="0" customWidth="1"/>
    <x:col min="7656" max="7656" width="8.83203125" hidden="0" customWidth="1"/>
    <x:col min="7657" max="7657" width="8.83203125" hidden="0" customWidth="1"/>
    <x:col min="7658" max="7658" width="8.83203125" hidden="0" customWidth="1"/>
    <x:col min="7659" max="7659" width="8.83203125" hidden="0" customWidth="1"/>
    <x:col min="7660" max="7660" width="8.83203125" hidden="0" customWidth="1"/>
    <x:col min="7661" max="7661" width="8.83203125" hidden="0" customWidth="1"/>
    <x:col min="7662" max="7662" width="8.83203125" hidden="0" customWidth="1"/>
    <x:col min="7663" max="7663" width="8.83203125" hidden="0" customWidth="1"/>
    <x:col min="7664" max="7664" width="8.83203125" hidden="0" customWidth="1"/>
    <x:col min="7665" max="7665" width="8.83203125" hidden="0" customWidth="1"/>
    <x:col min="7666" max="7666" width="8.83203125" hidden="0" customWidth="1"/>
    <x:col min="7667" max="7667" width="8.83203125" hidden="0" customWidth="1"/>
    <x:col min="7668" max="7668" width="8.83203125" hidden="0" customWidth="1"/>
    <x:col min="7669" max="7669" width="8.83203125" hidden="0" customWidth="1"/>
    <x:col min="7670" max="7670" width="8.83203125" hidden="0" customWidth="1"/>
    <x:col min="7671" max="7671" width="8.83203125" hidden="0" customWidth="1"/>
    <x:col min="7672" max="7672" width="8.83203125" hidden="0" customWidth="1"/>
    <x:col min="7673" max="7673" width="8.83203125" hidden="0" customWidth="1"/>
    <x:col min="7674" max="7674" width="8.83203125" hidden="0" customWidth="1"/>
    <x:col min="7675" max="7675" width="8.83203125" hidden="0" customWidth="1"/>
    <x:col min="7676" max="7676" width="8.83203125" hidden="0" customWidth="1"/>
    <x:col min="7677" max="7677" width="8.83203125" hidden="0" customWidth="1"/>
    <x:col min="7678" max="7678" width="8.83203125" hidden="0" customWidth="1"/>
    <x:col min="7679" max="7679" width="8.83203125" hidden="0" customWidth="1"/>
    <x:col min="7680" max="7680" width="8.83203125" hidden="0" customWidth="1"/>
    <x:col min="7681" max="7681" width="8.83203125" hidden="0" customWidth="1"/>
    <x:col min="7682" max="7682" width="8.83203125" hidden="0" customWidth="1"/>
    <x:col min="7683" max="7683" width="8.83203125" hidden="0" customWidth="1"/>
    <x:col min="7684" max="7684" width="8.83203125" hidden="0" customWidth="1"/>
    <x:col min="7685" max="7685" width="8.83203125" hidden="0" customWidth="1"/>
    <x:col min="7686" max="7686" width="8.83203125" hidden="0" customWidth="1"/>
    <x:col min="7687" max="7687" width="8.83203125" hidden="0" customWidth="1"/>
    <x:col min="7688" max="7688" width="8.83203125" hidden="0" customWidth="1"/>
    <x:col min="7689" max="7689" width="8.83203125" hidden="0" customWidth="1"/>
    <x:col min="7690" max="7690" width="8.83203125" hidden="0" customWidth="1"/>
    <x:col min="7691" max="7691" width="8.83203125" hidden="0" customWidth="1"/>
    <x:col min="7692" max="7692" width="8.83203125" hidden="0" customWidth="1"/>
    <x:col min="7693" max="7693" width="8.83203125" hidden="0" customWidth="1"/>
    <x:col min="7694" max="7694" width="8.83203125" hidden="0" customWidth="1"/>
    <x:col min="7695" max="7695" width="8.83203125" hidden="0" customWidth="1"/>
    <x:col min="7696" max="7696" width="8.83203125" hidden="0" customWidth="1"/>
    <x:col min="7697" max="7697" width="8.83203125" hidden="0" customWidth="1"/>
    <x:col min="7698" max="7698" width="8.83203125" hidden="0" customWidth="1"/>
    <x:col min="7699" max="7699" width="8.83203125" hidden="0" customWidth="1"/>
    <x:col min="7700" max="7700" width="8.83203125" hidden="0" customWidth="1"/>
    <x:col min="7701" max="7701" width="8.83203125" hidden="0" customWidth="1"/>
    <x:col min="7702" max="7702" width="8.83203125" hidden="0" customWidth="1"/>
    <x:col min="7703" max="7703" width="8.83203125" hidden="0" customWidth="1"/>
    <x:col min="7704" max="7704" width="8.83203125" hidden="0" customWidth="1"/>
    <x:col min="7705" max="7705" width="8.83203125" hidden="0" customWidth="1"/>
    <x:col min="7706" max="7706" width="8.83203125" hidden="0" customWidth="1"/>
    <x:col min="7707" max="7707" width="8.83203125" hidden="0" customWidth="1"/>
    <x:col min="7708" max="7708" width="8.83203125" hidden="0" customWidth="1"/>
    <x:col min="7709" max="7709" width="8.83203125" hidden="0" customWidth="1"/>
    <x:col min="7710" max="7710" width="8.83203125" hidden="0" customWidth="1"/>
    <x:col min="7711" max="7711" width="8.83203125" hidden="0" customWidth="1"/>
    <x:col min="7712" max="7712" width="8.83203125" hidden="0" customWidth="1"/>
    <x:col min="7713" max="7713" width="8.83203125" hidden="0" customWidth="1"/>
    <x:col min="7714" max="7714" width="8.83203125" hidden="0" customWidth="1"/>
    <x:col min="7715" max="7715" width="8.83203125" hidden="0" customWidth="1"/>
    <x:col min="7716" max="7716" width="8.83203125" hidden="0" customWidth="1"/>
    <x:col min="7717" max="7717" width="8.83203125" hidden="0" customWidth="1"/>
    <x:col min="7718" max="7718" width="8.83203125" hidden="0" customWidth="1"/>
    <x:col min="7719" max="7719" width="8.83203125" hidden="0" customWidth="1"/>
    <x:col min="7720" max="7720" width="8.83203125" hidden="0" customWidth="1"/>
    <x:col min="7721" max="7721" width="8.83203125" hidden="0" customWidth="1"/>
    <x:col min="7722" max="7722" width="8.83203125" hidden="0" customWidth="1"/>
    <x:col min="7723" max="7723" width="8.83203125" hidden="0" customWidth="1"/>
    <x:col min="7724" max="7724" width="8.83203125" hidden="0" customWidth="1"/>
    <x:col min="7725" max="7725" width="8.83203125" hidden="0" customWidth="1"/>
    <x:col min="7726" max="7726" width="8.83203125" hidden="0" customWidth="1"/>
    <x:col min="7727" max="7727" width="8.83203125" hidden="0" customWidth="1"/>
    <x:col min="7728" max="7728" width="8.83203125" hidden="0" customWidth="1"/>
    <x:col min="7729" max="7729" width="8.83203125" hidden="0" customWidth="1"/>
    <x:col min="7730" max="7730" width="8.83203125" hidden="0" customWidth="1"/>
    <x:col min="7731" max="7731" width="8.83203125" hidden="0" customWidth="1"/>
    <x:col min="7732" max="7732" width="8.83203125" hidden="0" customWidth="1"/>
    <x:col min="7733" max="7733" width="8.83203125" hidden="0" customWidth="1"/>
    <x:col min="7734" max="7734" width="8.83203125" hidden="0" customWidth="1"/>
    <x:col min="7735" max="7735" width="8.83203125" hidden="0" customWidth="1"/>
    <x:col min="7736" max="7736" width="8.83203125" hidden="0" customWidth="1"/>
    <x:col min="7737" max="7737" width="8.83203125" hidden="0" customWidth="1"/>
    <x:col min="7738" max="7738" width="8.83203125" hidden="0" customWidth="1"/>
    <x:col min="7739" max="7739" width="8.83203125" hidden="0" customWidth="1"/>
    <x:col min="7740" max="7740" width="8.83203125" hidden="0" customWidth="1"/>
    <x:col min="7741" max="7741" width="8.83203125" hidden="0" customWidth="1"/>
    <x:col min="7742" max="7742" width="8.83203125" hidden="0" customWidth="1"/>
    <x:col min="7743" max="7743" width="8.83203125" hidden="0" customWidth="1"/>
    <x:col min="7744" max="7744" width="8.83203125" hidden="0" customWidth="1"/>
    <x:col min="7745" max="7745" width="8.83203125" hidden="0" customWidth="1"/>
    <x:col min="7746" max="7746" width="8.83203125" hidden="0" customWidth="1"/>
    <x:col min="7747" max="7747" width="8.83203125" hidden="0" customWidth="1"/>
    <x:col min="7748" max="7748" width="8.83203125" hidden="0" customWidth="1"/>
    <x:col min="7749" max="7749" width="8.83203125" hidden="0" customWidth="1"/>
    <x:col min="7750" max="7750" width="8.83203125" hidden="0" customWidth="1"/>
    <x:col min="7751" max="7751" width="8.83203125" hidden="0" customWidth="1"/>
    <x:col min="7752" max="7752" width="8.83203125" hidden="0" customWidth="1"/>
    <x:col min="7753" max="7753" width="8.83203125" hidden="0" customWidth="1"/>
    <x:col min="7754" max="7754" width="8.83203125" hidden="0" customWidth="1"/>
    <x:col min="7755" max="7755" width="8.83203125" hidden="0" customWidth="1"/>
    <x:col min="7756" max="7756" width="8.83203125" hidden="0" customWidth="1"/>
    <x:col min="7757" max="7757" width="8.83203125" hidden="0" customWidth="1"/>
    <x:col min="7758" max="7758" width="8.83203125" hidden="0" customWidth="1"/>
    <x:col min="7759" max="7759" width="8.83203125" hidden="0" customWidth="1"/>
    <x:col min="7760" max="7760" width="8.83203125" hidden="0" customWidth="1"/>
    <x:col min="7761" max="7761" width="8.83203125" hidden="0" customWidth="1"/>
    <x:col min="7762" max="7762" width="8.83203125" hidden="0" customWidth="1"/>
    <x:col min="7763" max="7763" width="8.83203125" hidden="0" customWidth="1"/>
    <x:col min="7764" max="7764" width="8.83203125" hidden="0" customWidth="1"/>
    <x:col min="7765" max="7765" width="8.83203125" hidden="0" customWidth="1"/>
    <x:col min="7766" max="7766" width="8.83203125" hidden="0" customWidth="1"/>
    <x:col min="7767" max="7767" width="8.83203125" hidden="0" customWidth="1"/>
    <x:col min="7768" max="7768" width="8.83203125" hidden="0" customWidth="1"/>
    <x:col min="7769" max="7769" width="8.83203125" hidden="0" customWidth="1"/>
    <x:col min="7770" max="7770" width="8.83203125" hidden="0" customWidth="1"/>
    <x:col min="7771" max="7771" width="8.83203125" hidden="0" customWidth="1"/>
    <x:col min="7772" max="7772" width="8.83203125" hidden="0" customWidth="1"/>
    <x:col min="7773" max="7773" width="8.83203125" hidden="0" customWidth="1"/>
    <x:col min="7774" max="7774" width="8.83203125" hidden="0" customWidth="1"/>
    <x:col min="7775" max="7775" width="8.83203125" hidden="0" customWidth="1"/>
    <x:col min="7776" max="7776" width="8.83203125" hidden="0" customWidth="1"/>
    <x:col min="7777" max="7777" width="8.83203125" hidden="0" customWidth="1"/>
    <x:col min="7778" max="7778" width="8.83203125" hidden="0" customWidth="1"/>
    <x:col min="7779" max="7779" width="8.83203125" hidden="0" customWidth="1"/>
    <x:col min="7780" max="7780" width="8.83203125" hidden="0" customWidth="1"/>
    <x:col min="7781" max="7781" width="8.83203125" hidden="0" customWidth="1"/>
    <x:col min="7782" max="7782" width="8.83203125" hidden="0" customWidth="1"/>
    <x:col min="7783" max="7783" width="8.83203125" hidden="0" customWidth="1"/>
    <x:col min="7784" max="7784" width="8.83203125" hidden="0" customWidth="1"/>
    <x:col min="7785" max="7785" width="8.83203125" hidden="0" customWidth="1"/>
    <x:col min="7786" max="7786" width="8.83203125" hidden="0" customWidth="1"/>
    <x:col min="7787" max="7787" width="8.83203125" hidden="0" customWidth="1"/>
    <x:col min="7788" max="7788" width="8.83203125" hidden="0" customWidth="1"/>
    <x:col min="7789" max="7789" width="8.83203125" hidden="0" customWidth="1"/>
    <x:col min="7790" max="7790" width="8.83203125" hidden="0" customWidth="1"/>
    <x:col min="7791" max="7791" width="8.83203125" hidden="0" customWidth="1"/>
    <x:col min="7792" max="7792" width="8.83203125" hidden="0" customWidth="1"/>
    <x:col min="7793" max="7793" width="8.83203125" hidden="0" customWidth="1"/>
    <x:col min="7794" max="7794" width="8.83203125" hidden="0" customWidth="1"/>
    <x:col min="7795" max="7795" width="8.83203125" hidden="0" customWidth="1"/>
    <x:col min="7796" max="7796" width="8.83203125" hidden="0" customWidth="1"/>
    <x:col min="7797" max="7797" width="8.83203125" hidden="0" customWidth="1"/>
    <x:col min="7798" max="7798" width="8.83203125" hidden="0" customWidth="1"/>
    <x:col min="7799" max="7799" width="8.83203125" hidden="0" customWidth="1"/>
    <x:col min="7800" max="7800" width="8.83203125" hidden="0" customWidth="1"/>
    <x:col min="7801" max="7801" width="8.83203125" hidden="0" customWidth="1"/>
    <x:col min="7802" max="7802" width="8.83203125" hidden="0" customWidth="1"/>
    <x:col min="7803" max="7803" width="8.83203125" hidden="0" customWidth="1"/>
    <x:col min="7804" max="7804" width="8.83203125" hidden="0" customWidth="1"/>
    <x:col min="7805" max="7805" width="8.83203125" hidden="0" customWidth="1"/>
    <x:col min="7806" max="7806" width="8.83203125" hidden="0" customWidth="1"/>
    <x:col min="7807" max="7807" width="8.83203125" hidden="0" customWidth="1"/>
    <x:col min="7808" max="7808" width="8.83203125" hidden="0" customWidth="1"/>
    <x:col min="7809" max="7809" width="8.83203125" hidden="0" customWidth="1"/>
    <x:col min="7810" max="7810" width="8.83203125" hidden="0" customWidth="1"/>
    <x:col min="7811" max="7811" width="8.83203125" hidden="0" customWidth="1"/>
    <x:col min="7812" max="7812" width="8.83203125" hidden="0" customWidth="1"/>
    <x:col min="7813" max="7813" width="8.83203125" hidden="0" customWidth="1"/>
    <x:col min="7814" max="7814" width="8.83203125" hidden="0" customWidth="1"/>
    <x:col min="7815" max="7815" width="8.83203125" hidden="0" customWidth="1"/>
    <x:col min="7816" max="7816" width="8.83203125" hidden="0" customWidth="1"/>
    <x:col min="7817" max="7817" width="8.83203125" hidden="0" customWidth="1"/>
    <x:col min="7818" max="7818" width="8.83203125" hidden="0" customWidth="1"/>
    <x:col min="7819" max="7819" width="8.83203125" hidden="0" customWidth="1"/>
    <x:col min="7820" max="7820" width="8.83203125" hidden="0" customWidth="1"/>
    <x:col min="7821" max="7821" width="8.83203125" hidden="0" customWidth="1"/>
    <x:col min="7822" max="7822" width="8.83203125" hidden="0" customWidth="1"/>
    <x:col min="7823" max="7823" width="8.83203125" hidden="0" customWidth="1"/>
    <x:col min="7824" max="7824" width="8.83203125" hidden="0" customWidth="1"/>
    <x:col min="7825" max="7825" width="8.83203125" hidden="0" customWidth="1"/>
    <x:col min="7826" max="7826" width="8.83203125" hidden="0" customWidth="1"/>
    <x:col min="7827" max="7827" width="8.83203125" hidden="0" customWidth="1"/>
    <x:col min="7828" max="7828" width="8.83203125" hidden="0" customWidth="1"/>
    <x:col min="7829" max="7829" width="8.83203125" hidden="0" customWidth="1"/>
    <x:col min="7830" max="7830" width="8.83203125" hidden="0" customWidth="1"/>
    <x:col min="7831" max="7831" width="8.83203125" hidden="0" customWidth="1"/>
    <x:col min="7832" max="7832" width="8.83203125" hidden="0" customWidth="1"/>
    <x:col min="7833" max="7833" width="8.83203125" hidden="0" customWidth="1"/>
    <x:col min="7834" max="7834" width="8.83203125" hidden="0" customWidth="1"/>
    <x:col min="7835" max="7835" width="8.83203125" hidden="0" customWidth="1"/>
    <x:col min="7836" max="7836" width="8.83203125" hidden="0" customWidth="1"/>
    <x:col min="7837" max="7837" width="8.83203125" hidden="0" customWidth="1"/>
    <x:col min="7838" max="7838" width="8.83203125" hidden="0" customWidth="1"/>
    <x:col min="7839" max="7839" width="8.83203125" hidden="0" customWidth="1"/>
    <x:col min="7840" max="7840" width="8.83203125" hidden="0" customWidth="1"/>
    <x:col min="7841" max="7841" width="8.83203125" hidden="0" customWidth="1"/>
    <x:col min="7842" max="7842" width="8.83203125" hidden="0" customWidth="1"/>
    <x:col min="7843" max="7843" width="8.83203125" hidden="0" customWidth="1"/>
    <x:col min="7844" max="7844" width="8.83203125" hidden="0" customWidth="1"/>
    <x:col min="7845" max="7845" width="8.83203125" hidden="0" customWidth="1"/>
    <x:col min="7846" max="7846" width="8.83203125" hidden="0" customWidth="1"/>
    <x:col min="7847" max="7847" width="8.83203125" hidden="0" customWidth="1"/>
    <x:col min="7848" max="7848" width="8.83203125" hidden="0" customWidth="1"/>
    <x:col min="7849" max="7849" width="8.83203125" hidden="0" customWidth="1"/>
    <x:col min="7850" max="7850" width="8.83203125" hidden="0" customWidth="1"/>
    <x:col min="7851" max="7851" width="8.83203125" hidden="0" customWidth="1"/>
    <x:col min="7852" max="7852" width="8.83203125" hidden="0" customWidth="1"/>
    <x:col min="7853" max="7853" width="8.83203125" hidden="0" customWidth="1"/>
    <x:col min="7854" max="7854" width="8.83203125" hidden="0" customWidth="1"/>
    <x:col min="7855" max="7855" width="8.83203125" hidden="0" customWidth="1"/>
    <x:col min="7856" max="7856" width="8.83203125" hidden="0" customWidth="1"/>
    <x:col min="7857" max="7857" width="8.83203125" hidden="0" customWidth="1"/>
    <x:col min="7858" max="7858" width="8.83203125" hidden="0" customWidth="1"/>
    <x:col min="7859" max="7859" width="8.83203125" hidden="0" customWidth="1"/>
    <x:col min="7860" max="7860" width="8.83203125" hidden="0" customWidth="1"/>
    <x:col min="7861" max="7861" width="8.83203125" hidden="0" customWidth="1"/>
    <x:col min="7862" max="7862" width="8.83203125" hidden="0" customWidth="1"/>
    <x:col min="7863" max="7863" width="8.83203125" hidden="0" customWidth="1"/>
    <x:col min="7864" max="7864" width="8.83203125" hidden="0" customWidth="1"/>
    <x:col min="7865" max="7865" width="8.83203125" hidden="0" customWidth="1"/>
    <x:col min="7866" max="7866" width="8.83203125" hidden="0" customWidth="1"/>
    <x:col min="7867" max="7867" width="8.83203125" hidden="0" customWidth="1"/>
    <x:col min="7868" max="7868" width="8.83203125" hidden="0" customWidth="1"/>
    <x:col min="7869" max="7869" width="8.83203125" hidden="0" customWidth="1"/>
    <x:col min="7870" max="7870" width="8.83203125" hidden="0" customWidth="1"/>
    <x:col min="7871" max="7871" width="8.83203125" hidden="0" customWidth="1"/>
    <x:col min="7872" max="7872" width="8.83203125" hidden="0" customWidth="1"/>
    <x:col min="7873" max="7873" width="8.83203125" hidden="0" customWidth="1"/>
    <x:col min="7874" max="7874" width="8.83203125" hidden="0" customWidth="1"/>
    <x:col min="7875" max="7875" width="8.83203125" hidden="0" customWidth="1"/>
    <x:col min="7876" max="7876" width="8.83203125" hidden="0" customWidth="1"/>
    <x:col min="7877" max="7877" width="8.83203125" hidden="0" customWidth="1"/>
    <x:col min="7878" max="7878" width="8.83203125" hidden="0" customWidth="1"/>
    <x:col min="7879" max="7879" width="8.83203125" hidden="0" customWidth="1"/>
    <x:col min="7880" max="7880" width="8.83203125" hidden="0" customWidth="1"/>
    <x:col min="7881" max="7881" width="8.83203125" hidden="0" customWidth="1"/>
    <x:col min="7882" max="7882" width="8.83203125" hidden="0" customWidth="1"/>
    <x:col min="7883" max="7883" width="8.83203125" hidden="0" customWidth="1"/>
    <x:col min="7884" max="7884" width="8.83203125" hidden="0" customWidth="1"/>
    <x:col min="7885" max="7885" width="8.83203125" hidden="0" customWidth="1"/>
    <x:col min="7886" max="7886" width="8.83203125" hidden="0" customWidth="1"/>
    <x:col min="7887" max="7887" width="8.83203125" hidden="0" customWidth="1"/>
    <x:col min="7888" max="7888" width="8.83203125" hidden="0" customWidth="1"/>
    <x:col min="7889" max="7889" width="8.83203125" hidden="0" customWidth="1"/>
    <x:col min="7890" max="7890" width="8.83203125" hidden="0" customWidth="1"/>
    <x:col min="7891" max="7891" width="8.83203125" hidden="0" customWidth="1"/>
    <x:col min="7892" max="7892" width="8.83203125" hidden="0" customWidth="1"/>
    <x:col min="7893" max="7893" width="8.83203125" hidden="0" customWidth="1"/>
    <x:col min="7894" max="7894" width="8.83203125" hidden="0" customWidth="1"/>
    <x:col min="7895" max="7895" width="8.83203125" hidden="0" customWidth="1"/>
    <x:col min="7896" max="7896" width="8.83203125" hidden="0" customWidth="1"/>
    <x:col min="7897" max="7897" width="8.83203125" hidden="0" customWidth="1"/>
    <x:col min="7898" max="7898" width="8.83203125" hidden="0" customWidth="1"/>
    <x:col min="7899" max="7899" width="8.83203125" hidden="0" customWidth="1"/>
    <x:col min="7900" max="7900" width="8.83203125" hidden="0" customWidth="1"/>
    <x:col min="7901" max="7901" width="8.83203125" hidden="0" customWidth="1"/>
    <x:col min="7902" max="7902" width="8.83203125" hidden="0" customWidth="1"/>
    <x:col min="7903" max="7903" width="8.83203125" hidden="0" customWidth="1"/>
    <x:col min="7904" max="7904" width="8.83203125" hidden="0" customWidth="1"/>
    <x:col min="7905" max="7905" width="8.83203125" hidden="0" customWidth="1"/>
    <x:col min="7906" max="7906" width="8.83203125" hidden="0" customWidth="1"/>
    <x:col min="7907" max="7907" width="8.83203125" hidden="0" customWidth="1"/>
    <x:col min="7908" max="7908" width="8.83203125" hidden="0" customWidth="1"/>
    <x:col min="7909" max="7909" width="8.83203125" hidden="0" customWidth="1"/>
    <x:col min="7910" max="7910" width="8.83203125" hidden="0" customWidth="1"/>
    <x:col min="7911" max="7911" width="8.83203125" hidden="0" customWidth="1"/>
    <x:col min="7912" max="7912" width="8.83203125" hidden="0" customWidth="1"/>
    <x:col min="7913" max="7913" width="8.83203125" hidden="0" customWidth="1"/>
    <x:col min="7914" max="7914" width="8.83203125" hidden="0" customWidth="1"/>
    <x:col min="7915" max="7915" width="8.83203125" hidden="0" customWidth="1"/>
    <x:col min="7916" max="7916" width="8.83203125" hidden="0" customWidth="1"/>
    <x:col min="7917" max="7917" width="8.83203125" hidden="0" customWidth="1"/>
    <x:col min="7918" max="7918" width="8.83203125" hidden="0" customWidth="1"/>
    <x:col min="7919" max="7919" width="8.83203125" hidden="0" customWidth="1"/>
    <x:col min="7920" max="7920" width="8.83203125" hidden="0" customWidth="1"/>
    <x:col min="7921" max="7921" width="8.83203125" hidden="0" customWidth="1"/>
    <x:col min="7922" max="7922" width="8.83203125" hidden="0" customWidth="1"/>
    <x:col min="7923" max="7923" width="8.83203125" hidden="0" customWidth="1"/>
    <x:col min="7924" max="7924" width="8.83203125" hidden="0" customWidth="1"/>
    <x:col min="7925" max="7925" width="8.83203125" hidden="0" customWidth="1"/>
    <x:col min="7926" max="7926" width="8.83203125" hidden="0" customWidth="1"/>
    <x:col min="7927" max="7927" width="8.83203125" hidden="0" customWidth="1"/>
    <x:col min="7928" max="7928" width="8.83203125" hidden="0" customWidth="1"/>
    <x:col min="7929" max="7929" width="8.83203125" hidden="0" customWidth="1"/>
    <x:col min="7930" max="7930" width="8.83203125" hidden="0" customWidth="1"/>
    <x:col min="7931" max="7931" width="8.83203125" hidden="0" customWidth="1"/>
    <x:col min="7932" max="7932" width="8.83203125" hidden="0" customWidth="1"/>
    <x:col min="7933" max="7933" width="8.83203125" hidden="0" customWidth="1"/>
    <x:col min="7934" max="7934" width="8.83203125" hidden="0" customWidth="1"/>
    <x:col min="7935" max="7935" width="8.83203125" hidden="0" customWidth="1"/>
    <x:col min="7936" max="7936" width="8.83203125" hidden="0" customWidth="1"/>
    <x:col min="7937" max="7937" width="8.83203125" hidden="0" customWidth="1"/>
    <x:col min="7938" max="7938" width="8.83203125" hidden="0" customWidth="1"/>
    <x:col min="7939" max="7939" width="8.83203125" hidden="0" customWidth="1"/>
    <x:col min="7940" max="7940" width="8.83203125" hidden="0" customWidth="1"/>
    <x:col min="7941" max="7941" width="8.83203125" hidden="0" customWidth="1"/>
    <x:col min="7942" max="7942" width="8.83203125" hidden="0" customWidth="1"/>
    <x:col min="7943" max="7943" width="8.83203125" hidden="0" customWidth="1"/>
    <x:col min="7944" max="7944" width="8.83203125" hidden="0" customWidth="1"/>
    <x:col min="7945" max="7945" width="8.83203125" hidden="0" customWidth="1"/>
    <x:col min="7946" max="7946" width="8.83203125" hidden="0" customWidth="1"/>
    <x:col min="7947" max="7947" width="8.83203125" hidden="0" customWidth="1"/>
    <x:col min="7948" max="7948" width="8.83203125" hidden="0" customWidth="1"/>
    <x:col min="7949" max="7949" width="8.83203125" hidden="0" customWidth="1"/>
    <x:col min="7950" max="7950" width="8.83203125" hidden="0" customWidth="1"/>
    <x:col min="7951" max="7951" width="8.83203125" hidden="0" customWidth="1"/>
    <x:col min="7952" max="7952" width="8.83203125" hidden="0" customWidth="1"/>
    <x:col min="7953" max="7953" width="8.83203125" hidden="0" customWidth="1"/>
    <x:col min="7954" max="7954" width="8.83203125" hidden="0" customWidth="1"/>
    <x:col min="7955" max="7955" width="8.83203125" hidden="0" customWidth="1"/>
    <x:col min="7956" max="7956" width="8.83203125" hidden="0" customWidth="1"/>
    <x:col min="7957" max="7957" width="8.83203125" hidden="0" customWidth="1"/>
    <x:col min="7958" max="7958" width="8.83203125" hidden="0" customWidth="1"/>
    <x:col min="7959" max="7959" width="8.83203125" hidden="0" customWidth="1"/>
    <x:col min="7960" max="7960" width="8.83203125" hidden="0" customWidth="1"/>
    <x:col min="7961" max="7961" width="8.83203125" hidden="0" customWidth="1"/>
    <x:col min="7962" max="7962" width="8.83203125" hidden="0" customWidth="1"/>
    <x:col min="7963" max="7963" width="8.83203125" hidden="0" customWidth="1"/>
    <x:col min="7964" max="7964" width="8.83203125" hidden="0" customWidth="1"/>
    <x:col min="7965" max="7965" width="8.83203125" hidden="0" customWidth="1"/>
    <x:col min="7966" max="7966" width="8.83203125" hidden="0" customWidth="1"/>
    <x:col min="7967" max="7967" width="8.83203125" hidden="0" customWidth="1"/>
    <x:col min="7968" max="7968" width="8.83203125" hidden="0" customWidth="1"/>
    <x:col min="7969" max="7969" width="8.83203125" hidden="0" customWidth="1"/>
    <x:col min="7970" max="7970" width="8.83203125" hidden="0" customWidth="1"/>
    <x:col min="7971" max="7971" width="8.83203125" hidden="0" customWidth="1"/>
    <x:col min="7972" max="7972" width="8.83203125" hidden="0" customWidth="1"/>
    <x:col min="7973" max="7973" width="8.83203125" hidden="0" customWidth="1"/>
    <x:col min="7974" max="7974" width="8.83203125" hidden="0" customWidth="1"/>
    <x:col min="7975" max="7975" width="8.83203125" hidden="0" customWidth="1"/>
    <x:col min="7976" max="7976" width="8.83203125" hidden="0" customWidth="1"/>
    <x:col min="7977" max="7977" width="8.83203125" hidden="0" customWidth="1"/>
    <x:col min="7978" max="7978" width="8.83203125" hidden="0" customWidth="1"/>
    <x:col min="7979" max="7979" width="8.83203125" hidden="0" customWidth="1"/>
    <x:col min="7980" max="7980" width="8.83203125" hidden="0" customWidth="1"/>
    <x:col min="7981" max="7981" width="8.83203125" hidden="0" customWidth="1"/>
    <x:col min="7982" max="7982" width="8.83203125" hidden="0" customWidth="1"/>
    <x:col min="7983" max="7983" width="8.83203125" hidden="0" customWidth="1"/>
    <x:col min="7984" max="7984" width="8.83203125" hidden="0" customWidth="1"/>
    <x:col min="7985" max="7985" width="8.83203125" hidden="0" customWidth="1"/>
    <x:col min="7986" max="7986" width="8.83203125" hidden="0" customWidth="1"/>
    <x:col min="7987" max="7987" width="8.83203125" hidden="0" customWidth="1"/>
    <x:col min="7988" max="7988" width="8.83203125" hidden="0" customWidth="1"/>
    <x:col min="7989" max="7989" width="8.83203125" hidden="0" customWidth="1"/>
    <x:col min="7990" max="7990" width="8.83203125" hidden="0" customWidth="1"/>
    <x:col min="7991" max="7991" width="8.83203125" hidden="0" customWidth="1"/>
    <x:col min="7992" max="7992" width="8.83203125" hidden="0" customWidth="1"/>
    <x:col min="7993" max="7993" width="8.83203125" hidden="0" customWidth="1"/>
    <x:col min="7994" max="7994" width="8.83203125" hidden="0" customWidth="1"/>
    <x:col min="7995" max="7995" width="8.83203125" hidden="0" customWidth="1"/>
    <x:col min="7996" max="7996" width="8.83203125" hidden="0" customWidth="1"/>
    <x:col min="7997" max="7997" width="8.83203125" hidden="0" customWidth="1"/>
    <x:col min="7998" max="7998" width="8.83203125" hidden="0" customWidth="1"/>
    <x:col min="7999" max="7999" width="8.83203125" hidden="0" customWidth="1"/>
    <x:col min="8000" max="8000" width="8.83203125" hidden="0" customWidth="1"/>
    <x:col min="8001" max="8001" width="8.83203125" hidden="0" customWidth="1"/>
    <x:col min="8002" max="8002" width="8.83203125" hidden="0" customWidth="1"/>
    <x:col min="8003" max="8003" width="8.83203125" hidden="0" customWidth="1"/>
    <x:col min="8004" max="8004" width="8.83203125" hidden="0" customWidth="1"/>
    <x:col min="8005" max="8005" width="8.83203125" hidden="0" customWidth="1"/>
    <x:col min="8006" max="8006" width="8.83203125" hidden="0" customWidth="1"/>
    <x:col min="8007" max="8007" width="8.83203125" hidden="0" customWidth="1"/>
    <x:col min="8008" max="8008" width="8.83203125" hidden="0" customWidth="1"/>
    <x:col min="8009" max="8009" width="8.83203125" hidden="0" customWidth="1"/>
    <x:col min="8010" max="8010" width="8.83203125" hidden="0" customWidth="1"/>
    <x:col min="8011" max="8011" width="8.83203125" hidden="0" customWidth="1"/>
    <x:col min="8012" max="8012" width="8.83203125" hidden="0" customWidth="1"/>
    <x:col min="8013" max="8013" width="8.83203125" hidden="0" customWidth="1"/>
    <x:col min="8014" max="8014" width="8.83203125" hidden="0" customWidth="1"/>
    <x:col min="8015" max="8015" width="8.83203125" hidden="0" customWidth="1"/>
    <x:col min="8016" max="8016" width="8.83203125" hidden="0" customWidth="1"/>
    <x:col min="8017" max="8017" width="8.83203125" hidden="0" customWidth="1"/>
    <x:col min="8018" max="8018" width="8.83203125" hidden="0" customWidth="1"/>
    <x:col min="8019" max="8019" width="8.83203125" hidden="0" customWidth="1"/>
    <x:col min="8020" max="8020" width="8.83203125" hidden="0" customWidth="1"/>
    <x:col min="8021" max="8021" width="8.83203125" hidden="0" customWidth="1"/>
    <x:col min="8022" max="8022" width="8.83203125" hidden="0" customWidth="1"/>
    <x:col min="8023" max="8023" width="8.83203125" hidden="0" customWidth="1"/>
    <x:col min="8024" max="8024" width="8.83203125" hidden="0" customWidth="1"/>
    <x:col min="8025" max="8025" width="8.83203125" hidden="0" customWidth="1"/>
    <x:col min="8026" max="8026" width="8.83203125" hidden="0" customWidth="1"/>
    <x:col min="8027" max="8027" width="8.83203125" hidden="0" customWidth="1"/>
    <x:col min="8028" max="8028" width="8.83203125" hidden="0" customWidth="1"/>
    <x:col min="8029" max="8029" width="8.83203125" hidden="0" customWidth="1"/>
    <x:col min="8030" max="8030" width="8.83203125" hidden="0" customWidth="1"/>
    <x:col min="8031" max="8031" width="8.83203125" hidden="0" customWidth="1"/>
    <x:col min="8032" max="8032" width="8.83203125" hidden="0" customWidth="1"/>
    <x:col min="8033" max="8033" width="8.83203125" hidden="0" customWidth="1"/>
    <x:col min="8034" max="8034" width="8.83203125" hidden="0" customWidth="1"/>
    <x:col min="8035" max="8035" width="8.83203125" hidden="0" customWidth="1"/>
    <x:col min="8036" max="8036" width="8.83203125" hidden="0" customWidth="1"/>
    <x:col min="8037" max="8037" width="8.83203125" hidden="0" customWidth="1"/>
    <x:col min="8038" max="8038" width="8.83203125" hidden="0" customWidth="1"/>
    <x:col min="8039" max="8039" width="8.83203125" hidden="0" customWidth="1"/>
    <x:col min="8040" max="8040" width="8.83203125" hidden="0" customWidth="1"/>
    <x:col min="8041" max="8041" width="8.83203125" hidden="0" customWidth="1"/>
    <x:col min="8042" max="8042" width="8.83203125" hidden="0" customWidth="1"/>
    <x:col min="8043" max="8043" width="8.83203125" hidden="0" customWidth="1"/>
    <x:col min="8044" max="8044" width="8.83203125" hidden="0" customWidth="1"/>
    <x:col min="8045" max="8045" width="8.83203125" hidden="0" customWidth="1"/>
    <x:col min="8046" max="8046" width="8.83203125" hidden="0" customWidth="1"/>
    <x:col min="8047" max="8047" width="8.83203125" hidden="0" customWidth="1"/>
    <x:col min="8048" max="8048" width="8.83203125" hidden="0" customWidth="1"/>
    <x:col min="8049" max="8049" width="8.83203125" hidden="0" customWidth="1"/>
    <x:col min="8050" max="8050" width="8.83203125" hidden="0" customWidth="1"/>
    <x:col min="8051" max="8051" width="8.83203125" hidden="0" customWidth="1"/>
    <x:col min="8052" max="8052" width="8.83203125" hidden="0" customWidth="1"/>
    <x:col min="8053" max="8053" width="8.83203125" hidden="0" customWidth="1"/>
    <x:col min="8054" max="8054" width="8.83203125" hidden="0" customWidth="1"/>
    <x:col min="8055" max="8055" width="8.83203125" hidden="0" customWidth="1"/>
    <x:col min="8056" max="8056" width="8.83203125" hidden="0" customWidth="1"/>
    <x:col min="8057" max="8057" width="8.83203125" hidden="0" customWidth="1"/>
    <x:col min="8058" max="8058" width="8.83203125" hidden="0" customWidth="1"/>
    <x:col min="8059" max="8059" width="8.83203125" hidden="0" customWidth="1"/>
    <x:col min="8060" max="8060" width="8.83203125" hidden="0" customWidth="1"/>
    <x:col min="8061" max="8061" width="8.83203125" hidden="0" customWidth="1"/>
    <x:col min="8062" max="8062" width="8.83203125" hidden="0" customWidth="1"/>
    <x:col min="8063" max="8063" width="8.83203125" hidden="0" customWidth="1"/>
    <x:col min="8064" max="8064" width="8.83203125" hidden="0" customWidth="1"/>
    <x:col min="8065" max="8065" width="8.83203125" hidden="0" customWidth="1"/>
    <x:col min="8066" max="8066" width="8.83203125" hidden="0" customWidth="1"/>
    <x:col min="8067" max="8067" width="8.83203125" hidden="0" customWidth="1"/>
    <x:col min="8068" max="8068" width="8.83203125" hidden="0" customWidth="1"/>
    <x:col min="8069" max="8069" width="8.83203125" hidden="0" customWidth="1"/>
    <x:col min="8070" max="8070" width="8.83203125" hidden="0" customWidth="1"/>
    <x:col min="8071" max="8071" width="8.83203125" hidden="0" customWidth="1"/>
    <x:col min="8072" max="8072" width="8.83203125" hidden="0" customWidth="1"/>
    <x:col min="8073" max="8073" width="8.83203125" hidden="0" customWidth="1"/>
    <x:col min="8074" max="8074" width="8.83203125" hidden="0" customWidth="1"/>
    <x:col min="8075" max="8075" width="8.83203125" hidden="0" customWidth="1"/>
    <x:col min="8076" max="8076" width="8.83203125" hidden="0" customWidth="1"/>
    <x:col min="8077" max="8077" width="8.83203125" hidden="0" customWidth="1"/>
    <x:col min="8078" max="8078" width="8.83203125" hidden="0" customWidth="1"/>
    <x:col min="8079" max="8079" width="8.83203125" hidden="0" customWidth="1"/>
    <x:col min="8080" max="8080" width="8.83203125" hidden="0" customWidth="1"/>
    <x:col min="8081" max="8081" width="8.83203125" hidden="0" customWidth="1"/>
    <x:col min="8082" max="8082" width="8.83203125" hidden="0" customWidth="1"/>
    <x:col min="8083" max="8083" width="8.83203125" hidden="0" customWidth="1"/>
    <x:col min="8084" max="8084" width="8.83203125" hidden="0" customWidth="1"/>
    <x:col min="8085" max="8085" width="8.83203125" hidden="0" customWidth="1"/>
    <x:col min="8086" max="8086" width="8.83203125" hidden="0" customWidth="1"/>
    <x:col min="8087" max="8087" width="8.83203125" hidden="0" customWidth="1"/>
    <x:col min="8088" max="8088" width="8.83203125" hidden="0" customWidth="1"/>
    <x:col min="8089" max="8089" width="8.83203125" hidden="0" customWidth="1"/>
    <x:col min="8090" max="8090" width="8.83203125" hidden="0" customWidth="1"/>
    <x:col min="8091" max="8091" width="8.83203125" hidden="0" customWidth="1"/>
    <x:col min="8092" max="8092" width="8.83203125" hidden="0" customWidth="1"/>
    <x:col min="8093" max="8093" width="8.83203125" hidden="0" customWidth="1"/>
    <x:col min="8094" max="8094" width="8.83203125" hidden="0" customWidth="1"/>
    <x:col min="8095" max="8095" width="8.83203125" hidden="0" customWidth="1"/>
    <x:col min="8096" max="8096" width="8.83203125" hidden="0" customWidth="1"/>
    <x:col min="8097" max="8097" width="8.83203125" hidden="0" customWidth="1"/>
    <x:col min="8098" max="8098" width="8.83203125" hidden="0" customWidth="1"/>
    <x:col min="8099" max="8099" width="8.83203125" hidden="0" customWidth="1"/>
    <x:col min="8100" max="8100" width="8.83203125" hidden="0" customWidth="1"/>
    <x:col min="8101" max="8101" width="8.83203125" hidden="0" customWidth="1"/>
    <x:col min="8102" max="8102" width="8.83203125" hidden="0" customWidth="1"/>
    <x:col min="8103" max="8103" width="8.83203125" hidden="0" customWidth="1"/>
    <x:col min="8104" max="8104" width="8.83203125" hidden="0" customWidth="1"/>
    <x:col min="8105" max="8105" width="8.83203125" hidden="0" customWidth="1"/>
    <x:col min="8106" max="8106" width="8.83203125" hidden="0" customWidth="1"/>
    <x:col min="8107" max="8107" width="8.83203125" hidden="0" customWidth="1"/>
    <x:col min="8108" max="8108" width="8.83203125" hidden="0" customWidth="1"/>
    <x:col min="8109" max="8109" width="8.83203125" hidden="0" customWidth="1"/>
    <x:col min="8110" max="8110" width="8.83203125" hidden="0" customWidth="1"/>
    <x:col min="8111" max="8111" width="8.83203125" hidden="0" customWidth="1"/>
    <x:col min="8112" max="8112" width="8.83203125" hidden="0" customWidth="1"/>
    <x:col min="8113" max="8113" width="8.83203125" hidden="0" customWidth="1"/>
    <x:col min="8114" max="8114" width="8.83203125" hidden="0" customWidth="1"/>
    <x:col min="8115" max="8115" width="8.83203125" hidden="0" customWidth="1"/>
    <x:col min="8116" max="8116" width="8.83203125" hidden="0" customWidth="1"/>
    <x:col min="8117" max="8117" width="8.83203125" hidden="0" customWidth="1"/>
    <x:col min="8118" max="8118" width="8.83203125" hidden="0" customWidth="1"/>
    <x:col min="8119" max="8119" width="8.83203125" hidden="0" customWidth="1"/>
    <x:col min="8120" max="8120" width="8.83203125" hidden="0" customWidth="1"/>
    <x:col min="8121" max="8121" width="8.83203125" hidden="0" customWidth="1"/>
    <x:col min="8122" max="8122" width="8.83203125" hidden="0" customWidth="1"/>
    <x:col min="8123" max="8123" width="8.83203125" hidden="0" customWidth="1"/>
    <x:col min="8124" max="8124" width="8.83203125" hidden="0" customWidth="1"/>
    <x:col min="8125" max="8125" width="8.83203125" hidden="0" customWidth="1"/>
    <x:col min="8126" max="8126" width="8.83203125" hidden="0" customWidth="1"/>
    <x:col min="8127" max="8127" width="8.83203125" hidden="0" customWidth="1"/>
    <x:col min="8128" max="8128" width="8.83203125" hidden="0" customWidth="1"/>
    <x:col min="8129" max="8129" width="8.83203125" hidden="0" customWidth="1"/>
    <x:col min="8130" max="8130" width="8.83203125" hidden="0" customWidth="1"/>
    <x:col min="8131" max="8131" width="8.83203125" hidden="0" customWidth="1"/>
    <x:col min="8132" max="8132" width="8.83203125" hidden="0" customWidth="1"/>
    <x:col min="8133" max="8133" width="8.83203125" hidden="0" customWidth="1"/>
    <x:col min="8134" max="8134" width="8.83203125" hidden="0" customWidth="1"/>
    <x:col min="8135" max="8135" width="8.83203125" hidden="0" customWidth="1"/>
    <x:col min="8136" max="8136" width="8.83203125" hidden="0" customWidth="1"/>
    <x:col min="8137" max="8137" width="8.83203125" hidden="0" customWidth="1"/>
    <x:col min="8138" max="8138" width="8.83203125" hidden="0" customWidth="1"/>
    <x:col min="8139" max="8139" width="8.83203125" hidden="0" customWidth="1"/>
    <x:col min="8140" max="8140" width="8.83203125" hidden="0" customWidth="1"/>
    <x:col min="8141" max="8141" width="8.83203125" hidden="0" customWidth="1"/>
    <x:col min="8142" max="8142" width="8.83203125" hidden="0" customWidth="1"/>
    <x:col min="8143" max="8143" width="8.83203125" hidden="0" customWidth="1"/>
    <x:col min="8144" max="8144" width="8.83203125" hidden="0" customWidth="1"/>
    <x:col min="8145" max="8145" width="8.83203125" hidden="0" customWidth="1"/>
    <x:col min="8146" max="8146" width="8.83203125" hidden="0" customWidth="1"/>
    <x:col min="8147" max="8147" width="8.83203125" hidden="0" customWidth="1"/>
    <x:col min="8148" max="8148" width="8.83203125" hidden="0" customWidth="1"/>
    <x:col min="8149" max="8149" width="8.83203125" hidden="0" customWidth="1"/>
    <x:col min="8150" max="8150" width="8.83203125" hidden="0" customWidth="1"/>
    <x:col min="8151" max="8151" width="8.83203125" hidden="0" customWidth="1"/>
    <x:col min="8152" max="8152" width="8.83203125" hidden="0" customWidth="1"/>
    <x:col min="8153" max="8153" width="8.83203125" hidden="0" customWidth="1"/>
    <x:col min="8154" max="8154" width="8.83203125" hidden="0" customWidth="1"/>
    <x:col min="8155" max="8155" width="8.83203125" hidden="0" customWidth="1"/>
    <x:col min="8156" max="8156" width="8.83203125" hidden="0" customWidth="1"/>
    <x:col min="8157" max="8157" width="8.83203125" hidden="0" customWidth="1"/>
    <x:col min="8158" max="8158" width="8.83203125" hidden="0" customWidth="1"/>
    <x:col min="8159" max="8159" width="8.83203125" hidden="0" customWidth="1"/>
    <x:col min="8160" max="8160" width="8.83203125" hidden="0" customWidth="1"/>
    <x:col min="8161" max="8161" width="8.83203125" hidden="0" customWidth="1"/>
    <x:col min="8162" max="8162" width="8.83203125" hidden="0" customWidth="1"/>
    <x:col min="8163" max="8163" width="8.83203125" hidden="0" customWidth="1"/>
    <x:col min="8164" max="8164" width="8.83203125" hidden="0" customWidth="1"/>
    <x:col min="8165" max="8165" width="8.83203125" hidden="0" customWidth="1"/>
    <x:col min="8166" max="8166" width="8.83203125" hidden="0" customWidth="1"/>
    <x:col min="8167" max="8167" width="8.83203125" hidden="0" customWidth="1"/>
    <x:col min="8168" max="8168" width="8.83203125" hidden="0" customWidth="1"/>
    <x:col min="8169" max="8169" width="8.83203125" hidden="0" customWidth="1"/>
    <x:col min="8170" max="8170" width="8.83203125" hidden="0" customWidth="1"/>
    <x:col min="8171" max="8171" width="8.83203125" hidden="0" customWidth="1"/>
    <x:col min="8172" max="8172" width="8.83203125" hidden="0" customWidth="1"/>
    <x:col min="8173" max="8173" width="8.83203125" hidden="0" customWidth="1"/>
    <x:col min="8174" max="8174" width="8.83203125" hidden="0" customWidth="1"/>
    <x:col min="8175" max="8175" width="8.83203125" hidden="0" customWidth="1"/>
    <x:col min="8176" max="8176" width="8.83203125" hidden="0" customWidth="1"/>
    <x:col min="8177" max="8177" width="8.83203125" hidden="0" customWidth="1"/>
    <x:col min="8178" max="8178" width="8.83203125" hidden="0" customWidth="1"/>
    <x:col min="8179" max="8179" width="8.83203125" hidden="0" customWidth="1"/>
    <x:col min="8180" max="8180" width="8.83203125" hidden="0" customWidth="1"/>
    <x:col min="8181" max="8181" width="8.83203125" hidden="0" customWidth="1"/>
    <x:col min="8182" max="8182" width="8.83203125" hidden="0" customWidth="1"/>
    <x:col min="8183" max="8183" width="8.83203125" hidden="0" customWidth="1"/>
    <x:col min="8184" max="8184" width="8.83203125" hidden="0" customWidth="1"/>
    <x:col min="8185" max="8185" width="8.83203125" hidden="0" customWidth="1"/>
    <x:col min="8186" max="8186" width="8.83203125" hidden="0" customWidth="1"/>
    <x:col min="8187" max="8187" width="8.83203125" hidden="0" customWidth="1"/>
    <x:col min="8188" max="8188" width="8.83203125" hidden="0" customWidth="1"/>
    <x:col min="8189" max="8189" width="8.83203125" hidden="0" customWidth="1"/>
    <x:col min="8190" max="8190" width="8.83203125" hidden="0" customWidth="1"/>
    <x:col min="8191" max="8191" width="8.83203125" hidden="0" customWidth="1"/>
    <x:col min="8192" max="8192" width="8.83203125" hidden="0" customWidth="1"/>
    <x:col min="8193" max="8193" width="8.83203125" hidden="0" customWidth="1"/>
    <x:col min="8194" max="8194" width="8.83203125" hidden="0" customWidth="1"/>
    <x:col min="8195" max="8195" width="8.83203125" hidden="0" customWidth="1"/>
    <x:col min="8196" max="8196" width="8.83203125" hidden="0" customWidth="1"/>
    <x:col min="8197" max="8197" width="8.83203125" hidden="0" customWidth="1"/>
    <x:col min="8198" max="8198" width="8.83203125" hidden="0" customWidth="1"/>
    <x:col min="8199" max="8199" width="8.83203125" hidden="0" customWidth="1"/>
    <x:col min="8200" max="8200" width="8.83203125" hidden="0" customWidth="1"/>
    <x:col min="8201" max="8201" width="8.83203125" hidden="0" customWidth="1"/>
    <x:col min="8202" max="8202" width="8.83203125" hidden="0" customWidth="1"/>
    <x:col min="8203" max="8203" width="8.83203125" hidden="0" customWidth="1"/>
    <x:col min="8204" max="8204" width="8.83203125" hidden="0" customWidth="1"/>
    <x:col min="8205" max="8205" width="8.83203125" hidden="0" customWidth="1"/>
    <x:col min="8206" max="8206" width="8.83203125" hidden="0" customWidth="1"/>
    <x:col min="8207" max="8207" width="8.83203125" hidden="0" customWidth="1"/>
    <x:col min="8208" max="8208" width="8.83203125" hidden="0" customWidth="1"/>
    <x:col min="8209" max="8209" width="8.83203125" hidden="0" customWidth="1"/>
    <x:col min="8210" max="8210" width="8.83203125" hidden="0" customWidth="1"/>
    <x:col min="8211" max="8211" width="8.83203125" hidden="0" customWidth="1"/>
    <x:col min="8212" max="8212" width="8.83203125" hidden="0" customWidth="1"/>
    <x:col min="8213" max="8213" width="8.83203125" hidden="0" customWidth="1"/>
    <x:col min="8214" max="8214" width="8.83203125" hidden="0" customWidth="1"/>
    <x:col min="8215" max="8215" width="8.83203125" hidden="0" customWidth="1"/>
    <x:col min="8216" max="8216" width="8.83203125" hidden="0" customWidth="1"/>
    <x:col min="8217" max="8217" width="8.83203125" hidden="0" customWidth="1"/>
    <x:col min="8218" max="8218" width="8.83203125" hidden="0" customWidth="1"/>
    <x:col min="8219" max="8219" width="8.83203125" hidden="0" customWidth="1"/>
    <x:col min="8220" max="8220" width="8.83203125" hidden="0" customWidth="1"/>
    <x:col min="8221" max="8221" width="8.83203125" hidden="0" customWidth="1"/>
    <x:col min="8222" max="8222" width="8.83203125" hidden="0" customWidth="1"/>
    <x:col min="8223" max="8223" width="8.83203125" hidden="0" customWidth="1"/>
    <x:col min="8224" max="8224" width="8.83203125" hidden="0" customWidth="1"/>
    <x:col min="8225" max="8225" width="8.83203125" hidden="0" customWidth="1"/>
    <x:col min="8226" max="8226" width="8.83203125" hidden="0" customWidth="1"/>
    <x:col min="8227" max="8227" width="8.83203125" hidden="0" customWidth="1"/>
    <x:col min="8228" max="8228" width="8.83203125" hidden="0" customWidth="1"/>
    <x:col min="8229" max="8229" width="8.83203125" hidden="0" customWidth="1"/>
    <x:col min="8230" max="8230" width="8.83203125" hidden="0" customWidth="1"/>
    <x:col min="8231" max="8231" width="8.83203125" hidden="0" customWidth="1"/>
    <x:col min="8232" max="8232" width="8.83203125" hidden="0" customWidth="1"/>
    <x:col min="8233" max="8233" width="8.83203125" hidden="0" customWidth="1"/>
    <x:col min="8234" max="8234" width="8.83203125" hidden="0" customWidth="1"/>
    <x:col min="8235" max="8235" width="8.83203125" hidden="0" customWidth="1"/>
    <x:col min="8236" max="8236" width="8.83203125" hidden="0" customWidth="1"/>
    <x:col min="8237" max="8237" width="8.83203125" hidden="0" customWidth="1"/>
    <x:col min="8238" max="8238" width="8.83203125" hidden="0" customWidth="1"/>
    <x:col min="8239" max="8239" width="8.83203125" hidden="0" customWidth="1"/>
    <x:col min="8240" max="8240" width="8.83203125" hidden="0" customWidth="1"/>
    <x:col min="8241" max="8241" width="8.83203125" hidden="0" customWidth="1"/>
    <x:col min="8242" max="8242" width="8.83203125" hidden="0" customWidth="1"/>
    <x:col min="8243" max="8243" width="8.83203125" hidden="0" customWidth="1"/>
    <x:col min="8244" max="8244" width="8.83203125" hidden="0" customWidth="1"/>
    <x:col min="8245" max="8245" width="8.83203125" hidden="0" customWidth="1"/>
    <x:col min="8246" max="8246" width="8.83203125" hidden="0" customWidth="1"/>
    <x:col min="8247" max="8247" width="8.83203125" hidden="0" customWidth="1"/>
    <x:col min="8248" max="8248" width="8.83203125" hidden="0" customWidth="1"/>
    <x:col min="8249" max="8249" width="8.83203125" hidden="0" customWidth="1"/>
    <x:col min="8250" max="8250" width="8.83203125" hidden="0" customWidth="1"/>
    <x:col min="8251" max="8251" width="8.83203125" hidden="0" customWidth="1"/>
    <x:col min="8252" max="8252" width="8.83203125" hidden="0" customWidth="1"/>
    <x:col min="8253" max="8253" width="8.83203125" hidden="0" customWidth="1"/>
    <x:col min="8254" max="8254" width="8.83203125" hidden="0" customWidth="1"/>
    <x:col min="8255" max="8255" width="8.83203125" hidden="0" customWidth="1"/>
    <x:col min="8256" max="8256" width="8.83203125" hidden="0" customWidth="1"/>
    <x:col min="8257" max="8257" width="8.83203125" hidden="0" customWidth="1"/>
    <x:col min="8258" max="8258" width="8.83203125" hidden="0" customWidth="1"/>
    <x:col min="8259" max="8259" width="8.83203125" hidden="0" customWidth="1"/>
    <x:col min="8260" max="8260" width="8.83203125" hidden="0" customWidth="1"/>
    <x:col min="8261" max="8261" width="8.83203125" hidden="0" customWidth="1"/>
    <x:col min="8262" max="8262" width="8.83203125" hidden="0" customWidth="1"/>
    <x:col min="8263" max="8263" width="8.83203125" hidden="0" customWidth="1"/>
    <x:col min="8264" max="8264" width="8.83203125" hidden="0" customWidth="1"/>
    <x:col min="8265" max="8265" width="8.83203125" hidden="0" customWidth="1"/>
    <x:col min="8266" max="8266" width="8.83203125" hidden="0" customWidth="1"/>
    <x:col min="8267" max="8267" width="8.83203125" hidden="0" customWidth="1"/>
    <x:col min="8268" max="8268" width="8.83203125" hidden="0" customWidth="1"/>
    <x:col min="8269" max="8269" width="8.83203125" hidden="0" customWidth="1"/>
    <x:col min="8270" max="8270" width="8.83203125" hidden="0" customWidth="1"/>
    <x:col min="8271" max="8271" width="8.83203125" hidden="0" customWidth="1"/>
    <x:col min="8272" max="8272" width="8.83203125" hidden="0" customWidth="1"/>
    <x:col min="8273" max="8273" width="8.83203125" hidden="0" customWidth="1"/>
    <x:col min="8274" max="8274" width="8.83203125" hidden="0" customWidth="1"/>
    <x:col min="8275" max="8275" width="8.83203125" hidden="0" customWidth="1"/>
    <x:col min="8276" max="8276" width="8.83203125" hidden="0" customWidth="1"/>
    <x:col min="8277" max="8277" width="8.83203125" hidden="0" customWidth="1"/>
    <x:col min="8278" max="8278" width="8.83203125" hidden="0" customWidth="1"/>
    <x:col min="8279" max="8279" width="8.83203125" hidden="0" customWidth="1"/>
    <x:col min="8280" max="8280" width="8.83203125" hidden="0" customWidth="1"/>
    <x:col min="8281" max="8281" width="8.83203125" hidden="0" customWidth="1"/>
    <x:col min="8282" max="8282" width="8.83203125" hidden="0" customWidth="1"/>
    <x:col min="8283" max="8283" width="8.83203125" hidden="0" customWidth="1"/>
    <x:col min="8284" max="8284" width="8.83203125" hidden="0" customWidth="1"/>
    <x:col min="8285" max="8285" width="8.83203125" hidden="0" customWidth="1"/>
    <x:col min="8286" max="8286" width="8.83203125" hidden="0" customWidth="1"/>
    <x:col min="8287" max="8287" width="8.83203125" hidden="0" customWidth="1"/>
    <x:col min="8288" max="8288" width="8.83203125" hidden="0" customWidth="1"/>
    <x:col min="8289" max="8289" width="8.83203125" hidden="0" customWidth="1"/>
    <x:col min="8290" max="8290" width="8.83203125" hidden="0" customWidth="1"/>
    <x:col min="8291" max="8291" width="8.83203125" hidden="0" customWidth="1"/>
    <x:col min="8292" max="8292" width="8.83203125" hidden="0" customWidth="1"/>
    <x:col min="8293" max="8293" width="8.83203125" hidden="0" customWidth="1"/>
    <x:col min="8294" max="8294" width="8.83203125" hidden="0" customWidth="1"/>
    <x:col min="8295" max="8295" width="8.83203125" hidden="0" customWidth="1"/>
    <x:col min="8296" max="8296" width="8.83203125" hidden="0" customWidth="1"/>
    <x:col min="8297" max="8297" width="8.83203125" hidden="0" customWidth="1"/>
    <x:col min="8298" max="8298" width="8.83203125" hidden="0" customWidth="1"/>
    <x:col min="8299" max="8299" width="8.83203125" hidden="0" customWidth="1"/>
    <x:col min="8300" max="8300" width="8.83203125" hidden="0" customWidth="1"/>
    <x:col min="8301" max="8301" width="8.83203125" hidden="0" customWidth="1"/>
    <x:col min="8302" max="8302" width="8.83203125" hidden="0" customWidth="1"/>
    <x:col min="8303" max="8303" width="8.83203125" hidden="0" customWidth="1"/>
    <x:col min="8304" max="8304" width="8.83203125" hidden="0" customWidth="1"/>
    <x:col min="8305" max="8305" width="8.83203125" hidden="0" customWidth="1"/>
    <x:col min="8306" max="8306" width="8.83203125" hidden="0" customWidth="1"/>
    <x:col min="8307" max="8307" width="8.83203125" hidden="0" customWidth="1"/>
    <x:col min="8308" max="8308" width="8.83203125" hidden="0" customWidth="1"/>
    <x:col min="8309" max="8309" width="8.83203125" hidden="0" customWidth="1"/>
    <x:col min="8310" max="8310" width="8.83203125" hidden="0" customWidth="1"/>
    <x:col min="8311" max="8311" width="8.83203125" hidden="0" customWidth="1"/>
    <x:col min="8312" max="8312" width="8.83203125" hidden="0" customWidth="1"/>
    <x:col min="8313" max="8313" width="8.83203125" hidden="0" customWidth="1"/>
    <x:col min="8314" max="8314" width="8.83203125" hidden="0" customWidth="1"/>
    <x:col min="8315" max="8315" width="8.83203125" hidden="0" customWidth="1"/>
    <x:col min="8316" max="8316" width="8.83203125" hidden="0" customWidth="1"/>
    <x:col min="8317" max="8317" width="8.83203125" hidden="0" customWidth="1"/>
    <x:col min="8318" max="8318" width="8.83203125" hidden="0" customWidth="1"/>
    <x:col min="8319" max="8319" width="8.83203125" hidden="0" customWidth="1"/>
    <x:col min="8320" max="8320" width="8.83203125" hidden="0" customWidth="1"/>
    <x:col min="8321" max="8321" width="8.83203125" hidden="0" customWidth="1"/>
    <x:col min="8322" max="8322" width="8.83203125" hidden="0" customWidth="1"/>
    <x:col min="8323" max="8323" width="8.83203125" hidden="0" customWidth="1"/>
    <x:col min="8324" max="8324" width="8.83203125" hidden="0" customWidth="1"/>
    <x:col min="8325" max="8325" width="8.83203125" hidden="0" customWidth="1"/>
    <x:col min="8326" max="8326" width="8.83203125" hidden="0" customWidth="1"/>
    <x:col min="8327" max="8327" width="8.83203125" hidden="0" customWidth="1"/>
    <x:col min="8328" max="8328" width="8.83203125" hidden="0" customWidth="1"/>
    <x:col min="8329" max="8329" width="8.83203125" hidden="0" customWidth="1"/>
    <x:col min="8330" max="8330" width="8.83203125" hidden="0" customWidth="1"/>
    <x:col min="8331" max="8331" width="8.83203125" hidden="0" customWidth="1"/>
    <x:col min="8332" max="8332" width="8.83203125" hidden="0" customWidth="1"/>
    <x:col min="8333" max="8333" width="8.83203125" hidden="0" customWidth="1"/>
    <x:col min="8334" max="8334" width="8.83203125" hidden="0" customWidth="1"/>
    <x:col min="8335" max="8335" width="8.83203125" hidden="0" customWidth="1"/>
    <x:col min="8336" max="8336" width="8.83203125" hidden="0" customWidth="1"/>
    <x:col min="8337" max="8337" width="8.83203125" hidden="0" customWidth="1"/>
    <x:col min="8338" max="8338" width="8.83203125" hidden="0" customWidth="1"/>
    <x:col min="8339" max="8339" width="8.83203125" hidden="0" customWidth="1"/>
    <x:col min="8340" max="8340" width="8.83203125" hidden="0" customWidth="1"/>
    <x:col min="8341" max="8341" width="8.83203125" hidden="0" customWidth="1"/>
    <x:col min="8342" max="8342" width="8.83203125" hidden="0" customWidth="1"/>
    <x:col min="8343" max="8343" width="8.83203125" hidden="0" customWidth="1"/>
    <x:col min="8344" max="8344" width="8.83203125" hidden="0" customWidth="1"/>
    <x:col min="8345" max="8345" width="8.83203125" hidden="0" customWidth="1"/>
    <x:col min="8346" max="8346" width="8.83203125" hidden="0" customWidth="1"/>
    <x:col min="8347" max="8347" width="8.83203125" hidden="0" customWidth="1"/>
    <x:col min="8348" max="8348" width="8.83203125" hidden="0" customWidth="1"/>
    <x:col min="8349" max="8349" width="8.83203125" hidden="0" customWidth="1"/>
    <x:col min="8350" max="8350" width="8.83203125" hidden="0" customWidth="1"/>
    <x:col min="8351" max="8351" width="8.83203125" hidden="0" customWidth="1"/>
    <x:col min="8352" max="8352" width="8.83203125" hidden="0" customWidth="1"/>
    <x:col min="8353" max="8353" width="8.83203125" hidden="0" customWidth="1"/>
    <x:col min="8354" max="8354" width="8.83203125" hidden="0" customWidth="1"/>
    <x:col min="8355" max="8355" width="8.83203125" hidden="0" customWidth="1"/>
    <x:col min="8356" max="8356" width="8.83203125" hidden="0" customWidth="1"/>
    <x:col min="8357" max="8357" width="8.83203125" hidden="0" customWidth="1"/>
    <x:col min="8358" max="8358" width="8.83203125" hidden="0" customWidth="1"/>
    <x:col min="8359" max="8359" width="8.83203125" hidden="0" customWidth="1"/>
    <x:col min="8360" max="8360" width="8.83203125" hidden="0" customWidth="1"/>
    <x:col min="8361" max="8361" width="8.83203125" hidden="0" customWidth="1"/>
    <x:col min="8362" max="8362" width="8.83203125" hidden="0" customWidth="1"/>
    <x:col min="8363" max="8363" width="8.83203125" hidden="0" customWidth="1"/>
    <x:col min="8364" max="8364" width="8.83203125" hidden="0" customWidth="1"/>
    <x:col min="8365" max="8365" width="8.83203125" hidden="0" customWidth="1"/>
    <x:col min="8366" max="8366" width="8.83203125" hidden="0" customWidth="1"/>
    <x:col min="8367" max="8367" width="8.83203125" hidden="0" customWidth="1"/>
    <x:col min="8368" max="8368" width="8.83203125" hidden="0" customWidth="1"/>
    <x:col min="8369" max="8369" width="8.83203125" hidden="0" customWidth="1"/>
    <x:col min="8370" max="8370" width="8.83203125" hidden="0" customWidth="1"/>
    <x:col min="8371" max="8371" width="8.83203125" hidden="0" customWidth="1"/>
    <x:col min="8372" max="8372" width="8.83203125" hidden="0" customWidth="1"/>
    <x:col min="8373" max="8373" width="8.83203125" hidden="0" customWidth="1"/>
    <x:col min="8374" max="8374" width="8.83203125" hidden="0" customWidth="1"/>
    <x:col min="8375" max="8375" width="8.83203125" hidden="0" customWidth="1"/>
    <x:col min="8376" max="8376" width="8.83203125" hidden="0" customWidth="1"/>
    <x:col min="8377" max="8377" width="8.83203125" hidden="0" customWidth="1"/>
    <x:col min="8378" max="8378" width="8.83203125" hidden="0" customWidth="1"/>
    <x:col min="8379" max="8379" width="8.83203125" hidden="0" customWidth="1"/>
    <x:col min="8380" max="8380" width="8.83203125" hidden="0" customWidth="1"/>
    <x:col min="8381" max="8381" width="8.83203125" hidden="0" customWidth="1"/>
    <x:col min="8382" max="8382" width="8.83203125" hidden="0" customWidth="1"/>
    <x:col min="8383" max="8383" width="8.83203125" hidden="0" customWidth="1"/>
    <x:col min="8384" max="8384" width="8.83203125" hidden="0" customWidth="1"/>
    <x:col min="8385" max="8385" width="8.83203125" hidden="0" customWidth="1"/>
    <x:col min="8386" max="8386" width="8.83203125" hidden="0" customWidth="1"/>
    <x:col min="8387" max="8387" width="8.83203125" hidden="0" customWidth="1"/>
    <x:col min="8388" max="8388" width="8.83203125" hidden="0" customWidth="1"/>
    <x:col min="8389" max="8389" width="8.83203125" hidden="0" customWidth="1"/>
    <x:col min="8390" max="8390" width="8.83203125" hidden="0" customWidth="1"/>
    <x:col min="8391" max="8391" width="8.83203125" hidden="0" customWidth="1"/>
    <x:col min="8392" max="8392" width="8.83203125" hidden="0" customWidth="1"/>
    <x:col min="8393" max="8393" width="8.83203125" hidden="0" customWidth="1"/>
    <x:col min="8394" max="8394" width="8.83203125" hidden="0" customWidth="1"/>
    <x:col min="8395" max="8395" width="8.83203125" hidden="0" customWidth="1"/>
    <x:col min="8396" max="8396" width="8.83203125" hidden="0" customWidth="1"/>
    <x:col min="8397" max="8397" width="8.83203125" hidden="0" customWidth="1"/>
    <x:col min="8398" max="8398" width="8.83203125" hidden="0" customWidth="1"/>
    <x:col min="8399" max="8399" width="8.83203125" hidden="0" customWidth="1"/>
    <x:col min="8400" max="8400" width="8.83203125" hidden="0" customWidth="1"/>
    <x:col min="8401" max="8401" width="8.83203125" hidden="0" customWidth="1"/>
    <x:col min="8402" max="8402" width="8.83203125" hidden="0" customWidth="1"/>
    <x:col min="8403" max="8403" width="8.83203125" hidden="0" customWidth="1"/>
    <x:col min="8404" max="8404" width="8.83203125" hidden="0" customWidth="1"/>
    <x:col min="8405" max="8405" width="8.83203125" hidden="0" customWidth="1"/>
    <x:col min="8406" max="8406" width="8.83203125" hidden="0" customWidth="1"/>
    <x:col min="8407" max="8407" width="8.83203125" hidden="0" customWidth="1"/>
    <x:col min="8408" max="8408" width="8.83203125" hidden="0" customWidth="1"/>
    <x:col min="8409" max="8409" width="8.83203125" hidden="0" customWidth="1"/>
    <x:col min="8410" max="8410" width="8.83203125" hidden="0" customWidth="1"/>
    <x:col min="8411" max="8411" width="8.83203125" hidden="0" customWidth="1"/>
    <x:col min="8412" max="8412" width="8.83203125" hidden="0" customWidth="1"/>
    <x:col min="8413" max="8413" width="8.83203125" hidden="0" customWidth="1"/>
    <x:col min="8414" max="8414" width="8.83203125" hidden="0" customWidth="1"/>
    <x:col min="8415" max="8415" width="8.83203125" hidden="0" customWidth="1"/>
    <x:col min="8416" max="8416" width="8.83203125" hidden="0" customWidth="1"/>
    <x:col min="8417" max="8417" width="8.83203125" hidden="0" customWidth="1"/>
    <x:col min="8418" max="8418" width="8.83203125" hidden="0" customWidth="1"/>
    <x:col min="8419" max="8419" width="8.83203125" hidden="0" customWidth="1"/>
    <x:col min="8420" max="8420" width="8.83203125" hidden="0" customWidth="1"/>
    <x:col min="8421" max="8421" width="8.83203125" hidden="0" customWidth="1"/>
    <x:col min="8422" max="8422" width="8.83203125" hidden="0" customWidth="1"/>
    <x:col min="8423" max="8423" width="8.83203125" hidden="0" customWidth="1"/>
    <x:col min="8424" max="8424" width="8.83203125" hidden="0" customWidth="1"/>
    <x:col min="8425" max="8425" width="8.83203125" hidden="0" customWidth="1"/>
    <x:col min="8426" max="8426" width="8.83203125" hidden="0" customWidth="1"/>
    <x:col min="8427" max="8427" width="8.83203125" hidden="0" customWidth="1"/>
    <x:col min="8428" max="8428" width="8.83203125" hidden="0" customWidth="1"/>
    <x:col min="8429" max="8429" width="8.83203125" hidden="0" customWidth="1"/>
    <x:col min="8430" max="8430" width="8.83203125" hidden="0" customWidth="1"/>
    <x:col min="8431" max="8431" width="8.83203125" hidden="0" customWidth="1"/>
    <x:col min="8432" max="8432" width="8.83203125" hidden="0" customWidth="1"/>
    <x:col min="8433" max="8433" width="8.83203125" hidden="0" customWidth="1"/>
    <x:col min="8434" max="8434" width="8.83203125" hidden="0" customWidth="1"/>
    <x:col min="8435" max="8435" width="8.83203125" hidden="0" customWidth="1"/>
    <x:col min="8436" max="8436" width="8.83203125" hidden="0" customWidth="1"/>
    <x:col min="8437" max="8437" width="8.83203125" hidden="0" customWidth="1"/>
    <x:col min="8438" max="8438" width="8.83203125" hidden="0" customWidth="1"/>
    <x:col min="8439" max="8439" width="8.83203125" hidden="0" customWidth="1"/>
    <x:col min="8440" max="8440" width="8.83203125" hidden="0" customWidth="1"/>
    <x:col min="8441" max="8441" width="8.83203125" hidden="0" customWidth="1"/>
    <x:col min="8442" max="8442" width="8.83203125" hidden="0" customWidth="1"/>
    <x:col min="8443" max="8443" width="8.83203125" hidden="0" customWidth="1"/>
    <x:col min="8444" max="8444" width="8.83203125" hidden="0" customWidth="1"/>
    <x:col min="8445" max="8445" width="8.83203125" hidden="0" customWidth="1"/>
    <x:col min="8446" max="8446" width="8.83203125" hidden="0" customWidth="1"/>
    <x:col min="8447" max="8447" width="8.83203125" hidden="0" customWidth="1"/>
    <x:col min="8448" max="8448" width="8.83203125" hidden="0" customWidth="1"/>
    <x:col min="8449" max="8449" width="8.83203125" hidden="0" customWidth="1"/>
    <x:col min="8450" max="8450" width="8.83203125" hidden="0" customWidth="1"/>
    <x:col min="8451" max="8451" width="8.83203125" hidden="0" customWidth="1"/>
    <x:col min="8452" max="8452" width="8.83203125" hidden="0" customWidth="1"/>
    <x:col min="8453" max="8453" width="8.83203125" hidden="0" customWidth="1"/>
    <x:col min="8454" max="8454" width="8.83203125" hidden="0" customWidth="1"/>
    <x:col min="8455" max="8455" width="8.83203125" hidden="0" customWidth="1"/>
    <x:col min="8456" max="8456" width="8.83203125" hidden="0" customWidth="1"/>
    <x:col min="8457" max="8457" width="8.83203125" hidden="0" customWidth="1"/>
    <x:col min="8458" max="8458" width="8.83203125" hidden="0" customWidth="1"/>
    <x:col min="8459" max="8459" width="8.83203125" hidden="0" customWidth="1"/>
    <x:col min="8460" max="8460" width="8.83203125" hidden="0" customWidth="1"/>
    <x:col min="8461" max="8461" width="8.83203125" hidden="0" customWidth="1"/>
    <x:col min="8462" max="8462" width="8.83203125" hidden="0" customWidth="1"/>
    <x:col min="8463" max="8463" width="8.83203125" hidden="0" customWidth="1"/>
    <x:col min="8464" max="8464" width="8.83203125" hidden="0" customWidth="1"/>
    <x:col min="8465" max="8465" width="8.83203125" hidden="0" customWidth="1"/>
    <x:col min="8466" max="8466" width="8.83203125" hidden="0" customWidth="1"/>
    <x:col min="8467" max="8467" width="8.83203125" hidden="0" customWidth="1"/>
    <x:col min="8468" max="8468" width="8.83203125" hidden="0" customWidth="1"/>
    <x:col min="8469" max="8469" width="8.83203125" hidden="0" customWidth="1"/>
    <x:col min="8470" max="8470" width="8.83203125" hidden="0" customWidth="1"/>
    <x:col min="8471" max="8471" width="8.83203125" hidden="0" customWidth="1"/>
    <x:col min="8472" max="8472" width="8.83203125" hidden="0" customWidth="1"/>
    <x:col min="8473" max="8473" width="8.83203125" hidden="0" customWidth="1"/>
    <x:col min="8474" max="8474" width="8.83203125" hidden="0" customWidth="1"/>
    <x:col min="8475" max="8475" width="8.83203125" hidden="0" customWidth="1"/>
    <x:col min="8476" max="8476" width="8.83203125" hidden="0" customWidth="1"/>
    <x:col min="8477" max="8477" width="8.83203125" hidden="0" customWidth="1"/>
    <x:col min="8478" max="8478" width="8.83203125" hidden="0" customWidth="1"/>
    <x:col min="8479" max="8479" width="8.83203125" hidden="0" customWidth="1"/>
    <x:col min="8480" max="8480" width="8.83203125" hidden="0" customWidth="1"/>
    <x:col min="8481" max="8481" width="8.83203125" hidden="0" customWidth="1"/>
    <x:col min="8482" max="8482" width="8.83203125" hidden="0" customWidth="1"/>
    <x:col min="8483" max="8483" width="8.83203125" hidden="0" customWidth="1"/>
    <x:col min="8484" max="8484" width="8.83203125" hidden="0" customWidth="1"/>
    <x:col min="8485" max="8485" width="8.83203125" hidden="0" customWidth="1"/>
    <x:col min="8486" max="8486" width="8.83203125" hidden="0" customWidth="1"/>
    <x:col min="8487" max="8487" width="8.83203125" hidden="0" customWidth="1"/>
    <x:col min="8488" max="8488" width="8.83203125" hidden="0" customWidth="1"/>
    <x:col min="8489" max="8489" width="8.83203125" hidden="0" customWidth="1"/>
    <x:col min="8490" max="8490" width="8.83203125" hidden="0" customWidth="1"/>
    <x:col min="8491" max="8491" width="8.83203125" hidden="0" customWidth="1"/>
    <x:col min="8492" max="8492" width="8.83203125" hidden="0" customWidth="1"/>
    <x:col min="8493" max="8493" width="8.83203125" hidden="0" customWidth="1"/>
    <x:col min="8494" max="8494" width="8.83203125" hidden="0" customWidth="1"/>
    <x:col min="8495" max="8495" width="8.83203125" hidden="0" customWidth="1"/>
    <x:col min="8496" max="8496" width="8.83203125" hidden="0" customWidth="1"/>
    <x:col min="8497" max="8497" width="8.83203125" hidden="0" customWidth="1"/>
    <x:col min="8498" max="8498" width="8.83203125" hidden="0" customWidth="1"/>
    <x:col min="8499" max="8499" width="8.83203125" hidden="0" customWidth="1"/>
    <x:col min="8500" max="8500" width="8.83203125" hidden="0" customWidth="1"/>
    <x:col min="8501" max="8501" width="8.83203125" hidden="0" customWidth="1"/>
    <x:col min="8502" max="8502" width="8.83203125" hidden="0" customWidth="1"/>
    <x:col min="8503" max="8503" width="8.83203125" hidden="0" customWidth="1"/>
    <x:col min="8504" max="8504" width="8.83203125" hidden="0" customWidth="1"/>
    <x:col min="8505" max="8505" width="8.83203125" hidden="0" customWidth="1"/>
    <x:col min="8506" max="8506" width="8.83203125" hidden="0" customWidth="1"/>
    <x:col min="8507" max="8507" width="8.83203125" hidden="0" customWidth="1"/>
    <x:col min="8508" max="8508" width="8.83203125" hidden="0" customWidth="1"/>
    <x:col min="8509" max="8509" width="8.83203125" hidden="0" customWidth="1"/>
    <x:col min="8510" max="8510" width="8.83203125" hidden="0" customWidth="1"/>
    <x:col min="8511" max="8511" width="8.83203125" hidden="0" customWidth="1"/>
    <x:col min="8512" max="8512" width="8.83203125" hidden="0" customWidth="1"/>
    <x:col min="8513" max="8513" width="8.83203125" hidden="0" customWidth="1"/>
    <x:col min="8514" max="8514" width="8.83203125" hidden="0" customWidth="1"/>
    <x:col min="8515" max="8515" width="8.83203125" hidden="0" customWidth="1"/>
    <x:col min="8516" max="8516" width="8.83203125" hidden="0" customWidth="1"/>
    <x:col min="8517" max="8517" width="8.83203125" hidden="0" customWidth="1"/>
    <x:col min="8518" max="8518" width="8.83203125" hidden="0" customWidth="1"/>
    <x:col min="8519" max="8519" width="8.83203125" hidden="0" customWidth="1"/>
    <x:col min="8520" max="8520" width="8.83203125" hidden="0" customWidth="1"/>
    <x:col min="8521" max="8521" width="8.83203125" hidden="0" customWidth="1"/>
    <x:col min="8522" max="8522" width="8.83203125" hidden="0" customWidth="1"/>
    <x:col min="8523" max="8523" width="8.83203125" hidden="0" customWidth="1"/>
    <x:col min="8524" max="8524" width="8.83203125" hidden="0" customWidth="1"/>
    <x:col min="8525" max="8525" width="8.83203125" hidden="0" customWidth="1"/>
    <x:col min="8526" max="8526" width="8.83203125" hidden="0" customWidth="1"/>
    <x:col min="8527" max="8527" width="8.83203125" hidden="0" customWidth="1"/>
    <x:col min="8528" max="8528" width="8.83203125" hidden="0" customWidth="1"/>
    <x:col min="8529" max="8529" width="8.83203125" hidden="0" customWidth="1"/>
    <x:col min="8530" max="8530" width="8.83203125" hidden="0" customWidth="1"/>
    <x:col min="8531" max="8531" width="8.83203125" hidden="0" customWidth="1"/>
    <x:col min="8532" max="8532" width="8.83203125" hidden="0" customWidth="1"/>
    <x:col min="8533" max="8533" width="8.83203125" hidden="0" customWidth="1"/>
    <x:col min="8534" max="8534" width="8.83203125" hidden="0" customWidth="1"/>
    <x:col min="8535" max="8535" width="8.83203125" hidden="0" customWidth="1"/>
    <x:col min="8536" max="8536" width="8.83203125" hidden="0" customWidth="1"/>
    <x:col min="8537" max="8537" width="8.83203125" hidden="0" customWidth="1"/>
    <x:col min="8538" max="8538" width="8.83203125" hidden="0" customWidth="1"/>
    <x:col min="8539" max="8539" width="8.83203125" hidden="0" customWidth="1"/>
    <x:col min="8540" max="8540" width="8.83203125" hidden="0" customWidth="1"/>
    <x:col min="8541" max="8541" width="8.83203125" hidden="0" customWidth="1"/>
    <x:col min="8542" max="8542" width="8.83203125" hidden="0" customWidth="1"/>
    <x:col min="8543" max="8543" width="8.83203125" hidden="0" customWidth="1"/>
    <x:col min="8544" max="8544" width="8.83203125" hidden="0" customWidth="1"/>
    <x:col min="8545" max="8545" width="8.83203125" hidden="0" customWidth="1"/>
    <x:col min="8546" max="8546" width="8.83203125" hidden="0" customWidth="1"/>
    <x:col min="8547" max="8547" width="8.83203125" hidden="0" customWidth="1"/>
    <x:col min="8548" max="8548" width="8.83203125" hidden="0" customWidth="1"/>
    <x:col min="8549" max="8549" width="8.83203125" hidden="0" customWidth="1"/>
    <x:col min="8550" max="8550" width="8.83203125" hidden="0" customWidth="1"/>
    <x:col min="8551" max="8551" width="8.83203125" hidden="0" customWidth="1"/>
    <x:col min="8552" max="8552" width="8.83203125" hidden="0" customWidth="1"/>
    <x:col min="8553" max="8553" width="8.83203125" hidden="0" customWidth="1"/>
    <x:col min="8554" max="8554" width="8.83203125" hidden="0" customWidth="1"/>
    <x:col min="8555" max="8555" width="8.83203125" hidden="0" customWidth="1"/>
    <x:col min="8556" max="8556" width="8.83203125" hidden="0" customWidth="1"/>
    <x:col min="8557" max="8557" width="8.83203125" hidden="0" customWidth="1"/>
    <x:col min="8558" max="8558" width="8.83203125" hidden="0" customWidth="1"/>
    <x:col min="8559" max="8559" width="8.83203125" hidden="0" customWidth="1"/>
    <x:col min="8560" max="8560" width="8.83203125" hidden="0" customWidth="1"/>
    <x:col min="8561" max="8561" width="8.83203125" hidden="0" customWidth="1"/>
    <x:col min="8562" max="8562" width="8.83203125" hidden="0" customWidth="1"/>
    <x:col min="8563" max="8563" width="8.83203125" hidden="0" customWidth="1"/>
    <x:col min="8564" max="8564" width="8.83203125" hidden="0" customWidth="1"/>
    <x:col min="8565" max="8565" width="8.83203125" hidden="0" customWidth="1"/>
    <x:col min="8566" max="8566" width="8.83203125" hidden="0" customWidth="1"/>
    <x:col min="8567" max="8567" width="8.83203125" hidden="0" customWidth="1"/>
    <x:col min="8568" max="8568" width="8.83203125" hidden="0" customWidth="1"/>
    <x:col min="8569" max="8569" width="8.83203125" hidden="0" customWidth="1"/>
    <x:col min="8570" max="8570" width="8.83203125" hidden="0" customWidth="1"/>
    <x:col min="8571" max="8571" width="8.83203125" hidden="0" customWidth="1"/>
    <x:col min="8572" max="8572" width="8.83203125" hidden="0" customWidth="1"/>
    <x:col min="8573" max="8573" width="8.83203125" hidden="0" customWidth="1"/>
    <x:col min="8574" max="8574" width="8.83203125" hidden="0" customWidth="1"/>
    <x:col min="8575" max="8575" width="8.83203125" hidden="0" customWidth="1"/>
    <x:col min="8576" max="8576" width="8.83203125" hidden="0" customWidth="1"/>
    <x:col min="8577" max="8577" width="8.83203125" hidden="0" customWidth="1"/>
    <x:col min="8578" max="8578" width="8.83203125" hidden="0" customWidth="1"/>
    <x:col min="8579" max="8579" width="8.83203125" hidden="0" customWidth="1"/>
    <x:col min="8580" max="8580" width="8.83203125" hidden="0" customWidth="1"/>
    <x:col min="8581" max="8581" width="8.83203125" hidden="0" customWidth="1"/>
    <x:col min="8582" max="8582" width="8.83203125" hidden="0" customWidth="1"/>
    <x:col min="8583" max="8583" width="8.83203125" hidden="0" customWidth="1"/>
    <x:col min="8584" max="8584" width="8.83203125" hidden="0" customWidth="1"/>
    <x:col min="8585" max="8585" width="8.83203125" hidden="0" customWidth="1"/>
    <x:col min="8586" max="8586" width="8.83203125" hidden="0" customWidth="1"/>
    <x:col min="8587" max="8587" width="8.83203125" hidden="0" customWidth="1"/>
    <x:col min="8588" max="8588" width="8.83203125" hidden="0" customWidth="1"/>
    <x:col min="8589" max="8589" width="8.83203125" hidden="0" customWidth="1"/>
    <x:col min="8590" max="8590" width="8.83203125" hidden="0" customWidth="1"/>
    <x:col min="8591" max="8591" width="8.83203125" hidden="0" customWidth="1"/>
    <x:col min="8592" max="8592" width="8.83203125" hidden="0" customWidth="1"/>
    <x:col min="8593" max="8593" width="8.83203125" hidden="0" customWidth="1"/>
    <x:col min="8594" max="8594" width="8.83203125" hidden="0" customWidth="1"/>
    <x:col min="8595" max="8595" width="8.83203125" hidden="0" customWidth="1"/>
    <x:col min="8596" max="8596" width="8.83203125" hidden="0" customWidth="1"/>
    <x:col min="8597" max="8597" width="8.83203125" hidden="0" customWidth="1"/>
    <x:col min="8598" max="8598" width="8.83203125" hidden="0" customWidth="1"/>
    <x:col min="8599" max="8599" width="8.83203125" hidden="0" customWidth="1"/>
    <x:col min="8600" max="8600" width="8.83203125" hidden="0" customWidth="1"/>
    <x:col min="8601" max="8601" width="8.83203125" hidden="0" customWidth="1"/>
    <x:col min="8602" max="8602" width="8.83203125" hidden="0" customWidth="1"/>
    <x:col min="8603" max="8603" width="8.83203125" hidden="0" customWidth="1"/>
    <x:col min="8604" max="8604" width="8.83203125" hidden="0" customWidth="1"/>
    <x:col min="8605" max="8605" width="8.83203125" hidden="0" customWidth="1"/>
    <x:col min="8606" max="8606" width="8.83203125" hidden="0" customWidth="1"/>
    <x:col min="8607" max="8607" width="8.83203125" hidden="0" customWidth="1"/>
    <x:col min="8608" max="8608" width="8.83203125" hidden="0" customWidth="1"/>
    <x:col min="8609" max="8609" width="8.83203125" hidden="0" customWidth="1"/>
    <x:col min="8610" max="8610" width="8.83203125" hidden="0" customWidth="1"/>
    <x:col min="8611" max="8611" width="8.83203125" hidden="0" customWidth="1"/>
    <x:col min="8612" max="8612" width="8.83203125" hidden="0" customWidth="1"/>
    <x:col min="8613" max="8613" width="8.83203125" hidden="0" customWidth="1"/>
    <x:col min="8614" max="8614" width="8.83203125" hidden="0" customWidth="1"/>
    <x:col min="8615" max="8615" width="8.83203125" hidden="0" customWidth="1"/>
    <x:col min="8616" max="8616" width="8.83203125" hidden="0" customWidth="1"/>
    <x:col min="8617" max="8617" width="8.83203125" hidden="0" customWidth="1"/>
    <x:col min="8618" max="8618" width="8.83203125" hidden="0" customWidth="1"/>
    <x:col min="8619" max="8619" width="8.83203125" hidden="0" customWidth="1"/>
    <x:col min="8620" max="8620" width="8.83203125" hidden="0" customWidth="1"/>
    <x:col min="8621" max="8621" width="8.83203125" hidden="0" customWidth="1"/>
    <x:col min="8622" max="8622" width="8.83203125" hidden="0" customWidth="1"/>
    <x:col min="8623" max="8623" width="8.83203125" hidden="0" customWidth="1"/>
    <x:col min="8624" max="8624" width="8.83203125" hidden="0" customWidth="1"/>
    <x:col min="8625" max="8625" width="8.83203125" hidden="0" customWidth="1"/>
    <x:col min="8626" max="8626" width="8.83203125" hidden="0" customWidth="1"/>
    <x:col min="8627" max="8627" width="8.83203125" hidden="0" customWidth="1"/>
    <x:col min="8628" max="8628" width="8.83203125" hidden="0" customWidth="1"/>
    <x:col min="8629" max="8629" width="8.83203125" hidden="0" customWidth="1"/>
    <x:col min="8630" max="8630" width="8.83203125" hidden="0" customWidth="1"/>
    <x:col min="8631" max="8631" width="8.83203125" hidden="0" customWidth="1"/>
    <x:col min="8632" max="8632" width="8.83203125" hidden="0" customWidth="1"/>
    <x:col min="8633" max="8633" width="8.83203125" hidden="0" customWidth="1"/>
    <x:col min="8634" max="8634" width="8.83203125" hidden="0" customWidth="1"/>
    <x:col min="8635" max="8635" width="8.83203125" hidden="0" customWidth="1"/>
    <x:col min="8636" max="8636" width="8.83203125" hidden="0" customWidth="1"/>
    <x:col min="8637" max="8637" width="8.83203125" hidden="0" customWidth="1"/>
    <x:col min="8638" max="8638" width="8.83203125" hidden="0" customWidth="1"/>
    <x:col min="8639" max="8639" width="8.83203125" hidden="0" customWidth="1"/>
    <x:col min="8640" max="8640" width="8.83203125" hidden="0" customWidth="1"/>
    <x:col min="8641" max="8641" width="8.83203125" hidden="0" customWidth="1"/>
    <x:col min="8642" max="8642" width="8.83203125" hidden="0" customWidth="1"/>
    <x:col min="8643" max="8643" width="8.83203125" hidden="0" customWidth="1"/>
    <x:col min="8644" max="8644" width="8.83203125" hidden="0" customWidth="1"/>
    <x:col min="8645" max="8645" width="8.83203125" hidden="0" customWidth="1"/>
    <x:col min="8646" max="8646" width="8.83203125" hidden="0" customWidth="1"/>
    <x:col min="8647" max="8647" width="8.83203125" hidden="0" customWidth="1"/>
    <x:col min="8648" max="8648" width="8.83203125" hidden="0" customWidth="1"/>
    <x:col min="8649" max="8649" width="8.83203125" hidden="0" customWidth="1"/>
    <x:col min="8650" max="8650" width="8.83203125" hidden="0" customWidth="1"/>
    <x:col min="8651" max="8651" width="8.83203125" hidden="0" customWidth="1"/>
    <x:col min="8652" max="8652" width="8.83203125" hidden="0" customWidth="1"/>
    <x:col min="8653" max="8653" width="8.83203125" hidden="0" customWidth="1"/>
    <x:col min="8654" max="8654" width="8.83203125" hidden="0" customWidth="1"/>
    <x:col min="8655" max="8655" width="8.83203125" hidden="0" customWidth="1"/>
    <x:col min="8656" max="8656" width="8.83203125" hidden="0" customWidth="1"/>
    <x:col min="8657" max="8657" width="8.83203125" hidden="0" customWidth="1"/>
    <x:col min="8658" max="8658" width="8.83203125" hidden="0" customWidth="1"/>
    <x:col min="8659" max="8659" width="8.83203125" hidden="0" customWidth="1"/>
    <x:col min="8660" max="8660" width="8.83203125" hidden="0" customWidth="1"/>
    <x:col min="8661" max="8661" width="8.83203125" hidden="0" customWidth="1"/>
    <x:col min="8662" max="8662" width="8.83203125" hidden="0" customWidth="1"/>
    <x:col min="8663" max="8663" width="8.83203125" hidden="0" customWidth="1"/>
    <x:col min="8664" max="8664" width="8.83203125" hidden="0" customWidth="1"/>
    <x:col min="8665" max="8665" width="8.83203125" hidden="0" customWidth="1"/>
    <x:col min="8666" max="8666" width="8.83203125" hidden="0" customWidth="1"/>
    <x:col min="8667" max="8667" width="8.83203125" hidden="0" customWidth="1"/>
    <x:col min="8668" max="8668" width="8.83203125" hidden="0" customWidth="1"/>
    <x:col min="8669" max="8669" width="8.83203125" hidden="0" customWidth="1"/>
    <x:col min="8670" max="8670" width="8.83203125" hidden="0" customWidth="1"/>
    <x:col min="8671" max="8671" width="8.83203125" hidden="0" customWidth="1"/>
    <x:col min="8672" max="8672" width="8.83203125" hidden="0" customWidth="1"/>
    <x:col min="8673" max="8673" width="8.83203125" hidden="0" customWidth="1"/>
    <x:col min="8674" max="8674" width="8.83203125" hidden="0" customWidth="1"/>
    <x:col min="8675" max="8675" width="8.83203125" hidden="0" customWidth="1"/>
    <x:col min="8676" max="8676" width="8.83203125" hidden="0" customWidth="1"/>
    <x:col min="8677" max="8677" width="8.83203125" hidden="0" customWidth="1"/>
    <x:col min="8678" max="8678" width="8.83203125" hidden="0" customWidth="1"/>
    <x:col min="8679" max="8679" width="8.83203125" hidden="0" customWidth="1"/>
    <x:col min="8680" max="8680" width="8.83203125" hidden="0" customWidth="1"/>
    <x:col min="8681" max="8681" width="8.83203125" hidden="0" customWidth="1"/>
    <x:col min="8682" max="8682" width="8.83203125" hidden="0" customWidth="1"/>
    <x:col min="8683" max="8683" width="8.83203125" hidden="0" customWidth="1"/>
    <x:col min="8684" max="8684" width="8.83203125" hidden="0" customWidth="1"/>
    <x:col min="8685" max="8685" width="8.83203125" hidden="0" customWidth="1"/>
    <x:col min="8686" max="8686" width="8.83203125" hidden="0" customWidth="1"/>
    <x:col min="8687" max="8687" width="8.83203125" hidden="0" customWidth="1"/>
    <x:col min="8688" max="8688" width="8.83203125" hidden="0" customWidth="1"/>
    <x:col min="8689" max="8689" width="8.83203125" hidden="0" customWidth="1"/>
    <x:col min="8690" max="8690" width="8.83203125" hidden="0" customWidth="1"/>
    <x:col min="8691" max="8691" width="8.83203125" hidden="0" customWidth="1"/>
    <x:col min="8692" max="8692" width="8.83203125" hidden="0" customWidth="1"/>
    <x:col min="8693" max="8693" width="8.83203125" hidden="0" customWidth="1"/>
    <x:col min="8694" max="8694" width="8.83203125" hidden="0" customWidth="1"/>
    <x:col min="8695" max="8695" width="8.83203125" hidden="0" customWidth="1"/>
    <x:col min="8696" max="8696" width="8.83203125" hidden="0" customWidth="1"/>
    <x:col min="8697" max="8697" width="8.83203125" hidden="0" customWidth="1"/>
    <x:col min="8698" max="8698" width="8.83203125" hidden="0" customWidth="1"/>
    <x:col min="8699" max="8699" width="8.83203125" hidden="0" customWidth="1"/>
    <x:col min="8700" max="8700" width="8.83203125" hidden="0" customWidth="1"/>
    <x:col min="8701" max="8701" width="8.83203125" hidden="0" customWidth="1"/>
    <x:col min="8702" max="8702" width="8.83203125" hidden="0" customWidth="1"/>
    <x:col min="8703" max="8703" width="8.83203125" hidden="0" customWidth="1"/>
    <x:col min="8704" max="8704" width="8.83203125" hidden="0" customWidth="1"/>
    <x:col min="8705" max="8705" width="8.83203125" hidden="0" customWidth="1"/>
    <x:col min="8706" max="8706" width="8.83203125" hidden="0" customWidth="1"/>
    <x:col min="8707" max="8707" width="8.83203125" hidden="0" customWidth="1"/>
    <x:col min="8708" max="8708" width="8.83203125" hidden="0" customWidth="1"/>
    <x:col min="8709" max="8709" width="8.83203125" hidden="0" customWidth="1"/>
    <x:col min="8710" max="8710" width="8.83203125" hidden="0" customWidth="1"/>
    <x:col min="8711" max="8711" width="8.83203125" hidden="0" customWidth="1"/>
    <x:col min="8712" max="8712" width="8.83203125" hidden="0" customWidth="1"/>
    <x:col min="8713" max="8713" width="8.83203125" hidden="0" customWidth="1"/>
    <x:col min="8714" max="8714" width="8.83203125" hidden="0" customWidth="1"/>
    <x:col min="8715" max="8715" width="8.83203125" hidden="0" customWidth="1"/>
    <x:col min="8716" max="8716" width="8.83203125" hidden="0" customWidth="1"/>
    <x:col min="8717" max="8717" width="8.83203125" hidden="0" customWidth="1"/>
    <x:col min="8718" max="8718" width="8.83203125" hidden="0" customWidth="1"/>
    <x:col min="8719" max="8719" width="8.83203125" hidden="0" customWidth="1"/>
    <x:col min="8720" max="8720" width="8.83203125" hidden="0" customWidth="1"/>
    <x:col min="8721" max="8721" width="8.83203125" hidden="0" customWidth="1"/>
    <x:col min="8722" max="8722" width="8.83203125" hidden="0" customWidth="1"/>
    <x:col min="8723" max="8723" width="8.83203125" hidden="0" customWidth="1"/>
    <x:col min="8724" max="8724" width="8.83203125" hidden="0" customWidth="1"/>
    <x:col min="8725" max="8725" width="8.83203125" hidden="0" customWidth="1"/>
    <x:col min="8726" max="8726" width="8.83203125" hidden="0" customWidth="1"/>
    <x:col min="8727" max="8727" width="8.83203125" hidden="0" customWidth="1"/>
    <x:col min="8728" max="8728" width="8.83203125" hidden="0" customWidth="1"/>
    <x:col min="8729" max="8729" width="8.83203125" hidden="0" customWidth="1"/>
    <x:col min="8730" max="8730" width="8.83203125" hidden="0" customWidth="1"/>
    <x:col min="8731" max="8731" width="8.83203125" hidden="0" customWidth="1"/>
    <x:col min="8732" max="8732" width="8.83203125" hidden="0" customWidth="1"/>
    <x:col min="8733" max="8733" width="8.83203125" hidden="0" customWidth="1"/>
    <x:col min="8734" max="8734" width="8.83203125" hidden="0" customWidth="1"/>
    <x:col min="8735" max="8735" width="8.83203125" hidden="0" customWidth="1"/>
    <x:col min="8736" max="8736" width="8.83203125" hidden="0" customWidth="1"/>
    <x:col min="8737" max="8737" width="8.83203125" hidden="0" customWidth="1"/>
    <x:col min="8738" max="8738" width="8.83203125" hidden="0" customWidth="1"/>
    <x:col min="8739" max="8739" width="8.83203125" hidden="0" customWidth="1"/>
    <x:col min="8740" max="8740" width="8.83203125" hidden="0" customWidth="1"/>
    <x:col min="8741" max="8741" width="8.83203125" hidden="0" customWidth="1"/>
    <x:col min="8742" max="8742" width="8.83203125" hidden="0" customWidth="1"/>
    <x:col min="8743" max="8743" width="8.83203125" hidden="0" customWidth="1"/>
    <x:col min="8744" max="8744" width="8.83203125" hidden="0" customWidth="1"/>
    <x:col min="8745" max="8745" width="8.83203125" hidden="0" customWidth="1"/>
    <x:col min="8746" max="8746" width="8.83203125" hidden="0" customWidth="1"/>
    <x:col min="8747" max="8747" width="8.83203125" hidden="0" customWidth="1"/>
    <x:col min="8748" max="8748" width="8.83203125" hidden="0" customWidth="1"/>
    <x:col min="8749" max="8749" width="8.83203125" hidden="0" customWidth="1"/>
    <x:col min="8750" max="8750" width="8.83203125" hidden="0" customWidth="1"/>
    <x:col min="8751" max="8751" width="8.83203125" hidden="0" customWidth="1"/>
    <x:col min="8752" max="8752" width="8.83203125" hidden="0" customWidth="1"/>
    <x:col min="8753" max="8753" width="8.83203125" hidden="0" customWidth="1"/>
    <x:col min="8754" max="8754" width="8.83203125" hidden="0" customWidth="1"/>
    <x:col min="8755" max="8755" width="8.83203125" hidden="0" customWidth="1"/>
    <x:col min="8756" max="8756" width="8.83203125" hidden="0" customWidth="1"/>
    <x:col min="8757" max="8757" width="8.83203125" hidden="0" customWidth="1"/>
    <x:col min="8758" max="8758" width="8.83203125" hidden="0" customWidth="1"/>
    <x:col min="8759" max="8759" width="8.83203125" hidden="0" customWidth="1"/>
    <x:col min="8760" max="8760" width="8.83203125" hidden="0" customWidth="1"/>
    <x:col min="8761" max="8761" width="8.83203125" hidden="0" customWidth="1"/>
    <x:col min="8762" max="8762" width="8.83203125" hidden="0" customWidth="1"/>
    <x:col min="8763" max="8763" width="8.83203125" hidden="0" customWidth="1"/>
    <x:col min="8764" max="8764" width="8.83203125" hidden="0" customWidth="1"/>
    <x:col min="8765" max="8765" width="8.83203125" hidden="0" customWidth="1"/>
    <x:col min="8766" max="8766" width="8.83203125" hidden="0" customWidth="1"/>
    <x:col min="8767" max="8767" width="8.83203125" hidden="0" customWidth="1"/>
    <x:col min="8768" max="8768" width="8.83203125" hidden="0" customWidth="1"/>
    <x:col min="8769" max="8769" width="8.83203125" hidden="0" customWidth="1"/>
    <x:col min="8770" max="8770" width="8.83203125" hidden="0" customWidth="1"/>
    <x:col min="8771" max="8771" width="8.83203125" hidden="0" customWidth="1"/>
    <x:col min="8772" max="8772" width="8.83203125" hidden="0" customWidth="1"/>
    <x:col min="8773" max="8773" width="8.83203125" hidden="0" customWidth="1"/>
    <x:col min="8774" max="8774" width="8.83203125" hidden="0" customWidth="1"/>
    <x:col min="8775" max="8775" width="8.83203125" hidden="0" customWidth="1"/>
    <x:col min="8776" max="8776" width="8.83203125" hidden="0" customWidth="1"/>
    <x:col min="8777" max="8777" width="8.83203125" hidden="0" customWidth="1"/>
    <x:col min="8778" max="8778" width="8.83203125" hidden="0" customWidth="1"/>
    <x:col min="8779" max="8779" width="8.83203125" hidden="0" customWidth="1"/>
    <x:col min="8780" max="8780" width="8.83203125" hidden="0" customWidth="1"/>
    <x:col min="8781" max="8781" width="8.83203125" hidden="0" customWidth="1"/>
    <x:col min="8782" max="8782" width="8.83203125" hidden="0" customWidth="1"/>
    <x:col min="8783" max="8783" width="8.83203125" hidden="0" customWidth="1"/>
    <x:col min="8784" max="8784" width="8.83203125" hidden="0" customWidth="1"/>
    <x:col min="8785" max="8785" width="8.83203125" hidden="0" customWidth="1"/>
    <x:col min="8786" max="8786" width="8.83203125" hidden="0" customWidth="1"/>
    <x:col min="8787" max="8787" width="8.83203125" hidden="0" customWidth="1"/>
    <x:col min="8788" max="8788" width="8.83203125" hidden="0" customWidth="1"/>
    <x:col min="8789" max="8789" width="8.83203125" hidden="0" customWidth="1"/>
    <x:col min="8790" max="8790" width="8.83203125" hidden="0" customWidth="1"/>
    <x:col min="8791" max="8791" width="8.83203125" hidden="0" customWidth="1"/>
    <x:col min="8792" max="8792" width="8.83203125" hidden="0" customWidth="1"/>
    <x:col min="8793" max="8793" width="8.83203125" hidden="0" customWidth="1"/>
    <x:col min="8794" max="8794" width="8.83203125" hidden="0" customWidth="1"/>
    <x:col min="8795" max="8795" width="8.83203125" hidden="0" customWidth="1"/>
    <x:col min="8796" max="8796" width="8.83203125" hidden="0" customWidth="1"/>
    <x:col min="8797" max="8797" width="8.83203125" hidden="0" customWidth="1"/>
    <x:col min="8798" max="8798" width="8.83203125" hidden="0" customWidth="1"/>
    <x:col min="8799" max="8799" width="8.83203125" hidden="0" customWidth="1"/>
    <x:col min="8800" max="8800" width="8.83203125" hidden="0" customWidth="1"/>
    <x:col min="8801" max="8801" width="8.83203125" hidden="0" customWidth="1"/>
    <x:col min="8802" max="8802" width="8.83203125" hidden="0" customWidth="1"/>
    <x:col min="8803" max="8803" width="8.83203125" hidden="0" customWidth="1"/>
    <x:col min="8804" max="8804" width="8.83203125" hidden="0" customWidth="1"/>
    <x:col min="8805" max="8805" width="8.83203125" hidden="0" customWidth="1"/>
    <x:col min="8806" max="8806" width="8.83203125" hidden="0" customWidth="1"/>
    <x:col min="8807" max="8807" width="8.83203125" hidden="0" customWidth="1"/>
    <x:col min="8808" max="8808" width="8.83203125" hidden="0" customWidth="1"/>
    <x:col min="8809" max="8809" width="8.83203125" hidden="0" customWidth="1"/>
    <x:col min="8810" max="8810" width="8.83203125" hidden="0" customWidth="1"/>
    <x:col min="8811" max="8811" width="8.83203125" hidden="0" customWidth="1"/>
    <x:col min="8812" max="8812" width="8.83203125" hidden="0" customWidth="1"/>
    <x:col min="8813" max="8813" width="8.83203125" hidden="0" customWidth="1"/>
    <x:col min="8814" max="8814" width="8.83203125" hidden="0" customWidth="1"/>
    <x:col min="8815" max="8815" width="8.83203125" hidden="0" customWidth="1"/>
    <x:col min="8816" max="8816" width="8.83203125" hidden="0" customWidth="1"/>
    <x:col min="8817" max="8817" width="8.83203125" hidden="0" customWidth="1"/>
    <x:col min="8818" max="8818" width="8.83203125" hidden="0" customWidth="1"/>
    <x:col min="8819" max="8819" width="8.83203125" hidden="0" customWidth="1"/>
    <x:col min="8820" max="8820" width="8.83203125" hidden="0" customWidth="1"/>
    <x:col min="8821" max="8821" width="8.83203125" hidden="0" customWidth="1"/>
    <x:col min="8822" max="8822" width="8.83203125" hidden="0" customWidth="1"/>
    <x:col min="8823" max="8823" width="8.83203125" hidden="0" customWidth="1"/>
    <x:col min="8824" max="8824" width="8.83203125" hidden="0" customWidth="1"/>
    <x:col min="8825" max="8825" width="8.83203125" hidden="0" customWidth="1"/>
    <x:col min="8826" max="8826" width="8.83203125" hidden="0" customWidth="1"/>
    <x:col min="8827" max="8827" width="8.83203125" hidden="0" customWidth="1"/>
    <x:col min="8828" max="8828" width="8.83203125" hidden="0" customWidth="1"/>
    <x:col min="8829" max="8829" width="8.83203125" hidden="0" customWidth="1"/>
    <x:col min="8830" max="8830" width="8.83203125" hidden="0" customWidth="1"/>
    <x:col min="8831" max="8831" width="8.83203125" hidden="0" customWidth="1"/>
    <x:col min="8832" max="8832" width="8.83203125" hidden="0" customWidth="1"/>
    <x:col min="8833" max="8833" width="8.83203125" hidden="0" customWidth="1"/>
    <x:col min="8834" max="8834" width="8.83203125" hidden="0" customWidth="1"/>
    <x:col min="8835" max="8835" width="8.83203125" hidden="0" customWidth="1"/>
    <x:col min="8836" max="8836" width="8.83203125" hidden="0" customWidth="1"/>
    <x:col min="8837" max="8837" width="8.83203125" hidden="0" customWidth="1"/>
    <x:col min="8838" max="8838" width="8.83203125" hidden="0" customWidth="1"/>
    <x:col min="8839" max="8839" width="8.83203125" hidden="0" customWidth="1"/>
    <x:col min="8840" max="8840" width="8.83203125" hidden="0" customWidth="1"/>
    <x:col min="8841" max="8841" width="8.83203125" hidden="0" customWidth="1"/>
    <x:col min="8842" max="8842" width="8.83203125" hidden="0" customWidth="1"/>
    <x:col min="8843" max="8843" width="8.83203125" hidden="0" customWidth="1"/>
    <x:col min="8844" max="8844" width="8.83203125" hidden="0" customWidth="1"/>
    <x:col min="8845" max="8845" width="8.83203125" hidden="0" customWidth="1"/>
    <x:col min="8846" max="8846" width="8.83203125" hidden="0" customWidth="1"/>
    <x:col min="8847" max="8847" width="8.83203125" hidden="0" customWidth="1"/>
    <x:col min="8848" max="8848" width="8.83203125" hidden="0" customWidth="1"/>
    <x:col min="8849" max="8849" width="8.83203125" hidden="0" customWidth="1"/>
    <x:col min="8850" max="8850" width="8.83203125" hidden="0" customWidth="1"/>
    <x:col min="8851" max="8851" width="8.83203125" hidden="0" customWidth="1"/>
    <x:col min="8852" max="8852" width="8.83203125" hidden="0" customWidth="1"/>
    <x:col min="8853" max="8853" width="8.83203125" hidden="0" customWidth="1"/>
    <x:col min="8854" max="8854" width="8.83203125" hidden="0" customWidth="1"/>
    <x:col min="8855" max="8855" width="8.83203125" hidden="0" customWidth="1"/>
    <x:col min="8856" max="8856" width="8.83203125" hidden="0" customWidth="1"/>
    <x:col min="8857" max="8857" width="8.83203125" hidden="0" customWidth="1"/>
    <x:col min="8858" max="8858" width="8.83203125" hidden="0" customWidth="1"/>
    <x:col min="8859" max="8859" width="8.83203125" hidden="0" customWidth="1"/>
    <x:col min="8860" max="8860" width="8.83203125" hidden="0" customWidth="1"/>
    <x:col min="8861" max="8861" width="8.83203125" hidden="0" customWidth="1"/>
    <x:col min="8862" max="8862" width="8.83203125" hidden="0" customWidth="1"/>
    <x:col min="8863" max="8863" width="8.83203125" hidden="0" customWidth="1"/>
    <x:col min="8864" max="8864" width="8.83203125" hidden="0" customWidth="1"/>
    <x:col min="8865" max="8865" width="8.83203125" hidden="0" customWidth="1"/>
    <x:col min="8866" max="8866" width="8.83203125" hidden="0" customWidth="1"/>
    <x:col min="8867" max="8867" width="8.83203125" hidden="0" customWidth="1"/>
    <x:col min="8868" max="8868" width="8.83203125" hidden="0" customWidth="1"/>
    <x:col min="8869" max="8869" width="8.83203125" hidden="0" customWidth="1"/>
    <x:col min="8870" max="8870" width="8.83203125" hidden="0" customWidth="1"/>
    <x:col min="8871" max="8871" width="8.83203125" hidden="0" customWidth="1"/>
    <x:col min="8872" max="8872" width="8.83203125" hidden="0" customWidth="1"/>
    <x:col min="8873" max="8873" width="8.83203125" hidden="0" customWidth="1"/>
    <x:col min="8874" max="8874" width="8.83203125" hidden="0" customWidth="1"/>
    <x:col min="8875" max="8875" width="8.83203125" hidden="0" customWidth="1"/>
    <x:col min="8876" max="8876" width="8.83203125" hidden="0" customWidth="1"/>
    <x:col min="8877" max="8877" width="8.83203125" hidden="0" customWidth="1"/>
    <x:col min="8878" max="8878" width="8.83203125" hidden="0" customWidth="1"/>
    <x:col min="8879" max="8879" width="8.83203125" hidden="0" customWidth="1"/>
    <x:col min="8880" max="8880" width="8.83203125" hidden="0" customWidth="1"/>
    <x:col min="8881" max="8881" width="8.83203125" hidden="0" customWidth="1"/>
    <x:col min="8882" max="8882" width="8.83203125" hidden="0" customWidth="1"/>
    <x:col min="8883" max="8883" width="8.83203125" hidden="0" customWidth="1"/>
    <x:col min="8884" max="8884" width="8.83203125" hidden="0" customWidth="1"/>
    <x:col min="8885" max="8885" width="8.83203125" hidden="0" customWidth="1"/>
    <x:col min="8886" max="8886" width="8.83203125" hidden="0" customWidth="1"/>
    <x:col min="8887" max="8887" width="8.83203125" hidden="0" customWidth="1"/>
    <x:col min="8888" max="8888" width="8.83203125" hidden="0" customWidth="1"/>
    <x:col min="8889" max="8889" width="8.83203125" hidden="0" customWidth="1"/>
    <x:col min="8890" max="8890" width="8.83203125" hidden="0" customWidth="1"/>
    <x:col min="8891" max="8891" width="8.83203125" hidden="0" customWidth="1"/>
    <x:col min="8892" max="8892" width="8.83203125" hidden="0" customWidth="1"/>
    <x:col min="8893" max="8893" width="8.83203125" hidden="0" customWidth="1"/>
    <x:col min="8894" max="8894" width="8.83203125" hidden="0" customWidth="1"/>
    <x:col min="8895" max="8895" width="8.83203125" hidden="0" customWidth="1"/>
    <x:col min="8896" max="8896" width="8.83203125" hidden="0" customWidth="1"/>
    <x:col min="8897" max="8897" width="8.83203125" hidden="0" customWidth="1"/>
    <x:col min="8898" max="8898" width="8.83203125" hidden="0" customWidth="1"/>
    <x:col min="8899" max="8899" width="8.83203125" hidden="0" customWidth="1"/>
    <x:col min="8900" max="8900" width="8.83203125" hidden="0" customWidth="1"/>
    <x:col min="8901" max="8901" width="8.83203125" hidden="0" customWidth="1"/>
    <x:col min="8902" max="8902" width="8.83203125" hidden="0" customWidth="1"/>
    <x:col min="8903" max="8903" width="8.83203125" hidden="0" customWidth="1"/>
    <x:col min="8904" max="8904" width="8.83203125" hidden="0" customWidth="1"/>
    <x:col min="8905" max="8905" width="8.83203125" hidden="0" customWidth="1"/>
    <x:col min="8906" max="8906" width="8.83203125" hidden="0" customWidth="1"/>
    <x:col min="8907" max="8907" width="8.83203125" hidden="0" customWidth="1"/>
    <x:col min="8908" max="8908" width="8.83203125" hidden="0" customWidth="1"/>
    <x:col min="8909" max="8909" width="8.83203125" hidden="0" customWidth="1"/>
    <x:col min="8910" max="8910" width="8.83203125" hidden="0" customWidth="1"/>
    <x:col min="8911" max="8911" width="8.83203125" hidden="0" customWidth="1"/>
    <x:col min="8912" max="8912" width="8.83203125" hidden="0" customWidth="1"/>
    <x:col min="8913" max="8913" width="8.83203125" hidden="0" customWidth="1"/>
    <x:col min="8914" max="8914" width="8.83203125" hidden="0" customWidth="1"/>
    <x:col min="8915" max="8915" width="8.83203125" hidden="0" customWidth="1"/>
    <x:col min="8916" max="8916" width="8.83203125" hidden="0" customWidth="1"/>
    <x:col min="8917" max="8917" width="8.83203125" hidden="0" customWidth="1"/>
    <x:col min="8918" max="8918" width="8.83203125" hidden="0" customWidth="1"/>
    <x:col min="8919" max="8919" width="8.83203125" hidden="0" customWidth="1"/>
    <x:col min="8920" max="8920" width="8.83203125" hidden="0" customWidth="1"/>
    <x:col min="8921" max="8921" width="8.83203125" hidden="0" customWidth="1"/>
    <x:col min="8922" max="8922" width="8.83203125" hidden="0" customWidth="1"/>
    <x:col min="8923" max="8923" width="8.83203125" hidden="0" customWidth="1"/>
    <x:col min="8924" max="8924" width="8.83203125" hidden="0" customWidth="1"/>
    <x:col min="8925" max="8925" width="8.83203125" hidden="0" customWidth="1"/>
    <x:col min="8926" max="8926" width="8.83203125" hidden="0" customWidth="1"/>
    <x:col min="8927" max="8927" width="8.83203125" hidden="0" customWidth="1"/>
    <x:col min="8928" max="8928" width="8.83203125" hidden="0" customWidth="1"/>
    <x:col min="8929" max="8929" width="8.83203125" hidden="0" customWidth="1"/>
    <x:col min="8930" max="8930" width="8.83203125" hidden="0" customWidth="1"/>
    <x:col min="8931" max="8931" width="8.83203125" hidden="0" customWidth="1"/>
    <x:col min="8932" max="8932" width="8.83203125" hidden="0" customWidth="1"/>
    <x:col min="8933" max="8933" width="8.83203125" hidden="0" customWidth="1"/>
    <x:col min="8934" max="8934" width="8.83203125" hidden="0" customWidth="1"/>
    <x:col min="8935" max="8935" width="8.83203125" hidden="0" customWidth="1"/>
    <x:col min="8936" max="8936" width="8.83203125" hidden="0" customWidth="1"/>
    <x:col min="8937" max="8937" width="8.83203125" hidden="0" customWidth="1"/>
    <x:col min="8938" max="8938" width="8.83203125" hidden="0" customWidth="1"/>
    <x:col min="8939" max="8939" width="8.83203125" hidden="0" customWidth="1"/>
    <x:col min="8940" max="8940" width="8.83203125" hidden="0" customWidth="1"/>
    <x:col min="8941" max="8941" width="8.83203125" hidden="0" customWidth="1"/>
    <x:col min="8942" max="8942" width="8.83203125" hidden="0" customWidth="1"/>
    <x:col min="8943" max="8943" width="8.83203125" hidden="0" customWidth="1"/>
    <x:col min="8944" max="8944" width="8.83203125" hidden="0" customWidth="1"/>
    <x:col min="8945" max="8945" width="8.83203125" hidden="0" customWidth="1"/>
    <x:col min="8946" max="8946" width="8.83203125" hidden="0" customWidth="1"/>
    <x:col min="8947" max="8947" width="8.83203125" hidden="0" customWidth="1"/>
    <x:col min="8948" max="8948" width="8.83203125" hidden="0" customWidth="1"/>
    <x:col min="8949" max="8949" width="8.83203125" hidden="0" customWidth="1"/>
    <x:col min="8950" max="8950" width="8.83203125" hidden="0" customWidth="1"/>
    <x:col min="8951" max="8951" width="8.83203125" hidden="0" customWidth="1"/>
    <x:col min="8952" max="8952" width="8.83203125" hidden="0" customWidth="1"/>
    <x:col min="8953" max="8953" width="8.83203125" hidden="0" customWidth="1"/>
    <x:col min="8954" max="8954" width="8.83203125" hidden="0" customWidth="1"/>
    <x:col min="8955" max="8955" width="8.83203125" hidden="0" customWidth="1"/>
    <x:col min="8956" max="8956" width="8.83203125" hidden="0" customWidth="1"/>
    <x:col min="8957" max="8957" width="8.83203125" hidden="0" customWidth="1"/>
    <x:col min="8958" max="8958" width="8.83203125" hidden="0" customWidth="1"/>
    <x:col min="8959" max="8959" width="8.83203125" hidden="0" customWidth="1"/>
    <x:col min="8960" max="8960" width="8.83203125" hidden="0" customWidth="1"/>
    <x:col min="8961" max="8961" width="8.83203125" hidden="0" customWidth="1"/>
    <x:col min="8962" max="8962" width="8.83203125" hidden="0" customWidth="1"/>
    <x:col min="8963" max="8963" width="8.83203125" hidden="0" customWidth="1"/>
    <x:col min="8964" max="8964" width="8.83203125" hidden="0" customWidth="1"/>
    <x:col min="8965" max="8965" width="8.83203125" hidden="0" customWidth="1"/>
    <x:col min="8966" max="8966" width="8.83203125" hidden="0" customWidth="1"/>
    <x:col min="8967" max="8967" width="8.83203125" hidden="0" customWidth="1"/>
    <x:col min="8968" max="8968" width="8.83203125" hidden="0" customWidth="1"/>
    <x:col min="8969" max="8969" width="8.83203125" hidden="0" customWidth="1"/>
    <x:col min="8970" max="8970" width="8.83203125" hidden="0" customWidth="1"/>
    <x:col min="8971" max="8971" width="8.83203125" hidden="0" customWidth="1"/>
    <x:col min="8972" max="8972" width="8.83203125" hidden="0" customWidth="1"/>
    <x:col min="8973" max="8973" width="8.83203125" hidden="0" customWidth="1"/>
    <x:col min="8974" max="8974" width="8.83203125" hidden="0" customWidth="1"/>
    <x:col min="8975" max="8975" width="8.83203125" hidden="0" customWidth="1"/>
    <x:col min="8976" max="8976" width="8.83203125" hidden="0" customWidth="1"/>
    <x:col min="8977" max="8977" width="8.83203125" hidden="0" customWidth="1"/>
    <x:col min="8978" max="8978" width="8.83203125" hidden="0" customWidth="1"/>
    <x:col min="8979" max="8979" width="8.83203125" hidden="0" customWidth="1"/>
    <x:col min="8980" max="8980" width="8.83203125" hidden="0" customWidth="1"/>
    <x:col min="8981" max="8981" width="8.83203125" hidden="0" customWidth="1"/>
    <x:col min="8982" max="8982" width="8.83203125" hidden="0" customWidth="1"/>
    <x:col min="8983" max="8983" width="8.83203125" hidden="0" customWidth="1"/>
    <x:col min="8984" max="8984" width="8.83203125" hidden="0" customWidth="1"/>
    <x:col min="8985" max="8985" width="8.83203125" hidden="0" customWidth="1"/>
    <x:col min="8986" max="8986" width="8.83203125" hidden="0" customWidth="1"/>
    <x:col min="8987" max="8987" width="8.83203125" hidden="0" customWidth="1"/>
    <x:col min="8988" max="8988" width="8.83203125" hidden="0" customWidth="1"/>
    <x:col min="8989" max="8989" width="8.83203125" hidden="0" customWidth="1"/>
    <x:col min="8990" max="8990" width="8.83203125" hidden="0" customWidth="1"/>
    <x:col min="8991" max="8991" width="8.83203125" hidden="0" customWidth="1"/>
    <x:col min="8992" max="8992" width="8.83203125" hidden="0" customWidth="1"/>
    <x:col min="8993" max="8993" width="8.83203125" hidden="0" customWidth="1"/>
    <x:col min="8994" max="8994" width="8.83203125" hidden="0" customWidth="1"/>
    <x:col min="8995" max="8995" width="8.83203125" hidden="0" customWidth="1"/>
    <x:col min="8996" max="8996" width="8.83203125" hidden="0" customWidth="1"/>
    <x:col min="8997" max="8997" width="8.83203125" hidden="0" customWidth="1"/>
    <x:col min="8998" max="8998" width="8.83203125" hidden="0" customWidth="1"/>
    <x:col min="8999" max="8999" width="8.83203125" hidden="0" customWidth="1"/>
    <x:col min="9000" max="9000" width="8.83203125" hidden="0" customWidth="1"/>
    <x:col min="9001" max="9001" width="8.83203125" hidden="0" customWidth="1"/>
    <x:col min="9002" max="9002" width="8.83203125" hidden="0" customWidth="1"/>
    <x:col min="9003" max="9003" width="8.83203125" hidden="0" customWidth="1"/>
    <x:col min="9004" max="9004" width="8.83203125" hidden="0" customWidth="1"/>
    <x:col min="9005" max="9005" width="8.83203125" hidden="0" customWidth="1"/>
    <x:col min="9006" max="9006" width="8.83203125" hidden="0" customWidth="1"/>
    <x:col min="9007" max="9007" width="8.83203125" hidden="0" customWidth="1"/>
    <x:col min="9008" max="9008" width="8.83203125" hidden="0" customWidth="1"/>
    <x:col min="9009" max="9009" width="8.83203125" hidden="0" customWidth="1"/>
    <x:col min="9010" max="9010" width="8.83203125" hidden="0" customWidth="1"/>
    <x:col min="9011" max="9011" width="8.83203125" hidden="0" customWidth="1"/>
    <x:col min="9012" max="9012" width="8.83203125" hidden="0" customWidth="1"/>
    <x:col min="9013" max="9013" width="8.83203125" hidden="0" customWidth="1"/>
    <x:col min="9014" max="9014" width="8.83203125" hidden="0" customWidth="1"/>
    <x:col min="9015" max="9015" width="8.83203125" hidden="0" customWidth="1"/>
    <x:col min="9016" max="9016" width="8.83203125" hidden="0" customWidth="1"/>
    <x:col min="9017" max="9017" width="8.83203125" hidden="0" customWidth="1"/>
    <x:col min="9018" max="9018" width="8.83203125" hidden="0" customWidth="1"/>
    <x:col min="9019" max="9019" width="8.83203125" hidden="0" customWidth="1"/>
    <x:col min="9020" max="9020" width="8.83203125" hidden="0" customWidth="1"/>
    <x:col min="9021" max="9021" width="8.83203125" hidden="0" customWidth="1"/>
    <x:col min="9022" max="9022" width="8.83203125" hidden="0" customWidth="1"/>
    <x:col min="9023" max="9023" width="8.83203125" hidden="0" customWidth="1"/>
    <x:col min="9024" max="9024" width="8.83203125" hidden="0" customWidth="1"/>
    <x:col min="9025" max="9025" width="8.83203125" hidden="0" customWidth="1"/>
    <x:col min="9026" max="9026" width="8.83203125" hidden="0" customWidth="1"/>
    <x:col min="9027" max="9027" width="8.83203125" hidden="0" customWidth="1"/>
    <x:col min="9028" max="9028" width="8.83203125" hidden="0" customWidth="1"/>
    <x:col min="9029" max="9029" width="8.83203125" hidden="0" customWidth="1"/>
    <x:col min="9030" max="9030" width="8.83203125" hidden="0" customWidth="1"/>
    <x:col min="9031" max="9031" width="8.83203125" hidden="0" customWidth="1"/>
    <x:col min="9032" max="9032" width="8.83203125" hidden="0" customWidth="1"/>
    <x:col min="9033" max="9033" width="8.83203125" hidden="0" customWidth="1"/>
    <x:col min="9034" max="9034" width="8.83203125" hidden="0" customWidth="1"/>
    <x:col min="9035" max="9035" width="8.83203125" hidden="0" customWidth="1"/>
    <x:col min="9036" max="9036" width="8.83203125" hidden="0" customWidth="1"/>
    <x:col min="9037" max="9037" width="8.83203125" hidden="0" customWidth="1"/>
    <x:col min="9038" max="9038" width="8.83203125" hidden="0" customWidth="1"/>
    <x:col min="9039" max="9039" width="8.83203125" hidden="0" customWidth="1"/>
    <x:col min="9040" max="9040" width="8.83203125" hidden="0" customWidth="1"/>
    <x:col min="9041" max="9041" width="8.83203125" hidden="0" customWidth="1"/>
    <x:col min="9042" max="9042" width="8.83203125" hidden="0" customWidth="1"/>
    <x:col min="9043" max="9043" width="8.83203125" hidden="0" customWidth="1"/>
    <x:col min="9044" max="9044" width="8.83203125" hidden="0" customWidth="1"/>
    <x:col min="9045" max="9045" width="8.83203125" hidden="0" customWidth="1"/>
    <x:col min="9046" max="9046" width="8.83203125" hidden="0" customWidth="1"/>
    <x:col min="9047" max="9047" width="8.83203125" hidden="0" customWidth="1"/>
    <x:col min="9048" max="9048" width="8.83203125" hidden="0" customWidth="1"/>
    <x:col min="9049" max="9049" width="8.83203125" hidden="0" customWidth="1"/>
    <x:col min="9050" max="9050" width="8.83203125" hidden="0" customWidth="1"/>
    <x:col min="9051" max="9051" width="8.83203125" hidden="0" customWidth="1"/>
    <x:col min="9052" max="9052" width="8.83203125" hidden="0" customWidth="1"/>
    <x:col min="9053" max="9053" width="8.83203125" hidden="0" customWidth="1"/>
    <x:col min="9054" max="9054" width="8.83203125" hidden="0" customWidth="1"/>
    <x:col min="9055" max="9055" width="8.83203125" hidden="0" customWidth="1"/>
    <x:col min="9056" max="9056" width="8.83203125" hidden="0" customWidth="1"/>
    <x:col min="9057" max="9057" width="8.83203125" hidden="0" customWidth="1"/>
    <x:col min="9058" max="9058" width="8.83203125" hidden="0" customWidth="1"/>
    <x:col min="9059" max="9059" width="8.83203125" hidden="0" customWidth="1"/>
    <x:col min="9060" max="9060" width="8.83203125" hidden="0" customWidth="1"/>
    <x:col min="9061" max="9061" width="8.83203125" hidden="0" customWidth="1"/>
    <x:col min="9062" max="9062" width="8.83203125" hidden="0" customWidth="1"/>
    <x:col min="9063" max="9063" width="8.83203125" hidden="0" customWidth="1"/>
    <x:col min="9064" max="9064" width="8.83203125" hidden="0" customWidth="1"/>
    <x:col min="9065" max="9065" width="8.83203125" hidden="0" customWidth="1"/>
    <x:col min="9066" max="9066" width="8.83203125" hidden="0" customWidth="1"/>
    <x:col min="9067" max="9067" width="8.83203125" hidden="0" customWidth="1"/>
    <x:col min="9068" max="9068" width="8.83203125" hidden="0" customWidth="1"/>
    <x:col min="9069" max="9069" width="8.83203125" hidden="0" customWidth="1"/>
    <x:col min="9070" max="9070" width="8.83203125" hidden="0" customWidth="1"/>
    <x:col min="9071" max="9071" width="8.83203125" hidden="0" customWidth="1"/>
    <x:col min="9072" max="9072" width="8.83203125" hidden="0" customWidth="1"/>
    <x:col min="9073" max="9073" width="8.83203125" hidden="0" customWidth="1"/>
    <x:col min="9074" max="9074" width="8.83203125" hidden="0" customWidth="1"/>
    <x:col min="9075" max="9075" width="8.83203125" hidden="0" customWidth="1"/>
    <x:col min="9076" max="9076" width="8.83203125" hidden="0" customWidth="1"/>
    <x:col min="9077" max="9077" width="8.83203125" hidden="0" customWidth="1"/>
    <x:col min="9078" max="9078" width="8.83203125" hidden="0" customWidth="1"/>
    <x:col min="9079" max="9079" width="8.83203125" hidden="0" customWidth="1"/>
    <x:col min="9080" max="9080" width="8.83203125" hidden="0" customWidth="1"/>
    <x:col min="9081" max="9081" width="8.83203125" hidden="0" customWidth="1"/>
    <x:col min="9082" max="9082" width="8.83203125" hidden="0" customWidth="1"/>
    <x:col min="9083" max="9083" width="8.83203125" hidden="0" customWidth="1"/>
    <x:col min="9084" max="9084" width="8.83203125" hidden="0" customWidth="1"/>
    <x:col min="9085" max="9085" width="8.83203125" hidden="0" customWidth="1"/>
    <x:col min="9086" max="9086" width="8.83203125" hidden="0" customWidth="1"/>
    <x:col min="9087" max="9087" width="8.83203125" hidden="0" customWidth="1"/>
    <x:col min="9088" max="9088" width="8.83203125" hidden="0" customWidth="1"/>
    <x:col min="9089" max="9089" width="8.83203125" hidden="0" customWidth="1"/>
    <x:col min="9090" max="9090" width="8.83203125" hidden="0" customWidth="1"/>
    <x:col min="9091" max="9091" width="8.83203125" hidden="0" customWidth="1"/>
    <x:col min="9092" max="9092" width="8.83203125" hidden="0" customWidth="1"/>
    <x:col min="9093" max="9093" width="8.83203125" hidden="0" customWidth="1"/>
    <x:col min="9094" max="9094" width="8.83203125" hidden="0" customWidth="1"/>
    <x:col min="9095" max="9095" width="8.83203125" hidden="0" customWidth="1"/>
    <x:col min="9096" max="9096" width="8.83203125" hidden="0" customWidth="1"/>
    <x:col min="9097" max="9097" width="8.83203125" hidden="0" customWidth="1"/>
    <x:col min="9098" max="9098" width="8.83203125" hidden="0" customWidth="1"/>
    <x:col min="9099" max="9099" width="8.83203125" hidden="0" customWidth="1"/>
    <x:col min="9100" max="9100" width="8.83203125" hidden="0" customWidth="1"/>
    <x:col min="9101" max="9101" width="8.83203125" hidden="0" customWidth="1"/>
    <x:col min="9102" max="9102" width="8.83203125" hidden="0" customWidth="1"/>
    <x:col min="9103" max="9103" width="8.83203125" hidden="0" customWidth="1"/>
    <x:col min="9104" max="9104" width="8.83203125" hidden="0" customWidth="1"/>
    <x:col min="9105" max="9105" width="8.83203125" hidden="0" customWidth="1"/>
    <x:col min="9106" max="9106" width="8.83203125" hidden="0" customWidth="1"/>
    <x:col min="9107" max="9107" width="8.83203125" hidden="0" customWidth="1"/>
    <x:col min="9108" max="9108" width="8.83203125" hidden="0" customWidth="1"/>
    <x:col min="9109" max="9109" width="8.83203125" hidden="0" customWidth="1"/>
    <x:col min="9110" max="9110" width="8.83203125" hidden="0" customWidth="1"/>
    <x:col min="9111" max="9111" width="8.83203125" hidden="0" customWidth="1"/>
    <x:col min="9112" max="9112" width="8.83203125" hidden="0" customWidth="1"/>
    <x:col min="9113" max="9113" width="8.83203125" hidden="0" customWidth="1"/>
    <x:col min="9114" max="9114" width="8.83203125" hidden="0" customWidth="1"/>
    <x:col min="9115" max="9115" width="8.83203125" hidden="0" customWidth="1"/>
    <x:col min="9116" max="9116" width="8.83203125" hidden="0" customWidth="1"/>
    <x:col min="9117" max="9117" width="8.83203125" hidden="0" customWidth="1"/>
    <x:col min="9118" max="9118" width="8.83203125" hidden="0" customWidth="1"/>
    <x:col min="9119" max="9119" width="8.83203125" hidden="0" customWidth="1"/>
    <x:col min="9120" max="9120" width="8.83203125" hidden="0" customWidth="1"/>
    <x:col min="9121" max="9121" width="8.83203125" hidden="0" customWidth="1"/>
    <x:col min="9122" max="9122" width="8.83203125" hidden="0" customWidth="1"/>
    <x:col min="9123" max="9123" width="8.83203125" hidden="0" customWidth="1"/>
    <x:col min="9124" max="9124" width="8.83203125" hidden="0" customWidth="1"/>
    <x:col min="9125" max="9125" width="8.83203125" hidden="0" customWidth="1"/>
    <x:col min="9126" max="9126" width="8.83203125" hidden="0" customWidth="1"/>
    <x:col min="9127" max="9127" width="8.83203125" hidden="0" customWidth="1"/>
    <x:col min="9128" max="9128" width="8.83203125" hidden="0" customWidth="1"/>
    <x:col min="9129" max="9129" width="8.83203125" hidden="0" customWidth="1"/>
    <x:col min="9130" max="9130" width="8.83203125" hidden="0" customWidth="1"/>
    <x:col min="9131" max="9131" width="8.83203125" hidden="0" customWidth="1"/>
    <x:col min="9132" max="9132" width="8.83203125" hidden="0" customWidth="1"/>
    <x:col min="9133" max="9133" width="8.83203125" hidden="0" customWidth="1"/>
    <x:col min="9134" max="9134" width="8.83203125" hidden="0" customWidth="1"/>
    <x:col min="9135" max="9135" width="8.83203125" hidden="0" customWidth="1"/>
    <x:col min="9136" max="9136" width="8.83203125" hidden="0" customWidth="1"/>
    <x:col min="9137" max="9137" width="8.83203125" hidden="0" customWidth="1"/>
    <x:col min="9138" max="9138" width="8.83203125" hidden="0" customWidth="1"/>
    <x:col min="9139" max="9139" width="8.83203125" hidden="0" customWidth="1"/>
    <x:col min="9140" max="9140" width="8.83203125" hidden="0" customWidth="1"/>
    <x:col min="9141" max="9141" width="8.83203125" hidden="0" customWidth="1"/>
    <x:col min="9142" max="9142" width="8.83203125" hidden="0" customWidth="1"/>
    <x:col min="9143" max="9143" width="8.83203125" hidden="0" customWidth="1"/>
    <x:col min="9144" max="9144" width="8.83203125" hidden="0" customWidth="1"/>
    <x:col min="9145" max="9145" width="8.83203125" hidden="0" customWidth="1"/>
    <x:col min="9146" max="9146" width="8.83203125" hidden="0" customWidth="1"/>
    <x:col min="9147" max="9147" width="8.83203125" hidden="0" customWidth="1"/>
    <x:col min="9148" max="9148" width="8.83203125" hidden="0" customWidth="1"/>
    <x:col min="9149" max="9149" width="8.83203125" hidden="0" customWidth="1"/>
    <x:col min="9150" max="9150" width="8.83203125" hidden="0" customWidth="1"/>
    <x:col min="9151" max="9151" width="8.83203125" hidden="0" customWidth="1"/>
    <x:col min="9152" max="9152" width="8.83203125" hidden="0" customWidth="1"/>
    <x:col min="9153" max="9153" width="8.83203125" hidden="0" customWidth="1"/>
    <x:col min="9154" max="9154" width="8.83203125" hidden="0" customWidth="1"/>
    <x:col min="9155" max="9155" width="8.83203125" hidden="0" customWidth="1"/>
    <x:col min="9156" max="9156" width="8.83203125" hidden="0" customWidth="1"/>
    <x:col min="9157" max="9157" width="8.83203125" hidden="0" customWidth="1"/>
    <x:col min="9158" max="9158" width="8.83203125" hidden="0" customWidth="1"/>
    <x:col min="9159" max="9159" width="8.83203125" hidden="0" customWidth="1"/>
    <x:col min="9160" max="9160" width="8.83203125" hidden="0" customWidth="1"/>
    <x:col min="9161" max="9161" width="8.83203125" hidden="0" customWidth="1"/>
    <x:col min="9162" max="9162" width="8.83203125" hidden="0" customWidth="1"/>
    <x:col min="9163" max="9163" width="8.83203125" hidden="0" customWidth="1"/>
    <x:col min="9164" max="9164" width="8.83203125" hidden="0" customWidth="1"/>
    <x:col min="9165" max="9165" width="8.83203125" hidden="0" customWidth="1"/>
    <x:col min="9166" max="9166" width="8.83203125" hidden="0" customWidth="1"/>
    <x:col min="9167" max="9167" width="8.83203125" hidden="0" customWidth="1"/>
    <x:col min="9168" max="9168" width="8.83203125" hidden="0" customWidth="1"/>
    <x:col min="9169" max="9169" width="8.83203125" hidden="0" customWidth="1"/>
    <x:col min="9170" max="9170" width="8.83203125" hidden="0" customWidth="1"/>
    <x:col min="9171" max="9171" width="8.83203125" hidden="0" customWidth="1"/>
    <x:col min="9172" max="9172" width="8.83203125" hidden="0" customWidth="1"/>
    <x:col min="9173" max="9173" width="8.83203125" hidden="0" customWidth="1"/>
    <x:col min="9174" max="9174" width="8.83203125" hidden="0" customWidth="1"/>
    <x:col min="9175" max="9175" width="8.83203125" hidden="0" customWidth="1"/>
    <x:col min="9176" max="9176" width="8.83203125" hidden="0" customWidth="1"/>
    <x:col min="9177" max="9177" width="8.83203125" hidden="0" customWidth="1"/>
    <x:col min="9178" max="9178" width="8.83203125" hidden="0" customWidth="1"/>
    <x:col min="9179" max="9179" width="8.83203125" hidden="0" customWidth="1"/>
    <x:col min="9180" max="9180" width="8.83203125" hidden="0" customWidth="1"/>
    <x:col min="9181" max="9181" width="8.83203125" hidden="0" customWidth="1"/>
    <x:col min="9182" max="9182" width="8.83203125" hidden="0" customWidth="1"/>
    <x:col min="9183" max="9183" width="8.83203125" hidden="0" customWidth="1"/>
    <x:col min="9184" max="9184" width="8.83203125" hidden="0" customWidth="1"/>
    <x:col min="9185" max="9185" width="8.83203125" hidden="0" customWidth="1"/>
    <x:col min="9186" max="9186" width="8.83203125" hidden="0" customWidth="1"/>
    <x:col min="9187" max="9187" width="8.83203125" hidden="0" customWidth="1"/>
    <x:col min="9188" max="9188" width="8.83203125" hidden="0" customWidth="1"/>
    <x:col min="9189" max="9189" width="8.83203125" hidden="0" customWidth="1"/>
    <x:col min="9190" max="9190" width="8.83203125" hidden="0" customWidth="1"/>
    <x:col min="9191" max="9191" width="8.83203125" hidden="0" customWidth="1"/>
    <x:col min="9192" max="9192" width="8.83203125" hidden="0" customWidth="1"/>
    <x:col min="9193" max="9193" width="8.83203125" hidden="0" customWidth="1"/>
    <x:col min="9194" max="9194" width="8.83203125" hidden="0" customWidth="1"/>
    <x:col min="9195" max="9195" width="8.83203125" hidden="0" customWidth="1"/>
    <x:col min="9196" max="9196" width="8.83203125" hidden="0" customWidth="1"/>
    <x:col min="9197" max="9197" width="8.83203125" hidden="0" customWidth="1"/>
    <x:col min="9198" max="9198" width="8.83203125" hidden="0" customWidth="1"/>
    <x:col min="9199" max="9199" width="8.83203125" hidden="0" customWidth="1"/>
    <x:col min="9200" max="9200" width="8.83203125" hidden="0" customWidth="1"/>
    <x:col min="9201" max="9201" width="8.83203125" hidden="0" customWidth="1"/>
    <x:col min="9202" max="9202" width="8.83203125" hidden="0" customWidth="1"/>
    <x:col min="9203" max="9203" width="8.83203125" hidden="0" customWidth="1"/>
    <x:col min="9204" max="9204" width="8.83203125" hidden="0" customWidth="1"/>
    <x:col min="9205" max="9205" width="8.83203125" hidden="0" customWidth="1"/>
    <x:col min="9206" max="9206" width="8.83203125" hidden="0" customWidth="1"/>
    <x:col min="9207" max="9207" width="8.83203125" hidden="0" customWidth="1"/>
    <x:col min="9208" max="9208" width="8.83203125" hidden="0" customWidth="1"/>
    <x:col min="9209" max="9209" width="8.83203125" hidden="0" customWidth="1"/>
    <x:col min="9210" max="9210" width="8.83203125" hidden="0" customWidth="1"/>
    <x:col min="9211" max="9211" width="8.83203125" hidden="0" customWidth="1"/>
    <x:col min="9212" max="9212" width="8.83203125" hidden="0" customWidth="1"/>
    <x:col min="9213" max="9213" width="8.83203125" hidden="0" customWidth="1"/>
    <x:col min="9214" max="9214" width="8.83203125" hidden="0" customWidth="1"/>
    <x:col min="9215" max="9215" width="8.83203125" hidden="0" customWidth="1"/>
    <x:col min="9216" max="9216" width="8.83203125" hidden="0" customWidth="1"/>
    <x:col min="9217" max="9217" width="8.83203125" hidden="0" customWidth="1"/>
    <x:col min="9218" max="9218" width="8.83203125" hidden="0" customWidth="1"/>
    <x:col min="9219" max="9219" width="8.83203125" hidden="0" customWidth="1"/>
    <x:col min="9220" max="9220" width="8.83203125" hidden="0" customWidth="1"/>
    <x:col min="9221" max="9221" width="8.83203125" hidden="0" customWidth="1"/>
    <x:col min="9222" max="9222" width="8.83203125" hidden="0" customWidth="1"/>
    <x:col min="9223" max="9223" width="8.83203125" hidden="0" customWidth="1"/>
    <x:col min="9224" max="9224" width="8.83203125" hidden="0" customWidth="1"/>
    <x:col min="9225" max="9225" width="8.83203125" hidden="0" customWidth="1"/>
    <x:col min="9226" max="9226" width="8.83203125" hidden="0" customWidth="1"/>
    <x:col min="9227" max="9227" width="8.83203125" hidden="0" customWidth="1"/>
    <x:col min="9228" max="9228" width="8.83203125" hidden="0" customWidth="1"/>
    <x:col min="9229" max="9229" width="8.83203125" hidden="0" customWidth="1"/>
    <x:col min="9230" max="9230" width="8.83203125" hidden="0" customWidth="1"/>
    <x:col min="9231" max="9231" width="8.83203125" hidden="0" customWidth="1"/>
    <x:col min="9232" max="9232" width="8.83203125" hidden="0" customWidth="1"/>
    <x:col min="9233" max="9233" width="8.83203125" hidden="0" customWidth="1"/>
    <x:col min="9234" max="9234" width="8.83203125" hidden="0" customWidth="1"/>
    <x:col min="9235" max="9235" width="8.83203125" hidden="0" customWidth="1"/>
    <x:col min="9236" max="9236" width="8.83203125" hidden="0" customWidth="1"/>
    <x:col min="9237" max="9237" width="8.83203125" hidden="0" customWidth="1"/>
    <x:col min="9238" max="9238" width="8.83203125" hidden="0" customWidth="1"/>
    <x:col min="9239" max="9239" width="8.83203125" hidden="0" customWidth="1"/>
    <x:col min="9240" max="9240" width="8.83203125" hidden="0" customWidth="1"/>
    <x:col min="9241" max="9241" width="8.83203125" hidden="0" customWidth="1"/>
    <x:col min="9242" max="9242" width="8.83203125" hidden="0" customWidth="1"/>
    <x:col min="9243" max="9243" width="8.83203125" hidden="0" customWidth="1"/>
    <x:col min="9244" max="9244" width="8.83203125" hidden="0" customWidth="1"/>
    <x:col min="9245" max="9245" width="8.83203125" hidden="0" customWidth="1"/>
    <x:col min="9246" max="9246" width="8.83203125" hidden="0" customWidth="1"/>
    <x:col min="9247" max="9247" width="8.83203125" hidden="0" customWidth="1"/>
    <x:col min="9248" max="9248" width="8.83203125" hidden="0" customWidth="1"/>
    <x:col min="9249" max="9249" width="8.83203125" hidden="0" customWidth="1"/>
    <x:col min="9250" max="9250" width="8.83203125" hidden="0" customWidth="1"/>
    <x:col min="9251" max="9251" width="8.83203125" hidden="0" customWidth="1"/>
    <x:col min="9252" max="9252" width="8.83203125" hidden="0" customWidth="1"/>
    <x:col min="9253" max="9253" width="8.83203125" hidden="0" customWidth="1"/>
    <x:col min="9254" max="9254" width="8.83203125" hidden="0" customWidth="1"/>
    <x:col min="9255" max="9255" width="8.83203125" hidden="0" customWidth="1"/>
    <x:col min="9256" max="9256" width="8.83203125" hidden="0" customWidth="1"/>
    <x:col min="9257" max="9257" width="8.83203125" hidden="0" customWidth="1"/>
    <x:col min="9258" max="9258" width="8.83203125" hidden="0" customWidth="1"/>
    <x:col min="9259" max="9259" width="8.83203125" hidden="0" customWidth="1"/>
    <x:col min="9260" max="9260" width="8.83203125" hidden="0" customWidth="1"/>
    <x:col min="9261" max="9261" width="8.83203125" hidden="0" customWidth="1"/>
    <x:col min="9262" max="9262" width="8.83203125" hidden="0" customWidth="1"/>
    <x:col min="9263" max="9263" width="8.83203125" hidden="0" customWidth="1"/>
    <x:col min="9264" max="9264" width="8.83203125" hidden="0" customWidth="1"/>
    <x:col min="9265" max="9265" width="8.83203125" hidden="0" customWidth="1"/>
    <x:col min="9266" max="9266" width="8.83203125" hidden="0" customWidth="1"/>
    <x:col min="9267" max="9267" width="8.83203125" hidden="0" customWidth="1"/>
    <x:col min="9268" max="9268" width="8.83203125" hidden="0" customWidth="1"/>
    <x:col min="9269" max="9269" width="8.83203125" hidden="0" customWidth="1"/>
    <x:col min="9270" max="9270" width="8.83203125" hidden="0" customWidth="1"/>
    <x:col min="9271" max="9271" width="8.83203125" hidden="0" customWidth="1"/>
    <x:col min="9272" max="9272" width="8.83203125" hidden="0" customWidth="1"/>
    <x:col min="9273" max="9273" width="8.83203125" hidden="0" customWidth="1"/>
    <x:col min="9274" max="9274" width="8.83203125" hidden="0" customWidth="1"/>
    <x:col min="9275" max="9275" width="8.83203125" hidden="0" customWidth="1"/>
    <x:col min="9276" max="9276" width="8.83203125" hidden="0" customWidth="1"/>
    <x:col min="9277" max="9277" width="8.83203125" hidden="0" customWidth="1"/>
    <x:col min="9278" max="9278" width="8.83203125" hidden="0" customWidth="1"/>
    <x:col min="9279" max="9279" width="8.83203125" hidden="0" customWidth="1"/>
    <x:col min="9280" max="9280" width="8.83203125" hidden="0" customWidth="1"/>
    <x:col min="9281" max="9281" width="8.83203125" hidden="0" customWidth="1"/>
    <x:col min="9282" max="9282" width="8.83203125" hidden="0" customWidth="1"/>
    <x:col min="9283" max="9283" width="8.83203125" hidden="0" customWidth="1"/>
    <x:col min="9284" max="9284" width="8.83203125" hidden="0" customWidth="1"/>
    <x:col min="9285" max="9285" width="8.83203125" hidden="0" customWidth="1"/>
    <x:col min="9286" max="9286" width="8.83203125" hidden="0" customWidth="1"/>
    <x:col min="9287" max="9287" width="8.83203125" hidden="0" customWidth="1"/>
    <x:col min="9288" max="9288" width="8.83203125" hidden="0" customWidth="1"/>
    <x:col min="9289" max="9289" width="8.83203125" hidden="0" customWidth="1"/>
    <x:col min="9290" max="9290" width="8.83203125" hidden="0" customWidth="1"/>
    <x:col min="9291" max="9291" width="8.83203125" hidden="0" customWidth="1"/>
    <x:col min="9292" max="9292" width="8.83203125" hidden="0" customWidth="1"/>
    <x:col min="9293" max="9293" width="8.83203125" hidden="0" customWidth="1"/>
    <x:col min="9294" max="9294" width="8.83203125" hidden="0" customWidth="1"/>
    <x:col min="9295" max="9295" width="8.83203125" hidden="0" customWidth="1"/>
    <x:col min="9296" max="9296" width="8.83203125" hidden="0" customWidth="1"/>
    <x:col min="9297" max="9297" width="8.83203125" hidden="0" customWidth="1"/>
    <x:col min="9298" max="9298" width="8.83203125" hidden="0" customWidth="1"/>
    <x:col min="9299" max="9299" width="8.83203125" hidden="0" customWidth="1"/>
    <x:col min="9300" max="9300" width="8.83203125" hidden="0" customWidth="1"/>
    <x:col min="9301" max="9301" width="8.83203125" hidden="0" customWidth="1"/>
    <x:col min="9302" max="9302" width="8.83203125" hidden="0" customWidth="1"/>
    <x:col min="9303" max="9303" width="8.83203125" hidden="0" customWidth="1"/>
    <x:col min="9304" max="9304" width="8.83203125" hidden="0" customWidth="1"/>
    <x:col min="9305" max="9305" width="8.83203125" hidden="0" customWidth="1"/>
    <x:col min="9306" max="9306" width="8.83203125" hidden="0" customWidth="1"/>
    <x:col min="9307" max="9307" width="8.83203125" hidden="0" customWidth="1"/>
    <x:col min="9308" max="9308" width="8.83203125" hidden="0" customWidth="1"/>
    <x:col min="9309" max="9309" width="8.83203125" hidden="0" customWidth="1"/>
    <x:col min="9310" max="9310" width="8.83203125" hidden="0" customWidth="1"/>
    <x:col min="9311" max="9311" width="8.83203125" hidden="0" customWidth="1"/>
    <x:col min="9312" max="9312" width="8.83203125" hidden="0" customWidth="1"/>
    <x:col min="9313" max="9313" width="8.83203125" hidden="0" customWidth="1"/>
    <x:col min="9314" max="9314" width="8.83203125" hidden="0" customWidth="1"/>
    <x:col min="9315" max="9315" width="8.83203125" hidden="0" customWidth="1"/>
    <x:col min="9316" max="9316" width="8.83203125" hidden="0" customWidth="1"/>
    <x:col min="9317" max="9317" width="8.83203125" hidden="0" customWidth="1"/>
    <x:col min="9318" max="9318" width="8.83203125" hidden="0" customWidth="1"/>
    <x:col min="9319" max="9319" width="8.83203125" hidden="0" customWidth="1"/>
    <x:col min="9320" max="9320" width="8.83203125" hidden="0" customWidth="1"/>
    <x:col min="9321" max="9321" width="8.83203125" hidden="0" customWidth="1"/>
    <x:col min="9322" max="9322" width="8.83203125" hidden="0" customWidth="1"/>
    <x:col min="9323" max="9323" width="8.83203125" hidden="0" customWidth="1"/>
    <x:col min="9324" max="9324" width="8.83203125" hidden="0" customWidth="1"/>
    <x:col min="9325" max="9325" width="8.83203125" hidden="0" customWidth="1"/>
    <x:col min="9326" max="9326" width="8.83203125" hidden="0" customWidth="1"/>
    <x:col min="9327" max="9327" width="8.83203125" hidden="0" customWidth="1"/>
    <x:col min="9328" max="9328" width="8.83203125" hidden="0" customWidth="1"/>
    <x:col min="9329" max="9329" width="8.83203125" hidden="0" customWidth="1"/>
    <x:col min="9330" max="9330" width="8.83203125" hidden="0" customWidth="1"/>
    <x:col min="9331" max="9331" width="8.83203125" hidden="0" customWidth="1"/>
    <x:col min="9332" max="9332" width="8.83203125" hidden="0" customWidth="1"/>
    <x:col min="9333" max="9333" width="8.83203125" hidden="0" customWidth="1"/>
    <x:col min="9334" max="9334" width="8.83203125" hidden="0" customWidth="1"/>
    <x:col min="9335" max="9335" width="8.83203125" hidden="0" customWidth="1"/>
    <x:col min="9336" max="9336" width="8.83203125" hidden="0" customWidth="1"/>
    <x:col min="9337" max="9337" width="8.83203125" hidden="0" customWidth="1"/>
    <x:col min="9338" max="9338" width="8.83203125" hidden="0" customWidth="1"/>
    <x:col min="9339" max="9339" width="8.83203125" hidden="0" customWidth="1"/>
    <x:col min="9340" max="9340" width="8.83203125" hidden="0" customWidth="1"/>
    <x:col min="9341" max="9341" width="8.83203125" hidden="0" customWidth="1"/>
    <x:col min="9342" max="9342" width="8.83203125" hidden="0" customWidth="1"/>
    <x:col min="9343" max="9343" width="8.83203125" hidden="0" customWidth="1"/>
    <x:col min="9344" max="9344" width="8.83203125" hidden="0" customWidth="1"/>
    <x:col min="9345" max="9345" width="8.83203125" hidden="0" customWidth="1"/>
    <x:col min="9346" max="9346" width="8.83203125" hidden="0" customWidth="1"/>
    <x:col min="9347" max="9347" width="8.83203125" hidden="0" customWidth="1"/>
    <x:col min="9348" max="9348" width="8.83203125" hidden="0" customWidth="1"/>
    <x:col min="9349" max="9349" width="8.83203125" hidden="0" customWidth="1"/>
    <x:col min="9350" max="9350" width="8.83203125" hidden="0" customWidth="1"/>
    <x:col min="9351" max="9351" width="8.83203125" hidden="0" customWidth="1"/>
    <x:col min="9352" max="9352" width="8.83203125" hidden="0" customWidth="1"/>
    <x:col min="9353" max="9353" width="8.83203125" hidden="0" customWidth="1"/>
    <x:col min="9354" max="9354" width="8.83203125" hidden="0" customWidth="1"/>
    <x:col min="9355" max="9355" width="8.83203125" hidden="0" customWidth="1"/>
    <x:col min="9356" max="9356" width="8.83203125" hidden="0" customWidth="1"/>
    <x:col min="9357" max="9357" width="8.83203125" hidden="0" customWidth="1"/>
    <x:col min="9358" max="9358" width="8.83203125" hidden="0" customWidth="1"/>
    <x:col min="9359" max="9359" width="8.83203125" hidden="0" customWidth="1"/>
    <x:col min="9360" max="9360" width="8.83203125" hidden="0" customWidth="1"/>
    <x:col min="9361" max="9361" width="8.83203125" hidden="0" customWidth="1"/>
    <x:col min="9362" max="9362" width="8.83203125" hidden="0" customWidth="1"/>
    <x:col min="9363" max="9363" width="8.83203125" hidden="0" customWidth="1"/>
    <x:col min="9364" max="9364" width="8.83203125" hidden="0" customWidth="1"/>
    <x:col min="9365" max="9365" width="8.83203125" hidden="0" customWidth="1"/>
    <x:col min="9366" max="9366" width="8.83203125" hidden="0" customWidth="1"/>
    <x:col min="9367" max="9367" width="8.83203125" hidden="0" customWidth="1"/>
    <x:col min="9368" max="9368" width="8.83203125" hidden="0" customWidth="1"/>
    <x:col min="9369" max="9369" width="8.83203125" hidden="0" customWidth="1"/>
    <x:col min="9370" max="9370" width="8.83203125" hidden="0" customWidth="1"/>
    <x:col min="9371" max="9371" width="8.83203125" hidden="0" customWidth="1"/>
    <x:col min="9372" max="9372" width="8.83203125" hidden="0" customWidth="1"/>
    <x:col min="9373" max="9373" width="8.83203125" hidden="0" customWidth="1"/>
    <x:col min="9374" max="9374" width="8.83203125" hidden="0" customWidth="1"/>
    <x:col min="9375" max="9375" width="8.83203125" hidden="0" customWidth="1"/>
    <x:col min="9376" max="9376" width="8.83203125" hidden="0" customWidth="1"/>
    <x:col min="9377" max="9377" width="8.83203125" hidden="0" customWidth="1"/>
    <x:col min="9378" max="9378" width="8.83203125" hidden="0" customWidth="1"/>
    <x:col min="9379" max="9379" width="8.83203125" hidden="0" customWidth="1"/>
    <x:col min="9380" max="9380" width="8.83203125" hidden="0" customWidth="1"/>
    <x:col min="9381" max="9381" width="8.83203125" hidden="0" customWidth="1"/>
    <x:col min="9382" max="9382" width="8.83203125" hidden="0" customWidth="1"/>
    <x:col min="9383" max="9383" width="8.83203125" hidden="0" customWidth="1"/>
    <x:col min="9384" max="9384" width="8.83203125" hidden="0" customWidth="1"/>
    <x:col min="9385" max="9385" width="8.83203125" hidden="0" customWidth="1"/>
    <x:col min="9386" max="9386" width="8.83203125" hidden="0" customWidth="1"/>
    <x:col min="9387" max="9387" width="8.83203125" hidden="0" customWidth="1"/>
    <x:col min="9388" max="9388" width="8.83203125" hidden="0" customWidth="1"/>
    <x:col min="9389" max="9389" width="8.83203125" hidden="0" customWidth="1"/>
    <x:col min="9390" max="9390" width="8.83203125" hidden="0" customWidth="1"/>
    <x:col min="9391" max="9391" width="8.83203125" hidden="0" customWidth="1"/>
    <x:col min="9392" max="9392" width="8.83203125" hidden="0" customWidth="1"/>
    <x:col min="9393" max="9393" width="8.83203125" hidden="0" customWidth="1"/>
    <x:col min="9394" max="9394" width="8.83203125" hidden="0" customWidth="1"/>
    <x:col min="9395" max="9395" width="8.83203125" hidden="0" customWidth="1"/>
    <x:col min="9396" max="9396" width="8.83203125" hidden="0" customWidth="1"/>
    <x:col min="9397" max="9397" width="8.83203125" hidden="0" customWidth="1"/>
    <x:col min="9398" max="9398" width="8.83203125" hidden="0" customWidth="1"/>
    <x:col min="9399" max="9399" width="8.83203125" hidden="0" customWidth="1"/>
    <x:col min="9400" max="9400" width="8.83203125" hidden="0" customWidth="1"/>
    <x:col min="9401" max="9401" width="8.83203125" hidden="0" customWidth="1"/>
    <x:col min="9402" max="9402" width="8.83203125" hidden="0" customWidth="1"/>
    <x:col min="9403" max="9403" width="8.83203125" hidden="0" customWidth="1"/>
    <x:col min="9404" max="9404" width="8.83203125" hidden="0" customWidth="1"/>
    <x:col min="9405" max="9405" width="8.83203125" hidden="0" customWidth="1"/>
    <x:col min="9406" max="9406" width="8.83203125" hidden="0" customWidth="1"/>
    <x:col min="9407" max="9407" width="8.83203125" hidden="0" customWidth="1"/>
    <x:col min="9408" max="9408" width="8.83203125" hidden="0" customWidth="1"/>
    <x:col min="9409" max="9409" width="8.83203125" hidden="0" customWidth="1"/>
    <x:col min="9410" max="9410" width="8.83203125" hidden="0" customWidth="1"/>
    <x:col min="9411" max="9411" width="8.83203125" hidden="0" customWidth="1"/>
    <x:col min="9412" max="9412" width="8.83203125" hidden="0" customWidth="1"/>
    <x:col min="9413" max="9413" width="8.83203125" hidden="0" customWidth="1"/>
    <x:col min="9414" max="9414" width="8.83203125" hidden="0" customWidth="1"/>
    <x:col min="9415" max="9415" width="8.83203125" hidden="0" customWidth="1"/>
    <x:col min="9416" max="9416" width="8.83203125" hidden="0" customWidth="1"/>
    <x:col min="9417" max="9417" width="8.83203125" hidden="0" customWidth="1"/>
    <x:col min="9418" max="9418" width="8.83203125" hidden="0" customWidth="1"/>
    <x:col min="9419" max="9419" width="8.83203125" hidden="0" customWidth="1"/>
    <x:col min="9420" max="9420" width="8.83203125" hidden="0" customWidth="1"/>
    <x:col min="9421" max="9421" width="8.83203125" hidden="0" customWidth="1"/>
    <x:col min="9422" max="9422" width="8.83203125" hidden="0" customWidth="1"/>
    <x:col min="9423" max="9423" width="8.83203125" hidden="0" customWidth="1"/>
    <x:col min="9424" max="9424" width="8.83203125" hidden="0" customWidth="1"/>
    <x:col min="9425" max="9425" width="8.83203125" hidden="0" customWidth="1"/>
    <x:col min="9426" max="9426" width="8.83203125" hidden="0" customWidth="1"/>
    <x:col min="9427" max="9427" width="8.83203125" hidden="0" customWidth="1"/>
    <x:col min="9428" max="9428" width="8.83203125" hidden="0" customWidth="1"/>
    <x:col min="9429" max="9429" width="8.83203125" hidden="0" customWidth="1"/>
    <x:col min="9430" max="9430" width="8.83203125" hidden="0" customWidth="1"/>
    <x:col min="9431" max="9431" width="8.83203125" hidden="0" customWidth="1"/>
    <x:col min="9432" max="9432" width="8.83203125" hidden="0" customWidth="1"/>
    <x:col min="9433" max="9433" width="8.83203125" hidden="0" customWidth="1"/>
    <x:col min="9434" max="9434" width="8.83203125" hidden="0" customWidth="1"/>
    <x:col min="9435" max="9435" width="8.83203125" hidden="0" customWidth="1"/>
    <x:col min="9436" max="9436" width="8.83203125" hidden="0" customWidth="1"/>
    <x:col min="9437" max="9437" width="8.83203125" hidden="0" customWidth="1"/>
    <x:col min="9438" max="9438" width="8.83203125" hidden="0" customWidth="1"/>
    <x:col min="9439" max="9439" width="8.83203125" hidden="0" customWidth="1"/>
    <x:col min="9440" max="9440" width="8.83203125" hidden="0" customWidth="1"/>
    <x:col min="9441" max="9441" width="8.83203125" hidden="0" customWidth="1"/>
    <x:col min="9442" max="9442" width="8.83203125" hidden="0" customWidth="1"/>
    <x:col min="9443" max="9443" width="8.83203125" hidden="0" customWidth="1"/>
    <x:col min="9444" max="9444" width="8.83203125" hidden="0" customWidth="1"/>
    <x:col min="9445" max="9445" width="8.83203125" hidden="0" customWidth="1"/>
    <x:col min="9446" max="9446" width="8.83203125" hidden="0" customWidth="1"/>
    <x:col min="9447" max="9447" width="8.83203125" hidden="0" customWidth="1"/>
    <x:col min="9448" max="9448" width="8.83203125" hidden="0" customWidth="1"/>
    <x:col min="9449" max="9449" width="8.83203125" hidden="0" customWidth="1"/>
    <x:col min="9450" max="9450" width="8.83203125" hidden="0" customWidth="1"/>
    <x:col min="9451" max="9451" width="8.83203125" hidden="0" customWidth="1"/>
    <x:col min="9452" max="9452" width="8.83203125" hidden="0" customWidth="1"/>
    <x:col min="9453" max="9453" width="8.83203125" hidden="0" customWidth="1"/>
    <x:col min="9454" max="9454" width="8.83203125" hidden="0" customWidth="1"/>
    <x:col min="9455" max="9455" width="8.83203125" hidden="0" customWidth="1"/>
    <x:col min="9456" max="9456" width="8.83203125" hidden="0" customWidth="1"/>
    <x:col min="9457" max="9457" width="8.83203125" hidden="0" customWidth="1"/>
    <x:col min="9458" max="9458" width="8.83203125" hidden="0" customWidth="1"/>
    <x:col min="9459" max="9459" width="8.83203125" hidden="0" customWidth="1"/>
    <x:col min="9460" max="9460" width="8.83203125" hidden="0" customWidth="1"/>
    <x:col min="9461" max="9461" width="8.83203125" hidden="0" customWidth="1"/>
    <x:col min="9462" max="9462" width="8.83203125" hidden="0" customWidth="1"/>
    <x:col min="9463" max="9463" width="8.83203125" hidden="0" customWidth="1"/>
    <x:col min="9464" max="9464" width="8.83203125" hidden="0" customWidth="1"/>
    <x:col min="9465" max="9465" width="8.83203125" hidden="0" customWidth="1"/>
    <x:col min="9466" max="9466" width="8.83203125" hidden="0" customWidth="1"/>
    <x:col min="9467" max="9467" width="8.83203125" hidden="0" customWidth="1"/>
    <x:col min="9468" max="9468" width="8.83203125" hidden="0" customWidth="1"/>
    <x:col min="9469" max="9469" width="8.83203125" hidden="0" customWidth="1"/>
    <x:col min="9470" max="9470" width="8.83203125" hidden="0" customWidth="1"/>
    <x:col min="9471" max="9471" width="8.83203125" hidden="0" customWidth="1"/>
    <x:col min="9472" max="9472" width="8.83203125" hidden="0" customWidth="1"/>
    <x:col min="9473" max="9473" width="8.83203125" hidden="0" customWidth="1"/>
    <x:col min="9474" max="9474" width="8.83203125" hidden="0" customWidth="1"/>
    <x:col min="9475" max="9475" width="8.83203125" hidden="0" customWidth="1"/>
    <x:col min="9476" max="9476" width="8.83203125" hidden="0" customWidth="1"/>
    <x:col min="9477" max="9477" width="8.83203125" hidden="0" customWidth="1"/>
    <x:col min="9478" max="9478" width="8.83203125" hidden="0" customWidth="1"/>
    <x:col min="9479" max="9479" width="8.83203125" hidden="0" customWidth="1"/>
    <x:col min="9480" max="9480" width="8.83203125" hidden="0" customWidth="1"/>
    <x:col min="9481" max="9481" width="8.83203125" hidden="0" customWidth="1"/>
    <x:col min="9482" max="9482" width="8.83203125" hidden="0" customWidth="1"/>
    <x:col min="9483" max="9483" width="8.83203125" hidden="0" customWidth="1"/>
    <x:col min="9484" max="9484" width="8.83203125" hidden="0" customWidth="1"/>
    <x:col min="9485" max="9485" width="8.83203125" hidden="0" customWidth="1"/>
    <x:col min="9486" max="9486" width="8.83203125" hidden="0" customWidth="1"/>
    <x:col min="9487" max="9487" width="8.83203125" hidden="0" customWidth="1"/>
    <x:col min="9488" max="9488" width="8.83203125" hidden="0" customWidth="1"/>
    <x:col min="9489" max="9489" width="8.83203125" hidden="0" customWidth="1"/>
    <x:col min="9490" max="9490" width="8.83203125" hidden="0" customWidth="1"/>
    <x:col min="9491" max="9491" width="8.83203125" hidden="0" customWidth="1"/>
    <x:col min="9492" max="9492" width="8.83203125" hidden="0" customWidth="1"/>
    <x:col min="9493" max="9493" width="8.83203125" hidden="0" customWidth="1"/>
    <x:col min="9494" max="9494" width="8.83203125" hidden="0" customWidth="1"/>
    <x:col min="9495" max="9495" width="8.83203125" hidden="0" customWidth="1"/>
    <x:col min="9496" max="9496" width="8.83203125" hidden="0" customWidth="1"/>
    <x:col min="9497" max="9497" width="8.83203125" hidden="0" customWidth="1"/>
    <x:col min="9498" max="9498" width="8.83203125" hidden="0" customWidth="1"/>
    <x:col min="9499" max="9499" width="8.83203125" hidden="0" customWidth="1"/>
    <x:col min="9500" max="9500" width="8.83203125" hidden="0" customWidth="1"/>
    <x:col min="9501" max="9501" width="8.83203125" hidden="0" customWidth="1"/>
    <x:col min="9502" max="9502" width="8.83203125" hidden="0" customWidth="1"/>
    <x:col min="9503" max="9503" width="8.83203125" hidden="0" customWidth="1"/>
    <x:col min="9504" max="9504" width="8.83203125" hidden="0" customWidth="1"/>
    <x:col min="9505" max="9505" width="8.83203125" hidden="0" customWidth="1"/>
    <x:col min="9506" max="9506" width="8.83203125" hidden="0" customWidth="1"/>
    <x:col min="9507" max="9507" width="8.83203125" hidden="0" customWidth="1"/>
    <x:col min="9508" max="9508" width="8.83203125" hidden="0" customWidth="1"/>
    <x:col min="9509" max="9509" width="8.83203125" hidden="0" customWidth="1"/>
    <x:col min="9510" max="9510" width="8.83203125" hidden="0" customWidth="1"/>
    <x:col min="9511" max="9511" width="8.83203125" hidden="0" customWidth="1"/>
    <x:col min="9512" max="9512" width="8.83203125" hidden="0" customWidth="1"/>
    <x:col min="9513" max="9513" width="8.83203125" hidden="0" customWidth="1"/>
    <x:col min="9514" max="9514" width="8.83203125" hidden="0" customWidth="1"/>
    <x:col min="9515" max="9515" width="8.83203125" hidden="0" customWidth="1"/>
    <x:col min="9516" max="9516" width="8.83203125" hidden="0" customWidth="1"/>
    <x:col min="9517" max="9517" width="8.83203125" hidden="0" customWidth="1"/>
    <x:col min="9518" max="9518" width="8.83203125" hidden="0" customWidth="1"/>
    <x:col min="9519" max="9519" width="8.83203125" hidden="0" customWidth="1"/>
    <x:col min="9520" max="9520" width="8.83203125" hidden="0" customWidth="1"/>
    <x:col min="9521" max="9521" width="8.83203125" hidden="0" customWidth="1"/>
    <x:col min="9522" max="9522" width="8.83203125" hidden="0" customWidth="1"/>
    <x:col min="9523" max="9523" width="8.83203125" hidden="0" customWidth="1"/>
    <x:col min="9524" max="9524" width="8.83203125" hidden="0" customWidth="1"/>
    <x:col min="9525" max="9525" width="8.83203125" hidden="0" customWidth="1"/>
    <x:col min="9526" max="9526" width="8.83203125" hidden="0" customWidth="1"/>
    <x:col min="9527" max="9527" width="8.83203125" hidden="0" customWidth="1"/>
    <x:col min="9528" max="9528" width="8.83203125" hidden="0" customWidth="1"/>
    <x:col min="9529" max="9529" width="8.83203125" hidden="0" customWidth="1"/>
    <x:col min="9530" max="9530" width="8.83203125" hidden="0" customWidth="1"/>
    <x:col min="9531" max="9531" width="8.83203125" hidden="0" customWidth="1"/>
    <x:col min="9532" max="9532" width="8.83203125" hidden="0" customWidth="1"/>
    <x:col min="9533" max="9533" width="8.83203125" hidden="0" customWidth="1"/>
    <x:col min="9534" max="9534" width="8.83203125" hidden="0" customWidth="1"/>
    <x:col min="9535" max="9535" width="8.83203125" hidden="0" customWidth="1"/>
    <x:col min="9536" max="9536" width="8.83203125" hidden="0" customWidth="1"/>
    <x:col min="9537" max="9537" width="8.83203125" hidden="0" customWidth="1"/>
    <x:col min="9538" max="9538" width="8.83203125" hidden="0" customWidth="1"/>
    <x:col min="9539" max="9539" width="8.83203125" hidden="0" customWidth="1"/>
    <x:col min="9540" max="9540" width="8.83203125" hidden="0" customWidth="1"/>
    <x:col min="9541" max="9541" width="8.83203125" hidden="0" customWidth="1"/>
    <x:col min="9542" max="9542" width="8.83203125" hidden="0" customWidth="1"/>
    <x:col min="9543" max="9543" width="8.83203125" hidden="0" customWidth="1"/>
    <x:col min="9544" max="9544" width="8.83203125" hidden="0" customWidth="1"/>
    <x:col min="9545" max="9545" width="8.83203125" hidden="0" customWidth="1"/>
    <x:col min="9546" max="9546" width="8.83203125" hidden="0" customWidth="1"/>
    <x:col min="9547" max="9547" width="8.83203125" hidden="0" customWidth="1"/>
    <x:col min="9548" max="9548" width="8.83203125" hidden="0" customWidth="1"/>
    <x:col min="9549" max="9549" width="8.83203125" hidden="0" customWidth="1"/>
    <x:col min="9550" max="9550" width="8.83203125" hidden="0" customWidth="1"/>
    <x:col min="9551" max="9551" width="8.83203125" hidden="0" customWidth="1"/>
    <x:col min="9552" max="9552" width="8.83203125" hidden="0" customWidth="1"/>
    <x:col min="9553" max="9553" width="8.83203125" hidden="0" customWidth="1"/>
    <x:col min="9554" max="9554" width="8.83203125" hidden="0" customWidth="1"/>
    <x:col min="9555" max="9555" width="8.83203125" hidden="0" customWidth="1"/>
    <x:col min="9556" max="9556" width="8.83203125" hidden="0" customWidth="1"/>
    <x:col min="9557" max="9557" width="8.83203125" hidden="0" customWidth="1"/>
    <x:col min="9558" max="9558" width="8.83203125" hidden="0" customWidth="1"/>
    <x:col min="9559" max="9559" width="8.83203125" hidden="0" customWidth="1"/>
    <x:col min="9560" max="9560" width="8.83203125" hidden="0" customWidth="1"/>
    <x:col min="9561" max="9561" width="8.83203125" hidden="0" customWidth="1"/>
    <x:col min="9562" max="9562" width="8.83203125" hidden="0" customWidth="1"/>
    <x:col min="9563" max="9563" width="8.83203125" hidden="0" customWidth="1"/>
    <x:col min="9564" max="9564" width="8.83203125" hidden="0" customWidth="1"/>
    <x:col min="9565" max="9565" width="8.83203125" hidden="0" customWidth="1"/>
    <x:col min="9566" max="9566" width="8.83203125" hidden="0" customWidth="1"/>
    <x:col min="9567" max="9567" width="8.83203125" hidden="0" customWidth="1"/>
    <x:col min="9568" max="9568" width="8.83203125" hidden="0" customWidth="1"/>
    <x:col min="9569" max="9569" width="8.83203125" hidden="0" customWidth="1"/>
    <x:col min="9570" max="9570" width="8.83203125" hidden="0" customWidth="1"/>
    <x:col min="9571" max="9571" width="8.83203125" hidden="0" customWidth="1"/>
    <x:col min="9572" max="9572" width="8.83203125" hidden="0" customWidth="1"/>
    <x:col min="9573" max="9573" width="8.83203125" hidden="0" customWidth="1"/>
    <x:col min="9574" max="9574" width="8.83203125" hidden="0" customWidth="1"/>
    <x:col min="9575" max="9575" width="8.83203125" hidden="0" customWidth="1"/>
    <x:col min="9576" max="9576" width="8.83203125" hidden="0" customWidth="1"/>
    <x:col min="9577" max="9577" width="8.83203125" hidden="0" customWidth="1"/>
    <x:col min="9578" max="9578" width="8.83203125" hidden="0" customWidth="1"/>
    <x:col min="9579" max="9579" width="8.83203125" hidden="0" customWidth="1"/>
    <x:col min="9580" max="9580" width="8.83203125" hidden="0" customWidth="1"/>
    <x:col min="9581" max="9581" width="8.83203125" hidden="0" customWidth="1"/>
    <x:col min="9582" max="9582" width="8.83203125" hidden="0" customWidth="1"/>
    <x:col min="9583" max="9583" width="8.83203125" hidden="0" customWidth="1"/>
    <x:col min="9584" max="9584" width="8.83203125" hidden="0" customWidth="1"/>
    <x:col min="9585" max="9585" width="8.83203125" hidden="0" customWidth="1"/>
    <x:col min="9586" max="9586" width="8.83203125" hidden="0" customWidth="1"/>
    <x:col min="9587" max="9587" width="8.83203125" hidden="0" customWidth="1"/>
    <x:col min="9588" max="9588" width="8.83203125" hidden="0" customWidth="1"/>
    <x:col min="9589" max="9589" width="8.83203125" hidden="0" customWidth="1"/>
    <x:col min="9590" max="9590" width="8.83203125" hidden="0" customWidth="1"/>
    <x:col min="9591" max="9591" width="8.83203125" hidden="0" customWidth="1"/>
    <x:col min="9592" max="9592" width="8.83203125" hidden="0" customWidth="1"/>
    <x:col min="9593" max="9593" width="8.83203125" hidden="0" customWidth="1"/>
    <x:col min="9594" max="9594" width="8.83203125" hidden="0" customWidth="1"/>
    <x:col min="9595" max="9595" width="8.83203125" hidden="0" customWidth="1"/>
    <x:col min="9596" max="9596" width="8.83203125" hidden="0" customWidth="1"/>
    <x:col min="9597" max="9597" width="8.83203125" hidden="0" customWidth="1"/>
    <x:col min="9598" max="9598" width="8.83203125" hidden="0" customWidth="1"/>
    <x:col min="9599" max="9599" width="8.83203125" hidden="0" customWidth="1"/>
    <x:col min="9600" max="9600" width="8.83203125" hidden="0" customWidth="1"/>
    <x:col min="9601" max="9601" width="8.83203125" hidden="0" customWidth="1"/>
    <x:col min="9602" max="9602" width="8.83203125" hidden="0" customWidth="1"/>
    <x:col min="9603" max="9603" width="8.83203125" hidden="0" customWidth="1"/>
    <x:col min="9604" max="9604" width="8.83203125" hidden="0" customWidth="1"/>
    <x:col min="9605" max="9605" width="8.83203125" hidden="0" customWidth="1"/>
    <x:col min="9606" max="9606" width="8.83203125" hidden="0" customWidth="1"/>
    <x:col min="9607" max="9607" width="8.83203125" hidden="0" customWidth="1"/>
    <x:col min="9608" max="9608" width="8.83203125" hidden="0" customWidth="1"/>
    <x:col min="9609" max="9609" width="8.83203125" hidden="0" customWidth="1"/>
    <x:col min="9610" max="9610" width="8.83203125" hidden="0" customWidth="1"/>
    <x:col min="9611" max="9611" width="8.83203125" hidden="0" customWidth="1"/>
    <x:col min="9612" max="9612" width="8.83203125" hidden="0" customWidth="1"/>
    <x:col min="9613" max="9613" width="8.83203125" hidden="0" customWidth="1"/>
    <x:col min="9614" max="9614" width="8.83203125" hidden="0" customWidth="1"/>
    <x:col min="9615" max="9615" width="8.83203125" hidden="0" customWidth="1"/>
    <x:col min="9616" max="9616" width="8.83203125" hidden="0" customWidth="1"/>
    <x:col min="9617" max="9617" width="8.83203125" hidden="0" customWidth="1"/>
    <x:col min="9618" max="9618" width="8.83203125" hidden="0" customWidth="1"/>
    <x:col min="9619" max="9619" width="8.83203125" hidden="0" customWidth="1"/>
    <x:col min="9620" max="9620" width="8.83203125" hidden="0" customWidth="1"/>
    <x:col min="9621" max="9621" width="8.83203125" hidden="0" customWidth="1"/>
    <x:col min="9622" max="9622" width="8.83203125" hidden="0" customWidth="1"/>
    <x:col min="9623" max="9623" width="8.83203125" hidden="0" customWidth="1"/>
    <x:col min="9624" max="9624" width="8.83203125" hidden="0" customWidth="1"/>
    <x:col min="9625" max="9625" width="8.83203125" hidden="0" customWidth="1"/>
    <x:col min="9626" max="9626" width="8.83203125" hidden="0" customWidth="1"/>
    <x:col min="9627" max="9627" width="8.83203125" hidden="0" customWidth="1"/>
    <x:col min="9628" max="9628" width="8.83203125" hidden="0" customWidth="1"/>
    <x:col min="9629" max="9629" width="8.83203125" hidden="0" customWidth="1"/>
    <x:col min="9630" max="9630" width="8.83203125" hidden="0" customWidth="1"/>
    <x:col min="9631" max="9631" width="8.83203125" hidden="0" customWidth="1"/>
    <x:col min="9632" max="9632" width="8.83203125" hidden="0" customWidth="1"/>
    <x:col min="9633" max="9633" width="8.83203125" hidden="0" customWidth="1"/>
    <x:col min="9634" max="9634" width="8.83203125" hidden="0" customWidth="1"/>
    <x:col min="9635" max="9635" width="8.83203125" hidden="0" customWidth="1"/>
    <x:col min="9636" max="9636" width="8.83203125" hidden="0" customWidth="1"/>
    <x:col min="9637" max="9637" width="8.83203125" hidden="0" customWidth="1"/>
    <x:col min="9638" max="9638" width="8.83203125" hidden="0" customWidth="1"/>
    <x:col min="9639" max="9639" width="8.83203125" hidden="0" customWidth="1"/>
    <x:col min="9640" max="9640" width="8.83203125" hidden="0" customWidth="1"/>
    <x:col min="9641" max="9641" width="8.83203125" hidden="0" customWidth="1"/>
    <x:col min="9642" max="9642" width="8.83203125" hidden="0" customWidth="1"/>
    <x:col min="9643" max="9643" width="8.83203125" hidden="0" customWidth="1"/>
    <x:col min="9644" max="9644" width="8.83203125" hidden="0" customWidth="1"/>
    <x:col min="9645" max="9645" width="8.83203125" hidden="0" customWidth="1"/>
    <x:col min="9646" max="9646" width="8.83203125" hidden="0" customWidth="1"/>
    <x:col min="9647" max="9647" width="8.83203125" hidden="0" customWidth="1"/>
    <x:col min="9648" max="9648" width="8.83203125" hidden="0" customWidth="1"/>
    <x:col min="9649" max="9649" width="8.83203125" hidden="0" customWidth="1"/>
    <x:col min="9650" max="9650" width="8.83203125" hidden="0" customWidth="1"/>
    <x:col min="9651" max="9651" width="8.83203125" hidden="0" customWidth="1"/>
    <x:col min="9652" max="9652" width="8.83203125" hidden="0" customWidth="1"/>
    <x:col min="9653" max="9653" width="8.83203125" hidden="0" customWidth="1"/>
    <x:col min="9654" max="9654" width="8.83203125" hidden="0" customWidth="1"/>
    <x:col min="9655" max="9655" width="8.83203125" hidden="0" customWidth="1"/>
    <x:col min="9656" max="9656" width="8.83203125" hidden="0" customWidth="1"/>
    <x:col min="9657" max="9657" width="8.83203125" hidden="0" customWidth="1"/>
    <x:col min="9658" max="9658" width="8.83203125" hidden="0" customWidth="1"/>
    <x:col min="9659" max="9659" width="8.83203125" hidden="0" customWidth="1"/>
    <x:col min="9660" max="9660" width="8.83203125" hidden="0" customWidth="1"/>
    <x:col min="9661" max="9661" width="8.83203125" hidden="0" customWidth="1"/>
    <x:col min="9662" max="9662" width="8.83203125" hidden="0" customWidth="1"/>
    <x:col min="9663" max="9663" width="8.83203125" hidden="0" customWidth="1"/>
    <x:col min="9664" max="9664" width="8.83203125" hidden="0" customWidth="1"/>
    <x:col min="9665" max="9665" width="8.83203125" hidden="0" customWidth="1"/>
    <x:col min="9666" max="9666" width="8.83203125" hidden="0" customWidth="1"/>
    <x:col min="9667" max="9667" width="8.83203125" hidden="0" customWidth="1"/>
    <x:col min="9668" max="9668" width="8.83203125" hidden="0" customWidth="1"/>
    <x:col min="9669" max="9669" width="8.83203125" hidden="0" customWidth="1"/>
    <x:col min="9670" max="9670" width="8.83203125" hidden="0" customWidth="1"/>
    <x:col min="9671" max="9671" width="8.83203125" hidden="0" customWidth="1"/>
    <x:col min="9672" max="9672" width="8.83203125" hidden="0" customWidth="1"/>
    <x:col min="9673" max="9673" width="8.83203125" hidden="0" customWidth="1"/>
    <x:col min="9674" max="9674" width="8.83203125" hidden="0" customWidth="1"/>
    <x:col min="9675" max="9675" width="8.83203125" hidden="0" customWidth="1"/>
    <x:col min="9676" max="9676" width="8.83203125" hidden="0" customWidth="1"/>
    <x:col min="9677" max="9677" width="8.83203125" hidden="0" customWidth="1"/>
    <x:col min="9678" max="9678" width="8.83203125" hidden="0" customWidth="1"/>
    <x:col min="9679" max="9679" width="8.83203125" hidden="0" customWidth="1"/>
    <x:col min="9680" max="9680" width="8.83203125" hidden="0" customWidth="1"/>
    <x:col min="9681" max="9681" width="8.83203125" hidden="0" customWidth="1"/>
    <x:col min="9682" max="9682" width="8.83203125" hidden="0" customWidth="1"/>
    <x:col min="9683" max="9683" width="8.83203125" hidden="0" customWidth="1"/>
    <x:col min="9684" max="9684" width="8.83203125" hidden="0" customWidth="1"/>
    <x:col min="9685" max="9685" width="8.83203125" hidden="0" customWidth="1"/>
    <x:col min="9686" max="9686" width="8.83203125" hidden="0" customWidth="1"/>
    <x:col min="9687" max="9687" width="8.83203125" hidden="0" customWidth="1"/>
    <x:col min="9688" max="9688" width="8.83203125" hidden="0" customWidth="1"/>
    <x:col min="9689" max="9689" width="8.83203125" hidden="0" customWidth="1"/>
    <x:col min="9690" max="9690" width="8.83203125" hidden="0" customWidth="1"/>
    <x:col min="9691" max="9691" width="8.83203125" hidden="0" customWidth="1"/>
    <x:col min="9692" max="9692" width="8.83203125" hidden="0" customWidth="1"/>
    <x:col min="9693" max="9693" width="8.83203125" hidden="0" customWidth="1"/>
    <x:col min="9694" max="9694" width="8.83203125" hidden="0" customWidth="1"/>
    <x:col min="9695" max="9695" width="8.83203125" hidden="0" customWidth="1"/>
    <x:col min="9696" max="9696" width="8.83203125" hidden="0" customWidth="1"/>
    <x:col min="9697" max="9697" width="8.83203125" hidden="0" customWidth="1"/>
    <x:col min="9698" max="9698" width="8.83203125" hidden="0" customWidth="1"/>
    <x:col min="9699" max="9699" width="8.83203125" hidden="0" customWidth="1"/>
    <x:col min="9700" max="9700" width="8.83203125" hidden="0" customWidth="1"/>
    <x:col min="9701" max="9701" width="8.83203125" hidden="0" customWidth="1"/>
    <x:col min="9702" max="9702" width="8.83203125" hidden="0" customWidth="1"/>
    <x:col min="9703" max="9703" width="8.83203125" hidden="0" customWidth="1"/>
    <x:col min="9704" max="9704" width="8.83203125" hidden="0" customWidth="1"/>
    <x:col min="9705" max="9705" width="8.83203125" hidden="0" customWidth="1"/>
    <x:col min="9706" max="9706" width="8.83203125" hidden="0" customWidth="1"/>
    <x:col min="9707" max="9707" width="8.83203125" hidden="0" customWidth="1"/>
    <x:col min="9708" max="9708" width="8.83203125" hidden="0" customWidth="1"/>
    <x:col min="9709" max="9709" width="8.83203125" hidden="0" customWidth="1"/>
    <x:col min="9710" max="9710" width="8.83203125" hidden="0" customWidth="1"/>
    <x:col min="9711" max="9711" width="8.83203125" hidden="0" customWidth="1"/>
    <x:col min="9712" max="9712" width="8.83203125" hidden="0" customWidth="1"/>
    <x:col min="9713" max="9713" width="8.83203125" hidden="0" customWidth="1"/>
    <x:col min="9714" max="9714" width="8.83203125" hidden="0" customWidth="1"/>
    <x:col min="9715" max="9715" width="8.83203125" hidden="0" customWidth="1"/>
    <x:col min="9716" max="9716" width="8.83203125" hidden="0" customWidth="1"/>
    <x:col min="9717" max="9717" width="8.83203125" hidden="0" customWidth="1"/>
    <x:col min="9718" max="9718" width="8.83203125" hidden="0" customWidth="1"/>
    <x:col min="9719" max="9719" width="8.83203125" hidden="0" customWidth="1"/>
    <x:col min="9720" max="9720" width="8.83203125" hidden="0" customWidth="1"/>
    <x:col min="9721" max="9721" width="8.83203125" hidden="0" customWidth="1"/>
    <x:col min="9722" max="9722" width="8.83203125" hidden="0" customWidth="1"/>
    <x:col min="9723" max="9723" width="8.83203125" hidden="0" customWidth="1"/>
    <x:col min="9724" max="9724" width="8.83203125" hidden="0" customWidth="1"/>
    <x:col min="9725" max="9725" width="8.83203125" hidden="0" customWidth="1"/>
    <x:col min="9726" max="9726" width="8.83203125" hidden="0" customWidth="1"/>
    <x:col min="9727" max="9727" width="8.83203125" hidden="0" customWidth="1"/>
    <x:col min="9728" max="9728" width="8.83203125" hidden="0" customWidth="1"/>
    <x:col min="9729" max="9729" width="8.83203125" hidden="0" customWidth="1"/>
    <x:col min="9730" max="9730" width="8.83203125" hidden="0" customWidth="1"/>
    <x:col min="9731" max="9731" width="8.83203125" hidden="0" customWidth="1"/>
    <x:col min="9732" max="9732" width="8.83203125" hidden="0" customWidth="1"/>
    <x:col min="9733" max="9733" width="8.83203125" hidden="0" customWidth="1"/>
    <x:col min="9734" max="9734" width="8.83203125" hidden="0" customWidth="1"/>
    <x:col min="9735" max="9735" width="8.83203125" hidden="0" customWidth="1"/>
    <x:col min="9736" max="9736" width="8.83203125" hidden="0" customWidth="1"/>
    <x:col min="9737" max="9737" width="8.83203125" hidden="0" customWidth="1"/>
    <x:col min="9738" max="9738" width="8.83203125" hidden="0" customWidth="1"/>
    <x:col min="9739" max="9739" width="8.83203125" hidden="0" customWidth="1"/>
    <x:col min="9740" max="9740" width="8.83203125" hidden="0" customWidth="1"/>
    <x:col min="9741" max="9741" width="8.83203125" hidden="0" customWidth="1"/>
    <x:col min="9742" max="9742" width="8.83203125" hidden="0" customWidth="1"/>
    <x:col min="9743" max="9743" width="8.83203125" hidden="0" customWidth="1"/>
    <x:col min="9744" max="9744" width="8.83203125" hidden="0" customWidth="1"/>
    <x:col min="9745" max="9745" width="8.83203125" hidden="0" customWidth="1"/>
    <x:col min="9746" max="9746" width="8.83203125" hidden="0" customWidth="1"/>
    <x:col min="9747" max="9747" width="8.83203125" hidden="0" customWidth="1"/>
    <x:col min="9748" max="9748" width="8.83203125" hidden="0" customWidth="1"/>
    <x:col min="9749" max="9749" width="8.83203125" hidden="0" customWidth="1"/>
    <x:col min="9750" max="9750" width="8.83203125" hidden="0" customWidth="1"/>
    <x:col min="9751" max="9751" width="8.83203125" hidden="0" customWidth="1"/>
    <x:col min="9752" max="9752" width="8.83203125" hidden="0" customWidth="1"/>
    <x:col min="9753" max="9753" width="8.83203125" hidden="0" customWidth="1"/>
    <x:col min="9754" max="9754" width="8.83203125" hidden="0" customWidth="1"/>
    <x:col min="9755" max="9755" width="8.83203125" hidden="0" customWidth="1"/>
    <x:col min="9756" max="9756" width="8.83203125" hidden="0" customWidth="1"/>
    <x:col min="9757" max="9757" width="8.83203125" hidden="0" customWidth="1"/>
    <x:col min="9758" max="9758" width="8.83203125" hidden="0" customWidth="1"/>
    <x:col min="9759" max="9759" width="8.83203125" hidden="0" customWidth="1"/>
    <x:col min="9760" max="9760" width="8.83203125" hidden="0" customWidth="1"/>
    <x:col min="9761" max="9761" width="8.83203125" hidden="0" customWidth="1"/>
    <x:col min="9762" max="9762" width="8.83203125" hidden="0" customWidth="1"/>
    <x:col min="9763" max="9763" width="8.83203125" hidden="0" customWidth="1"/>
    <x:col min="9764" max="9764" width="8.83203125" hidden="0" customWidth="1"/>
    <x:col min="9765" max="9765" width="8.83203125" hidden="0" customWidth="1"/>
    <x:col min="9766" max="9766" width="8.83203125" hidden="0" customWidth="1"/>
    <x:col min="9767" max="9767" width="8.83203125" hidden="0" customWidth="1"/>
    <x:col min="9768" max="9768" width="8.83203125" hidden="0" customWidth="1"/>
    <x:col min="9769" max="9769" width="8.83203125" hidden="0" customWidth="1"/>
    <x:col min="9770" max="9770" width="8.83203125" hidden="0" customWidth="1"/>
    <x:col min="9771" max="9771" width="8.83203125" hidden="0" customWidth="1"/>
    <x:col min="9772" max="9772" width="8.83203125" hidden="0" customWidth="1"/>
    <x:col min="9773" max="9773" width="8.83203125" hidden="0" customWidth="1"/>
    <x:col min="9774" max="9774" width="8.83203125" hidden="0" customWidth="1"/>
    <x:col min="9775" max="9775" width="8.83203125" hidden="0" customWidth="1"/>
    <x:col min="9776" max="9776" width="8.83203125" hidden="0" customWidth="1"/>
    <x:col min="9777" max="9777" width="8.83203125" hidden="0" customWidth="1"/>
    <x:col min="9778" max="9778" width="8.83203125" hidden="0" customWidth="1"/>
    <x:col min="9779" max="9779" width="8.83203125" hidden="0" customWidth="1"/>
    <x:col min="9780" max="9780" width="8.83203125" hidden="0" customWidth="1"/>
    <x:col min="9781" max="9781" width="8.83203125" hidden="0" customWidth="1"/>
    <x:col min="9782" max="9782" width="8.83203125" hidden="0" customWidth="1"/>
    <x:col min="9783" max="9783" width="8.83203125" hidden="0" customWidth="1"/>
    <x:col min="9784" max="9784" width="8.83203125" hidden="0" customWidth="1"/>
    <x:col min="9785" max="9785" width="8.83203125" hidden="0" customWidth="1"/>
    <x:col min="9786" max="9786" width="8.83203125" hidden="0" customWidth="1"/>
    <x:col min="9787" max="9787" width="8.83203125" hidden="0" customWidth="1"/>
    <x:col min="9788" max="9788" width="8.83203125" hidden="0" customWidth="1"/>
    <x:col min="9789" max="9789" width="8.83203125" hidden="0" customWidth="1"/>
    <x:col min="9790" max="9790" width="8.83203125" hidden="0" customWidth="1"/>
    <x:col min="9791" max="9791" width="8.83203125" hidden="0" customWidth="1"/>
    <x:col min="9792" max="9792" width="8.83203125" hidden="0" customWidth="1"/>
    <x:col min="9793" max="9793" width="8.83203125" hidden="0" customWidth="1"/>
    <x:col min="9794" max="9794" width="8.83203125" hidden="0" customWidth="1"/>
    <x:col min="9795" max="9795" width="8.83203125" hidden="0" customWidth="1"/>
    <x:col min="9796" max="9796" width="8.83203125" hidden="0" customWidth="1"/>
    <x:col min="9797" max="9797" width="8.83203125" hidden="0" customWidth="1"/>
    <x:col min="9798" max="9798" width="8.83203125" hidden="0" customWidth="1"/>
    <x:col min="9799" max="9799" width="8.83203125" hidden="0" customWidth="1"/>
    <x:col min="9800" max="9800" width="8.83203125" hidden="0" customWidth="1"/>
    <x:col min="9801" max="9801" width="8.83203125" hidden="0" customWidth="1"/>
    <x:col min="9802" max="9802" width="8.83203125" hidden="0" customWidth="1"/>
    <x:col min="9803" max="9803" width="8.83203125" hidden="0" customWidth="1"/>
    <x:col min="9804" max="9804" width="8.83203125" hidden="0" customWidth="1"/>
    <x:col min="9805" max="9805" width="8.83203125" hidden="0" customWidth="1"/>
    <x:col min="9806" max="9806" width="8.83203125" hidden="0" customWidth="1"/>
    <x:col min="9807" max="9807" width="8.83203125" hidden="0" customWidth="1"/>
    <x:col min="9808" max="9808" width="8.83203125" hidden="0" customWidth="1"/>
    <x:col min="9809" max="9809" width="8.83203125" hidden="0" customWidth="1"/>
    <x:col min="9810" max="9810" width="8.83203125" hidden="0" customWidth="1"/>
    <x:col min="9811" max="9811" width="8.83203125" hidden="0" customWidth="1"/>
    <x:col min="9812" max="9812" width="8.83203125" hidden="0" customWidth="1"/>
    <x:col min="9813" max="9813" width="8.83203125" hidden="0" customWidth="1"/>
    <x:col min="9814" max="9814" width="8.83203125" hidden="0" customWidth="1"/>
    <x:col min="9815" max="9815" width="8.83203125" hidden="0" customWidth="1"/>
    <x:col min="9816" max="9816" width="8.83203125" hidden="0" customWidth="1"/>
    <x:col min="9817" max="9817" width="8.83203125" hidden="0" customWidth="1"/>
    <x:col min="9818" max="9818" width="8.83203125" hidden="0" customWidth="1"/>
    <x:col min="9819" max="9819" width="8.83203125" hidden="0" customWidth="1"/>
    <x:col min="9820" max="9820" width="8.83203125" hidden="0" customWidth="1"/>
    <x:col min="9821" max="9821" width="8.83203125" hidden="0" customWidth="1"/>
    <x:col min="9822" max="9822" width="8.83203125" hidden="0" customWidth="1"/>
    <x:col min="9823" max="9823" width="8.83203125" hidden="0" customWidth="1"/>
    <x:col min="9824" max="9824" width="8.83203125" hidden="0" customWidth="1"/>
    <x:col min="9825" max="9825" width="8.83203125" hidden="0" customWidth="1"/>
    <x:col min="9826" max="9826" width="8.83203125" hidden="0" customWidth="1"/>
    <x:col min="9827" max="9827" width="8.83203125" hidden="0" customWidth="1"/>
    <x:col min="9828" max="9828" width="8.83203125" hidden="0" customWidth="1"/>
    <x:col min="9829" max="9829" width="8.83203125" hidden="0" customWidth="1"/>
    <x:col min="9830" max="9830" width="8.83203125" hidden="0" customWidth="1"/>
    <x:col min="9831" max="9831" width="8.83203125" hidden="0" customWidth="1"/>
    <x:col min="9832" max="9832" width="8.83203125" hidden="0" customWidth="1"/>
    <x:col min="9833" max="9833" width="8.83203125" hidden="0" customWidth="1"/>
    <x:col min="9834" max="9834" width="8.83203125" hidden="0" customWidth="1"/>
    <x:col min="9835" max="9835" width="8.83203125" hidden="0" customWidth="1"/>
    <x:col min="9836" max="9836" width="8.83203125" hidden="0" customWidth="1"/>
    <x:col min="9837" max="9837" width="8.83203125" hidden="0" customWidth="1"/>
    <x:col min="9838" max="9838" width="8.83203125" hidden="0" customWidth="1"/>
    <x:col min="9839" max="9839" width="8.83203125" hidden="0" customWidth="1"/>
    <x:col min="9840" max="9840" width="8.83203125" hidden="0" customWidth="1"/>
    <x:col min="9841" max="9841" width="8.83203125" hidden="0" customWidth="1"/>
    <x:col min="9842" max="9842" width="8.83203125" hidden="0" customWidth="1"/>
    <x:col min="9843" max="9843" width="8.83203125" hidden="0" customWidth="1"/>
    <x:col min="9844" max="9844" width="8.83203125" hidden="0" customWidth="1"/>
    <x:col min="9845" max="9845" width="8.83203125" hidden="0" customWidth="1"/>
    <x:col min="9846" max="9846" width="8.83203125" hidden="0" customWidth="1"/>
    <x:col min="9847" max="9847" width="8.83203125" hidden="0" customWidth="1"/>
    <x:col min="9848" max="9848" width="8.83203125" hidden="0" customWidth="1"/>
    <x:col min="9849" max="9849" width="8.83203125" hidden="0" customWidth="1"/>
    <x:col min="9850" max="9850" width="8.83203125" hidden="0" customWidth="1"/>
    <x:col min="9851" max="9851" width="8.83203125" hidden="0" customWidth="1"/>
    <x:col min="9852" max="9852" width="8.83203125" hidden="0" customWidth="1"/>
    <x:col min="9853" max="9853" width="8.83203125" hidden="0" customWidth="1"/>
    <x:col min="9854" max="9854" width="8.83203125" hidden="0" customWidth="1"/>
    <x:col min="9855" max="9855" width="8.83203125" hidden="0" customWidth="1"/>
    <x:col min="9856" max="9856" width="8.83203125" hidden="0" customWidth="1"/>
    <x:col min="9857" max="9857" width="8.83203125" hidden="0" customWidth="1"/>
    <x:col min="9858" max="9858" width="8.83203125" hidden="0" customWidth="1"/>
    <x:col min="9859" max="9859" width="8.83203125" hidden="0" customWidth="1"/>
    <x:col min="9860" max="9860" width="8.83203125" hidden="0" customWidth="1"/>
    <x:col min="9861" max="9861" width="8.83203125" hidden="0" customWidth="1"/>
    <x:col min="9862" max="9862" width="8.83203125" hidden="0" customWidth="1"/>
    <x:col min="9863" max="9863" width="8.83203125" hidden="0" customWidth="1"/>
    <x:col min="9864" max="9864" width="8.83203125" hidden="0" customWidth="1"/>
    <x:col min="9865" max="9865" width="8.83203125" hidden="0" customWidth="1"/>
    <x:col min="9866" max="9866" width="8.83203125" hidden="0" customWidth="1"/>
    <x:col min="9867" max="9867" width="8.83203125" hidden="0" customWidth="1"/>
    <x:col min="9868" max="9868" width="8.83203125" hidden="0" customWidth="1"/>
    <x:col min="9869" max="9869" width="8.83203125" hidden="0" customWidth="1"/>
    <x:col min="9870" max="9870" width="8.83203125" hidden="0" customWidth="1"/>
    <x:col min="9871" max="9871" width="8.83203125" hidden="0" customWidth="1"/>
    <x:col min="9872" max="9872" width="8.83203125" hidden="0" customWidth="1"/>
    <x:col min="9873" max="9873" width="8.83203125" hidden="0" customWidth="1"/>
    <x:col min="9874" max="9874" width="8.83203125" hidden="0" customWidth="1"/>
    <x:col min="9875" max="9875" width="8.83203125" hidden="0" customWidth="1"/>
    <x:col min="9876" max="9876" width="8.83203125" hidden="0" customWidth="1"/>
    <x:col min="9877" max="9877" width="8.83203125" hidden="0" customWidth="1"/>
    <x:col min="9878" max="9878" width="8.83203125" hidden="0" customWidth="1"/>
    <x:col min="9879" max="9879" width="8.83203125" hidden="0" customWidth="1"/>
    <x:col min="9880" max="9880" width="8.83203125" hidden="0" customWidth="1"/>
    <x:col min="9881" max="9881" width="8.83203125" hidden="0" customWidth="1"/>
    <x:col min="9882" max="9882" width="8.83203125" hidden="0" customWidth="1"/>
    <x:col min="9883" max="9883" width="8.83203125" hidden="0" customWidth="1"/>
    <x:col min="9884" max="9884" width="8.83203125" hidden="0" customWidth="1"/>
    <x:col min="9885" max="9885" width="8.83203125" hidden="0" customWidth="1"/>
    <x:col min="9886" max="9886" width="8.83203125" hidden="0" customWidth="1"/>
    <x:col min="9887" max="9887" width="8.83203125" hidden="0" customWidth="1"/>
    <x:col min="9888" max="9888" width="8.83203125" hidden="0" customWidth="1"/>
    <x:col min="9889" max="9889" width="8.83203125" hidden="0" customWidth="1"/>
    <x:col min="9890" max="9890" width="8.83203125" hidden="0" customWidth="1"/>
    <x:col min="9891" max="9891" width="8.83203125" hidden="0" customWidth="1"/>
    <x:col min="9892" max="9892" width="8.83203125" hidden="0" customWidth="1"/>
    <x:col min="9893" max="9893" width="8.83203125" hidden="0" customWidth="1"/>
    <x:col min="9894" max="9894" width="8.83203125" hidden="0" customWidth="1"/>
    <x:col min="9895" max="9895" width="8.83203125" hidden="0" customWidth="1"/>
    <x:col min="9896" max="9896" width="8.83203125" hidden="0" customWidth="1"/>
    <x:col min="9897" max="9897" width="8.83203125" hidden="0" customWidth="1"/>
    <x:col min="9898" max="9898" width="8.83203125" hidden="0" customWidth="1"/>
    <x:col min="9899" max="9899" width="8.83203125" hidden="0" customWidth="1"/>
    <x:col min="9900" max="9900" width="8.83203125" hidden="0" customWidth="1"/>
    <x:col min="9901" max="9901" width="8.83203125" hidden="0" customWidth="1"/>
    <x:col min="9902" max="9902" width="8.83203125" hidden="0" customWidth="1"/>
    <x:col min="9903" max="9903" width="8.83203125" hidden="0" customWidth="1"/>
    <x:col min="9904" max="9904" width="8.83203125" hidden="0" customWidth="1"/>
    <x:col min="9905" max="9905" width="8.83203125" hidden="0" customWidth="1"/>
    <x:col min="9906" max="9906" width="8.83203125" hidden="0" customWidth="1"/>
    <x:col min="9907" max="9907" width="8.83203125" hidden="0" customWidth="1"/>
    <x:col min="9908" max="9908" width="8.83203125" hidden="0" customWidth="1"/>
    <x:col min="9909" max="9909" width="8.83203125" hidden="0" customWidth="1"/>
    <x:col min="9910" max="9910" width="8.83203125" hidden="0" customWidth="1"/>
    <x:col min="9911" max="9911" width="8.83203125" hidden="0" customWidth="1"/>
    <x:col min="9912" max="9912" width="8.83203125" hidden="0" customWidth="1"/>
    <x:col min="9913" max="9913" width="8.83203125" hidden="0" customWidth="1"/>
    <x:col min="9914" max="9914" width="8.83203125" hidden="0" customWidth="1"/>
    <x:col min="9915" max="9915" width="8.83203125" hidden="0" customWidth="1"/>
    <x:col min="9916" max="9916" width="8.83203125" hidden="0" customWidth="1"/>
    <x:col min="9917" max="9917" width="8.83203125" hidden="0" customWidth="1"/>
    <x:col min="9918" max="9918" width="8.83203125" hidden="0" customWidth="1"/>
    <x:col min="9919" max="9919" width="8.83203125" hidden="0" customWidth="1"/>
    <x:col min="9920" max="9920" width="8.83203125" hidden="0" customWidth="1"/>
    <x:col min="9921" max="9921" width="8.83203125" hidden="0" customWidth="1"/>
    <x:col min="9922" max="9922" width="8.83203125" hidden="0" customWidth="1"/>
    <x:col min="9923" max="9923" width="8.83203125" hidden="0" customWidth="1"/>
    <x:col min="9924" max="9924" width="8.83203125" hidden="0" customWidth="1"/>
    <x:col min="9925" max="9925" width="8.83203125" hidden="0" customWidth="1"/>
    <x:col min="9926" max="9926" width="8.83203125" hidden="0" customWidth="1"/>
    <x:col min="9927" max="9927" width="8.83203125" hidden="0" customWidth="1"/>
    <x:col min="9928" max="9928" width="8.83203125" hidden="0" customWidth="1"/>
    <x:col min="9929" max="9929" width="8.83203125" hidden="0" customWidth="1"/>
    <x:col min="9930" max="9930" width="8.83203125" hidden="0" customWidth="1"/>
    <x:col min="9931" max="9931" width="8.83203125" hidden="0" customWidth="1"/>
    <x:col min="9932" max="9932" width="8.83203125" hidden="0" customWidth="1"/>
    <x:col min="9933" max="9933" width="8.83203125" hidden="0" customWidth="1"/>
    <x:col min="9934" max="9934" width="8.83203125" hidden="0" customWidth="1"/>
    <x:col min="9935" max="9935" width="8.83203125" hidden="0" customWidth="1"/>
    <x:col min="9936" max="9936" width="8.83203125" hidden="0" customWidth="1"/>
    <x:col min="9937" max="9937" width="8.83203125" hidden="0" customWidth="1"/>
    <x:col min="9938" max="9938" width="8.83203125" hidden="0" customWidth="1"/>
    <x:col min="9939" max="9939" width="8.83203125" hidden="0" customWidth="1"/>
    <x:col min="9940" max="9940" width="8.83203125" hidden="0" customWidth="1"/>
    <x:col min="9941" max="9941" width="8.83203125" hidden="0" customWidth="1"/>
    <x:col min="9942" max="9942" width="8.83203125" hidden="0" customWidth="1"/>
    <x:col min="9943" max="9943" width="8.83203125" hidden="0" customWidth="1"/>
    <x:col min="9944" max="9944" width="8.83203125" hidden="0" customWidth="1"/>
    <x:col min="9945" max="9945" width="8.83203125" hidden="0" customWidth="1"/>
    <x:col min="9946" max="9946" width="8.83203125" hidden="0" customWidth="1"/>
    <x:col min="9947" max="9947" width="8.83203125" hidden="0" customWidth="1"/>
    <x:col min="9948" max="9948" width="8.83203125" hidden="0" customWidth="1"/>
    <x:col min="9949" max="9949" width="8.83203125" hidden="0" customWidth="1"/>
    <x:col min="9950" max="9950" width="8.83203125" hidden="0" customWidth="1"/>
    <x:col min="9951" max="9951" width="8.83203125" hidden="0" customWidth="1"/>
    <x:col min="9952" max="9952" width="8.83203125" hidden="0" customWidth="1"/>
    <x:col min="9953" max="9953" width="8.83203125" hidden="0" customWidth="1"/>
    <x:col min="9954" max="9954" width="8.83203125" hidden="0" customWidth="1"/>
    <x:col min="9955" max="9955" width="8.83203125" hidden="0" customWidth="1"/>
    <x:col min="9956" max="9956" width="8.83203125" hidden="0" customWidth="1"/>
    <x:col min="9957" max="9957" width="8.83203125" hidden="0" customWidth="1"/>
    <x:col min="9958" max="9958" width="8.83203125" hidden="0" customWidth="1"/>
    <x:col min="9959" max="9959" width="8.83203125" hidden="0" customWidth="1"/>
    <x:col min="9960" max="9960" width="8.83203125" hidden="0" customWidth="1"/>
    <x:col min="9961" max="9961" width="8.83203125" hidden="0" customWidth="1"/>
    <x:col min="9962" max="9962" width="8.83203125" hidden="0" customWidth="1"/>
    <x:col min="9963" max="9963" width="8.83203125" hidden="0" customWidth="1"/>
    <x:col min="9964" max="9964" width="8.83203125" hidden="0" customWidth="1"/>
    <x:col min="9965" max="9965" width="8.83203125" hidden="0" customWidth="1"/>
    <x:col min="9966" max="9966" width="8.83203125" hidden="0" customWidth="1"/>
    <x:col min="9967" max="9967" width="8.83203125" hidden="0" customWidth="1"/>
    <x:col min="9968" max="9968" width="8.83203125" hidden="0" customWidth="1"/>
    <x:col min="9969" max="9969" width="8.83203125" hidden="0" customWidth="1"/>
    <x:col min="9970" max="9970" width="8.83203125" hidden="0" customWidth="1"/>
    <x:col min="9971" max="9971" width="8.83203125" hidden="0" customWidth="1"/>
    <x:col min="9972" max="9972" width="8.83203125" hidden="0" customWidth="1"/>
    <x:col min="9973" max="9973" width="8.83203125" hidden="0" customWidth="1"/>
    <x:col min="9974" max="9974" width="8.83203125" hidden="0" customWidth="1"/>
    <x:col min="9975" max="9975" width="8.83203125" hidden="0" customWidth="1"/>
    <x:col min="9976" max="9976" width="8.83203125" hidden="0" customWidth="1"/>
    <x:col min="9977" max="9977" width="8.83203125" hidden="0" customWidth="1"/>
    <x:col min="9978" max="9978" width="8.83203125" hidden="0" customWidth="1"/>
    <x:col min="9979" max="9979" width="8.83203125" hidden="0" customWidth="1"/>
    <x:col min="9980" max="9980" width="8.83203125" hidden="0" customWidth="1"/>
    <x:col min="9981" max="9981" width="8.83203125" hidden="0" customWidth="1"/>
    <x:col min="9982" max="9982" width="8.83203125" hidden="0" customWidth="1"/>
    <x:col min="9983" max="9983" width="8.83203125" hidden="0" customWidth="1"/>
    <x:col min="9984" max="9984" width="8.83203125" hidden="0" customWidth="1"/>
    <x:col min="9985" max="9985" width="8.83203125" hidden="0" customWidth="1"/>
    <x:col min="9986" max="9986" width="8.83203125" hidden="0" customWidth="1"/>
    <x:col min="9987" max="9987" width="8.83203125" hidden="0" customWidth="1"/>
    <x:col min="9988" max="9988" width="8.83203125" hidden="0" customWidth="1"/>
    <x:col min="9989" max="9989" width="8.83203125" hidden="0" customWidth="1"/>
    <x:col min="9990" max="9990" width="8.83203125" hidden="0" customWidth="1"/>
    <x:col min="9991" max="9991" width="8.83203125" hidden="0" customWidth="1"/>
    <x:col min="9992" max="9992" width="8.83203125" hidden="0" customWidth="1"/>
    <x:col min="9993" max="9993" width="8.83203125" hidden="0" customWidth="1"/>
    <x:col min="9994" max="9994" width="8.83203125" hidden="0" customWidth="1"/>
    <x:col min="9995" max="9995" width="8.83203125" hidden="0" customWidth="1"/>
    <x:col min="9996" max="9996" width="8.83203125" hidden="0" customWidth="1"/>
    <x:col min="9997" max="9997" width="8.83203125" hidden="0" customWidth="1"/>
    <x:col min="9998" max="9998" width="8.83203125" hidden="0" customWidth="1"/>
    <x:col min="9999" max="9999" width="8.83203125" hidden="0" customWidth="1"/>
    <x:col min="10000" max="10000" width="8.83203125" hidden="0" customWidth="1"/>
    <x:col min="10001" max="10001" width="8.83203125" hidden="0" customWidth="1"/>
    <x:col min="10002" max="10002" width="8.83203125" hidden="0" customWidth="1"/>
    <x:col min="10003" max="10003" width="8.83203125" hidden="0" customWidth="1"/>
    <x:col min="10004" max="10004" width="8.83203125" hidden="0" customWidth="1"/>
    <x:col min="10005" max="10005" width="8.83203125" hidden="0" customWidth="1"/>
    <x:col min="10006" max="10006" width="8.83203125" hidden="0" customWidth="1"/>
    <x:col min="10007" max="10007" width="8.83203125" hidden="0" customWidth="1"/>
    <x:col min="10008" max="10008" width="8.83203125" hidden="0" customWidth="1"/>
    <x:col min="10009" max="10009" width="8.83203125" hidden="0" customWidth="1"/>
    <x:col min="10010" max="10010" width="8.83203125" hidden="0" customWidth="1"/>
    <x:col min="10011" max="10011" width="8.83203125" hidden="0" customWidth="1"/>
    <x:col min="10012" max="10012" width="8.83203125" hidden="0" customWidth="1"/>
    <x:col min="10013" max="10013" width="8.83203125" hidden="0" customWidth="1"/>
    <x:col min="10014" max="10014" width="8.83203125" hidden="0" customWidth="1"/>
    <x:col min="10015" max="10015" width="8.83203125" hidden="0" customWidth="1"/>
    <x:col min="10016" max="10016" width="8.83203125" hidden="0" customWidth="1"/>
    <x:col min="10017" max="10017" width="8.83203125" hidden="0" customWidth="1"/>
    <x:col min="10018" max="10018" width="8.83203125" hidden="0" customWidth="1"/>
    <x:col min="10019" max="10019" width="8.83203125" hidden="0" customWidth="1"/>
    <x:col min="10020" max="10020" width="8.83203125" hidden="0" customWidth="1"/>
    <x:col min="10021" max="10021" width="8.83203125" hidden="0" customWidth="1"/>
    <x:col min="10022" max="10022" width="8.83203125" hidden="0" customWidth="1"/>
    <x:col min="10023" max="10023" width="8.83203125" hidden="0" customWidth="1"/>
    <x:col min="10024" max="10024" width="8.83203125" hidden="0" customWidth="1"/>
    <x:col min="10025" max="10025" width="8.83203125" hidden="0" customWidth="1"/>
    <x:col min="10026" max="10026" width="8.83203125" hidden="0" customWidth="1"/>
    <x:col min="10027" max="10027" width="8.83203125" hidden="0" customWidth="1"/>
    <x:col min="10028" max="10028" width="8.83203125" hidden="0" customWidth="1"/>
    <x:col min="10029" max="10029" width="8.83203125" hidden="0" customWidth="1"/>
    <x:col min="10030" max="10030" width="8.83203125" hidden="0" customWidth="1"/>
    <x:col min="10031" max="10031" width="8.83203125" hidden="0" customWidth="1"/>
    <x:col min="10032" max="10032" width="8.83203125" hidden="0" customWidth="1"/>
    <x:col min="10033" max="10033" width="8.83203125" hidden="0" customWidth="1"/>
    <x:col min="10034" max="10034" width="8.83203125" hidden="0" customWidth="1"/>
    <x:col min="10035" max="10035" width="8.83203125" hidden="0" customWidth="1"/>
    <x:col min="10036" max="10036" width="8.83203125" hidden="0" customWidth="1"/>
    <x:col min="10037" max="10037" width="8.83203125" hidden="0" customWidth="1"/>
    <x:col min="10038" max="10038" width="8.83203125" hidden="0" customWidth="1"/>
    <x:col min="10039" max="10039" width="8.83203125" hidden="0" customWidth="1"/>
    <x:col min="10040" max="10040" width="8.83203125" hidden="0" customWidth="1"/>
    <x:col min="10041" max="10041" width="8.83203125" hidden="0" customWidth="1"/>
    <x:col min="10042" max="10042" width="8.83203125" hidden="0" customWidth="1"/>
    <x:col min="10043" max="10043" width="8.83203125" hidden="0" customWidth="1"/>
    <x:col min="10044" max="10044" width="8.83203125" hidden="0" customWidth="1"/>
    <x:col min="10045" max="10045" width="8.83203125" hidden="0" customWidth="1"/>
    <x:col min="10046" max="10046" width="8.83203125" hidden="0" customWidth="1"/>
    <x:col min="10047" max="10047" width="8.83203125" hidden="0" customWidth="1"/>
    <x:col min="10048" max="10048" width="8.83203125" hidden="0" customWidth="1"/>
    <x:col min="10049" max="10049" width="8.83203125" hidden="0" customWidth="1"/>
    <x:col min="10050" max="10050" width="8.83203125" hidden="0" customWidth="1"/>
    <x:col min="10051" max="10051" width="8.83203125" hidden="0" customWidth="1"/>
    <x:col min="10052" max="10052" width="8.83203125" hidden="0" customWidth="1"/>
    <x:col min="10053" max="10053" width="8.83203125" hidden="0" customWidth="1"/>
    <x:col min="10054" max="10054" width="8.83203125" hidden="0" customWidth="1"/>
    <x:col min="10055" max="10055" width="8.83203125" hidden="0" customWidth="1"/>
    <x:col min="10056" max="10056" width="8.83203125" hidden="0" customWidth="1"/>
    <x:col min="10057" max="10057" width="8.83203125" hidden="0" customWidth="1"/>
    <x:col min="10058" max="10058" width="8.83203125" hidden="0" customWidth="1"/>
    <x:col min="10059" max="10059" width="8.83203125" hidden="0" customWidth="1"/>
    <x:col min="10060" max="10060" width="8.83203125" hidden="0" customWidth="1"/>
    <x:col min="10061" max="10061" width="8.83203125" hidden="0" customWidth="1"/>
    <x:col min="10062" max="10062" width="8.83203125" hidden="0" customWidth="1"/>
    <x:col min="10063" max="10063" width="8.83203125" hidden="0" customWidth="1"/>
    <x:col min="10064" max="10064" width="8.83203125" hidden="0" customWidth="1"/>
    <x:col min="10065" max="10065" width="8.83203125" hidden="0" customWidth="1"/>
    <x:col min="10066" max="10066" width="8.83203125" hidden="0" customWidth="1"/>
    <x:col min="10067" max="10067" width="8.83203125" hidden="0" customWidth="1"/>
    <x:col min="10068" max="10068" width="8.83203125" hidden="0" customWidth="1"/>
    <x:col min="10069" max="10069" width="8.83203125" hidden="0" customWidth="1"/>
    <x:col min="10070" max="10070" width="8.83203125" hidden="0" customWidth="1"/>
    <x:col min="10071" max="10071" width="8.83203125" hidden="0" customWidth="1"/>
    <x:col min="10072" max="10072" width="8.83203125" hidden="0" customWidth="1"/>
    <x:col min="10073" max="10073" width="8.83203125" hidden="0" customWidth="1"/>
    <x:col min="10074" max="10074" width="8.83203125" hidden="0" customWidth="1"/>
    <x:col min="10075" max="10075" width="8.83203125" hidden="0" customWidth="1"/>
    <x:col min="10076" max="10076" width="8.83203125" hidden="0" customWidth="1"/>
    <x:col min="10077" max="10077" width="8.83203125" hidden="0" customWidth="1"/>
    <x:col min="10078" max="10078" width="8.83203125" hidden="0" customWidth="1"/>
    <x:col min="10079" max="10079" width="8.83203125" hidden="0" customWidth="1"/>
    <x:col min="10080" max="10080" width="8.83203125" hidden="0" customWidth="1"/>
    <x:col min="10081" max="10081" width="8.83203125" hidden="0" customWidth="1"/>
    <x:col min="10082" max="10082" width="8.83203125" hidden="0" customWidth="1"/>
    <x:col min="10083" max="10083" width="8.83203125" hidden="0" customWidth="1"/>
    <x:col min="10084" max="10084" width="8.83203125" hidden="0" customWidth="1"/>
    <x:col min="10085" max="10085" width="8.83203125" hidden="0" customWidth="1"/>
    <x:col min="10086" max="10086" width="8.83203125" hidden="0" customWidth="1"/>
    <x:col min="10087" max="10087" width="8.83203125" hidden="0" customWidth="1"/>
    <x:col min="10088" max="10088" width="8.83203125" hidden="0" customWidth="1"/>
    <x:col min="10089" max="10089" width="8.83203125" hidden="0" customWidth="1"/>
    <x:col min="10090" max="10090" width="8.83203125" hidden="0" customWidth="1"/>
    <x:col min="10091" max="10091" width="8.83203125" hidden="0" customWidth="1"/>
    <x:col min="10092" max="10092" width="8.83203125" hidden="0" customWidth="1"/>
    <x:col min="10093" max="10093" width="8.83203125" hidden="0" customWidth="1"/>
    <x:col min="10094" max="10094" width="8.83203125" hidden="0" customWidth="1"/>
    <x:col min="10095" max="10095" width="8.83203125" hidden="0" customWidth="1"/>
    <x:col min="10096" max="10096" width="8.83203125" hidden="0" customWidth="1"/>
    <x:col min="10097" max="10097" width="8.83203125" hidden="0" customWidth="1"/>
    <x:col min="10098" max="10098" width="8.83203125" hidden="0" customWidth="1"/>
    <x:col min="10099" max="10099" width="8.83203125" hidden="0" customWidth="1"/>
    <x:col min="10100" max="10100" width="8.83203125" hidden="0" customWidth="1"/>
    <x:col min="10101" max="10101" width="8.83203125" hidden="0" customWidth="1"/>
    <x:col min="10102" max="10102" width="8.83203125" hidden="0" customWidth="1"/>
    <x:col min="10103" max="10103" width="8.83203125" hidden="0" customWidth="1"/>
    <x:col min="10104" max="10104" width="8.83203125" hidden="0" customWidth="1"/>
    <x:col min="10105" max="10105" width="8.83203125" hidden="0" customWidth="1"/>
    <x:col min="10106" max="10106" width="8.83203125" hidden="0" customWidth="1"/>
    <x:col min="10107" max="10107" width="8.83203125" hidden="0" customWidth="1"/>
    <x:col min="10108" max="10108" width="8.83203125" hidden="0" customWidth="1"/>
    <x:col min="10109" max="10109" width="8.83203125" hidden="0" customWidth="1"/>
    <x:col min="10110" max="10110" width="8.83203125" hidden="0" customWidth="1"/>
    <x:col min="10111" max="10111" width="8.83203125" hidden="0" customWidth="1"/>
    <x:col min="10112" max="10112" width="8.83203125" hidden="0" customWidth="1"/>
    <x:col min="10113" max="10113" width="8.83203125" hidden="0" customWidth="1"/>
    <x:col min="10114" max="10114" width="8.83203125" hidden="0" customWidth="1"/>
    <x:col min="10115" max="10115" width="8.83203125" hidden="0" customWidth="1"/>
    <x:col min="10116" max="10116" width="8.83203125" hidden="0" customWidth="1"/>
    <x:col min="10117" max="10117" width="8.83203125" hidden="0" customWidth="1"/>
    <x:col min="10118" max="10118" width="8.83203125" hidden="0" customWidth="1"/>
    <x:col min="10119" max="10119" width="8.83203125" hidden="0" customWidth="1"/>
    <x:col min="10120" max="10120" width="8.83203125" hidden="0" customWidth="1"/>
    <x:col min="10121" max="10121" width="8.83203125" hidden="0" customWidth="1"/>
    <x:col min="10122" max="10122" width="8.83203125" hidden="0" customWidth="1"/>
    <x:col min="10123" max="10123" width="8.83203125" hidden="0" customWidth="1"/>
    <x:col min="10124" max="10124" width="8.83203125" hidden="0" customWidth="1"/>
    <x:col min="10125" max="10125" width="8.83203125" hidden="0" customWidth="1"/>
    <x:col min="10126" max="10126" width="8.83203125" hidden="0" customWidth="1"/>
    <x:col min="10127" max="10127" width="8.83203125" hidden="0" customWidth="1"/>
    <x:col min="10128" max="10128" width="8.83203125" hidden="0" customWidth="1"/>
    <x:col min="10129" max="10129" width="8.83203125" hidden="0" customWidth="1"/>
    <x:col min="10130" max="10130" width="8.83203125" hidden="0" customWidth="1"/>
    <x:col min="10131" max="10131" width="8.83203125" hidden="0" customWidth="1"/>
    <x:col min="10132" max="10132" width="8.83203125" hidden="0" customWidth="1"/>
    <x:col min="10133" max="10133" width="8.83203125" hidden="0" customWidth="1"/>
    <x:col min="10134" max="10134" width="8.83203125" hidden="0" customWidth="1"/>
    <x:col min="10135" max="10135" width="8.83203125" hidden="0" customWidth="1"/>
    <x:col min="10136" max="10136" width="8.83203125" hidden="0" customWidth="1"/>
    <x:col min="10137" max="10137" width="8.83203125" hidden="0" customWidth="1"/>
    <x:col min="10138" max="10138" width="8.83203125" hidden="0" customWidth="1"/>
    <x:col min="10139" max="10139" width="8.83203125" hidden="0" customWidth="1"/>
    <x:col min="10140" max="10140" width="8.83203125" hidden="0" customWidth="1"/>
    <x:col min="10141" max="10141" width="8.83203125" hidden="0" customWidth="1"/>
    <x:col min="10142" max="10142" width="8.83203125" hidden="0" customWidth="1"/>
    <x:col min="10143" max="10143" width="8.83203125" hidden="0" customWidth="1"/>
    <x:col min="10144" max="10144" width="8.83203125" hidden="0" customWidth="1"/>
    <x:col min="10145" max="10145" width="8.83203125" hidden="0" customWidth="1"/>
    <x:col min="10146" max="10146" width="8.83203125" hidden="0" customWidth="1"/>
    <x:col min="10147" max="10147" width="8.83203125" hidden="0" customWidth="1"/>
    <x:col min="10148" max="10148" width="8.83203125" hidden="0" customWidth="1"/>
    <x:col min="10149" max="10149" width="8.83203125" hidden="0" customWidth="1"/>
    <x:col min="10150" max="10150" width="8.83203125" hidden="0" customWidth="1"/>
    <x:col min="10151" max="10151" width="8.83203125" hidden="0" customWidth="1"/>
    <x:col min="10152" max="10152" width="8.83203125" hidden="0" customWidth="1"/>
    <x:col min="10153" max="10153" width="8.83203125" hidden="0" customWidth="1"/>
    <x:col min="10154" max="10154" width="8.83203125" hidden="0" customWidth="1"/>
    <x:col min="10155" max="10155" width="8.83203125" hidden="0" customWidth="1"/>
    <x:col min="10156" max="10156" width="8.83203125" hidden="0" customWidth="1"/>
    <x:col min="10157" max="10157" width="8.83203125" hidden="0" customWidth="1"/>
    <x:col min="10158" max="10158" width="8.83203125" hidden="0" customWidth="1"/>
    <x:col min="10159" max="10159" width="8.83203125" hidden="0" customWidth="1"/>
    <x:col min="10160" max="10160" width="8.83203125" hidden="0" customWidth="1"/>
    <x:col min="10161" max="10161" width="8.83203125" hidden="0" customWidth="1"/>
    <x:col min="10162" max="10162" width="8.83203125" hidden="0" customWidth="1"/>
    <x:col min="10163" max="10163" width="8.83203125" hidden="0" customWidth="1"/>
    <x:col min="10164" max="10164" width="8.83203125" hidden="0" customWidth="1"/>
    <x:col min="10165" max="10165" width="8.83203125" hidden="0" customWidth="1"/>
    <x:col min="10166" max="10166" width="8.83203125" hidden="0" customWidth="1"/>
    <x:col min="10167" max="10167" width="8.83203125" hidden="0" customWidth="1"/>
    <x:col min="10168" max="10168" width="8.83203125" hidden="0" customWidth="1"/>
    <x:col min="10169" max="10169" width="8.83203125" hidden="0" customWidth="1"/>
    <x:col min="10170" max="10170" width="8.83203125" hidden="0" customWidth="1"/>
    <x:col min="10171" max="10171" width="8.83203125" hidden="0" customWidth="1"/>
    <x:col min="10172" max="10172" width="8.83203125" hidden="0" customWidth="1"/>
    <x:col min="10173" max="10173" width="8.83203125" hidden="0" customWidth="1"/>
    <x:col min="10174" max="10174" width="8.83203125" hidden="0" customWidth="1"/>
    <x:col min="10175" max="10175" width="8.83203125" hidden="0" customWidth="1"/>
    <x:col min="10176" max="10176" width="8.83203125" hidden="0" customWidth="1"/>
    <x:col min="10177" max="10177" width="8.83203125" hidden="0" customWidth="1"/>
    <x:col min="10178" max="10178" width="8.83203125" hidden="0" customWidth="1"/>
    <x:col min="10179" max="10179" width="8.83203125" hidden="0" customWidth="1"/>
    <x:col min="10180" max="10180" width="8.83203125" hidden="0" customWidth="1"/>
    <x:col min="10181" max="10181" width="8.83203125" hidden="0" customWidth="1"/>
    <x:col min="10182" max="10182" width="8.83203125" hidden="0" customWidth="1"/>
    <x:col min="10183" max="10183" width="8.83203125" hidden="0" customWidth="1"/>
    <x:col min="10184" max="10184" width="8.83203125" hidden="0" customWidth="1"/>
    <x:col min="10185" max="10185" width="8.83203125" hidden="0" customWidth="1"/>
    <x:col min="10186" max="10186" width="8.83203125" hidden="0" customWidth="1"/>
    <x:col min="10187" max="10187" width="8.83203125" hidden="0" customWidth="1"/>
    <x:col min="10188" max="10188" width="8.83203125" hidden="0" customWidth="1"/>
    <x:col min="10189" max="10189" width="8.83203125" hidden="0" customWidth="1"/>
    <x:col min="10190" max="10190" width="8.83203125" hidden="0" customWidth="1"/>
    <x:col min="10191" max="10191" width="8.83203125" hidden="0" customWidth="1"/>
    <x:col min="10192" max="10192" width="8.83203125" hidden="0" customWidth="1"/>
    <x:col min="10193" max="10193" width="8.83203125" hidden="0" customWidth="1"/>
    <x:col min="10194" max="10194" width="8.83203125" hidden="0" customWidth="1"/>
    <x:col min="10195" max="10195" width="8.83203125" hidden="0" customWidth="1"/>
    <x:col min="10196" max="10196" width="8.83203125" hidden="0" customWidth="1"/>
    <x:col min="10197" max="10197" width="8.83203125" hidden="0" customWidth="1"/>
    <x:col min="10198" max="10198" width="8.83203125" hidden="0" customWidth="1"/>
    <x:col min="10199" max="10199" width="8.83203125" hidden="0" customWidth="1"/>
    <x:col min="10200" max="10200" width="8.83203125" hidden="0" customWidth="1"/>
    <x:col min="10201" max="10201" width="8.83203125" hidden="0" customWidth="1"/>
    <x:col min="10202" max="10202" width="8.83203125" hidden="0" customWidth="1"/>
    <x:col min="10203" max="10203" width="8.83203125" hidden="0" customWidth="1"/>
    <x:col min="10204" max="10204" width="8.83203125" hidden="0" customWidth="1"/>
    <x:col min="10205" max="10205" width="8.83203125" hidden="0" customWidth="1"/>
    <x:col min="10206" max="10206" width="8.83203125" hidden="0" customWidth="1"/>
    <x:col min="10207" max="10207" width="8.83203125" hidden="0" customWidth="1"/>
    <x:col min="10208" max="10208" width="8.83203125" hidden="0" customWidth="1"/>
    <x:col min="10209" max="10209" width="8.83203125" hidden="0" customWidth="1"/>
    <x:col min="10210" max="10210" width="8.83203125" hidden="0" customWidth="1"/>
    <x:col min="10211" max="10211" width="8.83203125" hidden="0" customWidth="1"/>
    <x:col min="10212" max="10212" width="8.83203125" hidden="0" customWidth="1"/>
    <x:col min="10213" max="10213" width="8.83203125" hidden="0" customWidth="1"/>
    <x:col min="10214" max="10214" width="8.83203125" hidden="0" customWidth="1"/>
    <x:col min="10215" max="10215" width="8.83203125" hidden="0" customWidth="1"/>
    <x:col min="10216" max="10216" width="8.83203125" hidden="0" customWidth="1"/>
    <x:col min="10217" max="10217" width="8.83203125" hidden="0" customWidth="1"/>
    <x:col min="10218" max="10218" width="8.83203125" hidden="0" customWidth="1"/>
    <x:col min="10219" max="10219" width="8.83203125" hidden="0" customWidth="1"/>
    <x:col min="10220" max="10220" width="8.83203125" hidden="0" customWidth="1"/>
    <x:col min="10221" max="10221" width="8.83203125" hidden="0" customWidth="1"/>
    <x:col min="10222" max="10222" width="8.83203125" hidden="0" customWidth="1"/>
    <x:col min="10223" max="10223" width="8.83203125" hidden="0" customWidth="1"/>
    <x:col min="10224" max="10224" width="8.83203125" hidden="0" customWidth="1"/>
    <x:col min="10225" max="10225" width="8.83203125" hidden="0" customWidth="1"/>
    <x:col min="10226" max="10226" width="8.83203125" hidden="0" customWidth="1"/>
    <x:col min="10227" max="10227" width="8.83203125" hidden="0" customWidth="1"/>
    <x:col min="10228" max="10228" width="8.83203125" hidden="0" customWidth="1"/>
    <x:col min="10229" max="10229" width="8.83203125" hidden="0" customWidth="1"/>
    <x:col min="10230" max="10230" width="8.83203125" hidden="0" customWidth="1"/>
    <x:col min="10231" max="10231" width="8.83203125" hidden="0" customWidth="1"/>
    <x:col min="10232" max="10232" width="8.83203125" hidden="0" customWidth="1"/>
    <x:col min="10233" max="10233" width="8.83203125" hidden="0" customWidth="1"/>
    <x:col min="10234" max="10234" width="8.83203125" hidden="0" customWidth="1"/>
    <x:col min="10235" max="10235" width="8.83203125" hidden="0" customWidth="1"/>
    <x:col min="10236" max="10236" width="8.83203125" hidden="0" customWidth="1"/>
    <x:col min="10237" max="10237" width="8.83203125" hidden="0" customWidth="1"/>
    <x:col min="10238" max="10238" width="8.83203125" hidden="0" customWidth="1"/>
    <x:col min="10239" max="10239" width="8.83203125" hidden="0" customWidth="1"/>
    <x:col min="10240" max="10240" width="8.83203125" hidden="0" customWidth="1"/>
    <x:col min="10241" max="10241" width="8.83203125" hidden="0" customWidth="1"/>
    <x:col min="10242" max="10242" width="8.83203125" hidden="0" customWidth="1"/>
    <x:col min="10243" max="10243" width="8.83203125" hidden="0" customWidth="1"/>
    <x:col min="10244" max="10244" width="8.83203125" hidden="0" customWidth="1"/>
    <x:col min="10245" max="10245" width="8.83203125" hidden="0" customWidth="1"/>
    <x:col min="10246" max="10246" width="8.83203125" hidden="0" customWidth="1"/>
    <x:col min="10247" max="10247" width="8.83203125" hidden="0" customWidth="1"/>
    <x:col min="10248" max="10248" width="8.83203125" hidden="0" customWidth="1"/>
    <x:col min="10249" max="10249" width="8.83203125" hidden="0" customWidth="1"/>
    <x:col min="10250" max="10250" width="8.83203125" hidden="0" customWidth="1"/>
    <x:col min="10251" max="10251" width="8.83203125" hidden="0" customWidth="1"/>
    <x:col min="10252" max="10252" width="8.83203125" hidden="0" customWidth="1"/>
    <x:col min="10253" max="10253" width="8.83203125" hidden="0" customWidth="1"/>
    <x:col min="10254" max="10254" width="8.83203125" hidden="0" customWidth="1"/>
    <x:col min="10255" max="10255" width="8.83203125" hidden="0" customWidth="1"/>
    <x:col min="10256" max="10256" width="8.83203125" hidden="0" customWidth="1"/>
    <x:col min="10257" max="10257" width="8.83203125" hidden="0" customWidth="1"/>
    <x:col min="10258" max="10258" width="8.83203125" hidden="0" customWidth="1"/>
    <x:col min="10259" max="10259" width="8.83203125" hidden="0" customWidth="1"/>
    <x:col min="10260" max="10260" width="8.83203125" hidden="0" customWidth="1"/>
    <x:col min="10261" max="10261" width="8.83203125" hidden="0" customWidth="1"/>
    <x:col min="10262" max="10262" width="8.83203125" hidden="0" customWidth="1"/>
    <x:col min="10263" max="10263" width="8.83203125" hidden="0" customWidth="1"/>
    <x:col min="10264" max="10264" width="8.83203125" hidden="0" customWidth="1"/>
    <x:col min="10265" max="10265" width="8.83203125" hidden="0" customWidth="1"/>
    <x:col min="10266" max="10266" width="8.83203125" hidden="0" customWidth="1"/>
    <x:col min="10267" max="10267" width="8.83203125" hidden="0" customWidth="1"/>
    <x:col min="10268" max="10268" width="8.83203125" hidden="0" customWidth="1"/>
    <x:col min="10269" max="10269" width="8.83203125" hidden="0" customWidth="1"/>
    <x:col min="10270" max="10270" width="8.83203125" hidden="0" customWidth="1"/>
    <x:col min="10271" max="10271" width="8.83203125" hidden="0" customWidth="1"/>
    <x:col min="10272" max="10272" width="8.83203125" hidden="0" customWidth="1"/>
    <x:col min="10273" max="10273" width="8.83203125" hidden="0" customWidth="1"/>
    <x:col min="10274" max="10274" width="8.83203125" hidden="0" customWidth="1"/>
    <x:col min="10275" max="10275" width="8.83203125" hidden="0" customWidth="1"/>
    <x:col min="10276" max="10276" width="8.83203125" hidden="0" customWidth="1"/>
    <x:col min="10277" max="10277" width="8.83203125" hidden="0" customWidth="1"/>
    <x:col min="10278" max="10278" width="8.83203125" hidden="0" customWidth="1"/>
    <x:col min="10279" max="10279" width="8.83203125" hidden="0" customWidth="1"/>
    <x:col min="10280" max="10280" width="8.83203125" hidden="0" customWidth="1"/>
    <x:col min="10281" max="10281" width="8.83203125" hidden="0" customWidth="1"/>
    <x:col min="10282" max="10282" width="8.83203125" hidden="0" customWidth="1"/>
    <x:col min="10283" max="10283" width="8.83203125" hidden="0" customWidth="1"/>
    <x:col min="10284" max="10284" width="8.83203125" hidden="0" customWidth="1"/>
    <x:col min="10285" max="10285" width="8.83203125" hidden="0" customWidth="1"/>
    <x:col min="10286" max="10286" width="8.83203125" hidden="0" customWidth="1"/>
    <x:col min="10287" max="10287" width="8.83203125" hidden="0" customWidth="1"/>
    <x:col min="10288" max="10288" width="8.83203125" hidden="0" customWidth="1"/>
    <x:col min="10289" max="10289" width="8.83203125" hidden="0" customWidth="1"/>
    <x:col min="10290" max="10290" width="8.83203125" hidden="0" customWidth="1"/>
    <x:col min="10291" max="10291" width="8.83203125" hidden="0" customWidth="1"/>
    <x:col min="10292" max="10292" width="8.83203125" hidden="0" customWidth="1"/>
    <x:col min="10293" max="10293" width="8.83203125" hidden="0" customWidth="1"/>
    <x:col min="10294" max="10294" width="8.83203125" hidden="0" customWidth="1"/>
    <x:col min="10295" max="10295" width="8.83203125" hidden="0" customWidth="1"/>
    <x:col min="10296" max="10296" width="8.83203125" hidden="0" customWidth="1"/>
    <x:col min="10297" max="10297" width="8.83203125" hidden="0" customWidth="1"/>
    <x:col min="10298" max="10298" width="8.83203125" hidden="0" customWidth="1"/>
    <x:col min="10299" max="10299" width="8.83203125" hidden="0" customWidth="1"/>
    <x:col min="10300" max="10300" width="8.83203125" hidden="0" customWidth="1"/>
    <x:col min="10301" max="10301" width="8.83203125" hidden="0" customWidth="1"/>
    <x:col min="10302" max="10302" width="8.83203125" hidden="0" customWidth="1"/>
    <x:col min="10303" max="10303" width="8.83203125" hidden="0" customWidth="1"/>
    <x:col min="10304" max="10304" width="8.83203125" hidden="0" customWidth="1"/>
    <x:col min="10305" max="10305" width="8.83203125" hidden="0" customWidth="1"/>
    <x:col min="10306" max="10306" width="8.83203125" hidden="0" customWidth="1"/>
    <x:col min="10307" max="10307" width="8.83203125" hidden="0" customWidth="1"/>
    <x:col min="10308" max="10308" width="8.83203125" hidden="0" customWidth="1"/>
    <x:col min="10309" max="10309" width="8.83203125" hidden="0" customWidth="1"/>
    <x:col min="10310" max="10310" width="8.83203125" hidden="0" customWidth="1"/>
    <x:col min="10311" max="10311" width="8.83203125" hidden="0" customWidth="1"/>
    <x:col min="10312" max="10312" width="8.83203125" hidden="0" customWidth="1"/>
    <x:col min="10313" max="10313" width="8.83203125" hidden="0" customWidth="1"/>
    <x:col min="10314" max="10314" width="8.83203125" hidden="0" customWidth="1"/>
    <x:col min="10315" max="10315" width="8.83203125" hidden="0" customWidth="1"/>
    <x:col min="10316" max="10316" width="8.83203125" hidden="0" customWidth="1"/>
    <x:col min="10317" max="10317" width="8.83203125" hidden="0" customWidth="1"/>
    <x:col min="10318" max="10318" width="8.83203125" hidden="0" customWidth="1"/>
    <x:col min="10319" max="10319" width="8.83203125" hidden="0" customWidth="1"/>
    <x:col min="10320" max="10320" width="8.83203125" hidden="0" customWidth="1"/>
    <x:col min="10321" max="10321" width="8.83203125" hidden="0" customWidth="1"/>
    <x:col min="10322" max="10322" width="8.83203125" hidden="0" customWidth="1"/>
    <x:col min="10323" max="10323" width="8.83203125" hidden="0" customWidth="1"/>
    <x:col min="10324" max="10324" width="8.83203125" hidden="0" customWidth="1"/>
    <x:col min="10325" max="10325" width="8.83203125" hidden="0" customWidth="1"/>
    <x:col min="10326" max="10326" width="8.83203125" hidden="0" customWidth="1"/>
    <x:col min="10327" max="10327" width="8.83203125" hidden="0" customWidth="1"/>
    <x:col min="10328" max="10328" width="8.83203125" hidden="0" customWidth="1"/>
    <x:col min="10329" max="10329" width="8.83203125" hidden="0" customWidth="1"/>
    <x:col min="10330" max="10330" width="8.83203125" hidden="0" customWidth="1"/>
    <x:col min="10331" max="10331" width="8.83203125" hidden="0" customWidth="1"/>
    <x:col min="10332" max="10332" width="8.83203125" hidden="0" customWidth="1"/>
    <x:col min="10333" max="10333" width="8.83203125" hidden="0" customWidth="1"/>
    <x:col min="10334" max="10334" width="8.83203125" hidden="0" customWidth="1"/>
    <x:col min="10335" max="10335" width="8.83203125" hidden="0" customWidth="1"/>
    <x:col min="10336" max="10336" width="8.83203125" hidden="0" customWidth="1"/>
    <x:col min="10337" max="10337" width="8.83203125" hidden="0" customWidth="1"/>
    <x:col min="10338" max="10338" width="8.83203125" hidden="0" customWidth="1"/>
    <x:col min="10339" max="10339" width="8.83203125" hidden="0" customWidth="1"/>
    <x:col min="10340" max="10340" width="8.83203125" hidden="0" customWidth="1"/>
    <x:col min="10341" max="10341" width="8.83203125" hidden="0" customWidth="1"/>
    <x:col min="10342" max="10342" width="8.83203125" hidden="0" customWidth="1"/>
    <x:col min="10343" max="10343" width="8.83203125" hidden="0" customWidth="1"/>
    <x:col min="10344" max="10344" width="8.83203125" hidden="0" customWidth="1"/>
    <x:col min="10345" max="10345" width="8.83203125" hidden="0" customWidth="1"/>
    <x:col min="10346" max="10346" width="8.83203125" hidden="0" customWidth="1"/>
    <x:col min="10347" max="10347" width="8.83203125" hidden="0" customWidth="1"/>
    <x:col min="10348" max="10348" width="8.83203125" hidden="0" customWidth="1"/>
    <x:col min="10349" max="10349" width="8.83203125" hidden="0" customWidth="1"/>
    <x:col min="10350" max="10350" width="8.83203125" hidden="0" customWidth="1"/>
    <x:col min="10351" max="10351" width="8.83203125" hidden="0" customWidth="1"/>
    <x:col min="10352" max="10352" width="8.83203125" hidden="0" customWidth="1"/>
    <x:col min="10353" max="10353" width="8.83203125" hidden="0" customWidth="1"/>
    <x:col min="10354" max="10354" width="8.83203125" hidden="0" customWidth="1"/>
    <x:col min="10355" max="10355" width="8.83203125" hidden="0" customWidth="1"/>
    <x:col min="10356" max="10356" width="8.83203125" hidden="0" customWidth="1"/>
    <x:col min="10357" max="10357" width="8.83203125" hidden="0" customWidth="1"/>
    <x:col min="10358" max="10358" width="8.83203125" hidden="0" customWidth="1"/>
    <x:col min="10359" max="10359" width="8.83203125" hidden="0" customWidth="1"/>
    <x:col min="10360" max="10360" width="8.83203125" hidden="0" customWidth="1"/>
    <x:col min="10361" max="10361" width="8.83203125" hidden="0" customWidth="1"/>
    <x:col min="10362" max="10362" width="8.83203125" hidden="0" customWidth="1"/>
    <x:col min="10363" max="10363" width="8.83203125" hidden="0" customWidth="1"/>
    <x:col min="10364" max="10364" width="8.83203125" hidden="0" customWidth="1"/>
    <x:col min="10365" max="10365" width="8.83203125" hidden="0" customWidth="1"/>
    <x:col min="10366" max="10366" width="8.83203125" hidden="0" customWidth="1"/>
    <x:col min="10367" max="10367" width="8.83203125" hidden="0" customWidth="1"/>
    <x:col min="10368" max="10368" width="8.83203125" hidden="0" customWidth="1"/>
    <x:col min="10369" max="10369" width="8.83203125" hidden="0" customWidth="1"/>
    <x:col min="10370" max="10370" width="8.83203125" hidden="0" customWidth="1"/>
    <x:col min="10371" max="10371" width="8.83203125" hidden="0" customWidth="1"/>
    <x:col min="10372" max="10372" width="8.83203125" hidden="0" customWidth="1"/>
    <x:col min="10373" max="10373" width="8.83203125" hidden="0" customWidth="1"/>
    <x:col min="10374" max="10374" width="8.83203125" hidden="0" customWidth="1"/>
    <x:col min="10375" max="10375" width="8.83203125" hidden="0" customWidth="1"/>
    <x:col min="10376" max="10376" width="8.83203125" hidden="0" customWidth="1"/>
    <x:col min="10377" max="10377" width="8.83203125" hidden="0" customWidth="1"/>
    <x:col min="10378" max="10378" width="8.83203125" hidden="0" customWidth="1"/>
    <x:col min="10379" max="10379" width="8.83203125" hidden="0" customWidth="1"/>
    <x:col min="10380" max="10380" width="8.83203125" hidden="0" customWidth="1"/>
    <x:col min="10381" max="10381" width="8.83203125" hidden="0" customWidth="1"/>
    <x:col min="10382" max="10382" width="8.83203125" hidden="0" customWidth="1"/>
    <x:col min="10383" max="10383" width="8.83203125" hidden="0" customWidth="1"/>
    <x:col min="10384" max="10384" width="8.83203125" hidden="0" customWidth="1"/>
    <x:col min="10385" max="10385" width="8.83203125" hidden="0" customWidth="1"/>
    <x:col min="10386" max="10386" width="8.83203125" hidden="0" customWidth="1"/>
    <x:col min="10387" max="10387" width="8.83203125" hidden="0" customWidth="1"/>
    <x:col min="10388" max="10388" width="8.83203125" hidden="0" customWidth="1"/>
    <x:col min="10389" max="10389" width="8.83203125" hidden="0" customWidth="1"/>
    <x:col min="10390" max="10390" width="8.83203125" hidden="0" customWidth="1"/>
    <x:col min="10391" max="10391" width="8.83203125" hidden="0" customWidth="1"/>
    <x:col min="10392" max="10392" width="8.83203125" hidden="0" customWidth="1"/>
    <x:col min="10393" max="10393" width="8.83203125" hidden="0" customWidth="1"/>
    <x:col min="10394" max="10394" width="8.83203125" hidden="0" customWidth="1"/>
    <x:col min="10395" max="10395" width="8.83203125" hidden="0" customWidth="1"/>
    <x:col min="10396" max="10396" width="8.83203125" hidden="0" customWidth="1"/>
    <x:col min="10397" max="10397" width="8.83203125" hidden="0" customWidth="1"/>
    <x:col min="10398" max="10398" width="8.83203125" hidden="0" customWidth="1"/>
    <x:col min="10399" max="10399" width="8.83203125" hidden="0" customWidth="1"/>
    <x:col min="10400" max="10400" width="8.83203125" hidden="0" customWidth="1"/>
    <x:col min="10401" max="10401" width="8.83203125" hidden="0" customWidth="1"/>
    <x:col min="10402" max="10402" width="8.83203125" hidden="0" customWidth="1"/>
    <x:col min="10403" max="10403" width="8.83203125" hidden="0" customWidth="1"/>
    <x:col min="10404" max="10404" width="8.83203125" hidden="0" customWidth="1"/>
    <x:col min="10405" max="10405" width="8.83203125" hidden="0" customWidth="1"/>
    <x:col min="10406" max="10406" width="8.83203125" hidden="0" customWidth="1"/>
    <x:col min="10407" max="10407" width="8.83203125" hidden="0" customWidth="1"/>
    <x:col min="10408" max="10408" width="8.83203125" hidden="0" customWidth="1"/>
    <x:col min="10409" max="10409" width="8.83203125" hidden="0" customWidth="1"/>
    <x:col min="10410" max="10410" width="8.83203125" hidden="0" customWidth="1"/>
    <x:col min="10411" max="10411" width="8.83203125" hidden="0" customWidth="1"/>
    <x:col min="10412" max="10412" width="8.83203125" hidden="0" customWidth="1"/>
    <x:col min="10413" max="10413" width="8.83203125" hidden="0" customWidth="1"/>
    <x:col min="10414" max="10414" width="8.83203125" hidden="0" customWidth="1"/>
    <x:col min="10415" max="10415" width="8.83203125" hidden="0" customWidth="1"/>
    <x:col min="10416" max="10416" width="8.83203125" hidden="0" customWidth="1"/>
    <x:col min="10417" max="10417" width="8.83203125" hidden="0" customWidth="1"/>
    <x:col min="10418" max="10418" width="8.83203125" hidden="0" customWidth="1"/>
    <x:col min="10419" max="10419" width="8.83203125" hidden="0" customWidth="1"/>
    <x:col min="10420" max="10420" width="8.83203125" hidden="0" customWidth="1"/>
    <x:col min="10421" max="10421" width="8.83203125" hidden="0" customWidth="1"/>
    <x:col min="10422" max="10422" width="8.83203125" hidden="0" customWidth="1"/>
    <x:col min="10423" max="10423" width="8.83203125" hidden="0" customWidth="1"/>
    <x:col min="10424" max="10424" width="8.83203125" hidden="0" customWidth="1"/>
    <x:col min="10425" max="10425" width="8.83203125" hidden="0" customWidth="1"/>
    <x:col min="10426" max="10426" width="8.83203125" hidden="0" customWidth="1"/>
    <x:col min="10427" max="10427" width="8.83203125" hidden="0" customWidth="1"/>
    <x:col min="10428" max="10428" width="8.83203125" hidden="0" customWidth="1"/>
    <x:col min="10429" max="10429" width="8.83203125" hidden="0" customWidth="1"/>
    <x:col min="10430" max="10430" width="8.83203125" hidden="0" customWidth="1"/>
    <x:col min="10431" max="10431" width="8.83203125" hidden="0" customWidth="1"/>
    <x:col min="10432" max="10432" width="8.83203125" hidden="0" customWidth="1"/>
    <x:col min="10433" max="10433" width="8.83203125" hidden="0" customWidth="1"/>
    <x:col min="10434" max="10434" width="8.83203125" hidden="0" customWidth="1"/>
    <x:col min="10435" max="10435" width="8.83203125" hidden="0" customWidth="1"/>
    <x:col min="10436" max="10436" width="8.83203125" hidden="0" customWidth="1"/>
    <x:col min="10437" max="10437" width="8.83203125" hidden="0" customWidth="1"/>
    <x:col min="10438" max="10438" width="8.83203125" hidden="0" customWidth="1"/>
    <x:col min="10439" max="10439" width="8.83203125" hidden="0" customWidth="1"/>
    <x:col min="10440" max="10440" width="8.83203125" hidden="0" customWidth="1"/>
    <x:col min="10441" max="10441" width="8.83203125" hidden="0" customWidth="1"/>
    <x:col min="10442" max="10442" width="8.83203125" hidden="0" customWidth="1"/>
    <x:col min="10443" max="10443" width="8.83203125" hidden="0" customWidth="1"/>
    <x:col min="10444" max="10444" width="8.83203125" hidden="0" customWidth="1"/>
    <x:col min="10445" max="10445" width="8.83203125" hidden="0" customWidth="1"/>
    <x:col min="10446" max="10446" width="8.83203125" hidden="0" customWidth="1"/>
    <x:col min="10447" max="10447" width="8.83203125" hidden="0" customWidth="1"/>
    <x:col min="10448" max="10448" width="8.83203125" hidden="0" customWidth="1"/>
    <x:col min="10449" max="10449" width="8.83203125" hidden="0" customWidth="1"/>
    <x:col min="10450" max="10450" width="8.83203125" hidden="0" customWidth="1"/>
    <x:col min="10451" max="10451" width="8.83203125" hidden="0" customWidth="1"/>
    <x:col min="10452" max="10452" width="8.83203125" hidden="0" customWidth="1"/>
    <x:col min="10453" max="10453" width="8.83203125" hidden="0" customWidth="1"/>
    <x:col min="10454" max="10454" width="8.83203125" hidden="0" customWidth="1"/>
    <x:col min="10455" max="10455" width="8.83203125" hidden="0" customWidth="1"/>
    <x:col min="10456" max="10456" width="8.83203125" hidden="0" customWidth="1"/>
    <x:col min="10457" max="10457" width="8.83203125" hidden="0" customWidth="1"/>
    <x:col min="10458" max="10458" width="8.83203125" hidden="0" customWidth="1"/>
    <x:col min="10459" max="10459" width="8.83203125" hidden="0" customWidth="1"/>
    <x:col min="10460" max="10460" width="8.83203125" hidden="0" customWidth="1"/>
    <x:col min="10461" max="10461" width="8.83203125" hidden="0" customWidth="1"/>
    <x:col min="10462" max="10462" width="8.83203125" hidden="0" customWidth="1"/>
    <x:col min="10463" max="10463" width="8.83203125" hidden="0" customWidth="1"/>
    <x:col min="10464" max="10464" width="8.83203125" hidden="0" customWidth="1"/>
    <x:col min="10465" max="10465" width="8.83203125" hidden="0" customWidth="1"/>
    <x:col min="10466" max="10466" width="8.83203125" hidden="0" customWidth="1"/>
    <x:col min="10467" max="10467" width="8.83203125" hidden="0" customWidth="1"/>
    <x:col min="10468" max="10468" width="8.83203125" hidden="0" customWidth="1"/>
    <x:col min="10469" max="10469" width="8.83203125" hidden="0" customWidth="1"/>
    <x:col min="10470" max="10470" width="8.83203125" hidden="0" customWidth="1"/>
    <x:col min="10471" max="10471" width="8.83203125" hidden="0" customWidth="1"/>
    <x:col min="10472" max="10472" width="8.83203125" hidden="0" customWidth="1"/>
    <x:col min="10473" max="10473" width="8.83203125" hidden="0" customWidth="1"/>
    <x:col min="10474" max="10474" width="8.83203125" hidden="0" customWidth="1"/>
    <x:col min="10475" max="10475" width="8.83203125" hidden="0" customWidth="1"/>
    <x:col min="10476" max="10476" width="8.83203125" hidden="0" customWidth="1"/>
    <x:col min="10477" max="10477" width="8.83203125" hidden="0" customWidth="1"/>
    <x:col min="10478" max="10478" width="8.83203125" hidden="0" customWidth="1"/>
    <x:col min="10479" max="10479" width="8.83203125" hidden="0" customWidth="1"/>
    <x:col min="10480" max="10480" width="8.83203125" hidden="0" customWidth="1"/>
    <x:col min="10481" max="10481" width="8.83203125" hidden="0" customWidth="1"/>
    <x:col min="10482" max="10482" width="8.83203125" hidden="0" customWidth="1"/>
    <x:col min="10483" max="10483" width="8.83203125" hidden="0" customWidth="1"/>
    <x:col min="10484" max="10484" width="8.83203125" hidden="0" customWidth="1"/>
    <x:col min="10485" max="10485" width="8.83203125" hidden="0" customWidth="1"/>
    <x:col min="10486" max="10486" width="8.83203125" hidden="0" customWidth="1"/>
    <x:col min="10487" max="10487" width="8.83203125" hidden="0" customWidth="1"/>
    <x:col min="10488" max="10488" width="8.83203125" hidden="0" customWidth="1"/>
    <x:col min="10489" max="10489" width="8.83203125" hidden="0" customWidth="1"/>
    <x:col min="10490" max="10490" width="8.83203125" hidden="0" customWidth="1"/>
    <x:col min="10491" max="10491" width="8.83203125" hidden="0" customWidth="1"/>
    <x:col min="10492" max="10492" width="8.83203125" hidden="0" customWidth="1"/>
    <x:col min="10493" max="10493" width="8.83203125" hidden="0" customWidth="1"/>
    <x:col min="10494" max="10494" width="8.83203125" hidden="0" customWidth="1"/>
    <x:col min="10495" max="10495" width="8.83203125" hidden="0" customWidth="1"/>
    <x:col min="10496" max="10496" width="8.83203125" hidden="0" customWidth="1"/>
    <x:col min="10497" max="10497" width="8.83203125" hidden="0" customWidth="1"/>
    <x:col min="10498" max="10498" width="8.83203125" hidden="0" customWidth="1"/>
    <x:col min="10499" max="10499" width="8.83203125" hidden="0" customWidth="1"/>
    <x:col min="10500" max="10500" width="8.83203125" hidden="0" customWidth="1"/>
    <x:col min="10501" max="10501" width="8.83203125" hidden="0" customWidth="1"/>
    <x:col min="10502" max="10502" width="8.83203125" hidden="0" customWidth="1"/>
    <x:col min="10503" max="10503" width="8.83203125" hidden="0" customWidth="1"/>
    <x:col min="10504" max="10504" width="8.83203125" hidden="0" customWidth="1"/>
    <x:col min="10505" max="10505" width="8.83203125" hidden="0" customWidth="1"/>
    <x:col min="10506" max="10506" width="8.83203125" hidden="0" customWidth="1"/>
    <x:col min="10507" max="10507" width="8.83203125" hidden="0" customWidth="1"/>
    <x:col min="10508" max="10508" width="8.83203125" hidden="0" customWidth="1"/>
    <x:col min="10509" max="10509" width="8.83203125" hidden="0" customWidth="1"/>
    <x:col min="10510" max="10510" width="8.83203125" hidden="0" customWidth="1"/>
    <x:col min="10511" max="10511" width="8.83203125" hidden="0" customWidth="1"/>
    <x:col min="10512" max="10512" width="8.83203125" hidden="0" customWidth="1"/>
    <x:col min="10513" max="10513" width="8.83203125" hidden="0" customWidth="1"/>
    <x:col min="10514" max="10514" width="8.83203125" hidden="0" customWidth="1"/>
    <x:col min="10515" max="10515" width="8.83203125" hidden="0" customWidth="1"/>
    <x:col min="10516" max="10516" width="8.83203125" hidden="0" customWidth="1"/>
    <x:col min="10517" max="10517" width="8.83203125" hidden="0" customWidth="1"/>
    <x:col min="10518" max="10518" width="8.83203125" hidden="0" customWidth="1"/>
    <x:col min="10519" max="10519" width="8.83203125" hidden="0" customWidth="1"/>
    <x:col min="10520" max="10520" width="8.83203125" hidden="0" customWidth="1"/>
    <x:col min="10521" max="10521" width="8.83203125" hidden="0" customWidth="1"/>
    <x:col min="10522" max="10522" width="8.83203125" hidden="0" customWidth="1"/>
    <x:col min="10523" max="10523" width="8.83203125" hidden="0" customWidth="1"/>
    <x:col min="10524" max="10524" width="8.83203125" hidden="0" customWidth="1"/>
    <x:col min="10525" max="10525" width="8.83203125" hidden="0" customWidth="1"/>
    <x:col min="10526" max="10526" width="8.83203125" hidden="0" customWidth="1"/>
    <x:col min="10527" max="10527" width="8.83203125" hidden="0" customWidth="1"/>
    <x:col min="10528" max="10528" width="8.83203125" hidden="0" customWidth="1"/>
    <x:col min="10529" max="10529" width="8.83203125" hidden="0" customWidth="1"/>
    <x:col min="10530" max="10530" width="8.83203125" hidden="0" customWidth="1"/>
    <x:col min="10531" max="10531" width="8.83203125" hidden="0" customWidth="1"/>
    <x:col min="10532" max="10532" width="8.83203125" hidden="0" customWidth="1"/>
    <x:col min="10533" max="10533" width="8.83203125" hidden="0" customWidth="1"/>
    <x:col min="10534" max="10534" width="8.83203125" hidden="0" customWidth="1"/>
    <x:col min="10535" max="10535" width="8.83203125" hidden="0" customWidth="1"/>
    <x:col min="10536" max="10536" width="8.83203125" hidden="0" customWidth="1"/>
    <x:col min="10537" max="10537" width="8.83203125" hidden="0" customWidth="1"/>
    <x:col min="10538" max="10538" width="8.83203125" hidden="0" customWidth="1"/>
    <x:col min="10539" max="10539" width="8.83203125" hidden="0" customWidth="1"/>
    <x:col min="10540" max="10540" width="8.83203125" hidden="0" customWidth="1"/>
    <x:col min="10541" max="10541" width="8.83203125" hidden="0" customWidth="1"/>
    <x:col min="10542" max="10542" width="8.83203125" hidden="0" customWidth="1"/>
    <x:col min="10543" max="10543" width="8.83203125" hidden="0" customWidth="1"/>
    <x:col min="10544" max="10544" width="8.83203125" hidden="0" customWidth="1"/>
    <x:col min="10545" max="10545" width="8.83203125" hidden="0" customWidth="1"/>
    <x:col min="10546" max="10546" width="8.83203125" hidden="0" customWidth="1"/>
    <x:col min="10547" max="10547" width="8.83203125" hidden="0" customWidth="1"/>
    <x:col min="10548" max="10548" width="8.83203125" hidden="0" customWidth="1"/>
    <x:col min="10549" max="10549" width="8.83203125" hidden="0" customWidth="1"/>
    <x:col min="10550" max="10550" width="8.83203125" hidden="0" customWidth="1"/>
    <x:col min="10551" max="10551" width="8.83203125" hidden="0" customWidth="1"/>
    <x:col min="10552" max="10552" width="8.83203125" hidden="0" customWidth="1"/>
    <x:col min="10553" max="10553" width="8.83203125" hidden="0" customWidth="1"/>
    <x:col min="10554" max="10554" width="8.83203125" hidden="0" customWidth="1"/>
    <x:col min="10555" max="10555" width="8.83203125" hidden="0" customWidth="1"/>
    <x:col min="10556" max="10556" width="8.83203125" hidden="0" customWidth="1"/>
    <x:col min="10557" max="10557" width="8.83203125" hidden="0" customWidth="1"/>
    <x:col min="10558" max="10558" width="8.83203125" hidden="0" customWidth="1"/>
    <x:col min="10559" max="10559" width="8.83203125" hidden="0" customWidth="1"/>
    <x:col min="10560" max="10560" width="8.83203125" hidden="0" customWidth="1"/>
    <x:col min="10561" max="10561" width="8.83203125" hidden="0" customWidth="1"/>
    <x:col min="10562" max="10562" width="8.83203125" hidden="0" customWidth="1"/>
    <x:col min="10563" max="10563" width="8.83203125" hidden="0" customWidth="1"/>
    <x:col min="10564" max="10564" width="8.83203125" hidden="0" customWidth="1"/>
    <x:col min="10565" max="10565" width="8.83203125" hidden="0" customWidth="1"/>
    <x:col min="10566" max="10566" width="8.83203125" hidden="0" customWidth="1"/>
    <x:col min="10567" max="10567" width="8.83203125" hidden="0" customWidth="1"/>
    <x:col min="10568" max="10568" width="8.83203125" hidden="0" customWidth="1"/>
    <x:col min="10569" max="10569" width="8.83203125" hidden="0" customWidth="1"/>
    <x:col min="10570" max="10570" width="8.83203125" hidden="0" customWidth="1"/>
    <x:col min="10571" max="10571" width="8.83203125" hidden="0" customWidth="1"/>
    <x:col min="10572" max="10572" width="8.83203125" hidden="0" customWidth="1"/>
    <x:col min="10573" max="10573" width="8.83203125" hidden="0" customWidth="1"/>
    <x:col min="10574" max="10574" width="8.83203125" hidden="0" customWidth="1"/>
    <x:col min="10575" max="10575" width="8.83203125" hidden="0" customWidth="1"/>
    <x:col min="10576" max="10576" width="8.83203125" hidden="0" customWidth="1"/>
    <x:col min="10577" max="10577" width="8.83203125" hidden="0" customWidth="1"/>
    <x:col min="10578" max="10578" width="8.83203125" hidden="0" customWidth="1"/>
    <x:col min="10579" max="10579" width="8.83203125" hidden="0" customWidth="1"/>
    <x:col min="10580" max="10580" width="8.83203125" hidden="0" customWidth="1"/>
    <x:col min="10581" max="10581" width="8.83203125" hidden="0" customWidth="1"/>
    <x:col min="10582" max="10582" width="8.83203125" hidden="0" customWidth="1"/>
    <x:col min="10583" max="10583" width="8.83203125" hidden="0" customWidth="1"/>
    <x:col min="10584" max="10584" width="8.83203125" hidden="0" customWidth="1"/>
    <x:col min="10585" max="10585" width="8.83203125" hidden="0" customWidth="1"/>
    <x:col min="10586" max="10586" width="8.83203125" hidden="0" customWidth="1"/>
    <x:col min="10587" max="10587" width="8.83203125" hidden="0" customWidth="1"/>
    <x:col min="10588" max="10588" width="8.83203125" hidden="0" customWidth="1"/>
    <x:col min="10589" max="10589" width="8.83203125" hidden="0" customWidth="1"/>
    <x:col min="10590" max="10590" width="8.83203125" hidden="0" customWidth="1"/>
    <x:col min="10591" max="10591" width="8.83203125" hidden="0" customWidth="1"/>
    <x:col min="10592" max="10592" width="8.83203125" hidden="0" customWidth="1"/>
    <x:col min="10593" max="10593" width="8.83203125" hidden="0" customWidth="1"/>
    <x:col min="10594" max="10594" width="8.83203125" hidden="0" customWidth="1"/>
    <x:col min="10595" max="10595" width="8.83203125" hidden="0" customWidth="1"/>
    <x:col min="10596" max="10596" width="8.83203125" hidden="0" customWidth="1"/>
    <x:col min="10597" max="10597" width="8.83203125" hidden="0" customWidth="1"/>
    <x:col min="10598" max="10598" width="8.83203125" hidden="0" customWidth="1"/>
    <x:col min="10599" max="10599" width="8.83203125" hidden="0" customWidth="1"/>
    <x:col min="10600" max="10600" width="8.83203125" hidden="0" customWidth="1"/>
    <x:col min="10601" max="10601" width="8.83203125" hidden="0" customWidth="1"/>
    <x:col min="10602" max="10602" width="8.83203125" hidden="0" customWidth="1"/>
    <x:col min="10603" max="10603" width="8.83203125" hidden="0" customWidth="1"/>
    <x:col min="10604" max="10604" width="8.83203125" hidden="0" customWidth="1"/>
    <x:col min="10605" max="10605" width="8.83203125" hidden="0" customWidth="1"/>
    <x:col min="10606" max="10606" width="8.83203125" hidden="0" customWidth="1"/>
    <x:col min="10607" max="10607" width="8.83203125" hidden="0" customWidth="1"/>
    <x:col min="10608" max="10608" width="8.83203125" hidden="0" customWidth="1"/>
    <x:col min="10609" max="10609" width="8.83203125" hidden="0" customWidth="1"/>
    <x:col min="10610" max="10610" width="8.83203125" hidden="0" customWidth="1"/>
    <x:col min="10611" max="10611" width="8.83203125" hidden="0" customWidth="1"/>
    <x:col min="10612" max="10612" width="8.83203125" hidden="0" customWidth="1"/>
    <x:col min="10613" max="10613" width="8.83203125" hidden="0" customWidth="1"/>
    <x:col min="10614" max="10614" width="8.83203125" hidden="0" customWidth="1"/>
    <x:col min="10615" max="10615" width="8.83203125" hidden="0" customWidth="1"/>
    <x:col min="10616" max="10616" width="8.83203125" hidden="0" customWidth="1"/>
    <x:col min="10617" max="10617" width="8.83203125" hidden="0" customWidth="1"/>
    <x:col min="10618" max="10618" width="8.83203125" hidden="0" customWidth="1"/>
    <x:col min="10619" max="10619" width="8.83203125" hidden="0" customWidth="1"/>
    <x:col min="10620" max="10620" width="8.83203125" hidden="0" customWidth="1"/>
    <x:col min="10621" max="10621" width="8.83203125" hidden="0" customWidth="1"/>
    <x:col min="10622" max="10622" width="8.83203125" hidden="0" customWidth="1"/>
    <x:col min="10623" max="10623" width="8.83203125" hidden="0" customWidth="1"/>
    <x:col min="10624" max="10624" width="8.83203125" hidden="0" customWidth="1"/>
    <x:col min="10625" max="10625" width="8.83203125" hidden="0" customWidth="1"/>
    <x:col min="10626" max="10626" width="8.83203125" hidden="0" customWidth="1"/>
    <x:col min="10627" max="10627" width="8.83203125" hidden="0" customWidth="1"/>
    <x:col min="10628" max="10628" width="8.83203125" hidden="0" customWidth="1"/>
    <x:col min="10629" max="10629" width="8.83203125" hidden="0" customWidth="1"/>
    <x:col min="10630" max="10630" width="8.83203125" hidden="0" customWidth="1"/>
    <x:col min="10631" max="10631" width="8.83203125" hidden="0" customWidth="1"/>
    <x:col min="10632" max="10632" width="8.83203125" hidden="0" customWidth="1"/>
    <x:col min="10633" max="10633" width="8.83203125" hidden="0" customWidth="1"/>
    <x:col min="10634" max="10634" width="8.83203125" hidden="0" customWidth="1"/>
    <x:col min="10635" max="10635" width="8.83203125" hidden="0" customWidth="1"/>
    <x:col min="10636" max="10636" width="8.83203125" hidden="0" customWidth="1"/>
    <x:col min="10637" max="10637" width="8.83203125" hidden="0" customWidth="1"/>
    <x:col min="10638" max="10638" width="8.83203125" hidden="0" customWidth="1"/>
    <x:col min="10639" max="10639" width="8.83203125" hidden="0" customWidth="1"/>
    <x:col min="10640" max="10640" width="8.83203125" hidden="0" customWidth="1"/>
    <x:col min="10641" max="10641" width="8.83203125" hidden="0" customWidth="1"/>
    <x:col min="10642" max="10642" width="8.83203125" hidden="0" customWidth="1"/>
    <x:col min="10643" max="10643" width="8.83203125" hidden="0" customWidth="1"/>
    <x:col min="10644" max="10644" width="8.83203125" hidden="0" customWidth="1"/>
    <x:col min="10645" max="10645" width="8.83203125" hidden="0" customWidth="1"/>
    <x:col min="10646" max="10646" width="8.83203125" hidden="0" customWidth="1"/>
    <x:col min="10647" max="10647" width="8.83203125" hidden="0" customWidth="1"/>
    <x:col min="10648" max="10648" width="8.83203125" hidden="0" customWidth="1"/>
    <x:col min="10649" max="10649" width="8.83203125" hidden="0" customWidth="1"/>
    <x:col min="10650" max="10650" width="8.83203125" hidden="0" customWidth="1"/>
    <x:col min="10651" max="10651" width="8.83203125" hidden="0" customWidth="1"/>
    <x:col min="10652" max="10652" width="8.83203125" hidden="0" customWidth="1"/>
    <x:col min="10653" max="10653" width="8.83203125" hidden="0" customWidth="1"/>
    <x:col min="10654" max="10654" width="8.83203125" hidden="0" customWidth="1"/>
    <x:col min="10655" max="10655" width="8.83203125" hidden="0" customWidth="1"/>
    <x:col min="10656" max="10656" width="8.83203125" hidden="0" customWidth="1"/>
    <x:col min="10657" max="10657" width="8.83203125" hidden="0" customWidth="1"/>
    <x:col min="10658" max="10658" width="8.83203125" hidden="0" customWidth="1"/>
    <x:col min="10659" max="10659" width="8.83203125" hidden="0" customWidth="1"/>
    <x:col min="10660" max="10660" width="8.83203125" hidden="0" customWidth="1"/>
    <x:col min="10661" max="10661" width="8.83203125" hidden="0" customWidth="1"/>
    <x:col min="10662" max="10662" width="8.83203125" hidden="0" customWidth="1"/>
    <x:col min="10663" max="10663" width="8.83203125" hidden="0" customWidth="1"/>
    <x:col min="10664" max="10664" width="8.83203125" hidden="0" customWidth="1"/>
    <x:col min="10665" max="10665" width="8.83203125" hidden="0" customWidth="1"/>
    <x:col min="10666" max="10666" width="8.83203125" hidden="0" customWidth="1"/>
    <x:col min="10667" max="10667" width="8.83203125" hidden="0" customWidth="1"/>
    <x:col min="10668" max="10668" width="8.83203125" hidden="0" customWidth="1"/>
    <x:col min="10669" max="10669" width="8.83203125" hidden="0" customWidth="1"/>
    <x:col min="10670" max="10670" width="8.83203125" hidden="0" customWidth="1"/>
    <x:col min="10671" max="10671" width="8.83203125" hidden="0" customWidth="1"/>
    <x:col min="10672" max="10672" width="8.83203125" hidden="0" customWidth="1"/>
    <x:col min="10673" max="10673" width="8.83203125" hidden="0" customWidth="1"/>
    <x:col min="10674" max="10674" width="8.83203125" hidden="0" customWidth="1"/>
    <x:col min="10675" max="10675" width="8.83203125" hidden="0" customWidth="1"/>
    <x:col min="10676" max="10676" width="8.83203125" hidden="0" customWidth="1"/>
    <x:col min="10677" max="10677" width="8.83203125" hidden="0" customWidth="1"/>
    <x:col min="10678" max="10678" width="8.83203125" hidden="0" customWidth="1"/>
    <x:col min="10679" max="10679" width="8.83203125" hidden="0" customWidth="1"/>
    <x:col min="10680" max="10680" width="8.83203125" hidden="0" customWidth="1"/>
    <x:col min="10681" max="10681" width="8.83203125" hidden="0" customWidth="1"/>
    <x:col min="10682" max="10682" width="8.83203125" hidden="0" customWidth="1"/>
    <x:col min="10683" max="10683" width="8.83203125" hidden="0" customWidth="1"/>
    <x:col min="10684" max="10684" width="8.83203125" hidden="0" customWidth="1"/>
    <x:col min="10685" max="10685" width="8.83203125" hidden="0" customWidth="1"/>
    <x:col min="10686" max="10686" width="8.83203125" hidden="0" customWidth="1"/>
    <x:col min="10687" max="10687" width="8.83203125" hidden="0" customWidth="1"/>
    <x:col min="10688" max="10688" width="8.83203125" hidden="0" customWidth="1"/>
    <x:col min="10689" max="10689" width="8.83203125" hidden="0" customWidth="1"/>
    <x:col min="10690" max="10690" width="8.83203125" hidden="0" customWidth="1"/>
    <x:col min="10691" max="10691" width="8.83203125" hidden="0" customWidth="1"/>
    <x:col min="10692" max="10692" width="8.83203125" hidden="0" customWidth="1"/>
    <x:col min="10693" max="10693" width="8.83203125" hidden="0" customWidth="1"/>
    <x:col min="10694" max="10694" width="8.83203125" hidden="0" customWidth="1"/>
    <x:col min="10695" max="10695" width="8.83203125" hidden="0" customWidth="1"/>
    <x:col min="10696" max="10696" width="8.83203125" hidden="0" customWidth="1"/>
    <x:col min="10697" max="10697" width="8.83203125" hidden="0" customWidth="1"/>
    <x:col min="10698" max="10698" width="8.83203125" hidden="0" customWidth="1"/>
    <x:col min="10699" max="10699" width="8.83203125" hidden="0" customWidth="1"/>
    <x:col min="10700" max="10700" width="8.83203125" hidden="0" customWidth="1"/>
    <x:col min="10701" max="10701" width="8.83203125" hidden="0" customWidth="1"/>
    <x:col min="10702" max="10702" width="8.83203125" hidden="0" customWidth="1"/>
    <x:col min="10703" max="10703" width="8.83203125" hidden="0" customWidth="1"/>
    <x:col min="10704" max="10704" width="8.83203125" hidden="0" customWidth="1"/>
    <x:col min="10705" max="10705" width="8.83203125" hidden="0" customWidth="1"/>
    <x:col min="10706" max="10706" width="8.83203125" hidden="0" customWidth="1"/>
    <x:col min="10707" max="10707" width="8.83203125" hidden="0" customWidth="1"/>
    <x:col min="10708" max="10708" width="8.83203125" hidden="0" customWidth="1"/>
    <x:col min="10709" max="10709" width="8.83203125" hidden="0" customWidth="1"/>
    <x:col min="10710" max="10710" width="8.83203125" hidden="0" customWidth="1"/>
    <x:col min="10711" max="10711" width="8.83203125" hidden="0" customWidth="1"/>
    <x:col min="10712" max="10712" width="8.83203125" hidden="0" customWidth="1"/>
    <x:col min="10713" max="10713" width="8.83203125" hidden="0" customWidth="1"/>
    <x:col min="10714" max="10714" width="8.83203125" hidden="0" customWidth="1"/>
    <x:col min="10715" max="10715" width="8.83203125" hidden="0" customWidth="1"/>
    <x:col min="10716" max="10716" width="8.83203125" hidden="0" customWidth="1"/>
    <x:col min="10717" max="10717" width="8.83203125" hidden="0" customWidth="1"/>
    <x:col min="10718" max="10718" width="8.83203125" hidden="0" customWidth="1"/>
    <x:col min="10719" max="10719" width="8.83203125" hidden="0" customWidth="1"/>
    <x:col min="10720" max="10720" width="8.83203125" hidden="0" customWidth="1"/>
    <x:col min="10721" max="10721" width="8.83203125" hidden="0" customWidth="1"/>
    <x:col min="10722" max="10722" width="8.83203125" hidden="0" customWidth="1"/>
    <x:col min="10723" max="10723" width="8.83203125" hidden="0" customWidth="1"/>
    <x:col min="10724" max="10724" width="8.83203125" hidden="0" customWidth="1"/>
    <x:col min="10725" max="10725" width="8.83203125" hidden="0" customWidth="1"/>
    <x:col min="10726" max="10726" width="8.83203125" hidden="0" customWidth="1"/>
    <x:col min="10727" max="10727" width="8.83203125" hidden="0" customWidth="1"/>
    <x:col min="10728" max="10728" width="8.83203125" hidden="0" customWidth="1"/>
    <x:col min="10729" max="10729" width="8.83203125" hidden="0" customWidth="1"/>
    <x:col min="10730" max="10730" width="8.83203125" hidden="0" customWidth="1"/>
    <x:col min="10731" max="10731" width="8.83203125" hidden="0" customWidth="1"/>
    <x:col min="10732" max="10732" width="8.83203125" hidden="0" customWidth="1"/>
    <x:col min="10733" max="10733" width="8.83203125" hidden="0" customWidth="1"/>
    <x:col min="10734" max="10734" width="8.83203125" hidden="0" customWidth="1"/>
    <x:col min="10735" max="10735" width="8.83203125" hidden="0" customWidth="1"/>
    <x:col min="10736" max="10736" width="8.83203125" hidden="0" customWidth="1"/>
    <x:col min="10737" max="10737" width="8.83203125" hidden="0" customWidth="1"/>
    <x:col min="10738" max="10738" width="8.83203125" hidden="0" customWidth="1"/>
    <x:col min="10739" max="10739" width="8.83203125" hidden="0" customWidth="1"/>
    <x:col min="10740" max="10740" width="8.83203125" hidden="0" customWidth="1"/>
    <x:col min="10741" max="10741" width="8.83203125" hidden="0" customWidth="1"/>
    <x:col min="10742" max="10742" width="8.83203125" hidden="0" customWidth="1"/>
    <x:col min="10743" max="10743" width="8.83203125" hidden="0" customWidth="1"/>
    <x:col min="10744" max="10744" width="8.83203125" hidden="0" customWidth="1"/>
    <x:col min="10745" max="10745" width="8.83203125" hidden="0" customWidth="1"/>
    <x:col min="10746" max="10746" width="8.83203125" hidden="0" customWidth="1"/>
    <x:col min="10747" max="10747" width="8.83203125" hidden="0" customWidth="1"/>
    <x:col min="10748" max="10748" width="8.83203125" hidden="0" customWidth="1"/>
    <x:col min="10749" max="10749" width="8.83203125" hidden="0" customWidth="1"/>
    <x:col min="10750" max="10750" width="8.83203125" hidden="0" customWidth="1"/>
    <x:col min="10751" max="10751" width="8.83203125" hidden="0" customWidth="1"/>
    <x:col min="10752" max="10752" width="8.83203125" hidden="0" customWidth="1"/>
    <x:col min="10753" max="10753" width="8.83203125" hidden="0" customWidth="1"/>
    <x:col min="10754" max="10754" width="8.83203125" hidden="0" customWidth="1"/>
    <x:col min="10755" max="10755" width="8.83203125" hidden="0" customWidth="1"/>
    <x:col min="10756" max="10756" width="8.83203125" hidden="0" customWidth="1"/>
    <x:col min="10757" max="10757" width="8.83203125" hidden="0" customWidth="1"/>
    <x:col min="10758" max="10758" width="8.83203125" hidden="0" customWidth="1"/>
    <x:col min="10759" max="10759" width="8.83203125" hidden="0" customWidth="1"/>
    <x:col min="10760" max="10760" width="8.83203125" hidden="0" customWidth="1"/>
    <x:col min="10761" max="10761" width="8.83203125" hidden="0" customWidth="1"/>
    <x:col min="10762" max="10762" width="8.83203125" hidden="0" customWidth="1"/>
    <x:col min="10763" max="10763" width="8.83203125" hidden="0" customWidth="1"/>
    <x:col min="10764" max="10764" width="8.83203125" hidden="0" customWidth="1"/>
    <x:col min="10765" max="10765" width="8.83203125" hidden="0" customWidth="1"/>
    <x:col min="10766" max="10766" width="8.83203125" hidden="0" customWidth="1"/>
    <x:col min="10767" max="10767" width="8.83203125" hidden="0" customWidth="1"/>
    <x:col min="10768" max="10768" width="8.83203125" hidden="0" customWidth="1"/>
    <x:col min="10769" max="10769" width="8.83203125" hidden="0" customWidth="1"/>
    <x:col min="10770" max="10770" width="8.83203125" hidden="0" customWidth="1"/>
    <x:col min="10771" max="10771" width="8.83203125" hidden="0" customWidth="1"/>
    <x:col min="10772" max="10772" width="8.83203125" hidden="0" customWidth="1"/>
    <x:col min="10773" max="10773" width="8.83203125" hidden="0" customWidth="1"/>
    <x:col min="10774" max="10774" width="8.83203125" hidden="0" customWidth="1"/>
    <x:col min="10775" max="10775" width="8.83203125" hidden="0" customWidth="1"/>
    <x:col min="10776" max="10776" width="8.83203125" hidden="0" customWidth="1"/>
    <x:col min="10777" max="10777" width="8.83203125" hidden="0" customWidth="1"/>
    <x:col min="10778" max="10778" width="8.83203125" hidden="0" customWidth="1"/>
    <x:col min="10779" max="10779" width="8.83203125" hidden="0" customWidth="1"/>
    <x:col min="10780" max="10780" width="8.83203125" hidden="0" customWidth="1"/>
    <x:col min="10781" max="10781" width="8.83203125" hidden="0" customWidth="1"/>
    <x:col min="10782" max="10782" width="8.83203125" hidden="0" customWidth="1"/>
    <x:col min="10783" max="10783" width="8.83203125" hidden="0" customWidth="1"/>
    <x:col min="10784" max="10784" width="8.83203125" hidden="0" customWidth="1"/>
    <x:col min="10785" max="10785" width="8.83203125" hidden="0" customWidth="1"/>
    <x:col min="10786" max="10786" width="8.83203125" hidden="0" customWidth="1"/>
    <x:col min="10787" max="10787" width="8.83203125" hidden="0" customWidth="1"/>
    <x:col min="10788" max="10788" width="8.83203125" hidden="0" customWidth="1"/>
    <x:col min="10789" max="10789" width="8.83203125" hidden="0" customWidth="1"/>
    <x:col min="10790" max="10790" width="8.83203125" hidden="0" customWidth="1"/>
    <x:col min="10791" max="10791" width="8.83203125" hidden="0" customWidth="1"/>
    <x:col min="10792" max="10792" width="8.83203125" hidden="0" customWidth="1"/>
    <x:col min="10793" max="10793" width="8.83203125" hidden="0" customWidth="1"/>
    <x:col min="10794" max="10794" width="8.83203125" hidden="0" customWidth="1"/>
    <x:col min="10795" max="10795" width="8.83203125" hidden="0" customWidth="1"/>
    <x:col min="10796" max="10796" width="8.83203125" hidden="0" customWidth="1"/>
    <x:col min="10797" max="10797" width="8.83203125" hidden="0" customWidth="1"/>
    <x:col min="10798" max="10798" width="8.83203125" hidden="0" customWidth="1"/>
    <x:col min="10799" max="10799" width="8.83203125" hidden="0" customWidth="1"/>
    <x:col min="10800" max="10800" width="8.83203125" hidden="0" customWidth="1"/>
    <x:col min="10801" max="10801" width="8.83203125" hidden="0" customWidth="1"/>
    <x:col min="10802" max="10802" width="8.83203125" hidden="0" customWidth="1"/>
    <x:col min="10803" max="10803" width="8.83203125" hidden="0" customWidth="1"/>
    <x:col min="10804" max="10804" width="8.83203125" hidden="0" customWidth="1"/>
    <x:col min="10805" max="10805" width="8.83203125" hidden="0" customWidth="1"/>
    <x:col min="10806" max="10806" width="8.83203125" hidden="0" customWidth="1"/>
    <x:col min="10807" max="10807" width="8.83203125" hidden="0" customWidth="1"/>
    <x:col min="10808" max="10808" width="8.83203125" hidden="0" customWidth="1"/>
    <x:col min="10809" max="10809" width="8.83203125" hidden="0" customWidth="1"/>
    <x:col min="10810" max="10810" width="8.83203125" hidden="0" customWidth="1"/>
    <x:col min="10811" max="10811" width="8.83203125" hidden="0" customWidth="1"/>
    <x:col min="10812" max="10812" width="8.83203125" hidden="0" customWidth="1"/>
    <x:col min="10813" max="10813" width="8.83203125" hidden="0" customWidth="1"/>
    <x:col min="10814" max="10814" width="8.83203125" hidden="0" customWidth="1"/>
    <x:col min="10815" max="10815" width="8.83203125" hidden="0" customWidth="1"/>
    <x:col min="10816" max="10816" width="8.83203125" hidden="0" customWidth="1"/>
    <x:col min="10817" max="10817" width="8.83203125" hidden="0" customWidth="1"/>
    <x:col min="10818" max="10818" width="8.83203125" hidden="0" customWidth="1"/>
    <x:col min="10819" max="10819" width="8.83203125" hidden="0" customWidth="1"/>
    <x:col min="10820" max="10820" width="8.83203125" hidden="0" customWidth="1"/>
    <x:col min="10821" max="10821" width="8.83203125" hidden="0" customWidth="1"/>
    <x:col min="10822" max="10822" width="8.83203125" hidden="0" customWidth="1"/>
    <x:col min="10823" max="10823" width="8.83203125" hidden="0" customWidth="1"/>
    <x:col min="10824" max="10824" width="8.83203125" hidden="0" customWidth="1"/>
    <x:col min="10825" max="10825" width="8.83203125" hidden="0" customWidth="1"/>
    <x:col min="10826" max="10826" width="8.83203125" hidden="0" customWidth="1"/>
    <x:col min="10827" max="10827" width="8.83203125" hidden="0" customWidth="1"/>
    <x:col min="10828" max="10828" width="8.83203125" hidden="0" customWidth="1"/>
    <x:col min="10829" max="10829" width="8.83203125" hidden="0" customWidth="1"/>
    <x:col min="10830" max="10830" width="8.83203125" hidden="0" customWidth="1"/>
    <x:col min="10831" max="10831" width="8.83203125" hidden="0" customWidth="1"/>
    <x:col min="10832" max="10832" width="8.83203125" hidden="0" customWidth="1"/>
    <x:col min="10833" max="10833" width="8.83203125" hidden="0" customWidth="1"/>
    <x:col min="10834" max="10834" width="8.83203125" hidden="0" customWidth="1"/>
    <x:col min="10835" max="10835" width="8.83203125" hidden="0" customWidth="1"/>
    <x:col min="10836" max="10836" width="8.83203125" hidden="0" customWidth="1"/>
    <x:col min="10837" max="10837" width="8.83203125" hidden="0" customWidth="1"/>
    <x:col min="10838" max="10838" width="8.83203125" hidden="0" customWidth="1"/>
    <x:col min="10839" max="10839" width="8.83203125" hidden="0" customWidth="1"/>
    <x:col min="10840" max="10840" width="8.83203125" hidden="0" customWidth="1"/>
    <x:col min="10841" max="10841" width="8.83203125" hidden="0" customWidth="1"/>
    <x:col min="10842" max="10842" width="8.83203125" hidden="0" customWidth="1"/>
    <x:col min="10843" max="10843" width="8.83203125" hidden="0" customWidth="1"/>
    <x:col min="10844" max="10844" width="8.83203125" hidden="0" customWidth="1"/>
    <x:col min="10845" max="10845" width="8.83203125" hidden="0" customWidth="1"/>
    <x:col min="10846" max="10846" width="8.83203125" hidden="0" customWidth="1"/>
    <x:col min="10847" max="10847" width="8.83203125" hidden="0" customWidth="1"/>
    <x:col min="10848" max="10848" width="8.83203125" hidden="0" customWidth="1"/>
    <x:col min="10849" max="10849" width="8.83203125" hidden="0" customWidth="1"/>
    <x:col min="10850" max="10850" width="8.83203125" hidden="0" customWidth="1"/>
    <x:col min="10851" max="10851" width="8.83203125" hidden="0" customWidth="1"/>
    <x:col min="10852" max="10852" width="8.83203125" hidden="0" customWidth="1"/>
    <x:col min="10853" max="10853" width="8.83203125" hidden="0" customWidth="1"/>
    <x:col min="10854" max="10854" width="8.83203125" hidden="0" customWidth="1"/>
    <x:col min="10855" max="10855" width="8.83203125" hidden="0" customWidth="1"/>
    <x:col min="10856" max="10856" width="8.83203125" hidden="0" customWidth="1"/>
    <x:col min="10857" max="10857" width="8.83203125" hidden="0" customWidth="1"/>
    <x:col min="10858" max="10858" width="8.83203125" hidden="0" customWidth="1"/>
    <x:col min="10859" max="10859" width="8.83203125" hidden="0" customWidth="1"/>
    <x:col min="10860" max="10860" width="8.83203125" hidden="0" customWidth="1"/>
    <x:col min="10861" max="10861" width="8.83203125" hidden="0" customWidth="1"/>
    <x:col min="10862" max="10862" width="8.83203125" hidden="0" customWidth="1"/>
    <x:col min="10863" max="10863" width="8.83203125" hidden="0" customWidth="1"/>
    <x:col min="10864" max="10864" width="8.83203125" hidden="0" customWidth="1"/>
    <x:col min="10865" max="10865" width="8.83203125" hidden="0" customWidth="1"/>
    <x:col min="10866" max="10866" width="8.83203125" hidden="0" customWidth="1"/>
    <x:col min="10867" max="10867" width="8.83203125" hidden="0" customWidth="1"/>
    <x:col min="10868" max="10868" width="8.83203125" hidden="0" customWidth="1"/>
    <x:col min="10869" max="10869" width="8.83203125" hidden="0" customWidth="1"/>
    <x:col min="10870" max="10870" width="8.83203125" hidden="0" customWidth="1"/>
    <x:col min="10871" max="10871" width="8.83203125" hidden="0" customWidth="1"/>
    <x:col min="10872" max="10872" width="8.83203125" hidden="0" customWidth="1"/>
    <x:col min="10873" max="10873" width="8.83203125" hidden="0" customWidth="1"/>
    <x:col min="10874" max="10874" width="8.83203125" hidden="0" customWidth="1"/>
    <x:col min="10875" max="10875" width="8.83203125" hidden="0" customWidth="1"/>
    <x:col min="10876" max="10876" width="8.83203125" hidden="0" customWidth="1"/>
    <x:col min="10877" max="10877" width="8.83203125" hidden="0" customWidth="1"/>
    <x:col min="10878" max="10878" width="8.83203125" hidden="0" customWidth="1"/>
    <x:col min="10879" max="10879" width="8.83203125" hidden="0" customWidth="1"/>
    <x:col min="10880" max="10880" width="8.83203125" hidden="0" customWidth="1"/>
    <x:col min="10881" max="10881" width="8.83203125" hidden="0" customWidth="1"/>
    <x:col min="10882" max="10882" width="8.83203125" hidden="0" customWidth="1"/>
    <x:col min="10883" max="10883" width="8.83203125" hidden="0" customWidth="1"/>
    <x:col min="10884" max="10884" width="8.83203125" hidden="0" customWidth="1"/>
    <x:col min="10885" max="10885" width="8.83203125" hidden="0" customWidth="1"/>
    <x:col min="10886" max="10886" width="8.83203125" hidden="0" customWidth="1"/>
    <x:col min="10887" max="10887" width="8.83203125" hidden="0" customWidth="1"/>
    <x:col min="10888" max="10888" width="8.83203125" hidden="0" customWidth="1"/>
    <x:col min="10889" max="10889" width="8.83203125" hidden="0" customWidth="1"/>
    <x:col min="10890" max="10890" width="8.83203125" hidden="0" customWidth="1"/>
    <x:col min="10891" max="10891" width="8.83203125" hidden="0" customWidth="1"/>
    <x:col min="10892" max="10892" width="8.83203125" hidden="0" customWidth="1"/>
    <x:col min="10893" max="10893" width="8.83203125" hidden="0" customWidth="1"/>
    <x:col min="10894" max="10894" width="8.83203125" hidden="0" customWidth="1"/>
    <x:col min="10895" max="10895" width="8.83203125" hidden="0" customWidth="1"/>
    <x:col min="10896" max="10896" width="8.83203125" hidden="0" customWidth="1"/>
    <x:col min="10897" max="10897" width="8.83203125" hidden="0" customWidth="1"/>
    <x:col min="10898" max="10898" width="8.83203125" hidden="0" customWidth="1"/>
    <x:col min="10899" max="10899" width="8.83203125" hidden="0" customWidth="1"/>
    <x:col min="10900" max="10900" width="8.83203125" hidden="0" customWidth="1"/>
    <x:col min="10901" max="10901" width="8.83203125" hidden="0" customWidth="1"/>
    <x:col min="10902" max="10902" width="8.83203125" hidden="0" customWidth="1"/>
    <x:col min="10903" max="10903" width="8.83203125" hidden="0" customWidth="1"/>
    <x:col min="10904" max="10904" width="8.83203125" hidden="0" customWidth="1"/>
    <x:col min="10905" max="10905" width="8.83203125" hidden="0" customWidth="1"/>
    <x:col min="10906" max="10906" width="8.83203125" hidden="0" customWidth="1"/>
    <x:col min="10907" max="10907" width="8.83203125" hidden="0" customWidth="1"/>
    <x:col min="10908" max="10908" width="8.83203125" hidden="0" customWidth="1"/>
    <x:col min="10909" max="10909" width="8.83203125" hidden="0" customWidth="1"/>
    <x:col min="10910" max="10910" width="8.83203125" hidden="0" customWidth="1"/>
    <x:col min="10911" max="10911" width="8.83203125" hidden="0" customWidth="1"/>
    <x:col min="10912" max="10912" width="8.83203125" hidden="0" customWidth="1"/>
    <x:col min="10913" max="10913" width="8.83203125" hidden="0" customWidth="1"/>
    <x:col min="10914" max="10914" width="8.83203125" hidden="0" customWidth="1"/>
    <x:col min="10915" max="10915" width="8.83203125" hidden="0" customWidth="1"/>
    <x:col min="10916" max="10916" width="8.83203125" hidden="0" customWidth="1"/>
    <x:col min="10917" max="10917" width="8.83203125" hidden="0" customWidth="1"/>
    <x:col min="10918" max="10918" width="8.83203125" hidden="0" customWidth="1"/>
    <x:col min="10919" max="10919" width="8.83203125" hidden="0" customWidth="1"/>
    <x:col min="10920" max="10920" width="8.83203125" hidden="0" customWidth="1"/>
    <x:col min="10921" max="10921" width="8.83203125" hidden="0" customWidth="1"/>
    <x:col min="10922" max="10922" width="8.83203125" hidden="0" customWidth="1"/>
    <x:col min="10923" max="10923" width="8.83203125" hidden="0" customWidth="1"/>
    <x:col min="10924" max="10924" width="8.83203125" hidden="0" customWidth="1"/>
    <x:col min="10925" max="10925" width="8.83203125" hidden="0" customWidth="1"/>
    <x:col min="10926" max="10926" width="8.83203125" hidden="0" customWidth="1"/>
    <x:col min="10927" max="10927" width="8.83203125" hidden="0" customWidth="1"/>
    <x:col min="10928" max="10928" width="8.83203125" hidden="0" customWidth="1"/>
    <x:col min="10929" max="10929" width="8.83203125" hidden="0" customWidth="1"/>
    <x:col min="10930" max="10930" width="8.83203125" hidden="0" customWidth="1"/>
    <x:col min="10931" max="10931" width="8.83203125" hidden="0" customWidth="1"/>
    <x:col min="10932" max="10932" width="8.83203125" hidden="0" customWidth="1"/>
    <x:col min="10933" max="10933" width="8.83203125" hidden="0" customWidth="1"/>
    <x:col min="10934" max="10934" width="8.83203125" hidden="0" customWidth="1"/>
    <x:col min="10935" max="10935" width="8.83203125" hidden="0" customWidth="1"/>
    <x:col min="10936" max="10936" width="8.83203125" hidden="0" customWidth="1"/>
    <x:col min="10937" max="10937" width="8.83203125" hidden="0" customWidth="1"/>
    <x:col min="10938" max="10938" width="8.83203125" hidden="0" customWidth="1"/>
    <x:col min="10939" max="10939" width="8.83203125" hidden="0" customWidth="1"/>
    <x:col min="10940" max="10940" width="8.83203125" hidden="0" customWidth="1"/>
    <x:col min="10941" max="10941" width="8.83203125" hidden="0" customWidth="1"/>
    <x:col min="10942" max="10942" width="8.83203125" hidden="0" customWidth="1"/>
    <x:col min="10943" max="10943" width="8.83203125" hidden="0" customWidth="1"/>
    <x:col min="10944" max="10944" width="8.83203125" hidden="0" customWidth="1"/>
    <x:col min="10945" max="10945" width="8.83203125" hidden="0" customWidth="1"/>
    <x:col min="10946" max="10946" width="8.83203125" hidden="0" customWidth="1"/>
    <x:col min="10947" max="10947" width="8.83203125" hidden="0" customWidth="1"/>
    <x:col min="10948" max="10948" width="8.83203125" hidden="0" customWidth="1"/>
    <x:col min="10949" max="10949" width="8.83203125" hidden="0" customWidth="1"/>
    <x:col min="10950" max="10950" width="8.83203125" hidden="0" customWidth="1"/>
    <x:col min="10951" max="10951" width="8.83203125" hidden="0" customWidth="1"/>
    <x:col min="10952" max="10952" width="8.83203125" hidden="0" customWidth="1"/>
    <x:col min="10953" max="10953" width="8.83203125" hidden="0" customWidth="1"/>
    <x:col min="10954" max="10954" width="8.83203125" hidden="0" customWidth="1"/>
    <x:col min="10955" max="10955" width="8.83203125" hidden="0" customWidth="1"/>
    <x:col min="10956" max="10956" width="8.83203125" hidden="0" customWidth="1"/>
    <x:col min="10957" max="10957" width="8.83203125" hidden="0" customWidth="1"/>
    <x:col min="10958" max="10958" width="8.83203125" hidden="0" customWidth="1"/>
    <x:col min="10959" max="10959" width="8.83203125" hidden="0" customWidth="1"/>
    <x:col min="10960" max="10960" width="8.83203125" hidden="0" customWidth="1"/>
    <x:col min="10961" max="10961" width="8.83203125" hidden="0" customWidth="1"/>
    <x:col min="10962" max="10962" width="8.83203125" hidden="0" customWidth="1"/>
    <x:col min="10963" max="10963" width="8.83203125" hidden="0" customWidth="1"/>
    <x:col min="10964" max="10964" width="8.83203125" hidden="0" customWidth="1"/>
    <x:col min="10965" max="10965" width="8.83203125" hidden="0" customWidth="1"/>
    <x:col min="10966" max="10966" width="8.83203125" hidden="0" customWidth="1"/>
    <x:col min="10967" max="10967" width="8.83203125" hidden="0" customWidth="1"/>
    <x:col min="10968" max="10968" width="8.83203125" hidden="0" customWidth="1"/>
    <x:col min="10969" max="10969" width="8.83203125" hidden="0" customWidth="1"/>
    <x:col min="10970" max="10970" width="8.83203125" hidden="0" customWidth="1"/>
    <x:col min="10971" max="10971" width="8.83203125" hidden="0" customWidth="1"/>
    <x:col min="10972" max="10972" width="8.83203125" hidden="0" customWidth="1"/>
    <x:col min="10973" max="10973" width="8.83203125" hidden="0" customWidth="1"/>
    <x:col min="10974" max="10974" width="8.83203125" hidden="0" customWidth="1"/>
    <x:col min="10975" max="10975" width="8.83203125" hidden="0" customWidth="1"/>
    <x:col min="10976" max="10976" width="8.83203125" hidden="0" customWidth="1"/>
    <x:col min="10977" max="10977" width="8.83203125" hidden="0" customWidth="1"/>
    <x:col min="10978" max="10978" width="8.83203125" hidden="0" customWidth="1"/>
    <x:col min="10979" max="10979" width="8.83203125" hidden="0" customWidth="1"/>
    <x:col min="10980" max="10980" width="8.83203125" hidden="0" customWidth="1"/>
    <x:col min="10981" max="10981" width="8.83203125" hidden="0" customWidth="1"/>
    <x:col min="10982" max="10982" width="8.83203125" hidden="0" customWidth="1"/>
    <x:col min="10983" max="10983" width="8.83203125" hidden="0" customWidth="1"/>
    <x:col min="10984" max="10984" width="8.83203125" hidden="0" customWidth="1"/>
    <x:col min="10985" max="10985" width="8.83203125" hidden="0" customWidth="1"/>
    <x:col min="10986" max="10986" width="8.83203125" hidden="0" customWidth="1"/>
    <x:col min="10987" max="10987" width="8.83203125" hidden="0" customWidth="1"/>
    <x:col min="10988" max="10988" width="8.83203125" hidden="0" customWidth="1"/>
    <x:col min="10989" max="10989" width="8.83203125" hidden="0" customWidth="1"/>
    <x:col min="10990" max="10990" width="8.83203125" hidden="0" customWidth="1"/>
    <x:col min="10991" max="10991" width="8.83203125" hidden="0" customWidth="1"/>
    <x:col min="10992" max="10992" width="8.83203125" hidden="0" customWidth="1"/>
    <x:col min="10993" max="10993" width="8.83203125" hidden="0" customWidth="1"/>
    <x:col min="10994" max="10994" width="8.83203125" hidden="0" customWidth="1"/>
    <x:col min="10995" max="10995" width="8.83203125" hidden="0" customWidth="1"/>
    <x:col min="10996" max="10996" width="8.83203125" hidden="0" customWidth="1"/>
    <x:col min="10997" max="10997" width="8.83203125" hidden="0" customWidth="1"/>
    <x:col min="10998" max="10998" width="8.83203125" hidden="0" customWidth="1"/>
    <x:col min="10999" max="10999" width="8.83203125" hidden="0" customWidth="1"/>
    <x:col min="11000" max="11000" width="8.83203125" hidden="0" customWidth="1"/>
    <x:col min="11001" max="11001" width="8.83203125" hidden="0" customWidth="1"/>
    <x:col min="11002" max="11002" width="8.83203125" hidden="0" customWidth="1"/>
    <x:col min="11003" max="11003" width="8.83203125" hidden="0" customWidth="1"/>
    <x:col min="11004" max="11004" width="8.83203125" hidden="0" customWidth="1"/>
    <x:col min="11005" max="11005" width="8.83203125" hidden="0" customWidth="1"/>
    <x:col min="11006" max="11006" width="8.83203125" hidden="0" customWidth="1"/>
    <x:col min="11007" max="11007" width="8.83203125" hidden="0" customWidth="1"/>
    <x:col min="11008" max="11008" width="8.83203125" hidden="0" customWidth="1"/>
    <x:col min="11009" max="11009" width="8.83203125" hidden="0" customWidth="1"/>
    <x:col min="11010" max="11010" width="8.83203125" hidden="0" customWidth="1"/>
    <x:col min="11011" max="11011" width="8.83203125" hidden="0" customWidth="1"/>
    <x:col min="11012" max="11012" width="8.83203125" hidden="0" customWidth="1"/>
    <x:col min="11013" max="11013" width="8.83203125" hidden="0" customWidth="1"/>
    <x:col min="11014" max="11014" width="8.83203125" hidden="0" customWidth="1"/>
    <x:col min="11015" max="11015" width="8.83203125" hidden="0" customWidth="1"/>
    <x:col min="11016" max="11016" width="8.83203125" hidden="0" customWidth="1"/>
    <x:col min="11017" max="11017" width="8.83203125" hidden="0" customWidth="1"/>
    <x:col min="11018" max="11018" width="8.83203125" hidden="0" customWidth="1"/>
    <x:col min="11019" max="11019" width="8.83203125" hidden="0" customWidth="1"/>
    <x:col min="11020" max="11020" width="8.83203125" hidden="0" customWidth="1"/>
    <x:col min="11021" max="11021" width="8.83203125" hidden="0" customWidth="1"/>
    <x:col min="11022" max="11022" width="8.83203125" hidden="0" customWidth="1"/>
    <x:col min="11023" max="11023" width="8.83203125" hidden="0" customWidth="1"/>
    <x:col min="11024" max="11024" width="8.83203125" hidden="0" customWidth="1"/>
    <x:col min="11025" max="11025" width="8.83203125" hidden="0" customWidth="1"/>
    <x:col min="11026" max="11026" width="8.83203125" hidden="0" customWidth="1"/>
    <x:col min="11027" max="11027" width="8.83203125" hidden="0" customWidth="1"/>
    <x:col min="11028" max="11028" width="8.83203125" hidden="0" customWidth="1"/>
    <x:col min="11029" max="11029" width="8.83203125" hidden="0" customWidth="1"/>
    <x:col min="11030" max="11030" width="8.83203125" hidden="0" customWidth="1"/>
    <x:col min="11031" max="11031" width="8.83203125" hidden="0" customWidth="1"/>
    <x:col min="11032" max="11032" width="8.83203125" hidden="0" customWidth="1"/>
    <x:col min="11033" max="11033" width="8.83203125" hidden="0" customWidth="1"/>
    <x:col min="11034" max="11034" width="8.83203125" hidden="0" customWidth="1"/>
    <x:col min="11035" max="11035" width="8.83203125" hidden="0" customWidth="1"/>
    <x:col min="11036" max="11036" width="8.83203125" hidden="0" customWidth="1"/>
    <x:col min="11037" max="11037" width="8.83203125" hidden="0" customWidth="1"/>
    <x:col min="11038" max="11038" width="8.83203125" hidden="0" customWidth="1"/>
    <x:col min="11039" max="11039" width="8.83203125" hidden="0" customWidth="1"/>
    <x:col min="11040" max="11040" width="8.83203125" hidden="0" customWidth="1"/>
    <x:col min="11041" max="11041" width="8.83203125" hidden="0" customWidth="1"/>
    <x:col min="11042" max="11042" width="8.83203125" hidden="0" customWidth="1"/>
    <x:col min="11043" max="11043" width="8.83203125" hidden="0" customWidth="1"/>
    <x:col min="11044" max="11044" width="8.83203125" hidden="0" customWidth="1"/>
    <x:col min="11045" max="11045" width="8.83203125" hidden="0" customWidth="1"/>
    <x:col min="11046" max="11046" width="8.83203125" hidden="0" customWidth="1"/>
    <x:col min="11047" max="11047" width="8.83203125" hidden="0" customWidth="1"/>
    <x:col min="11048" max="11048" width="8.83203125" hidden="0" customWidth="1"/>
    <x:col min="11049" max="11049" width="8.83203125" hidden="0" customWidth="1"/>
    <x:col min="11050" max="11050" width="8.83203125" hidden="0" customWidth="1"/>
    <x:col min="11051" max="11051" width="8.83203125" hidden="0" customWidth="1"/>
    <x:col min="11052" max="11052" width="8.83203125" hidden="0" customWidth="1"/>
    <x:col min="11053" max="11053" width="8.83203125" hidden="0" customWidth="1"/>
    <x:col min="11054" max="11054" width="8.83203125" hidden="0" customWidth="1"/>
    <x:col min="11055" max="11055" width="8.83203125" hidden="0" customWidth="1"/>
    <x:col min="11056" max="11056" width="8.83203125" hidden="0" customWidth="1"/>
    <x:col min="11057" max="11057" width="8.83203125" hidden="0" customWidth="1"/>
    <x:col min="11058" max="11058" width="8.83203125" hidden="0" customWidth="1"/>
    <x:col min="11059" max="11059" width="8.83203125" hidden="0" customWidth="1"/>
    <x:col min="11060" max="11060" width="8.83203125" hidden="0" customWidth="1"/>
    <x:col min="11061" max="11061" width="8.83203125" hidden="0" customWidth="1"/>
    <x:col min="11062" max="11062" width="8.83203125" hidden="0" customWidth="1"/>
    <x:col min="11063" max="11063" width="8.83203125" hidden="0" customWidth="1"/>
    <x:col min="11064" max="11064" width="8.83203125" hidden="0" customWidth="1"/>
    <x:col min="11065" max="11065" width="8.83203125" hidden="0" customWidth="1"/>
    <x:col min="11066" max="11066" width="8.83203125" hidden="0" customWidth="1"/>
    <x:col min="11067" max="11067" width="8.83203125" hidden="0" customWidth="1"/>
    <x:col min="11068" max="11068" width="8.83203125" hidden="0" customWidth="1"/>
    <x:col min="11069" max="11069" width="8.83203125" hidden="0" customWidth="1"/>
    <x:col min="11070" max="11070" width="8.83203125" hidden="0" customWidth="1"/>
    <x:col min="11071" max="11071" width="8.83203125" hidden="0" customWidth="1"/>
    <x:col min="11072" max="11072" width="8.83203125" hidden="0" customWidth="1"/>
    <x:col min="11073" max="11073" width="8.83203125" hidden="0" customWidth="1"/>
    <x:col min="11074" max="11074" width="8.83203125" hidden="0" customWidth="1"/>
    <x:col min="11075" max="11075" width="8.83203125" hidden="0" customWidth="1"/>
    <x:col min="11076" max="11076" width="8.83203125" hidden="0" customWidth="1"/>
    <x:col min="11077" max="11077" width="8.83203125" hidden="0" customWidth="1"/>
    <x:col min="11078" max="11078" width="8.83203125" hidden="0" customWidth="1"/>
    <x:col min="11079" max="11079" width="8.83203125" hidden="0" customWidth="1"/>
    <x:col min="11080" max="11080" width="8.83203125" hidden="0" customWidth="1"/>
    <x:col min="11081" max="11081" width="8.83203125" hidden="0" customWidth="1"/>
    <x:col min="11082" max="11082" width="8.83203125" hidden="0" customWidth="1"/>
    <x:col min="11083" max="11083" width="8.83203125" hidden="0" customWidth="1"/>
    <x:col min="11084" max="11084" width="8.83203125" hidden="0" customWidth="1"/>
    <x:col min="11085" max="11085" width="8.83203125" hidden="0" customWidth="1"/>
    <x:col min="11086" max="11086" width="8.83203125" hidden="0" customWidth="1"/>
    <x:col min="11087" max="11087" width="8.83203125" hidden="0" customWidth="1"/>
    <x:col min="11088" max="11088" width="8.83203125" hidden="0" customWidth="1"/>
    <x:col min="11089" max="11089" width="8.83203125" hidden="0" customWidth="1"/>
    <x:col min="11090" max="11090" width="8.83203125" hidden="0" customWidth="1"/>
    <x:col min="11091" max="11091" width="8.83203125" hidden="0" customWidth="1"/>
    <x:col min="11092" max="11092" width="8.83203125" hidden="0" customWidth="1"/>
    <x:col min="11093" max="11093" width="8.83203125" hidden="0" customWidth="1"/>
    <x:col min="11094" max="11094" width="8.83203125" hidden="0" customWidth="1"/>
    <x:col min="11095" max="11095" width="8.83203125" hidden="0" customWidth="1"/>
    <x:col min="11096" max="11096" width="8.83203125" hidden="0" customWidth="1"/>
    <x:col min="11097" max="11097" width="8.83203125" hidden="0" customWidth="1"/>
    <x:col min="11098" max="11098" width="8.83203125" hidden="0" customWidth="1"/>
    <x:col min="11099" max="11099" width="8.83203125" hidden="0" customWidth="1"/>
    <x:col min="11100" max="11100" width="8.83203125" hidden="0" customWidth="1"/>
    <x:col min="11101" max="11101" width="8.83203125" hidden="0" customWidth="1"/>
    <x:col min="11102" max="11102" width="8.83203125" hidden="0" customWidth="1"/>
    <x:col min="11103" max="11103" width="8.83203125" hidden="0" customWidth="1"/>
    <x:col min="11104" max="11104" width="8.83203125" hidden="0" customWidth="1"/>
    <x:col min="11105" max="11105" width="8.83203125" hidden="0" customWidth="1"/>
    <x:col min="11106" max="11106" width="8.83203125" hidden="0" customWidth="1"/>
    <x:col min="11107" max="11107" width="8.83203125" hidden="0" customWidth="1"/>
    <x:col min="11108" max="11108" width="8.83203125" hidden="0" customWidth="1"/>
    <x:col min="11109" max="11109" width="8.83203125" hidden="0" customWidth="1"/>
    <x:col min="11110" max="11110" width="8.83203125" hidden="0" customWidth="1"/>
    <x:col min="11111" max="11111" width="8.83203125" hidden="0" customWidth="1"/>
    <x:col min="11112" max="11112" width="8.83203125" hidden="0" customWidth="1"/>
    <x:col min="11113" max="11113" width="8.83203125" hidden="0" customWidth="1"/>
    <x:col min="11114" max="11114" width="8.83203125" hidden="0" customWidth="1"/>
    <x:col min="11115" max="11115" width="8.83203125" hidden="0" customWidth="1"/>
    <x:col min="11116" max="11116" width="8.83203125" hidden="0" customWidth="1"/>
    <x:col min="11117" max="11117" width="8.83203125" hidden="0" customWidth="1"/>
    <x:col min="11118" max="11118" width="8.83203125" hidden="0" customWidth="1"/>
    <x:col min="11119" max="11119" width="8.83203125" hidden="0" customWidth="1"/>
    <x:col min="11120" max="11120" width="8.83203125" hidden="0" customWidth="1"/>
    <x:col min="11121" max="11121" width="8.83203125" hidden="0" customWidth="1"/>
    <x:col min="11122" max="11122" width="8.83203125" hidden="0" customWidth="1"/>
    <x:col min="11123" max="11123" width="8.83203125" hidden="0" customWidth="1"/>
    <x:col min="11124" max="11124" width="8.83203125" hidden="0" customWidth="1"/>
    <x:col min="11125" max="11125" width="8.83203125" hidden="0" customWidth="1"/>
    <x:col min="11126" max="11126" width="8.83203125" hidden="0" customWidth="1"/>
    <x:col min="11127" max="11127" width="8.83203125" hidden="0" customWidth="1"/>
    <x:col min="11128" max="11128" width="8.83203125" hidden="0" customWidth="1"/>
    <x:col min="11129" max="11129" width="8.83203125" hidden="0" customWidth="1"/>
    <x:col min="11130" max="11130" width="8.83203125" hidden="0" customWidth="1"/>
    <x:col min="11131" max="11131" width="8.83203125" hidden="0" customWidth="1"/>
    <x:col min="11132" max="11132" width="8.83203125" hidden="0" customWidth="1"/>
    <x:col min="11133" max="11133" width="8.83203125" hidden="0" customWidth="1"/>
    <x:col min="11134" max="11134" width="8.83203125" hidden="0" customWidth="1"/>
    <x:col min="11135" max="11135" width="8.83203125" hidden="0" customWidth="1"/>
    <x:col min="11136" max="11136" width="8.83203125" hidden="0" customWidth="1"/>
    <x:col min="11137" max="11137" width="8.83203125" hidden="0" customWidth="1"/>
    <x:col min="11138" max="11138" width="8.83203125" hidden="0" customWidth="1"/>
    <x:col min="11139" max="11139" width="8.83203125" hidden="0" customWidth="1"/>
    <x:col min="11140" max="11140" width="8.83203125" hidden="0" customWidth="1"/>
    <x:col min="11141" max="11141" width="8.83203125" hidden="0" customWidth="1"/>
    <x:col min="11142" max="11142" width="8.83203125" hidden="0" customWidth="1"/>
    <x:col min="11143" max="11143" width="8.83203125" hidden="0" customWidth="1"/>
    <x:col min="11144" max="11144" width="8.83203125" hidden="0" customWidth="1"/>
    <x:col min="11145" max="11145" width="8.83203125" hidden="0" customWidth="1"/>
    <x:col min="11146" max="11146" width="8.83203125" hidden="0" customWidth="1"/>
    <x:col min="11147" max="11147" width="8.83203125" hidden="0" customWidth="1"/>
    <x:col min="11148" max="11148" width="8.83203125" hidden="0" customWidth="1"/>
    <x:col min="11149" max="11149" width="8.83203125" hidden="0" customWidth="1"/>
    <x:col min="11150" max="11150" width="8.83203125" hidden="0" customWidth="1"/>
    <x:col min="11151" max="11151" width="8.83203125" hidden="0" customWidth="1"/>
    <x:col min="11152" max="11152" width="8.83203125" hidden="0" customWidth="1"/>
    <x:col min="11153" max="11153" width="8.83203125" hidden="0" customWidth="1"/>
    <x:col min="11154" max="11154" width="8.83203125" hidden="0" customWidth="1"/>
    <x:col min="11155" max="11155" width="8.83203125" hidden="0" customWidth="1"/>
    <x:col min="11156" max="11156" width="8.83203125" hidden="0" customWidth="1"/>
    <x:col min="11157" max="11157" width="8.83203125" hidden="0" customWidth="1"/>
    <x:col min="11158" max="11158" width="8.83203125" hidden="0" customWidth="1"/>
    <x:col min="11159" max="11159" width="8.83203125" hidden="0" customWidth="1"/>
    <x:col min="11160" max="11160" width="8.83203125" hidden="0" customWidth="1"/>
    <x:col min="11161" max="11161" width="8.83203125" hidden="0" customWidth="1"/>
    <x:col min="11162" max="11162" width="8.83203125" hidden="0" customWidth="1"/>
    <x:col min="11163" max="11163" width="8.83203125" hidden="0" customWidth="1"/>
    <x:col min="11164" max="11164" width="8.83203125" hidden="0" customWidth="1"/>
    <x:col min="11165" max="11165" width="8.83203125" hidden="0" customWidth="1"/>
    <x:col min="11166" max="11166" width="8.83203125" hidden="0" customWidth="1"/>
    <x:col min="11167" max="11167" width="8.83203125" hidden="0" customWidth="1"/>
    <x:col min="11168" max="11168" width="8.83203125" hidden="0" customWidth="1"/>
    <x:col min="11169" max="11169" width="8.83203125" hidden="0" customWidth="1"/>
    <x:col min="11170" max="11170" width="8.83203125" hidden="0" customWidth="1"/>
    <x:col min="11171" max="11171" width="8.83203125" hidden="0" customWidth="1"/>
    <x:col min="11172" max="11172" width="8.83203125" hidden="0" customWidth="1"/>
    <x:col min="11173" max="11173" width="8.83203125" hidden="0" customWidth="1"/>
    <x:col min="11174" max="11174" width="8.83203125" hidden="0" customWidth="1"/>
    <x:col min="11175" max="11175" width="8.83203125" hidden="0" customWidth="1"/>
    <x:col min="11176" max="11176" width="8.83203125" hidden="0" customWidth="1"/>
    <x:col min="11177" max="11177" width="8.83203125" hidden="0" customWidth="1"/>
    <x:col min="11178" max="11178" width="8.83203125" hidden="0" customWidth="1"/>
    <x:col min="11179" max="11179" width="8.83203125" hidden="0" customWidth="1"/>
    <x:col min="11180" max="11180" width="8.83203125" hidden="0" customWidth="1"/>
    <x:col min="11181" max="11181" width="8.83203125" hidden="0" customWidth="1"/>
    <x:col min="11182" max="11182" width="8.83203125" hidden="0" customWidth="1"/>
    <x:col min="11183" max="11183" width="8.83203125" hidden="0" customWidth="1"/>
    <x:col min="11184" max="11184" width="8.83203125" hidden="0" customWidth="1"/>
    <x:col min="11185" max="11185" width="8.83203125" hidden="0" customWidth="1"/>
    <x:col min="11186" max="11186" width="8.83203125" hidden="0" customWidth="1"/>
    <x:col min="11187" max="11187" width="8.83203125" hidden="0" customWidth="1"/>
    <x:col min="11188" max="11188" width="8.83203125" hidden="0" customWidth="1"/>
    <x:col min="11189" max="11189" width="8.83203125" hidden="0" customWidth="1"/>
    <x:col min="11190" max="11190" width="8.83203125" hidden="0" customWidth="1"/>
    <x:col min="11191" max="11191" width="8.83203125" hidden="0" customWidth="1"/>
    <x:col min="11192" max="11192" width="8.83203125" hidden="0" customWidth="1"/>
    <x:col min="11193" max="11193" width="8.83203125" hidden="0" customWidth="1"/>
    <x:col min="11194" max="11194" width="8.83203125" hidden="0" customWidth="1"/>
    <x:col min="11195" max="11195" width="8.83203125" hidden="0" customWidth="1"/>
    <x:col min="11196" max="11196" width="8.83203125" hidden="0" customWidth="1"/>
    <x:col min="11197" max="11197" width="8.83203125" hidden="0" customWidth="1"/>
    <x:col min="11198" max="11198" width="8.83203125" hidden="0" customWidth="1"/>
    <x:col min="11199" max="11199" width="8.83203125" hidden="0" customWidth="1"/>
    <x:col min="11200" max="11200" width="8.83203125" hidden="0" customWidth="1"/>
    <x:col min="11201" max="11201" width="8.83203125" hidden="0" customWidth="1"/>
    <x:col min="11202" max="11202" width="8.83203125" hidden="0" customWidth="1"/>
    <x:col min="11203" max="11203" width="8.83203125" hidden="0" customWidth="1"/>
    <x:col min="11204" max="11204" width="8.83203125" hidden="0" customWidth="1"/>
    <x:col min="11205" max="11205" width="8.83203125" hidden="0" customWidth="1"/>
    <x:col min="11206" max="11206" width="8.83203125" hidden="0" customWidth="1"/>
    <x:col min="11207" max="11207" width="8.83203125" hidden="0" customWidth="1"/>
    <x:col min="11208" max="11208" width="8.83203125" hidden="0" customWidth="1"/>
    <x:col min="11209" max="11209" width="8.83203125" hidden="0" customWidth="1"/>
    <x:col min="11210" max="11210" width="8.83203125" hidden="0" customWidth="1"/>
    <x:col min="11211" max="11211" width="8.83203125" hidden="0" customWidth="1"/>
    <x:col min="11212" max="11212" width="8.83203125" hidden="0" customWidth="1"/>
    <x:col min="11213" max="11213" width="8.83203125" hidden="0" customWidth="1"/>
    <x:col min="11214" max="11214" width="8.83203125" hidden="0" customWidth="1"/>
    <x:col min="11215" max="11215" width="8.83203125" hidden="0" customWidth="1"/>
    <x:col min="11216" max="11216" width="8.83203125" hidden="0" customWidth="1"/>
    <x:col min="11217" max="11217" width="8.83203125" hidden="0" customWidth="1"/>
    <x:col min="11218" max="11218" width="8.83203125" hidden="0" customWidth="1"/>
    <x:col min="11219" max="11219" width="8.83203125" hidden="0" customWidth="1"/>
    <x:col min="11220" max="11220" width="8.83203125" hidden="0" customWidth="1"/>
    <x:col min="11221" max="11221" width="8.83203125" hidden="0" customWidth="1"/>
    <x:col min="11222" max="11222" width="8.83203125" hidden="0" customWidth="1"/>
    <x:col min="11223" max="11223" width="8.83203125" hidden="0" customWidth="1"/>
    <x:col min="11224" max="11224" width="8.83203125" hidden="0" customWidth="1"/>
    <x:col min="11225" max="11225" width="8.83203125" hidden="0" customWidth="1"/>
    <x:col min="11226" max="11226" width="8.83203125" hidden="0" customWidth="1"/>
    <x:col min="11227" max="11227" width="8.83203125" hidden="0" customWidth="1"/>
    <x:col min="11228" max="11228" width="8.83203125" hidden="0" customWidth="1"/>
    <x:col min="11229" max="11229" width="8.83203125" hidden="0" customWidth="1"/>
    <x:col min="11230" max="11230" width="8.83203125" hidden="0" customWidth="1"/>
    <x:col min="11231" max="11231" width="8.83203125" hidden="0" customWidth="1"/>
    <x:col min="11232" max="11232" width="8.83203125" hidden="0" customWidth="1"/>
    <x:col min="11233" max="11233" width="8.83203125" hidden="0" customWidth="1"/>
    <x:col min="11234" max="11234" width="8.83203125" hidden="0" customWidth="1"/>
    <x:col min="11235" max="11235" width="8.83203125" hidden="0" customWidth="1"/>
    <x:col min="11236" max="11236" width="8.83203125" hidden="0" customWidth="1"/>
    <x:col min="11237" max="11237" width="8.83203125" hidden="0" customWidth="1"/>
    <x:col min="11238" max="11238" width="8.83203125" hidden="0" customWidth="1"/>
    <x:col min="11239" max="11239" width="8.83203125" hidden="0" customWidth="1"/>
    <x:col min="11240" max="11240" width="8.83203125" hidden="0" customWidth="1"/>
    <x:col min="11241" max="11241" width="8.83203125" hidden="0" customWidth="1"/>
    <x:col min="11242" max="11242" width="8.83203125" hidden="0" customWidth="1"/>
    <x:col min="11243" max="11243" width="8.83203125" hidden="0" customWidth="1"/>
    <x:col min="11244" max="11244" width="8.83203125" hidden="0" customWidth="1"/>
    <x:col min="11245" max="11245" width="8.83203125" hidden="0" customWidth="1"/>
    <x:col min="11246" max="11246" width="8.83203125" hidden="0" customWidth="1"/>
    <x:col min="11247" max="11247" width="8.83203125" hidden="0" customWidth="1"/>
    <x:col min="11248" max="11248" width="8.83203125" hidden="0" customWidth="1"/>
    <x:col min="11249" max="11249" width="8.83203125" hidden="0" customWidth="1"/>
    <x:col min="11250" max="11250" width="8.83203125" hidden="0" customWidth="1"/>
    <x:col min="11251" max="11251" width="8.83203125" hidden="0" customWidth="1"/>
    <x:col min="11252" max="11252" width="8.83203125" hidden="0" customWidth="1"/>
    <x:col min="11253" max="11253" width="8.83203125" hidden="0" customWidth="1"/>
    <x:col min="11254" max="11254" width="8.83203125" hidden="0" customWidth="1"/>
    <x:col min="11255" max="11255" width="8.83203125" hidden="0" customWidth="1"/>
    <x:col min="11256" max="11256" width="8.83203125" hidden="0" customWidth="1"/>
    <x:col min="11257" max="11257" width="8.83203125" hidden="0" customWidth="1"/>
    <x:col min="11258" max="11258" width="8.83203125" hidden="0" customWidth="1"/>
    <x:col min="11259" max="11259" width="8.83203125" hidden="0" customWidth="1"/>
    <x:col min="11260" max="11260" width="8.83203125" hidden="0" customWidth="1"/>
    <x:col min="11261" max="11261" width="8.83203125" hidden="0" customWidth="1"/>
    <x:col min="11262" max="11262" width="8.83203125" hidden="0" customWidth="1"/>
    <x:col min="11263" max="11263" width="8.83203125" hidden="0" customWidth="1"/>
    <x:col min="11264" max="11264" width="8.83203125" hidden="0" customWidth="1"/>
    <x:col min="11265" max="11265" width="8.83203125" hidden="0" customWidth="1"/>
    <x:col min="11266" max="11266" width="8.83203125" hidden="0" customWidth="1"/>
    <x:col min="11267" max="11267" width="8.83203125" hidden="0" customWidth="1"/>
    <x:col min="11268" max="11268" width="8.83203125" hidden="0" customWidth="1"/>
    <x:col min="11269" max="11269" width="8.83203125" hidden="0" customWidth="1"/>
    <x:col min="11270" max="11270" width="8.83203125" hidden="0" customWidth="1"/>
    <x:col min="11271" max="11271" width="8.83203125" hidden="0" customWidth="1"/>
    <x:col min="11272" max="11272" width="8.83203125" hidden="0" customWidth="1"/>
    <x:col min="11273" max="11273" width="8.83203125" hidden="0" customWidth="1"/>
    <x:col min="11274" max="11274" width="8.83203125" hidden="0" customWidth="1"/>
    <x:col min="11275" max="11275" width="8.83203125" hidden="0" customWidth="1"/>
    <x:col min="11276" max="11276" width="8.83203125" hidden="0" customWidth="1"/>
    <x:col min="11277" max="11277" width="8.83203125" hidden="0" customWidth="1"/>
    <x:col min="11278" max="11278" width="8.83203125" hidden="0" customWidth="1"/>
    <x:col min="11279" max="11279" width="8.83203125" hidden="0" customWidth="1"/>
    <x:col min="11280" max="11280" width="8.83203125" hidden="0" customWidth="1"/>
    <x:col min="11281" max="11281" width="8.83203125" hidden="0" customWidth="1"/>
    <x:col min="11282" max="11282" width="8.83203125" hidden="0" customWidth="1"/>
    <x:col min="11283" max="11283" width="8.83203125" hidden="0" customWidth="1"/>
    <x:col min="11284" max="11284" width="8.83203125" hidden="0" customWidth="1"/>
    <x:col min="11285" max="11285" width="8.83203125" hidden="0" customWidth="1"/>
    <x:col min="11286" max="11286" width="8.83203125" hidden="0" customWidth="1"/>
    <x:col min="11287" max="11287" width="8.83203125" hidden="0" customWidth="1"/>
    <x:col min="11288" max="11288" width="8.83203125" hidden="0" customWidth="1"/>
    <x:col min="11289" max="11289" width="8.83203125" hidden="0" customWidth="1"/>
    <x:col min="11290" max="11290" width="8.83203125" hidden="0" customWidth="1"/>
    <x:col min="11291" max="11291" width="8.83203125" hidden="0" customWidth="1"/>
    <x:col min="11292" max="11292" width="8.83203125" hidden="0" customWidth="1"/>
    <x:col min="11293" max="11293" width="8.83203125" hidden="0" customWidth="1"/>
    <x:col min="11294" max="11294" width="8.83203125" hidden="0" customWidth="1"/>
    <x:col min="11295" max="11295" width="8.83203125" hidden="0" customWidth="1"/>
    <x:col min="11296" max="11296" width="8.83203125" hidden="0" customWidth="1"/>
    <x:col min="11297" max="11297" width="8.83203125" hidden="0" customWidth="1"/>
    <x:col min="11298" max="11298" width="8.83203125" hidden="0" customWidth="1"/>
    <x:col min="11299" max="11299" width="8.83203125" hidden="0" customWidth="1"/>
    <x:col min="11300" max="11300" width="8.83203125" hidden="0" customWidth="1"/>
    <x:col min="11301" max="11301" width="8.83203125" hidden="0" customWidth="1"/>
    <x:col min="11302" max="11302" width="8.83203125" hidden="0" customWidth="1"/>
    <x:col min="11303" max="11303" width="8.83203125" hidden="0" customWidth="1"/>
    <x:col min="11304" max="11304" width="8.83203125" hidden="0" customWidth="1"/>
    <x:col min="11305" max="11305" width="8.83203125" hidden="0" customWidth="1"/>
    <x:col min="11306" max="11306" width="8.83203125" hidden="0" customWidth="1"/>
    <x:col min="11307" max="11307" width="8.83203125" hidden="0" customWidth="1"/>
    <x:col min="11308" max="11308" width="8.83203125" hidden="0" customWidth="1"/>
    <x:col min="11309" max="11309" width="8.83203125" hidden="0" customWidth="1"/>
    <x:col min="11310" max="11310" width="8.83203125" hidden="0" customWidth="1"/>
    <x:col min="11311" max="11311" width="8.83203125" hidden="0" customWidth="1"/>
    <x:col min="11312" max="11312" width="8.83203125" hidden="0" customWidth="1"/>
    <x:col min="11313" max="11313" width="8.83203125" hidden="0" customWidth="1"/>
    <x:col min="11314" max="11314" width="8.83203125" hidden="0" customWidth="1"/>
    <x:col min="11315" max="11315" width="8.83203125" hidden="0" customWidth="1"/>
    <x:col min="11316" max="11316" width="8.83203125" hidden="0" customWidth="1"/>
    <x:col min="11317" max="11317" width="8.83203125" hidden="0" customWidth="1"/>
    <x:col min="11318" max="11318" width="8.83203125" hidden="0" customWidth="1"/>
    <x:col min="11319" max="11319" width="8.83203125" hidden="0" customWidth="1"/>
    <x:col min="11320" max="11320" width="8.83203125" hidden="0" customWidth="1"/>
    <x:col min="11321" max="11321" width="8.83203125" hidden="0" customWidth="1"/>
    <x:col min="11322" max="11322" width="8.83203125" hidden="0" customWidth="1"/>
    <x:col min="11323" max="11323" width="8.83203125" hidden="0" customWidth="1"/>
    <x:col min="11324" max="11324" width="8.83203125" hidden="0" customWidth="1"/>
    <x:col min="11325" max="11325" width="8.83203125" hidden="0" customWidth="1"/>
    <x:col min="11326" max="11326" width="8.83203125" hidden="0" customWidth="1"/>
    <x:col min="11327" max="11327" width="8.83203125" hidden="0" customWidth="1"/>
    <x:col min="11328" max="11328" width="8.83203125" hidden="0" customWidth="1"/>
    <x:col min="11329" max="11329" width="8.83203125" hidden="0" customWidth="1"/>
    <x:col min="11330" max="11330" width="8.83203125" hidden="0" customWidth="1"/>
    <x:col min="11331" max="11331" width="8.83203125" hidden="0" customWidth="1"/>
    <x:col min="11332" max="11332" width="8.83203125" hidden="0" customWidth="1"/>
    <x:col min="11333" max="11333" width="8.83203125" hidden="0" customWidth="1"/>
    <x:col min="11334" max="11334" width="8.83203125" hidden="0" customWidth="1"/>
    <x:col min="11335" max="11335" width="8.83203125" hidden="0" customWidth="1"/>
    <x:col min="11336" max="11336" width="8.83203125" hidden="0" customWidth="1"/>
    <x:col min="11337" max="11337" width="8.83203125" hidden="0" customWidth="1"/>
    <x:col min="11338" max="11338" width="8.83203125" hidden="0" customWidth="1"/>
    <x:col min="11339" max="11339" width="8.83203125" hidden="0" customWidth="1"/>
    <x:col min="11340" max="11340" width="8.83203125" hidden="0" customWidth="1"/>
    <x:col min="11341" max="11341" width="8.83203125" hidden="0" customWidth="1"/>
    <x:col min="11342" max="11342" width="8.83203125" hidden="0" customWidth="1"/>
    <x:col min="11343" max="11343" width="8.83203125" hidden="0" customWidth="1"/>
    <x:col min="11344" max="11344" width="8.83203125" hidden="0" customWidth="1"/>
    <x:col min="11345" max="11345" width="8.83203125" hidden="0" customWidth="1"/>
    <x:col min="11346" max="11346" width="8.83203125" hidden="0" customWidth="1"/>
    <x:col min="11347" max="11347" width="8.83203125" hidden="0" customWidth="1"/>
    <x:col min="11348" max="11348" width="8.83203125" hidden="0" customWidth="1"/>
    <x:col min="11349" max="11349" width="8.83203125" hidden="0" customWidth="1"/>
    <x:col min="11350" max="11350" width="8.83203125" hidden="0" customWidth="1"/>
    <x:col min="11351" max="11351" width="8.83203125" hidden="0" customWidth="1"/>
    <x:col min="11352" max="11352" width="8.83203125" hidden="0" customWidth="1"/>
    <x:col min="11353" max="11353" width="8.83203125" hidden="0" customWidth="1"/>
    <x:col min="11354" max="11354" width="8.83203125" hidden="0" customWidth="1"/>
    <x:col min="11355" max="11355" width="8.83203125" hidden="0" customWidth="1"/>
    <x:col min="11356" max="11356" width="8.83203125" hidden="0" customWidth="1"/>
    <x:col min="11357" max="11357" width="8.83203125" hidden="0" customWidth="1"/>
    <x:col min="11358" max="11358" width="8.83203125" hidden="0" customWidth="1"/>
    <x:col min="11359" max="11359" width="8.83203125" hidden="0" customWidth="1"/>
    <x:col min="11360" max="11360" width="8.83203125" hidden="0" customWidth="1"/>
    <x:col min="11361" max="11361" width="8.83203125" hidden="0" customWidth="1"/>
    <x:col min="11362" max="11362" width="8.83203125" hidden="0" customWidth="1"/>
    <x:col min="11363" max="11363" width="8.83203125" hidden="0" customWidth="1"/>
    <x:col min="11364" max="11364" width="8.83203125" hidden="0" customWidth="1"/>
    <x:col min="11365" max="11365" width="8.83203125" hidden="0" customWidth="1"/>
    <x:col min="11366" max="11366" width="8.83203125" hidden="0" customWidth="1"/>
    <x:col min="11367" max="11367" width="8.83203125" hidden="0" customWidth="1"/>
    <x:col min="11368" max="11368" width="8.83203125" hidden="0" customWidth="1"/>
    <x:col min="11369" max="11369" width="8.83203125" hidden="0" customWidth="1"/>
    <x:col min="11370" max="11370" width="8.83203125" hidden="0" customWidth="1"/>
    <x:col min="11371" max="11371" width="8.83203125" hidden="0" customWidth="1"/>
    <x:col min="11372" max="11372" width="8.83203125" hidden="0" customWidth="1"/>
    <x:col min="11373" max="11373" width="8.83203125" hidden="0" customWidth="1"/>
    <x:col min="11374" max="11374" width="8.83203125" hidden="0" customWidth="1"/>
    <x:col min="11375" max="11375" width="8.83203125" hidden="0" customWidth="1"/>
    <x:col min="11376" max="11376" width="8.83203125" hidden="0" customWidth="1"/>
    <x:col min="11377" max="11377" width="8.83203125" hidden="0" customWidth="1"/>
    <x:col min="11378" max="11378" width="8.83203125" hidden="0" customWidth="1"/>
    <x:col min="11379" max="11379" width="8.83203125" hidden="0" customWidth="1"/>
    <x:col min="11380" max="11380" width="8.83203125" hidden="0" customWidth="1"/>
    <x:col min="11381" max="11381" width="8.83203125" hidden="0" customWidth="1"/>
    <x:col min="11382" max="11382" width="8.83203125" hidden="0" customWidth="1"/>
    <x:col min="11383" max="11383" width="8.83203125" hidden="0" customWidth="1"/>
    <x:col min="11384" max="11384" width="8.83203125" hidden="0" customWidth="1"/>
    <x:col min="11385" max="11385" width="8.83203125" hidden="0" customWidth="1"/>
    <x:col min="11386" max="11386" width="8.83203125" hidden="0" customWidth="1"/>
    <x:col min="11387" max="11387" width="8.83203125" hidden="0" customWidth="1"/>
    <x:col min="11388" max="11388" width="8.83203125" hidden="0" customWidth="1"/>
    <x:col min="11389" max="11389" width="8.83203125" hidden="0" customWidth="1"/>
    <x:col min="11390" max="11390" width="8.83203125" hidden="0" customWidth="1"/>
    <x:col min="11391" max="11391" width="8.83203125" hidden="0" customWidth="1"/>
    <x:col min="11392" max="11392" width="8.83203125" hidden="0" customWidth="1"/>
    <x:col min="11393" max="11393" width="8.83203125" hidden="0" customWidth="1"/>
    <x:col min="11394" max="11394" width="8.83203125" hidden="0" customWidth="1"/>
    <x:col min="11395" max="11395" width="8.83203125" hidden="0" customWidth="1"/>
    <x:col min="11396" max="11396" width="8.83203125" hidden="0" customWidth="1"/>
    <x:col min="11397" max="11397" width="8.83203125" hidden="0" customWidth="1"/>
    <x:col min="11398" max="11398" width="8.83203125" hidden="0" customWidth="1"/>
    <x:col min="11399" max="11399" width="8.83203125" hidden="0" customWidth="1"/>
    <x:col min="11400" max="11400" width="8.83203125" hidden="0" customWidth="1"/>
    <x:col min="11401" max="11401" width="8.83203125" hidden="0" customWidth="1"/>
    <x:col min="11402" max="11402" width="8.83203125" hidden="0" customWidth="1"/>
    <x:col min="11403" max="11403" width="8.83203125" hidden="0" customWidth="1"/>
    <x:col min="11404" max="11404" width="8.83203125" hidden="0" customWidth="1"/>
    <x:col min="11405" max="11405" width="8.83203125" hidden="0" customWidth="1"/>
    <x:col min="11406" max="11406" width="8.83203125" hidden="0" customWidth="1"/>
    <x:col min="11407" max="11407" width="8.83203125" hidden="0" customWidth="1"/>
    <x:col min="11408" max="11408" width="8.83203125" hidden="0" customWidth="1"/>
    <x:col min="11409" max="11409" width="8.83203125" hidden="0" customWidth="1"/>
    <x:col min="11410" max="11410" width="8.83203125" hidden="0" customWidth="1"/>
    <x:col min="11411" max="11411" width="8.83203125" hidden="0" customWidth="1"/>
    <x:col min="11412" max="11412" width="8.83203125" hidden="0" customWidth="1"/>
    <x:col min="11413" max="11413" width="8.83203125" hidden="0" customWidth="1"/>
    <x:col min="11414" max="11414" width="8.83203125" hidden="0" customWidth="1"/>
    <x:col min="11415" max="11415" width="8.83203125" hidden="0" customWidth="1"/>
    <x:col min="11416" max="11416" width="8.83203125" hidden="0" customWidth="1"/>
    <x:col min="11417" max="11417" width="8.83203125" hidden="0" customWidth="1"/>
    <x:col min="11418" max="11418" width="8.83203125" hidden="0" customWidth="1"/>
    <x:col min="11419" max="11419" width="8.83203125" hidden="0" customWidth="1"/>
    <x:col min="11420" max="11420" width="8.83203125" hidden="0" customWidth="1"/>
    <x:col min="11421" max="11421" width="8.83203125" hidden="0" customWidth="1"/>
    <x:col min="11422" max="11422" width="8.83203125" hidden="0" customWidth="1"/>
    <x:col min="11423" max="11423" width="8.83203125" hidden="0" customWidth="1"/>
    <x:col min="11424" max="11424" width="8.83203125" hidden="0" customWidth="1"/>
    <x:col min="11425" max="11425" width="8.83203125" hidden="0" customWidth="1"/>
    <x:col min="11426" max="11426" width="8.83203125" hidden="0" customWidth="1"/>
    <x:col min="11427" max="11427" width="8.83203125" hidden="0" customWidth="1"/>
    <x:col min="11428" max="11428" width="8.83203125" hidden="0" customWidth="1"/>
    <x:col min="11429" max="11429" width="8.83203125" hidden="0" customWidth="1"/>
    <x:col min="11430" max="11430" width="8.83203125" hidden="0" customWidth="1"/>
    <x:col min="11431" max="11431" width="8.83203125" hidden="0" customWidth="1"/>
    <x:col min="11432" max="11432" width="8.83203125" hidden="0" customWidth="1"/>
    <x:col min="11433" max="11433" width="8.83203125" hidden="0" customWidth="1"/>
    <x:col min="11434" max="11434" width="8.83203125" hidden="0" customWidth="1"/>
    <x:col min="11435" max="11435" width="8.83203125" hidden="0" customWidth="1"/>
    <x:col min="11436" max="11436" width="8.83203125" hidden="0" customWidth="1"/>
    <x:col min="11437" max="11437" width="8.83203125" hidden="0" customWidth="1"/>
    <x:col min="11438" max="11438" width="8.83203125" hidden="0" customWidth="1"/>
    <x:col min="11439" max="11439" width="8.83203125" hidden="0" customWidth="1"/>
    <x:col min="11440" max="11440" width="8.83203125" hidden="0" customWidth="1"/>
    <x:col min="11441" max="11441" width="8.83203125" hidden="0" customWidth="1"/>
    <x:col min="11442" max="11442" width="8.83203125" hidden="0" customWidth="1"/>
    <x:col min="11443" max="11443" width="8.83203125" hidden="0" customWidth="1"/>
    <x:col min="11444" max="11444" width="8.83203125" hidden="0" customWidth="1"/>
    <x:col min="11445" max="11445" width="8.83203125" hidden="0" customWidth="1"/>
    <x:col min="11446" max="11446" width="8.83203125" hidden="0" customWidth="1"/>
    <x:col min="11447" max="11447" width="8.83203125" hidden="0" customWidth="1"/>
    <x:col min="11448" max="11448" width="8.83203125" hidden="0" customWidth="1"/>
    <x:col min="11449" max="11449" width="8.83203125" hidden="0" customWidth="1"/>
    <x:col min="11450" max="11450" width="8.83203125" hidden="0" customWidth="1"/>
    <x:col min="11451" max="11451" width="8.83203125" hidden="0" customWidth="1"/>
    <x:col min="11452" max="11452" width="8.83203125" hidden="0" customWidth="1"/>
    <x:col min="11453" max="11453" width="8.83203125" hidden="0" customWidth="1"/>
    <x:col min="11454" max="11454" width="8.83203125" hidden="0" customWidth="1"/>
    <x:col min="11455" max="11455" width="8.83203125" hidden="0" customWidth="1"/>
    <x:col min="11456" max="11456" width="8.83203125" hidden="0" customWidth="1"/>
    <x:col min="11457" max="11457" width="8.83203125" hidden="0" customWidth="1"/>
    <x:col min="11458" max="11458" width="8.83203125" hidden="0" customWidth="1"/>
    <x:col min="11459" max="11459" width="8.83203125" hidden="0" customWidth="1"/>
    <x:col min="11460" max="11460" width="8.83203125" hidden="0" customWidth="1"/>
    <x:col min="11461" max="11461" width="8.83203125" hidden="0" customWidth="1"/>
    <x:col min="11462" max="11462" width="8.83203125" hidden="0" customWidth="1"/>
    <x:col min="11463" max="11463" width="8.83203125" hidden="0" customWidth="1"/>
    <x:col min="11464" max="11464" width="8.83203125" hidden="0" customWidth="1"/>
    <x:col min="11465" max="11465" width="8.83203125" hidden="0" customWidth="1"/>
    <x:col min="11466" max="11466" width="8.83203125" hidden="0" customWidth="1"/>
    <x:col min="11467" max="11467" width="8.83203125" hidden="0" customWidth="1"/>
    <x:col min="11468" max="11468" width="8.83203125" hidden="0" customWidth="1"/>
    <x:col min="11469" max="11469" width="8.83203125" hidden="0" customWidth="1"/>
    <x:col min="11470" max="11470" width="8.83203125" hidden="0" customWidth="1"/>
    <x:col min="11471" max="11471" width="8.83203125" hidden="0" customWidth="1"/>
    <x:col min="11472" max="11472" width="8.83203125" hidden="0" customWidth="1"/>
    <x:col min="11473" max="11473" width="8.83203125" hidden="0" customWidth="1"/>
    <x:col min="11474" max="11474" width="8.83203125" hidden="0" customWidth="1"/>
    <x:col min="11475" max="11475" width="8.83203125" hidden="0" customWidth="1"/>
    <x:col min="11476" max="11476" width="8.83203125" hidden="0" customWidth="1"/>
    <x:col min="11477" max="11477" width="8.83203125" hidden="0" customWidth="1"/>
    <x:col min="11478" max="11478" width="8.83203125" hidden="0" customWidth="1"/>
    <x:col min="11479" max="11479" width="8.83203125" hidden="0" customWidth="1"/>
    <x:col min="11480" max="11480" width="8.83203125" hidden="0" customWidth="1"/>
    <x:col min="11481" max="11481" width="8.83203125" hidden="0" customWidth="1"/>
    <x:col min="11482" max="11482" width="8.83203125" hidden="0" customWidth="1"/>
    <x:col min="11483" max="11483" width="8.83203125" hidden="0" customWidth="1"/>
    <x:col min="11484" max="11484" width="8.83203125" hidden="0" customWidth="1"/>
    <x:col min="11485" max="11485" width="8.83203125" hidden="0" customWidth="1"/>
    <x:col min="11486" max="11486" width="8.83203125" hidden="0" customWidth="1"/>
    <x:col min="11487" max="11487" width="8.83203125" hidden="0" customWidth="1"/>
    <x:col min="11488" max="11488" width="8.83203125" hidden="0" customWidth="1"/>
    <x:col min="11489" max="11489" width="8.83203125" hidden="0" customWidth="1"/>
    <x:col min="11490" max="11490" width="8.83203125" hidden="0" customWidth="1"/>
    <x:col min="11491" max="11491" width="8.83203125" hidden="0" customWidth="1"/>
    <x:col min="11492" max="11492" width="8.83203125" hidden="0" customWidth="1"/>
    <x:col min="11493" max="11493" width="8.83203125" hidden="0" customWidth="1"/>
    <x:col min="11494" max="11494" width="8.83203125" hidden="0" customWidth="1"/>
    <x:col min="11495" max="11495" width="8.83203125" hidden="0" customWidth="1"/>
    <x:col min="11496" max="11496" width="8.83203125" hidden="0" customWidth="1"/>
    <x:col min="11497" max="11497" width="8.83203125" hidden="0" customWidth="1"/>
    <x:col min="11498" max="11498" width="8.83203125" hidden="0" customWidth="1"/>
    <x:col min="11499" max="11499" width="8.83203125" hidden="0" customWidth="1"/>
    <x:col min="11500" max="11500" width="8.83203125" hidden="0" customWidth="1"/>
    <x:col min="11501" max="11501" width="8.83203125" hidden="0" customWidth="1"/>
    <x:col min="11502" max="11502" width="8.83203125" hidden="0" customWidth="1"/>
    <x:col min="11503" max="11503" width="8.83203125" hidden="0" customWidth="1"/>
    <x:col min="11504" max="11504" width="8.83203125" hidden="0" customWidth="1"/>
    <x:col min="11505" max="11505" width="8.83203125" hidden="0" customWidth="1"/>
    <x:col min="11506" max="11506" width="8.83203125" hidden="0" customWidth="1"/>
    <x:col min="11507" max="11507" width="8.83203125" hidden="0" customWidth="1"/>
    <x:col min="11508" max="11508" width="8.83203125" hidden="0" customWidth="1"/>
    <x:col min="11509" max="11509" width="8.83203125" hidden="0" customWidth="1"/>
    <x:col min="11510" max="11510" width="8.83203125" hidden="0" customWidth="1"/>
    <x:col min="11511" max="11511" width="8.83203125" hidden="0" customWidth="1"/>
    <x:col min="11512" max="11512" width="8.83203125" hidden="0" customWidth="1"/>
    <x:col min="11513" max="11513" width="8.83203125" hidden="0" customWidth="1"/>
    <x:col min="11514" max="11514" width="8.83203125" hidden="0" customWidth="1"/>
    <x:col min="11515" max="11515" width="8.83203125" hidden="0" customWidth="1"/>
    <x:col min="11516" max="11516" width="8.83203125" hidden="0" customWidth="1"/>
    <x:col min="11517" max="11517" width="8.83203125" hidden="0" customWidth="1"/>
    <x:col min="11518" max="11518" width="8.83203125" hidden="0" customWidth="1"/>
    <x:col min="11519" max="11519" width="8.83203125" hidden="0" customWidth="1"/>
    <x:col min="11520" max="11520" width="8.83203125" hidden="0" customWidth="1"/>
    <x:col min="11521" max="11521" width="8.83203125" hidden="0" customWidth="1"/>
    <x:col min="11522" max="11522" width="8.83203125" hidden="0" customWidth="1"/>
    <x:col min="11523" max="11523" width="8.83203125" hidden="0" customWidth="1"/>
    <x:col min="11524" max="11524" width="8.83203125" hidden="0" customWidth="1"/>
    <x:col min="11525" max="11525" width="8.83203125" hidden="0" customWidth="1"/>
    <x:col min="11526" max="11526" width="8.83203125" hidden="0" customWidth="1"/>
    <x:col min="11527" max="11527" width="8.83203125" hidden="0" customWidth="1"/>
    <x:col min="11528" max="11528" width="8.83203125" hidden="0" customWidth="1"/>
    <x:col min="11529" max="11529" width="8.83203125" hidden="0" customWidth="1"/>
    <x:col min="11530" max="11530" width="8.83203125" hidden="0" customWidth="1"/>
    <x:col min="11531" max="11531" width="8.83203125" hidden="0" customWidth="1"/>
    <x:col min="11532" max="11532" width="8.83203125" hidden="0" customWidth="1"/>
    <x:col min="11533" max="11533" width="8.83203125" hidden="0" customWidth="1"/>
    <x:col min="11534" max="11534" width="8.83203125" hidden="0" customWidth="1"/>
    <x:col min="11535" max="11535" width="8.83203125" hidden="0" customWidth="1"/>
    <x:col min="11536" max="11536" width="8.83203125" hidden="0" customWidth="1"/>
    <x:col min="11537" max="11537" width="8.83203125" hidden="0" customWidth="1"/>
    <x:col min="11538" max="11538" width="8.83203125" hidden="0" customWidth="1"/>
    <x:col min="11539" max="11539" width="8.83203125" hidden="0" customWidth="1"/>
    <x:col min="11540" max="11540" width="8.83203125" hidden="0" customWidth="1"/>
    <x:col min="11541" max="11541" width="8.83203125" hidden="0" customWidth="1"/>
    <x:col min="11542" max="11542" width="8.83203125" hidden="0" customWidth="1"/>
    <x:col min="11543" max="11543" width="8.83203125" hidden="0" customWidth="1"/>
    <x:col min="11544" max="11544" width="8.83203125" hidden="0" customWidth="1"/>
    <x:col min="11545" max="11545" width="8.83203125" hidden="0" customWidth="1"/>
    <x:col min="11546" max="11546" width="8.83203125" hidden="0" customWidth="1"/>
    <x:col min="11547" max="11547" width="8.83203125" hidden="0" customWidth="1"/>
    <x:col min="11548" max="11548" width="8.83203125" hidden="0" customWidth="1"/>
    <x:col min="11549" max="11549" width="8.83203125" hidden="0" customWidth="1"/>
    <x:col min="11550" max="11550" width="8.83203125" hidden="0" customWidth="1"/>
    <x:col min="11551" max="11551" width="8.83203125" hidden="0" customWidth="1"/>
    <x:col min="11552" max="11552" width="8.83203125" hidden="0" customWidth="1"/>
    <x:col min="11553" max="11553" width="8.83203125" hidden="0" customWidth="1"/>
    <x:col min="11554" max="11554" width="8.83203125" hidden="0" customWidth="1"/>
    <x:col min="11555" max="11555" width="8.83203125" hidden="0" customWidth="1"/>
    <x:col min="11556" max="11556" width="8.83203125" hidden="0" customWidth="1"/>
    <x:col min="11557" max="11557" width="8.83203125" hidden="0" customWidth="1"/>
    <x:col min="11558" max="11558" width="8.83203125" hidden="0" customWidth="1"/>
    <x:col min="11559" max="11559" width="8.83203125" hidden="0" customWidth="1"/>
    <x:col min="11560" max="11560" width="8.83203125" hidden="0" customWidth="1"/>
    <x:col min="11561" max="11561" width="8.83203125" hidden="0" customWidth="1"/>
    <x:col min="11562" max="11562" width="8.83203125" hidden="0" customWidth="1"/>
    <x:col min="11563" max="11563" width="8.83203125" hidden="0" customWidth="1"/>
    <x:col min="11564" max="11564" width="8.83203125" hidden="0" customWidth="1"/>
    <x:col min="11565" max="11565" width="8.83203125" hidden="0" customWidth="1"/>
    <x:col min="11566" max="11566" width="8.83203125" hidden="0" customWidth="1"/>
    <x:col min="11567" max="11567" width="8.83203125" hidden="0" customWidth="1"/>
    <x:col min="11568" max="11568" width="8.83203125" hidden="0" customWidth="1"/>
    <x:col min="11569" max="11569" width="8.83203125" hidden="0" customWidth="1"/>
    <x:col min="11570" max="11570" width="8.83203125" hidden="0" customWidth="1"/>
    <x:col min="11571" max="11571" width="8.83203125" hidden="0" customWidth="1"/>
    <x:col min="11572" max="11572" width="8.83203125" hidden="0" customWidth="1"/>
    <x:col min="11573" max="11573" width="8.83203125" hidden="0" customWidth="1"/>
    <x:col min="11574" max="11574" width="8.83203125" hidden="0" customWidth="1"/>
    <x:col min="11575" max="11575" width="8.83203125" hidden="0" customWidth="1"/>
    <x:col min="11576" max="11576" width="8.83203125" hidden="0" customWidth="1"/>
    <x:col min="11577" max="11577" width="8.83203125" hidden="0" customWidth="1"/>
    <x:col min="11578" max="11578" width="8.83203125" hidden="0" customWidth="1"/>
    <x:col min="11579" max="11579" width="8.83203125" hidden="0" customWidth="1"/>
    <x:col min="11580" max="11580" width="8.83203125" hidden="0" customWidth="1"/>
    <x:col min="11581" max="11581" width="8.83203125" hidden="0" customWidth="1"/>
    <x:col min="11582" max="11582" width="8.83203125" hidden="0" customWidth="1"/>
    <x:col min="11583" max="11583" width="8.83203125" hidden="0" customWidth="1"/>
    <x:col min="11584" max="11584" width="8.83203125" hidden="0" customWidth="1"/>
    <x:col min="11585" max="11585" width="8.83203125" hidden="0" customWidth="1"/>
    <x:col min="11586" max="11586" width="8.83203125" hidden="0" customWidth="1"/>
    <x:col min="11587" max="11587" width="8.83203125" hidden="0" customWidth="1"/>
    <x:col min="11588" max="11588" width="8.83203125" hidden="0" customWidth="1"/>
    <x:col min="11589" max="11589" width="8.83203125" hidden="0" customWidth="1"/>
    <x:col min="11590" max="11590" width="8.83203125" hidden="0" customWidth="1"/>
    <x:col min="11591" max="11591" width="8.83203125" hidden="0" customWidth="1"/>
    <x:col min="11592" max="11592" width="8.83203125" hidden="0" customWidth="1"/>
    <x:col min="11593" max="11593" width="8.83203125" hidden="0" customWidth="1"/>
    <x:col min="11594" max="11594" width="8.83203125" hidden="0" customWidth="1"/>
    <x:col min="11595" max="11595" width="8.83203125" hidden="0" customWidth="1"/>
    <x:col min="11596" max="11596" width="8.83203125" hidden="0" customWidth="1"/>
    <x:col min="11597" max="11597" width="8.83203125" hidden="0" customWidth="1"/>
    <x:col min="11598" max="11598" width="8.83203125" hidden="0" customWidth="1"/>
    <x:col min="11599" max="11599" width="8.83203125" hidden="0" customWidth="1"/>
    <x:col min="11600" max="11600" width="8.83203125" hidden="0" customWidth="1"/>
    <x:col min="11601" max="11601" width="8.83203125" hidden="0" customWidth="1"/>
    <x:col min="11602" max="11602" width="8.83203125" hidden="0" customWidth="1"/>
    <x:col min="11603" max="11603" width="8.83203125" hidden="0" customWidth="1"/>
    <x:col min="11604" max="11604" width="8.83203125" hidden="0" customWidth="1"/>
    <x:col min="11605" max="11605" width="8.83203125" hidden="0" customWidth="1"/>
    <x:col min="11606" max="11606" width="8.83203125" hidden="0" customWidth="1"/>
    <x:col min="11607" max="11607" width="8.83203125" hidden="0" customWidth="1"/>
    <x:col min="11608" max="11608" width="8.83203125" hidden="0" customWidth="1"/>
    <x:col min="11609" max="11609" width="8.83203125" hidden="0" customWidth="1"/>
    <x:col min="11610" max="11610" width="8.83203125" hidden="0" customWidth="1"/>
    <x:col min="11611" max="11611" width="8.83203125" hidden="0" customWidth="1"/>
    <x:col min="11612" max="11612" width="8.83203125" hidden="0" customWidth="1"/>
    <x:col min="11613" max="11613" width="8.83203125" hidden="0" customWidth="1"/>
    <x:col min="11614" max="11614" width="8.83203125" hidden="0" customWidth="1"/>
    <x:col min="11615" max="11615" width="8.83203125" hidden="0" customWidth="1"/>
    <x:col min="11616" max="11616" width="8.83203125" hidden="0" customWidth="1"/>
    <x:col min="11617" max="11617" width="8.83203125" hidden="0" customWidth="1"/>
    <x:col min="11618" max="11618" width="8.83203125" hidden="0" customWidth="1"/>
    <x:col min="11619" max="11619" width="8.83203125" hidden="0" customWidth="1"/>
    <x:col min="11620" max="11620" width="8.83203125" hidden="0" customWidth="1"/>
    <x:col min="11621" max="11621" width="8.83203125" hidden="0" customWidth="1"/>
    <x:col min="11622" max="11622" width="8.83203125" hidden="0" customWidth="1"/>
    <x:col min="11623" max="11623" width="8.83203125" hidden="0" customWidth="1"/>
    <x:col min="11624" max="11624" width="8.83203125" hidden="0" customWidth="1"/>
    <x:col min="11625" max="11625" width="8.83203125" hidden="0" customWidth="1"/>
    <x:col min="11626" max="11626" width="8.83203125" hidden="0" customWidth="1"/>
    <x:col min="11627" max="11627" width="8.83203125" hidden="0" customWidth="1"/>
    <x:col min="11628" max="11628" width="8.83203125" hidden="0" customWidth="1"/>
    <x:col min="11629" max="11629" width="8.83203125" hidden="0" customWidth="1"/>
    <x:col min="11630" max="11630" width="8.83203125" hidden="0" customWidth="1"/>
    <x:col min="11631" max="11631" width="8.83203125" hidden="0" customWidth="1"/>
    <x:col min="11632" max="11632" width="8.83203125" hidden="0" customWidth="1"/>
    <x:col min="11633" max="11633" width="8.83203125" hidden="0" customWidth="1"/>
    <x:col min="11634" max="11634" width="8.83203125" hidden="0" customWidth="1"/>
    <x:col min="11635" max="11635" width="8.83203125" hidden="0" customWidth="1"/>
    <x:col min="11636" max="11636" width="8.83203125" hidden="0" customWidth="1"/>
    <x:col min="11637" max="11637" width="8.83203125" hidden="0" customWidth="1"/>
    <x:col min="11638" max="11638" width="8.83203125" hidden="0" customWidth="1"/>
    <x:col min="11639" max="11639" width="8.83203125" hidden="0" customWidth="1"/>
    <x:col min="11640" max="11640" width="8.83203125" hidden="0" customWidth="1"/>
    <x:col min="11641" max="11641" width="8.83203125" hidden="0" customWidth="1"/>
    <x:col min="11642" max="11642" width="8.83203125" hidden="0" customWidth="1"/>
    <x:col min="11643" max="11643" width="8.83203125" hidden="0" customWidth="1"/>
    <x:col min="11644" max="11644" width="8.83203125" hidden="0" customWidth="1"/>
    <x:col min="11645" max="11645" width="8.83203125" hidden="0" customWidth="1"/>
    <x:col min="11646" max="11646" width="8.83203125" hidden="0" customWidth="1"/>
    <x:col min="11647" max="11647" width="8.83203125" hidden="0" customWidth="1"/>
    <x:col min="11648" max="11648" width="8.83203125" hidden="0" customWidth="1"/>
    <x:col min="11649" max="11649" width="8.83203125" hidden="0" customWidth="1"/>
    <x:col min="11650" max="11650" width="8.83203125" hidden="0" customWidth="1"/>
    <x:col min="11651" max="11651" width="8.83203125" hidden="0" customWidth="1"/>
    <x:col min="11652" max="11652" width="8.83203125" hidden="0" customWidth="1"/>
    <x:col min="11653" max="11653" width="8.83203125" hidden="0" customWidth="1"/>
    <x:col min="11654" max="11654" width="8.83203125" hidden="0" customWidth="1"/>
    <x:col min="11655" max="11655" width="8.83203125" hidden="0" customWidth="1"/>
    <x:col min="11656" max="11656" width="8.83203125" hidden="0" customWidth="1"/>
    <x:col min="11657" max="11657" width="8.83203125" hidden="0" customWidth="1"/>
    <x:col min="11658" max="11658" width="8.83203125" hidden="0" customWidth="1"/>
    <x:col min="11659" max="11659" width="8.83203125" hidden="0" customWidth="1"/>
    <x:col min="11660" max="11660" width="8.83203125" hidden="0" customWidth="1"/>
    <x:col min="11661" max="11661" width="8.83203125" hidden="0" customWidth="1"/>
    <x:col min="11662" max="11662" width="8.83203125" hidden="0" customWidth="1"/>
    <x:col min="11663" max="11663" width="8.83203125" hidden="0" customWidth="1"/>
    <x:col min="11664" max="11664" width="8.83203125" hidden="0" customWidth="1"/>
    <x:col min="11665" max="11665" width="8.83203125" hidden="0" customWidth="1"/>
    <x:col min="11666" max="11666" width="8.83203125" hidden="0" customWidth="1"/>
    <x:col min="11667" max="11667" width="8.83203125" hidden="0" customWidth="1"/>
    <x:col min="11668" max="11668" width="8.83203125" hidden="0" customWidth="1"/>
    <x:col min="11669" max="11669" width="8.83203125" hidden="0" customWidth="1"/>
    <x:col min="11670" max="11670" width="8.83203125" hidden="0" customWidth="1"/>
    <x:col min="11671" max="11671" width="8.83203125" hidden="0" customWidth="1"/>
    <x:col min="11672" max="11672" width="8.83203125" hidden="0" customWidth="1"/>
    <x:col min="11673" max="11673" width="8.83203125" hidden="0" customWidth="1"/>
    <x:col min="11674" max="11674" width="8.83203125" hidden="0" customWidth="1"/>
    <x:col min="11675" max="11675" width="8.83203125" hidden="0" customWidth="1"/>
    <x:col min="11676" max="11676" width="8.83203125" hidden="0" customWidth="1"/>
    <x:col min="11677" max="11677" width="8.83203125" hidden="0" customWidth="1"/>
    <x:col min="11678" max="11678" width="8.83203125" hidden="0" customWidth="1"/>
    <x:col min="11679" max="11679" width="8.83203125" hidden="0" customWidth="1"/>
    <x:col min="11680" max="11680" width="8.83203125" hidden="0" customWidth="1"/>
    <x:col min="11681" max="11681" width="8.83203125" hidden="0" customWidth="1"/>
    <x:col min="11682" max="11682" width="8.83203125" hidden="0" customWidth="1"/>
    <x:col min="11683" max="11683" width="8.83203125" hidden="0" customWidth="1"/>
    <x:col min="11684" max="11684" width="8.83203125" hidden="0" customWidth="1"/>
    <x:col min="11685" max="11685" width="8.83203125" hidden="0" customWidth="1"/>
    <x:col min="11686" max="11686" width="8.83203125" hidden="0" customWidth="1"/>
    <x:col min="11687" max="11687" width="8.83203125" hidden="0" customWidth="1"/>
    <x:col min="11688" max="11688" width="8.83203125" hidden="0" customWidth="1"/>
    <x:col min="11689" max="11689" width="8.83203125" hidden="0" customWidth="1"/>
    <x:col min="11690" max="11690" width="8.83203125" hidden="0" customWidth="1"/>
    <x:col min="11691" max="11691" width="8.83203125" hidden="0" customWidth="1"/>
    <x:col min="11692" max="11692" width="8.83203125" hidden="0" customWidth="1"/>
    <x:col min="11693" max="11693" width="8.83203125" hidden="0" customWidth="1"/>
    <x:col min="11694" max="11694" width="8.83203125" hidden="0" customWidth="1"/>
    <x:col min="11695" max="11695" width="8.83203125" hidden="0" customWidth="1"/>
    <x:col min="11696" max="11696" width="8.83203125" hidden="0" customWidth="1"/>
    <x:col min="11697" max="11697" width="8.83203125" hidden="0" customWidth="1"/>
    <x:col min="11698" max="11698" width="8.83203125" hidden="0" customWidth="1"/>
    <x:col min="11699" max="11699" width="8.83203125" hidden="0" customWidth="1"/>
    <x:col min="11700" max="11700" width="8.83203125" hidden="0" customWidth="1"/>
    <x:col min="11701" max="11701" width="8.83203125" hidden="0" customWidth="1"/>
    <x:col min="11702" max="11702" width="8.83203125" hidden="0" customWidth="1"/>
    <x:col min="11703" max="11703" width="8.83203125" hidden="0" customWidth="1"/>
    <x:col min="11704" max="11704" width="8.83203125" hidden="0" customWidth="1"/>
    <x:col min="11705" max="11705" width="8.83203125" hidden="0" customWidth="1"/>
    <x:col min="11706" max="11706" width="8.83203125" hidden="0" customWidth="1"/>
    <x:col min="11707" max="11707" width="8.83203125" hidden="0" customWidth="1"/>
    <x:col min="11708" max="11708" width="8.83203125" hidden="0" customWidth="1"/>
    <x:col min="11709" max="11709" width="8.83203125" hidden="0" customWidth="1"/>
    <x:col min="11710" max="11710" width="8.83203125" hidden="0" customWidth="1"/>
    <x:col min="11711" max="11711" width="8.83203125" hidden="0" customWidth="1"/>
    <x:col min="11712" max="11712" width="8.83203125" hidden="0" customWidth="1"/>
    <x:col min="11713" max="11713" width="8.83203125" hidden="0" customWidth="1"/>
    <x:col min="11714" max="11714" width="8.83203125" hidden="0" customWidth="1"/>
    <x:col min="11715" max="11715" width="8.83203125" hidden="0" customWidth="1"/>
    <x:col min="11716" max="11716" width="8.83203125" hidden="0" customWidth="1"/>
    <x:col min="11717" max="11717" width="8.83203125" hidden="0" customWidth="1"/>
    <x:col min="11718" max="11718" width="8.83203125" hidden="0" customWidth="1"/>
    <x:col min="11719" max="11719" width="8.83203125" hidden="0" customWidth="1"/>
    <x:col min="11720" max="11720" width="8.83203125" hidden="0" customWidth="1"/>
    <x:col min="11721" max="11721" width="8.83203125" hidden="0" customWidth="1"/>
    <x:col min="11722" max="11722" width="8.83203125" hidden="0" customWidth="1"/>
    <x:col min="11723" max="11723" width="8.83203125" hidden="0" customWidth="1"/>
    <x:col min="11724" max="11724" width="8.83203125" hidden="0" customWidth="1"/>
    <x:col min="11725" max="11725" width="8.83203125" hidden="0" customWidth="1"/>
    <x:col min="11726" max="11726" width="8.83203125" hidden="0" customWidth="1"/>
    <x:col min="11727" max="11727" width="8.83203125" hidden="0" customWidth="1"/>
    <x:col min="11728" max="11728" width="8.83203125" hidden="0" customWidth="1"/>
    <x:col min="11729" max="11729" width="8.83203125" hidden="0" customWidth="1"/>
    <x:col min="11730" max="11730" width="8.83203125" hidden="0" customWidth="1"/>
    <x:col min="11731" max="11731" width="8.83203125" hidden="0" customWidth="1"/>
    <x:col min="11732" max="11732" width="8.83203125" hidden="0" customWidth="1"/>
    <x:col min="11733" max="11733" width="8.83203125" hidden="0" customWidth="1"/>
    <x:col min="11734" max="11734" width="8.83203125" hidden="0" customWidth="1"/>
    <x:col min="11735" max="11735" width="8.83203125" hidden="0" customWidth="1"/>
    <x:col min="11736" max="11736" width="8.83203125" hidden="0" customWidth="1"/>
    <x:col min="11737" max="11737" width="8.83203125" hidden="0" customWidth="1"/>
    <x:col min="11738" max="11738" width="8.83203125" hidden="0" customWidth="1"/>
    <x:col min="11739" max="11739" width="8.83203125" hidden="0" customWidth="1"/>
    <x:col min="11740" max="11740" width="8.83203125" hidden="0" customWidth="1"/>
    <x:col min="11741" max="11741" width="8.83203125" hidden="0" customWidth="1"/>
    <x:col min="11742" max="11742" width="8.83203125" hidden="0" customWidth="1"/>
    <x:col min="11743" max="11743" width="8.83203125" hidden="0" customWidth="1"/>
    <x:col min="11744" max="11744" width="8.83203125" hidden="0" customWidth="1"/>
    <x:col min="11745" max="11745" width="8.83203125" hidden="0" customWidth="1"/>
    <x:col min="11746" max="11746" width="8.83203125" hidden="0" customWidth="1"/>
    <x:col min="11747" max="11747" width="8.83203125" hidden="0" customWidth="1"/>
    <x:col min="11748" max="11748" width="8.83203125" hidden="0" customWidth="1"/>
    <x:col min="11749" max="11749" width="8.83203125" hidden="0" customWidth="1"/>
    <x:col min="11750" max="11750" width="8.83203125" hidden="0" customWidth="1"/>
    <x:col min="11751" max="11751" width="8.83203125" hidden="0" customWidth="1"/>
    <x:col min="11752" max="11752" width="8.83203125" hidden="0" customWidth="1"/>
    <x:col min="11753" max="11753" width="8.83203125" hidden="0" customWidth="1"/>
    <x:col min="11754" max="11754" width="8.83203125" hidden="0" customWidth="1"/>
    <x:col min="11755" max="11755" width="8.83203125" hidden="0" customWidth="1"/>
    <x:col min="11756" max="11756" width="8.83203125" hidden="0" customWidth="1"/>
    <x:col min="11757" max="11757" width="8.83203125" hidden="0" customWidth="1"/>
    <x:col min="11758" max="11758" width="8.83203125" hidden="0" customWidth="1"/>
    <x:col min="11759" max="11759" width="8.83203125" hidden="0" customWidth="1"/>
    <x:col min="11760" max="11760" width="8.83203125" hidden="0" customWidth="1"/>
    <x:col min="11761" max="11761" width="8.83203125" hidden="0" customWidth="1"/>
    <x:col min="11762" max="11762" width="8.83203125" hidden="0" customWidth="1"/>
    <x:col min="11763" max="11763" width="8.83203125" hidden="0" customWidth="1"/>
    <x:col min="11764" max="11764" width="8.83203125" hidden="0" customWidth="1"/>
    <x:col min="11765" max="11765" width="8.83203125" hidden="0" customWidth="1"/>
    <x:col min="11766" max="11766" width="8.83203125" hidden="0" customWidth="1"/>
    <x:col min="11767" max="11767" width="8.83203125" hidden="0" customWidth="1"/>
    <x:col min="11768" max="11768" width="8.83203125" hidden="0" customWidth="1"/>
    <x:col min="11769" max="11769" width="8.83203125" hidden="0" customWidth="1"/>
    <x:col min="11770" max="11770" width="8.83203125" hidden="0" customWidth="1"/>
    <x:col min="11771" max="11771" width="8.83203125" hidden="0" customWidth="1"/>
    <x:col min="11772" max="11772" width="8.83203125" hidden="0" customWidth="1"/>
    <x:col min="11773" max="11773" width="8.83203125" hidden="0" customWidth="1"/>
    <x:col min="11774" max="11774" width="8.83203125" hidden="0" customWidth="1"/>
    <x:col min="11775" max="11775" width="8.83203125" hidden="0" customWidth="1"/>
    <x:col min="11776" max="11776" width="8.83203125" hidden="0" customWidth="1"/>
    <x:col min="11777" max="11777" width="8.83203125" hidden="0" customWidth="1"/>
    <x:col min="11778" max="11778" width="8.83203125" hidden="0" customWidth="1"/>
    <x:col min="11779" max="11779" width="8.83203125" hidden="0" customWidth="1"/>
    <x:col min="11780" max="11780" width="8.83203125" hidden="0" customWidth="1"/>
    <x:col min="11781" max="11781" width="8.83203125" hidden="0" customWidth="1"/>
    <x:col min="11782" max="11782" width="8.83203125" hidden="0" customWidth="1"/>
    <x:col min="11783" max="11783" width="8.83203125" hidden="0" customWidth="1"/>
    <x:col min="11784" max="11784" width="8.83203125" hidden="0" customWidth="1"/>
    <x:col min="11785" max="11785" width="8.83203125" hidden="0" customWidth="1"/>
    <x:col min="11786" max="11786" width="8.83203125" hidden="0" customWidth="1"/>
    <x:col min="11787" max="11787" width="8.83203125" hidden="0" customWidth="1"/>
    <x:col min="11788" max="11788" width="8.83203125" hidden="0" customWidth="1"/>
    <x:col min="11789" max="11789" width="8.83203125" hidden="0" customWidth="1"/>
    <x:col min="11790" max="11790" width="8.83203125" hidden="0" customWidth="1"/>
    <x:col min="11791" max="11791" width="8.83203125" hidden="0" customWidth="1"/>
    <x:col min="11792" max="11792" width="8.83203125" hidden="0" customWidth="1"/>
    <x:col min="11793" max="11793" width="8.83203125" hidden="0" customWidth="1"/>
    <x:col min="11794" max="11794" width="8.83203125" hidden="0" customWidth="1"/>
    <x:col min="11795" max="11795" width="8.83203125" hidden="0" customWidth="1"/>
    <x:col min="11796" max="11796" width="8.83203125" hidden="0" customWidth="1"/>
    <x:col min="11797" max="11797" width="8.83203125" hidden="0" customWidth="1"/>
    <x:col min="11798" max="11798" width="8.83203125" hidden="0" customWidth="1"/>
    <x:col min="11799" max="11799" width="8.83203125" hidden="0" customWidth="1"/>
    <x:col min="11800" max="11800" width="8.83203125" hidden="0" customWidth="1"/>
    <x:col min="11801" max="11801" width="8.83203125" hidden="0" customWidth="1"/>
    <x:col min="11802" max="11802" width="8.83203125" hidden="0" customWidth="1"/>
    <x:col min="11803" max="11803" width="8.83203125" hidden="0" customWidth="1"/>
    <x:col min="11804" max="11804" width="8.83203125" hidden="0" customWidth="1"/>
    <x:col min="11805" max="11805" width="8.83203125" hidden="0" customWidth="1"/>
    <x:col min="11806" max="11806" width="8.83203125" hidden="0" customWidth="1"/>
    <x:col min="11807" max="11807" width="8.83203125" hidden="0" customWidth="1"/>
    <x:col min="11808" max="11808" width="8.83203125" hidden="0" customWidth="1"/>
    <x:col min="11809" max="11809" width="8.83203125" hidden="0" customWidth="1"/>
    <x:col min="11810" max="11810" width="8.83203125" hidden="0" customWidth="1"/>
    <x:col min="11811" max="11811" width="8.83203125" hidden="0" customWidth="1"/>
    <x:col min="11812" max="11812" width="8.83203125" hidden="0" customWidth="1"/>
    <x:col min="11813" max="11813" width="8.83203125" hidden="0" customWidth="1"/>
    <x:col min="11814" max="11814" width="8.83203125" hidden="0" customWidth="1"/>
    <x:col min="11815" max="11815" width="8.83203125" hidden="0" customWidth="1"/>
    <x:col min="11816" max="11816" width="8.83203125" hidden="0" customWidth="1"/>
    <x:col min="11817" max="11817" width="8.83203125" hidden="0" customWidth="1"/>
    <x:col min="11818" max="11818" width="8.83203125" hidden="0" customWidth="1"/>
    <x:col min="11819" max="11819" width="8.83203125" hidden="0" customWidth="1"/>
    <x:col min="11820" max="11820" width="8.83203125" hidden="0" customWidth="1"/>
    <x:col min="11821" max="11821" width="8.83203125" hidden="0" customWidth="1"/>
    <x:col min="11822" max="11822" width="8.83203125" hidden="0" customWidth="1"/>
    <x:col min="11823" max="11823" width="8.83203125" hidden="0" customWidth="1"/>
    <x:col min="11824" max="11824" width="8.83203125" hidden="0" customWidth="1"/>
    <x:col min="11825" max="11825" width="8.83203125" hidden="0" customWidth="1"/>
    <x:col min="11826" max="11826" width="8.83203125" hidden="0" customWidth="1"/>
    <x:col min="11827" max="11827" width="8.83203125" hidden="0" customWidth="1"/>
    <x:col min="11828" max="11828" width="8.83203125" hidden="0" customWidth="1"/>
    <x:col min="11829" max="11829" width="8.83203125" hidden="0" customWidth="1"/>
    <x:col min="11830" max="11830" width="8.83203125" hidden="0" customWidth="1"/>
    <x:col min="11831" max="11831" width="8.83203125" hidden="0" customWidth="1"/>
    <x:col min="11832" max="11832" width="8.83203125" hidden="0" customWidth="1"/>
    <x:col min="11833" max="11833" width="8.83203125" hidden="0" customWidth="1"/>
    <x:col min="11834" max="11834" width="8.83203125" hidden="0" customWidth="1"/>
    <x:col min="11835" max="11835" width="8.83203125" hidden="0" customWidth="1"/>
    <x:col min="11836" max="11836" width="8.83203125" hidden="0" customWidth="1"/>
    <x:col min="11837" max="11837" width="8.83203125" hidden="0" customWidth="1"/>
    <x:col min="11838" max="11838" width="8.83203125" hidden="0" customWidth="1"/>
    <x:col min="11839" max="11839" width="8.83203125" hidden="0" customWidth="1"/>
    <x:col min="11840" max="11840" width="8.83203125" hidden="0" customWidth="1"/>
    <x:col min="11841" max="11841" width="8.83203125" hidden="0" customWidth="1"/>
    <x:col min="11842" max="11842" width="8.83203125" hidden="0" customWidth="1"/>
    <x:col min="11843" max="11843" width="8.83203125" hidden="0" customWidth="1"/>
    <x:col min="11844" max="11844" width="8.83203125" hidden="0" customWidth="1"/>
    <x:col min="11845" max="11845" width="8.83203125" hidden="0" customWidth="1"/>
    <x:col min="11846" max="11846" width="8.83203125" hidden="0" customWidth="1"/>
    <x:col min="11847" max="11847" width="8.83203125" hidden="0" customWidth="1"/>
    <x:col min="11848" max="11848" width="8.83203125" hidden="0" customWidth="1"/>
    <x:col min="11849" max="11849" width="8.83203125" hidden="0" customWidth="1"/>
    <x:col min="11850" max="11850" width="8.83203125" hidden="0" customWidth="1"/>
    <x:col min="11851" max="11851" width="8.83203125" hidden="0" customWidth="1"/>
    <x:col min="11852" max="11852" width="8.83203125" hidden="0" customWidth="1"/>
    <x:col min="11853" max="11853" width="8.83203125" hidden="0" customWidth="1"/>
    <x:col min="11854" max="11854" width="8.83203125" hidden="0" customWidth="1"/>
    <x:col min="11855" max="11855" width="8.83203125" hidden="0" customWidth="1"/>
    <x:col min="11856" max="11856" width="8.83203125" hidden="0" customWidth="1"/>
    <x:col min="11857" max="11857" width="8.83203125" hidden="0" customWidth="1"/>
    <x:col min="11858" max="11858" width="8.83203125" hidden="0" customWidth="1"/>
    <x:col min="11859" max="11859" width="8.83203125" hidden="0" customWidth="1"/>
    <x:col min="11860" max="11860" width="8.83203125" hidden="0" customWidth="1"/>
    <x:col min="11861" max="11861" width="8.83203125" hidden="0" customWidth="1"/>
    <x:col min="11862" max="11862" width="8.83203125" hidden="0" customWidth="1"/>
    <x:col min="11863" max="11863" width="8.83203125" hidden="0" customWidth="1"/>
    <x:col min="11864" max="11864" width="8.83203125" hidden="0" customWidth="1"/>
    <x:col min="11865" max="11865" width="8.83203125" hidden="0" customWidth="1"/>
    <x:col min="11866" max="11866" width="8.83203125" hidden="0" customWidth="1"/>
    <x:col min="11867" max="11867" width="8.83203125" hidden="0" customWidth="1"/>
    <x:col min="11868" max="11868" width="8.83203125" hidden="0" customWidth="1"/>
    <x:col min="11869" max="11869" width="8.83203125" hidden="0" customWidth="1"/>
    <x:col min="11870" max="11870" width="8.83203125" hidden="0" customWidth="1"/>
    <x:col min="11871" max="11871" width="8.83203125" hidden="0" customWidth="1"/>
    <x:col min="11872" max="11872" width="8.83203125" hidden="0" customWidth="1"/>
    <x:col min="11873" max="11873" width="8.83203125" hidden="0" customWidth="1"/>
    <x:col min="11874" max="11874" width="8.83203125" hidden="0" customWidth="1"/>
    <x:col min="11875" max="11875" width="8.83203125" hidden="0" customWidth="1"/>
    <x:col min="11876" max="11876" width="8.83203125" hidden="0" customWidth="1"/>
    <x:col min="11877" max="11877" width="8.83203125" hidden="0" customWidth="1"/>
    <x:col min="11878" max="11878" width="8.83203125" hidden="0" customWidth="1"/>
    <x:col min="11879" max="11879" width="8.83203125" hidden="0" customWidth="1"/>
    <x:col min="11880" max="11880" width="8.83203125" hidden="0" customWidth="1"/>
    <x:col min="11881" max="11881" width="8.83203125" hidden="0" customWidth="1"/>
    <x:col min="11882" max="11882" width="8.83203125" hidden="0" customWidth="1"/>
    <x:col min="11883" max="11883" width="8.83203125" hidden="0" customWidth="1"/>
    <x:col min="11884" max="11884" width="8.83203125" hidden="0" customWidth="1"/>
    <x:col min="11885" max="11885" width="8.83203125" hidden="0" customWidth="1"/>
    <x:col min="11886" max="11886" width="8.83203125" hidden="0" customWidth="1"/>
    <x:col min="11887" max="11887" width="8.83203125" hidden="0" customWidth="1"/>
    <x:col min="11888" max="11888" width="8.83203125" hidden="0" customWidth="1"/>
    <x:col min="11889" max="11889" width="8.83203125" hidden="0" customWidth="1"/>
    <x:col min="11890" max="11890" width="8.83203125" hidden="0" customWidth="1"/>
    <x:col min="11891" max="11891" width="8.83203125" hidden="0" customWidth="1"/>
    <x:col min="11892" max="11892" width="8.83203125" hidden="0" customWidth="1"/>
    <x:col min="11893" max="11893" width="8.83203125" hidden="0" customWidth="1"/>
    <x:col min="11894" max="11894" width="8.83203125" hidden="0" customWidth="1"/>
    <x:col min="11895" max="11895" width="8.83203125" hidden="0" customWidth="1"/>
    <x:col min="11896" max="11896" width="8.83203125" hidden="0" customWidth="1"/>
    <x:col min="11897" max="11897" width="8.83203125" hidden="0" customWidth="1"/>
    <x:col min="11898" max="11898" width="8.83203125" hidden="0" customWidth="1"/>
    <x:col min="11899" max="11899" width="8.83203125" hidden="0" customWidth="1"/>
    <x:col min="11900" max="11900" width="8.83203125" hidden="0" customWidth="1"/>
    <x:col min="11901" max="11901" width="8.83203125" hidden="0" customWidth="1"/>
    <x:col min="11902" max="11902" width="8.83203125" hidden="0" customWidth="1"/>
    <x:col min="11903" max="11903" width="8.83203125" hidden="0" customWidth="1"/>
    <x:col min="11904" max="11904" width="8.83203125" hidden="0" customWidth="1"/>
    <x:col min="11905" max="11905" width="8.83203125" hidden="0" customWidth="1"/>
    <x:col min="11906" max="11906" width="8.83203125" hidden="0" customWidth="1"/>
    <x:col min="11907" max="11907" width="8.83203125" hidden="0" customWidth="1"/>
    <x:col min="11908" max="11908" width="8.83203125" hidden="0" customWidth="1"/>
    <x:col min="11909" max="11909" width="8.83203125" hidden="0" customWidth="1"/>
    <x:col min="11910" max="11910" width="8.83203125" hidden="0" customWidth="1"/>
    <x:col min="11911" max="11911" width="8.83203125" hidden="0" customWidth="1"/>
    <x:col min="11912" max="11912" width="8.83203125" hidden="0" customWidth="1"/>
    <x:col min="11913" max="11913" width="8.83203125" hidden="0" customWidth="1"/>
    <x:col min="11914" max="11914" width="8.83203125" hidden="0" customWidth="1"/>
    <x:col min="11915" max="11915" width="8.83203125" hidden="0" customWidth="1"/>
    <x:col min="11916" max="11916" width="8.83203125" hidden="0" customWidth="1"/>
    <x:col min="11917" max="11917" width="8.83203125" hidden="0" customWidth="1"/>
    <x:col min="11918" max="11918" width="8.83203125" hidden="0" customWidth="1"/>
    <x:col min="11919" max="11919" width="8.83203125" hidden="0" customWidth="1"/>
    <x:col min="11920" max="11920" width="8.83203125" hidden="0" customWidth="1"/>
    <x:col min="11921" max="11921" width="8.83203125" hidden="0" customWidth="1"/>
    <x:col min="11922" max="11922" width="8.83203125" hidden="0" customWidth="1"/>
    <x:col min="11923" max="11923" width="8.83203125" hidden="0" customWidth="1"/>
    <x:col min="11924" max="11924" width="8.83203125" hidden="0" customWidth="1"/>
    <x:col min="11925" max="11925" width="8.83203125" hidden="0" customWidth="1"/>
    <x:col min="11926" max="11926" width="8.83203125" hidden="0" customWidth="1"/>
    <x:col min="11927" max="11927" width="8.83203125" hidden="0" customWidth="1"/>
    <x:col min="11928" max="11928" width="8.83203125" hidden="0" customWidth="1"/>
    <x:col min="11929" max="11929" width="8.83203125" hidden="0" customWidth="1"/>
    <x:col min="11930" max="11930" width="8.83203125" hidden="0" customWidth="1"/>
    <x:col min="11931" max="11931" width="8.83203125" hidden="0" customWidth="1"/>
    <x:col min="11932" max="11932" width="8.83203125" hidden="0" customWidth="1"/>
    <x:col min="11933" max="11933" width="8.83203125" hidden="0" customWidth="1"/>
    <x:col min="11934" max="11934" width="8.83203125" hidden="0" customWidth="1"/>
    <x:col min="11935" max="11935" width="8.83203125" hidden="0" customWidth="1"/>
    <x:col min="11936" max="11936" width="8.83203125" hidden="0" customWidth="1"/>
    <x:col min="11937" max="11937" width="8.83203125" hidden="0" customWidth="1"/>
    <x:col min="11938" max="11938" width="8.83203125" hidden="0" customWidth="1"/>
    <x:col min="11939" max="11939" width="8.83203125" hidden="0" customWidth="1"/>
    <x:col min="11940" max="11940" width="8.83203125" hidden="0" customWidth="1"/>
    <x:col min="11941" max="11941" width="8.83203125" hidden="0" customWidth="1"/>
    <x:col min="11942" max="11942" width="8.83203125" hidden="0" customWidth="1"/>
    <x:col min="11943" max="11943" width="8.83203125" hidden="0" customWidth="1"/>
    <x:col min="11944" max="11944" width="8.83203125" hidden="0" customWidth="1"/>
    <x:col min="11945" max="11945" width="8.83203125" hidden="0" customWidth="1"/>
    <x:col min="11946" max="11946" width="8.83203125" hidden="0" customWidth="1"/>
    <x:col min="11947" max="11947" width="8.83203125" hidden="0" customWidth="1"/>
    <x:col min="11948" max="11948" width="8.83203125" hidden="0" customWidth="1"/>
    <x:col min="11949" max="11949" width="8.83203125" hidden="0" customWidth="1"/>
    <x:col min="11950" max="11950" width="8.83203125" hidden="0" customWidth="1"/>
    <x:col min="11951" max="11951" width="8.83203125" hidden="0" customWidth="1"/>
    <x:col min="11952" max="11952" width="8.83203125" hidden="0" customWidth="1"/>
    <x:col min="11953" max="11953" width="8.83203125" hidden="0" customWidth="1"/>
    <x:col min="11954" max="11954" width="8.83203125" hidden="0" customWidth="1"/>
    <x:col min="11955" max="11955" width="8.83203125" hidden="0" customWidth="1"/>
    <x:col min="11956" max="11956" width="8.83203125" hidden="0" customWidth="1"/>
    <x:col min="11957" max="11957" width="8.83203125" hidden="0" customWidth="1"/>
    <x:col min="11958" max="11958" width="8.83203125" hidden="0" customWidth="1"/>
    <x:col min="11959" max="11959" width="8.83203125" hidden="0" customWidth="1"/>
    <x:col min="11960" max="11960" width="8.83203125" hidden="0" customWidth="1"/>
    <x:col min="11961" max="11961" width="8.83203125" hidden="0" customWidth="1"/>
    <x:col min="11962" max="11962" width="8.83203125" hidden="0" customWidth="1"/>
    <x:col min="11963" max="11963" width="8.83203125" hidden="0" customWidth="1"/>
    <x:col min="11964" max="11964" width="8.83203125" hidden="0" customWidth="1"/>
    <x:col min="11965" max="11965" width="8.83203125" hidden="0" customWidth="1"/>
    <x:col min="11966" max="11966" width="8.83203125" hidden="0" customWidth="1"/>
    <x:col min="11967" max="11967" width="8.83203125" hidden="0" customWidth="1"/>
    <x:col min="11968" max="11968" width="8.83203125" hidden="0" customWidth="1"/>
    <x:col min="11969" max="11969" width="8.83203125" hidden="0" customWidth="1"/>
    <x:col min="11970" max="11970" width="8.83203125" hidden="0" customWidth="1"/>
    <x:col min="11971" max="11971" width="8.83203125" hidden="0" customWidth="1"/>
    <x:col min="11972" max="11972" width="8.83203125" hidden="0" customWidth="1"/>
    <x:col min="11973" max="11973" width="8.83203125" hidden="0" customWidth="1"/>
    <x:col min="11974" max="11974" width="8.83203125" hidden="0" customWidth="1"/>
    <x:col min="11975" max="11975" width="8.83203125" hidden="0" customWidth="1"/>
    <x:col min="11976" max="11976" width="8.83203125" hidden="0" customWidth="1"/>
    <x:col min="11977" max="11977" width="8.83203125" hidden="0" customWidth="1"/>
    <x:col min="11978" max="11978" width="8.83203125" hidden="0" customWidth="1"/>
    <x:col min="11979" max="11979" width="8.83203125" hidden="0" customWidth="1"/>
    <x:col min="11980" max="11980" width="8.83203125" hidden="0" customWidth="1"/>
    <x:col min="11981" max="11981" width="8.83203125" hidden="0" customWidth="1"/>
    <x:col min="11982" max="11982" width="8.83203125" hidden="0" customWidth="1"/>
    <x:col min="11983" max="11983" width="8.83203125" hidden="0" customWidth="1"/>
    <x:col min="11984" max="11984" width="8.83203125" hidden="0" customWidth="1"/>
    <x:col min="11985" max="11985" width="8.83203125" hidden="0" customWidth="1"/>
    <x:col min="11986" max="11986" width="8.83203125" hidden="0" customWidth="1"/>
    <x:col min="11987" max="11987" width="8.83203125" hidden="0" customWidth="1"/>
    <x:col min="11988" max="11988" width="8.83203125" hidden="0" customWidth="1"/>
    <x:col min="11989" max="11989" width="8.83203125" hidden="0" customWidth="1"/>
    <x:col min="11990" max="11990" width="8.83203125" hidden="0" customWidth="1"/>
    <x:col min="11991" max="11991" width="8.83203125" hidden="0" customWidth="1"/>
    <x:col min="11992" max="11992" width="8.83203125" hidden="0" customWidth="1"/>
    <x:col min="11993" max="11993" width="8.83203125" hidden="0" customWidth="1"/>
    <x:col min="11994" max="11994" width="8.83203125" hidden="0" customWidth="1"/>
    <x:col min="11995" max="11995" width="8.83203125" hidden="0" customWidth="1"/>
    <x:col min="11996" max="11996" width="8.83203125" hidden="0" customWidth="1"/>
    <x:col min="11997" max="11997" width="8.83203125" hidden="0" customWidth="1"/>
    <x:col min="11998" max="11998" width="8.83203125" hidden="0" customWidth="1"/>
    <x:col min="11999" max="11999" width="8.83203125" hidden="0" customWidth="1"/>
    <x:col min="12000" max="12000" width="8.83203125" hidden="0" customWidth="1"/>
    <x:col min="12001" max="12001" width="8.83203125" hidden="0" customWidth="1"/>
    <x:col min="12002" max="12002" width="8.83203125" hidden="0" customWidth="1"/>
    <x:col min="12003" max="12003" width="8.83203125" hidden="0" customWidth="1"/>
    <x:col min="12004" max="12004" width="8.83203125" hidden="0" customWidth="1"/>
    <x:col min="12005" max="12005" width="8.83203125" hidden="0" customWidth="1"/>
    <x:col min="12006" max="12006" width="8.83203125" hidden="0" customWidth="1"/>
    <x:col min="12007" max="12007" width="8.83203125" hidden="0" customWidth="1"/>
    <x:col min="12008" max="12008" width="8.83203125" hidden="0" customWidth="1"/>
    <x:col min="12009" max="12009" width="8.83203125" hidden="0" customWidth="1"/>
    <x:col min="12010" max="12010" width="8.83203125" hidden="0" customWidth="1"/>
    <x:col min="12011" max="12011" width="8.83203125" hidden="0" customWidth="1"/>
    <x:col min="12012" max="12012" width="8.83203125" hidden="0" customWidth="1"/>
    <x:col min="12013" max="12013" width="8.83203125" hidden="0" customWidth="1"/>
    <x:col min="12014" max="12014" width="8.83203125" hidden="0" customWidth="1"/>
    <x:col min="12015" max="12015" width="8.83203125" hidden="0" customWidth="1"/>
    <x:col min="12016" max="12016" width="8.83203125" hidden="0" customWidth="1"/>
    <x:col min="12017" max="12017" width="8.83203125" hidden="0" customWidth="1"/>
    <x:col min="12018" max="12018" width="8.83203125" hidden="0" customWidth="1"/>
    <x:col min="12019" max="12019" width="8.83203125" hidden="0" customWidth="1"/>
    <x:col min="12020" max="12020" width="8.83203125" hidden="0" customWidth="1"/>
    <x:col min="12021" max="12021" width="8.83203125" hidden="0" customWidth="1"/>
    <x:col min="12022" max="12022" width="8.83203125" hidden="0" customWidth="1"/>
    <x:col min="12023" max="12023" width="8.83203125" hidden="0" customWidth="1"/>
    <x:col min="12024" max="12024" width="8.83203125" hidden="0" customWidth="1"/>
    <x:col min="12025" max="12025" width="8.83203125" hidden="0" customWidth="1"/>
    <x:col min="12026" max="12026" width="8.83203125" hidden="0" customWidth="1"/>
    <x:col min="12027" max="12027" width="8.83203125" hidden="0" customWidth="1"/>
    <x:col min="12028" max="12028" width="8.83203125" hidden="0" customWidth="1"/>
    <x:col min="12029" max="12029" width="8.83203125" hidden="0" customWidth="1"/>
    <x:col min="12030" max="12030" width="8.83203125" hidden="0" customWidth="1"/>
    <x:col min="12031" max="12031" width="8.83203125" hidden="0" customWidth="1"/>
    <x:col min="12032" max="12032" width="8.83203125" hidden="0" customWidth="1"/>
    <x:col min="12033" max="12033" width="8.83203125" hidden="0" customWidth="1"/>
    <x:col min="12034" max="12034" width="8.83203125" hidden="0" customWidth="1"/>
    <x:col min="12035" max="12035" width="8.83203125" hidden="0" customWidth="1"/>
    <x:col min="12036" max="12036" width="8.83203125" hidden="0" customWidth="1"/>
    <x:col min="12037" max="12037" width="8.83203125" hidden="0" customWidth="1"/>
    <x:col min="12038" max="12038" width="8.83203125" hidden="0" customWidth="1"/>
    <x:col min="12039" max="12039" width="8.83203125" hidden="0" customWidth="1"/>
    <x:col min="12040" max="12040" width="8.83203125" hidden="0" customWidth="1"/>
    <x:col min="12041" max="12041" width="8.83203125" hidden="0" customWidth="1"/>
    <x:col min="12042" max="12042" width="8.83203125" hidden="0" customWidth="1"/>
    <x:col min="12043" max="12043" width="8.83203125" hidden="0" customWidth="1"/>
    <x:col min="12044" max="12044" width="8.83203125" hidden="0" customWidth="1"/>
    <x:col min="12045" max="12045" width="8.83203125" hidden="0" customWidth="1"/>
    <x:col min="12046" max="12046" width="8.83203125" hidden="0" customWidth="1"/>
    <x:col min="12047" max="12047" width="8.83203125" hidden="0" customWidth="1"/>
    <x:col min="12048" max="12048" width="8.83203125" hidden="0" customWidth="1"/>
    <x:col min="12049" max="12049" width="8.83203125" hidden="0" customWidth="1"/>
    <x:col min="12050" max="12050" width="8.83203125" hidden="0" customWidth="1"/>
    <x:col min="12051" max="12051" width="8.83203125" hidden="0" customWidth="1"/>
    <x:col min="12052" max="12052" width="8.83203125" hidden="0" customWidth="1"/>
    <x:col min="12053" max="12053" width="8.83203125" hidden="0" customWidth="1"/>
    <x:col min="12054" max="12054" width="8.83203125" hidden="0" customWidth="1"/>
    <x:col min="12055" max="12055" width="8.83203125" hidden="0" customWidth="1"/>
    <x:col min="12056" max="12056" width="8.83203125" hidden="0" customWidth="1"/>
    <x:col min="12057" max="12057" width="8.83203125" hidden="0" customWidth="1"/>
    <x:col min="12058" max="12058" width="8.83203125" hidden="0" customWidth="1"/>
    <x:col min="12059" max="12059" width="8.83203125" hidden="0" customWidth="1"/>
    <x:col min="12060" max="12060" width="8.83203125" hidden="0" customWidth="1"/>
    <x:col min="12061" max="12061" width="8.83203125" hidden="0" customWidth="1"/>
    <x:col min="12062" max="12062" width="8.83203125" hidden="0" customWidth="1"/>
    <x:col min="12063" max="12063" width="8.83203125" hidden="0" customWidth="1"/>
    <x:col min="12064" max="12064" width="8.83203125" hidden="0" customWidth="1"/>
    <x:col min="12065" max="12065" width="8.83203125" hidden="0" customWidth="1"/>
    <x:col min="12066" max="12066" width="8.83203125" hidden="0" customWidth="1"/>
    <x:col min="12067" max="12067" width="8.83203125" hidden="0" customWidth="1"/>
    <x:col min="12068" max="12068" width="8.83203125" hidden="0" customWidth="1"/>
    <x:col min="12069" max="12069" width="8.83203125" hidden="0" customWidth="1"/>
    <x:col min="12070" max="12070" width="8.83203125" hidden="0" customWidth="1"/>
    <x:col min="12071" max="12071" width="8.83203125" hidden="0" customWidth="1"/>
    <x:col min="12072" max="12072" width="8.83203125" hidden="0" customWidth="1"/>
    <x:col min="12073" max="12073" width="8.83203125" hidden="0" customWidth="1"/>
    <x:col min="12074" max="12074" width="8.83203125" hidden="0" customWidth="1"/>
    <x:col min="12075" max="12075" width="8.83203125" hidden="0" customWidth="1"/>
    <x:col min="12076" max="12076" width="8.83203125" hidden="0" customWidth="1"/>
    <x:col min="12077" max="12077" width="8.83203125" hidden="0" customWidth="1"/>
    <x:col min="12078" max="12078" width="8.83203125" hidden="0" customWidth="1"/>
    <x:col min="12079" max="12079" width="8.83203125" hidden="0" customWidth="1"/>
    <x:col min="12080" max="12080" width="8.83203125" hidden="0" customWidth="1"/>
    <x:col min="12081" max="12081" width="8.83203125" hidden="0" customWidth="1"/>
    <x:col min="12082" max="12082" width="8.83203125" hidden="0" customWidth="1"/>
    <x:col min="12083" max="12083" width="8.83203125" hidden="0" customWidth="1"/>
    <x:col min="12084" max="12084" width="8.83203125" hidden="0" customWidth="1"/>
    <x:col min="12085" max="12085" width="8.83203125" hidden="0" customWidth="1"/>
    <x:col min="12086" max="12086" width="8.83203125" hidden="0" customWidth="1"/>
    <x:col min="12087" max="12087" width="8.83203125" hidden="0" customWidth="1"/>
    <x:col min="12088" max="12088" width="8.83203125" hidden="0" customWidth="1"/>
    <x:col min="12089" max="12089" width="8.83203125" hidden="0" customWidth="1"/>
    <x:col min="12090" max="12090" width="8.83203125" hidden="0" customWidth="1"/>
    <x:col min="12091" max="12091" width="8.83203125" hidden="0" customWidth="1"/>
    <x:col min="12092" max="12092" width="8.83203125" hidden="0" customWidth="1"/>
    <x:col min="12093" max="12093" width="8.83203125" hidden="0" customWidth="1"/>
    <x:col min="12094" max="12094" width="8.83203125" hidden="0" customWidth="1"/>
    <x:col min="12095" max="12095" width="8.83203125" hidden="0" customWidth="1"/>
    <x:col min="12096" max="12096" width="8.83203125" hidden="0" customWidth="1"/>
    <x:col min="12097" max="12097" width="8.83203125" hidden="0" customWidth="1"/>
    <x:col min="12098" max="12098" width="8.83203125" hidden="0" customWidth="1"/>
    <x:col min="12099" max="12099" width="8.83203125" hidden="0" customWidth="1"/>
    <x:col min="12100" max="12100" width="8.83203125" hidden="0" customWidth="1"/>
    <x:col min="12101" max="12101" width="8.83203125" hidden="0" customWidth="1"/>
    <x:col min="12102" max="12102" width="8.83203125" hidden="0" customWidth="1"/>
    <x:col min="12103" max="12103" width="8.83203125" hidden="0" customWidth="1"/>
    <x:col min="12104" max="12104" width="8.83203125" hidden="0" customWidth="1"/>
    <x:col min="12105" max="12105" width="8.83203125" hidden="0" customWidth="1"/>
    <x:col min="12106" max="12106" width="8.83203125" hidden="0" customWidth="1"/>
    <x:col min="12107" max="12107" width="8.83203125" hidden="0" customWidth="1"/>
    <x:col min="12108" max="12108" width="8.83203125" hidden="0" customWidth="1"/>
    <x:col min="12109" max="12109" width="8.83203125" hidden="0" customWidth="1"/>
    <x:col min="12110" max="12110" width="8.83203125" hidden="0" customWidth="1"/>
    <x:col min="12111" max="12111" width="8.83203125" hidden="0" customWidth="1"/>
    <x:col min="12112" max="12112" width="8.83203125" hidden="0" customWidth="1"/>
    <x:col min="12113" max="12113" width="8.83203125" hidden="0" customWidth="1"/>
    <x:col min="12114" max="12114" width="8.83203125" hidden="0" customWidth="1"/>
    <x:col min="12115" max="12115" width="8.83203125" hidden="0" customWidth="1"/>
    <x:col min="12116" max="12116" width="8.83203125" hidden="0" customWidth="1"/>
    <x:col min="12117" max="12117" width="8.83203125" hidden="0" customWidth="1"/>
    <x:col min="12118" max="12118" width="8.83203125" hidden="0" customWidth="1"/>
    <x:col min="12119" max="12119" width="8.83203125" hidden="0" customWidth="1"/>
    <x:col min="12120" max="12120" width="8.83203125" hidden="0" customWidth="1"/>
    <x:col min="12121" max="12121" width="8.83203125" hidden="0" customWidth="1"/>
    <x:col min="12122" max="12122" width="8.83203125" hidden="0" customWidth="1"/>
    <x:col min="12123" max="12123" width="8.83203125" hidden="0" customWidth="1"/>
    <x:col min="12124" max="12124" width="8.83203125" hidden="0" customWidth="1"/>
    <x:col min="12125" max="12125" width="8.83203125" hidden="0" customWidth="1"/>
    <x:col min="12126" max="12126" width="8.83203125" hidden="0" customWidth="1"/>
    <x:col min="12127" max="12127" width="8.83203125" hidden="0" customWidth="1"/>
    <x:col min="12128" max="12128" width="8.83203125" hidden="0" customWidth="1"/>
    <x:col min="12129" max="12129" width="8.83203125" hidden="0" customWidth="1"/>
    <x:col min="12130" max="12130" width="8.83203125" hidden="0" customWidth="1"/>
    <x:col min="12131" max="12131" width="8.83203125" hidden="0" customWidth="1"/>
    <x:col min="12132" max="12132" width="8.83203125" hidden="0" customWidth="1"/>
    <x:col min="12133" max="12133" width="8.83203125" hidden="0" customWidth="1"/>
    <x:col min="12134" max="12134" width="8.83203125" hidden="0" customWidth="1"/>
    <x:col min="12135" max="12135" width="8.83203125" hidden="0" customWidth="1"/>
    <x:col min="12136" max="12136" width="8.83203125" hidden="0" customWidth="1"/>
    <x:col min="12137" max="12137" width="8.83203125" hidden="0" customWidth="1"/>
    <x:col min="12138" max="12138" width="8.83203125" hidden="0" customWidth="1"/>
    <x:col min="12139" max="12139" width="8.83203125" hidden="0" customWidth="1"/>
    <x:col min="12140" max="12140" width="8.83203125" hidden="0" customWidth="1"/>
    <x:col min="12141" max="12141" width="8.83203125" hidden="0" customWidth="1"/>
    <x:col min="12142" max="12142" width="8.83203125" hidden="0" customWidth="1"/>
    <x:col min="12143" max="12143" width="8.83203125" hidden="0" customWidth="1"/>
    <x:col min="12144" max="12144" width="8.83203125" hidden="0" customWidth="1"/>
    <x:col min="12145" max="12145" width="8.83203125" hidden="0" customWidth="1"/>
    <x:col min="12146" max="12146" width="8.83203125" hidden="0" customWidth="1"/>
    <x:col min="12147" max="12147" width="8.83203125" hidden="0" customWidth="1"/>
    <x:col min="12148" max="12148" width="8.83203125" hidden="0" customWidth="1"/>
    <x:col min="12149" max="12149" width="8.83203125" hidden="0" customWidth="1"/>
    <x:col min="12150" max="12150" width="8.83203125" hidden="0" customWidth="1"/>
    <x:col min="12151" max="12151" width="8.83203125" hidden="0" customWidth="1"/>
    <x:col min="12152" max="12152" width="8.83203125" hidden="0" customWidth="1"/>
    <x:col min="12153" max="12153" width="8.83203125" hidden="0" customWidth="1"/>
    <x:col min="12154" max="12154" width="8.83203125" hidden="0" customWidth="1"/>
    <x:col min="12155" max="12155" width="8.83203125" hidden="0" customWidth="1"/>
    <x:col min="12156" max="12156" width="8.83203125" hidden="0" customWidth="1"/>
    <x:col min="12157" max="12157" width="8.83203125" hidden="0" customWidth="1"/>
    <x:col min="12158" max="12158" width="8.83203125" hidden="0" customWidth="1"/>
    <x:col min="12159" max="12159" width="8.83203125" hidden="0" customWidth="1"/>
    <x:col min="12160" max="12160" width="8.83203125" hidden="0" customWidth="1"/>
    <x:col min="12161" max="12161" width="8.83203125" hidden="0" customWidth="1"/>
    <x:col min="12162" max="12162" width="8.83203125" hidden="0" customWidth="1"/>
    <x:col min="12163" max="12163" width="8.83203125" hidden="0" customWidth="1"/>
    <x:col min="12164" max="12164" width="8.83203125" hidden="0" customWidth="1"/>
    <x:col min="12165" max="12165" width="8.83203125" hidden="0" customWidth="1"/>
    <x:col min="12166" max="12166" width="8.83203125" hidden="0" customWidth="1"/>
    <x:col min="12167" max="12167" width="8.83203125" hidden="0" customWidth="1"/>
    <x:col min="12168" max="12168" width="8.83203125" hidden="0" customWidth="1"/>
    <x:col min="12169" max="12169" width="8.83203125" hidden="0" customWidth="1"/>
    <x:col min="12170" max="12170" width="8.83203125" hidden="0" customWidth="1"/>
    <x:col min="12171" max="12171" width="8.83203125" hidden="0" customWidth="1"/>
    <x:col min="12172" max="12172" width="8.83203125" hidden="0" customWidth="1"/>
    <x:col min="12173" max="12173" width="8.83203125" hidden="0" customWidth="1"/>
    <x:col min="12174" max="12174" width="8.83203125" hidden="0" customWidth="1"/>
    <x:col min="12175" max="12175" width="8.83203125" hidden="0" customWidth="1"/>
    <x:col min="12176" max="12176" width="8.83203125" hidden="0" customWidth="1"/>
    <x:col min="12177" max="12177" width="8.83203125" hidden="0" customWidth="1"/>
    <x:col min="12178" max="12178" width="8.83203125" hidden="0" customWidth="1"/>
    <x:col min="12179" max="12179" width="8.83203125" hidden="0" customWidth="1"/>
    <x:col min="12180" max="12180" width="8.83203125" hidden="0" customWidth="1"/>
    <x:col min="12181" max="12181" width="8.83203125" hidden="0" customWidth="1"/>
    <x:col min="12182" max="12182" width="8.83203125" hidden="0" customWidth="1"/>
    <x:col min="12183" max="12183" width="8.83203125" hidden="0" customWidth="1"/>
    <x:col min="12184" max="12184" width="8.83203125" hidden="0" customWidth="1"/>
    <x:col min="12185" max="12185" width="8.83203125" hidden="0" customWidth="1"/>
    <x:col min="12186" max="12186" width="8.83203125" hidden="0" customWidth="1"/>
    <x:col min="12187" max="12187" width="8.83203125" hidden="0" customWidth="1"/>
    <x:col min="12188" max="12188" width="8.83203125" hidden="0" customWidth="1"/>
    <x:col min="12189" max="12189" width="8.83203125" hidden="0" customWidth="1"/>
    <x:col min="12190" max="12190" width="8.83203125" hidden="0" customWidth="1"/>
    <x:col min="12191" max="12191" width="8.83203125" hidden="0" customWidth="1"/>
    <x:col min="12192" max="12192" width="8.83203125" hidden="0" customWidth="1"/>
    <x:col min="12193" max="12193" width="8.83203125" hidden="0" customWidth="1"/>
    <x:col min="12194" max="12194" width="8.83203125" hidden="0" customWidth="1"/>
    <x:col min="12195" max="12195" width="8.83203125" hidden="0" customWidth="1"/>
    <x:col min="12196" max="12196" width="8.83203125" hidden="0" customWidth="1"/>
    <x:col min="12197" max="12197" width="8.83203125" hidden="0" customWidth="1"/>
    <x:col min="12198" max="12198" width="8.83203125" hidden="0" customWidth="1"/>
    <x:col min="12199" max="12199" width="8.83203125" hidden="0" customWidth="1"/>
    <x:col min="12200" max="12200" width="8.83203125" hidden="0" customWidth="1"/>
    <x:col min="12201" max="12201" width="8.83203125" hidden="0" customWidth="1"/>
    <x:col min="12202" max="12202" width="8.83203125" hidden="0" customWidth="1"/>
    <x:col min="12203" max="12203" width="8.83203125" hidden="0" customWidth="1"/>
    <x:col min="12204" max="12204" width="8.83203125" hidden="0" customWidth="1"/>
    <x:col min="12205" max="12205" width="8.83203125" hidden="0" customWidth="1"/>
    <x:col min="12206" max="12206" width="8.83203125" hidden="0" customWidth="1"/>
    <x:col min="12207" max="12207" width="8.83203125" hidden="0" customWidth="1"/>
    <x:col min="12208" max="12208" width="8.83203125" hidden="0" customWidth="1"/>
    <x:col min="12209" max="12209" width="8.83203125" hidden="0" customWidth="1"/>
    <x:col min="12210" max="12210" width="8.83203125" hidden="0" customWidth="1"/>
    <x:col min="12211" max="12211" width="8.83203125" hidden="0" customWidth="1"/>
    <x:col min="12212" max="12212" width="8.83203125" hidden="0" customWidth="1"/>
    <x:col min="12213" max="12213" width="8.83203125" hidden="0" customWidth="1"/>
    <x:col min="12214" max="12214" width="8.83203125" hidden="0" customWidth="1"/>
    <x:col min="12215" max="12215" width="8.83203125" hidden="0" customWidth="1"/>
    <x:col min="12216" max="12216" width="8.83203125" hidden="0" customWidth="1"/>
    <x:col min="12217" max="12217" width="8.83203125" hidden="0" customWidth="1"/>
    <x:col min="12218" max="12218" width="8.83203125" hidden="0" customWidth="1"/>
    <x:col min="12219" max="12219" width="8.83203125" hidden="0" customWidth="1"/>
    <x:col min="12220" max="12220" width="8.83203125" hidden="0" customWidth="1"/>
    <x:col min="12221" max="12221" width="8.83203125" hidden="0" customWidth="1"/>
    <x:col min="12222" max="12222" width="8.83203125" hidden="0" customWidth="1"/>
    <x:col min="12223" max="12223" width="8.83203125" hidden="0" customWidth="1"/>
    <x:col min="12224" max="12224" width="8.83203125" hidden="0" customWidth="1"/>
    <x:col min="12225" max="12225" width="8.83203125" hidden="0" customWidth="1"/>
    <x:col min="12226" max="12226" width="8.83203125" hidden="0" customWidth="1"/>
    <x:col min="12227" max="12227" width="8.83203125" hidden="0" customWidth="1"/>
    <x:col min="12228" max="12228" width="8.83203125" hidden="0" customWidth="1"/>
    <x:col min="12229" max="12229" width="8.83203125" hidden="0" customWidth="1"/>
    <x:col min="12230" max="12230" width="8.83203125" hidden="0" customWidth="1"/>
    <x:col min="12231" max="12231" width="8.83203125" hidden="0" customWidth="1"/>
    <x:col min="12232" max="12232" width="8.83203125" hidden="0" customWidth="1"/>
    <x:col min="12233" max="12233" width="8.83203125" hidden="0" customWidth="1"/>
    <x:col min="12234" max="12234" width="8.83203125" hidden="0" customWidth="1"/>
    <x:col min="12235" max="12235" width="8.83203125" hidden="0" customWidth="1"/>
    <x:col min="12236" max="12236" width="8.83203125" hidden="0" customWidth="1"/>
    <x:col min="12237" max="12237" width="8.83203125" hidden="0" customWidth="1"/>
    <x:col min="12238" max="12238" width="8.83203125" hidden="0" customWidth="1"/>
    <x:col min="12239" max="12239" width="8.83203125" hidden="0" customWidth="1"/>
    <x:col min="12240" max="12240" width="8.83203125" hidden="0" customWidth="1"/>
    <x:col min="12241" max="12241" width="8.83203125" hidden="0" customWidth="1"/>
    <x:col min="12242" max="12242" width="8.83203125" hidden="0" customWidth="1"/>
    <x:col min="12243" max="12243" width="8.83203125" hidden="0" customWidth="1"/>
    <x:col min="12244" max="12244" width="8.83203125" hidden="0" customWidth="1"/>
    <x:col min="12245" max="12245" width="8.83203125" hidden="0" customWidth="1"/>
    <x:col min="12246" max="12246" width="8.83203125" hidden="0" customWidth="1"/>
    <x:col min="12247" max="12247" width="8.83203125" hidden="0" customWidth="1"/>
    <x:col min="12248" max="12248" width="8.83203125" hidden="0" customWidth="1"/>
    <x:col min="12249" max="12249" width="8.83203125" hidden="0" customWidth="1"/>
    <x:col min="12250" max="12250" width="8.83203125" hidden="0" customWidth="1"/>
    <x:col min="12251" max="12251" width="8.83203125" hidden="0" customWidth="1"/>
    <x:col min="12252" max="12252" width="8.83203125" hidden="0" customWidth="1"/>
    <x:col min="12253" max="12253" width="8.83203125" hidden="0" customWidth="1"/>
    <x:col min="12254" max="12254" width="8.83203125" hidden="0" customWidth="1"/>
    <x:col min="12255" max="12255" width="8.83203125" hidden="0" customWidth="1"/>
    <x:col min="12256" max="12256" width="8.83203125" hidden="0" customWidth="1"/>
    <x:col min="12257" max="12257" width="8.83203125" hidden="0" customWidth="1"/>
    <x:col min="12258" max="12258" width="8.83203125" hidden="0" customWidth="1"/>
    <x:col min="12259" max="12259" width="8.83203125" hidden="0" customWidth="1"/>
    <x:col min="12260" max="12260" width="8.83203125" hidden="0" customWidth="1"/>
    <x:col min="12261" max="12261" width="8.83203125" hidden="0" customWidth="1"/>
    <x:col min="12262" max="12262" width="8.83203125" hidden="0" customWidth="1"/>
    <x:col min="12263" max="12263" width="8.83203125" hidden="0" customWidth="1"/>
    <x:col min="12264" max="12264" width="8.83203125" hidden="0" customWidth="1"/>
    <x:col min="12265" max="12265" width="8.83203125" hidden="0" customWidth="1"/>
    <x:col min="12266" max="12266" width="8.83203125" hidden="0" customWidth="1"/>
    <x:col min="12267" max="12267" width="8.83203125" hidden="0" customWidth="1"/>
    <x:col min="12268" max="12268" width="8.83203125" hidden="0" customWidth="1"/>
    <x:col min="12269" max="12269" width="8.83203125" hidden="0" customWidth="1"/>
    <x:col min="12270" max="12270" width="8.83203125" hidden="0" customWidth="1"/>
    <x:col min="12271" max="12271" width="8.83203125" hidden="0" customWidth="1"/>
    <x:col min="12272" max="12272" width="8.83203125" hidden="0" customWidth="1"/>
    <x:col min="12273" max="12273" width="8.83203125" hidden="0" customWidth="1"/>
    <x:col min="12274" max="12274" width="8.83203125" hidden="0" customWidth="1"/>
    <x:col min="12275" max="12275" width="8.83203125" hidden="0" customWidth="1"/>
    <x:col min="12276" max="12276" width="8.83203125" hidden="0" customWidth="1"/>
    <x:col min="12277" max="12277" width="8.83203125" hidden="0" customWidth="1"/>
    <x:col min="12278" max="12278" width="8.83203125" hidden="0" customWidth="1"/>
    <x:col min="12279" max="12279" width="8.83203125" hidden="0" customWidth="1"/>
    <x:col min="12280" max="12280" width="8.83203125" hidden="0" customWidth="1"/>
    <x:col min="12281" max="12281" width="8.83203125" hidden="0" customWidth="1"/>
    <x:col min="12282" max="12282" width="8.83203125" hidden="0" customWidth="1"/>
    <x:col min="12283" max="12283" width="8.83203125" hidden="0" customWidth="1"/>
    <x:col min="12284" max="12284" width="8.83203125" hidden="0" customWidth="1"/>
    <x:col min="12285" max="12285" width="8.83203125" hidden="0" customWidth="1"/>
    <x:col min="12286" max="12286" width="8.83203125" hidden="0" customWidth="1"/>
    <x:col min="12287" max="12287" width="8.83203125" hidden="0" customWidth="1"/>
    <x:col min="12288" max="12288" width="8.83203125" hidden="0" customWidth="1"/>
    <x:col min="12289" max="12289" width="8.83203125" hidden="0" customWidth="1"/>
    <x:col min="12290" max="12290" width="8.83203125" hidden="0" customWidth="1"/>
    <x:col min="12291" max="12291" width="8.83203125" hidden="0" customWidth="1"/>
    <x:col min="12292" max="12292" width="8.83203125" hidden="0" customWidth="1"/>
    <x:col min="12293" max="12293" width="8.83203125" hidden="0" customWidth="1"/>
    <x:col min="12294" max="12294" width="8.83203125" hidden="0" customWidth="1"/>
    <x:col min="12295" max="12295" width="8.83203125" hidden="0" customWidth="1"/>
    <x:col min="12296" max="12296" width="8.83203125" hidden="0" customWidth="1"/>
    <x:col min="12297" max="12297" width="8.83203125" hidden="0" customWidth="1"/>
    <x:col min="12298" max="12298" width="8.83203125" hidden="0" customWidth="1"/>
    <x:col min="12299" max="12299" width="8.83203125" hidden="0" customWidth="1"/>
    <x:col min="12300" max="12300" width="8.83203125" hidden="0" customWidth="1"/>
    <x:col min="12301" max="12301" width="8.83203125" hidden="0" customWidth="1"/>
    <x:col min="12302" max="12302" width="8.83203125" hidden="0" customWidth="1"/>
    <x:col min="12303" max="12303" width="8.83203125" hidden="0" customWidth="1"/>
    <x:col min="12304" max="12304" width="8.83203125" hidden="0" customWidth="1"/>
    <x:col min="12305" max="12305" width="8.83203125" hidden="0" customWidth="1"/>
    <x:col min="12306" max="12306" width="8.83203125" hidden="0" customWidth="1"/>
    <x:col min="12307" max="12307" width="8.83203125" hidden="0" customWidth="1"/>
    <x:col min="12308" max="12308" width="8.83203125" hidden="0" customWidth="1"/>
    <x:col min="12309" max="12309" width="8.83203125" hidden="0" customWidth="1"/>
    <x:col min="12310" max="12310" width="8.83203125" hidden="0" customWidth="1"/>
    <x:col min="12311" max="12311" width="8.83203125" hidden="0" customWidth="1"/>
    <x:col min="12312" max="12312" width="8.83203125" hidden="0" customWidth="1"/>
    <x:col min="12313" max="12313" width="8.83203125" hidden="0" customWidth="1"/>
    <x:col min="12314" max="12314" width="8.83203125" hidden="0" customWidth="1"/>
    <x:col min="12315" max="12315" width="8.83203125" hidden="0" customWidth="1"/>
    <x:col min="12316" max="12316" width="8.83203125" hidden="0" customWidth="1"/>
    <x:col min="12317" max="12317" width="8.83203125" hidden="0" customWidth="1"/>
    <x:col min="12318" max="12318" width="8.83203125" hidden="0" customWidth="1"/>
    <x:col min="12319" max="12319" width="8.83203125" hidden="0" customWidth="1"/>
    <x:col min="12320" max="12320" width="8.83203125" hidden="0" customWidth="1"/>
    <x:col min="12321" max="12321" width="8.83203125" hidden="0" customWidth="1"/>
    <x:col min="12322" max="12322" width="8.83203125" hidden="0" customWidth="1"/>
    <x:col min="12323" max="12323" width="8.83203125" hidden="0" customWidth="1"/>
    <x:col min="12324" max="12324" width="8.83203125" hidden="0" customWidth="1"/>
    <x:col min="12325" max="12325" width="8.83203125" hidden="0" customWidth="1"/>
    <x:col min="12326" max="12326" width="8.83203125" hidden="0" customWidth="1"/>
    <x:col min="12327" max="12327" width="8.83203125" hidden="0" customWidth="1"/>
    <x:col min="12328" max="12328" width="8.83203125" hidden="0" customWidth="1"/>
    <x:col min="12329" max="12329" width="8.83203125" hidden="0" customWidth="1"/>
    <x:col min="12330" max="12330" width="8.83203125" hidden="0" customWidth="1"/>
    <x:col min="12331" max="12331" width="8.83203125" hidden="0" customWidth="1"/>
    <x:col min="12332" max="12332" width="8.83203125" hidden="0" customWidth="1"/>
    <x:col min="12333" max="12333" width="8.83203125" hidden="0" customWidth="1"/>
    <x:col min="12334" max="12334" width="8.83203125" hidden="0" customWidth="1"/>
    <x:col min="12335" max="12335" width="8.83203125" hidden="0" customWidth="1"/>
    <x:col min="12336" max="12336" width="8.83203125" hidden="0" customWidth="1"/>
    <x:col min="12337" max="12337" width="8.83203125" hidden="0" customWidth="1"/>
    <x:col min="12338" max="12338" width="8.83203125" hidden="0" customWidth="1"/>
    <x:col min="12339" max="12339" width="8.83203125" hidden="0" customWidth="1"/>
    <x:col min="12340" max="12340" width="8.83203125" hidden="0" customWidth="1"/>
    <x:col min="12341" max="12341" width="8.83203125" hidden="0" customWidth="1"/>
    <x:col min="12342" max="12342" width="8.83203125" hidden="0" customWidth="1"/>
    <x:col min="12343" max="12343" width="8.83203125" hidden="0" customWidth="1"/>
    <x:col min="12344" max="12344" width="8.83203125" hidden="0" customWidth="1"/>
    <x:col min="12345" max="12345" width="8.83203125" hidden="0" customWidth="1"/>
    <x:col min="12346" max="12346" width="8.83203125" hidden="0" customWidth="1"/>
    <x:col min="12347" max="12347" width="8.83203125" hidden="0" customWidth="1"/>
    <x:col min="12348" max="12348" width="8.83203125" hidden="0" customWidth="1"/>
    <x:col min="12349" max="12349" width="8.83203125" hidden="0" customWidth="1"/>
    <x:col min="12350" max="12350" width="8.83203125" hidden="0" customWidth="1"/>
    <x:col min="12351" max="12351" width="8.83203125" hidden="0" customWidth="1"/>
    <x:col min="12352" max="12352" width="8.83203125" hidden="0" customWidth="1"/>
    <x:col min="12353" max="12353" width="8.83203125" hidden="0" customWidth="1"/>
    <x:col min="12354" max="12354" width="8.83203125" hidden="0" customWidth="1"/>
    <x:col min="12355" max="12355" width="8.83203125" hidden="0" customWidth="1"/>
    <x:col min="12356" max="12356" width="8.83203125" hidden="0" customWidth="1"/>
    <x:col min="12357" max="12357" width="8.83203125" hidden="0" customWidth="1"/>
    <x:col min="12358" max="12358" width="8.83203125" hidden="0" customWidth="1"/>
    <x:col min="12359" max="12359" width="8.83203125" hidden="0" customWidth="1"/>
    <x:col min="12360" max="12360" width="8.83203125" hidden="0" customWidth="1"/>
    <x:col min="12361" max="12361" width="8.83203125" hidden="0" customWidth="1"/>
    <x:col min="12362" max="12362" width="8.83203125" hidden="0" customWidth="1"/>
    <x:col min="12363" max="12363" width="8.83203125" hidden="0" customWidth="1"/>
    <x:col min="12364" max="12364" width="8.83203125" hidden="0" customWidth="1"/>
    <x:col min="12365" max="12365" width="8.83203125" hidden="0" customWidth="1"/>
    <x:col min="12366" max="12366" width="8.83203125" hidden="0" customWidth="1"/>
    <x:col min="12367" max="12367" width="8.83203125" hidden="0" customWidth="1"/>
    <x:col min="12368" max="12368" width="8.83203125" hidden="0" customWidth="1"/>
    <x:col min="12369" max="12369" width="8.83203125" hidden="0" customWidth="1"/>
    <x:col min="12370" max="12370" width="8.83203125" hidden="0" customWidth="1"/>
    <x:col min="12371" max="12371" width="8.83203125" hidden="0" customWidth="1"/>
    <x:col min="12372" max="12372" width="8.83203125" hidden="0" customWidth="1"/>
    <x:col min="12373" max="12373" width="8.83203125" hidden="0" customWidth="1"/>
    <x:col min="12374" max="12374" width="8.83203125" hidden="0" customWidth="1"/>
    <x:col min="12375" max="12375" width="8.83203125" hidden="0" customWidth="1"/>
    <x:col min="12376" max="12376" width="8.83203125" hidden="0" customWidth="1"/>
    <x:col min="12377" max="12377" width="8.83203125" hidden="0" customWidth="1"/>
    <x:col min="12378" max="12378" width="8.83203125" hidden="0" customWidth="1"/>
    <x:col min="12379" max="12379" width="8.83203125" hidden="0" customWidth="1"/>
    <x:col min="12380" max="12380" width="8.83203125" hidden="0" customWidth="1"/>
    <x:col min="12381" max="12381" width="8.83203125" hidden="0" customWidth="1"/>
    <x:col min="12382" max="12382" width="8.83203125" hidden="0" customWidth="1"/>
    <x:col min="12383" max="12383" width="8.83203125" hidden="0" customWidth="1"/>
    <x:col min="12384" max="12384" width="8.83203125" hidden="0" customWidth="1"/>
    <x:col min="12385" max="12385" width="8.83203125" hidden="0" customWidth="1"/>
    <x:col min="12386" max="12386" width="8.83203125" hidden="0" customWidth="1"/>
    <x:col min="12387" max="12387" width="8.83203125" hidden="0" customWidth="1"/>
    <x:col min="12388" max="12388" width="8.83203125" hidden="0" customWidth="1"/>
    <x:col min="12389" max="12389" width="8.83203125" hidden="0" customWidth="1"/>
    <x:col min="12390" max="12390" width="8.83203125" hidden="0" customWidth="1"/>
    <x:col min="12391" max="12391" width="8.83203125" hidden="0" customWidth="1"/>
    <x:col min="12392" max="12392" width="8.83203125" hidden="0" customWidth="1"/>
    <x:col min="12393" max="12393" width="8.83203125" hidden="0" customWidth="1"/>
    <x:col min="12394" max="12394" width="8.83203125" hidden="0" customWidth="1"/>
    <x:col min="12395" max="12395" width="8.83203125" hidden="0" customWidth="1"/>
    <x:col min="12396" max="12396" width="8.83203125" hidden="0" customWidth="1"/>
    <x:col min="12397" max="12397" width="8.83203125" hidden="0" customWidth="1"/>
    <x:col min="12398" max="12398" width="8.83203125" hidden="0" customWidth="1"/>
    <x:col min="12399" max="12399" width="8.83203125" hidden="0" customWidth="1"/>
    <x:col min="12400" max="12400" width="8.83203125" hidden="0" customWidth="1"/>
    <x:col min="12401" max="12401" width="8.83203125" hidden="0" customWidth="1"/>
    <x:col min="12402" max="12402" width="8.83203125" hidden="0" customWidth="1"/>
    <x:col min="12403" max="12403" width="8.83203125" hidden="0" customWidth="1"/>
    <x:col min="12404" max="12404" width="8.83203125" hidden="0" customWidth="1"/>
    <x:col min="12405" max="12405" width="8.83203125" hidden="0" customWidth="1"/>
    <x:col min="12406" max="12406" width="8.83203125" hidden="0" customWidth="1"/>
    <x:col min="12407" max="12407" width="8.83203125" hidden="0" customWidth="1"/>
    <x:col min="12408" max="12408" width="8.83203125" hidden="0" customWidth="1"/>
    <x:col min="12409" max="12409" width="8.83203125" hidden="0" customWidth="1"/>
    <x:col min="12410" max="12410" width="8.83203125" hidden="0" customWidth="1"/>
    <x:col min="12411" max="12411" width="8.83203125" hidden="0" customWidth="1"/>
    <x:col min="12412" max="12412" width="8.83203125" hidden="0" customWidth="1"/>
    <x:col min="12413" max="12413" width="8.83203125" hidden="0" customWidth="1"/>
    <x:col min="12414" max="12414" width="8.83203125" hidden="0" customWidth="1"/>
    <x:col min="12415" max="12415" width="8.83203125" hidden="0" customWidth="1"/>
    <x:col min="12416" max="12416" width="8.83203125" hidden="0" customWidth="1"/>
    <x:col min="12417" max="12417" width="8.83203125" hidden="0" customWidth="1"/>
    <x:col min="12418" max="12418" width="8.83203125" hidden="0" customWidth="1"/>
    <x:col min="12419" max="12419" width="8.83203125" hidden="0" customWidth="1"/>
    <x:col min="12420" max="12420" width="8.83203125" hidden="0" customWidth="1"/>
    <x:col min="12421" max="12421" width="8.83203125" hidden="0" customWidth="1"/>
    <x:col min="12422" max="12422" width="8.83203125" hidden="0" customWidth="1"/>
    <x:col min="12423" max="12423" width="8.83203125" hidden="0" customWidth="1"/>
    <x:col min="12424" max="12424" width="8.83203125" hidden="0" customWidth="1"/>
    <x:col min="12425" max="12425" width="8.83203125" hidden="0" customWidth="1"/>
    <x:col min="12426" max="12426" width="8.83203125" hidden="0" customWidth="1"/>
    <x:col min="12427" max="12427" width="8.83203125" hidden="0" customWidth="1"/>
    <x:col min="12428" max="12428" width="8.83203125" hidden="0" customWidth="1"/>
    <x:col min="12429" max="12429" width="8.83203125" hidden="0" customWidth="1"/>
    <x:col min="12430" max="12430" width="8.83203125" hidden="0" customWidth="1"/>
    <x:col min="12431" max="12431" width="8.83203125" hidden="0" customWidth="1"/>
    <x:col min="12432" max="12432" width="8.83203125" hidden="0" customWidth="1"/>
    <x:col min="12433" max="12433" width="8.83203125" hidden="0" customWidth="1"/>
    <x:col min="12434" max="12434" width="8.83203125" hidden="0" customWidth="1"/>
    <x:col min="12435" max="12435" width="8.83203125" hidden="0" customWidth="1"/>
    <x:col min="12436" max="12436" width="8.83203125" hidden="0" customWidth="1"/>
    <x:col min="12437" max="12437" width="8.83203125" hidden="0" customWidth="1"/>
    <x:col min="12438" max="12438" width="8.83203125" hidden="0" customWidth="1"/>
    <x:col min="12439" max="12439" width="8.83203125" hidden="0" customWidth="1"/>
    <x:col min="12440" max="12440" width="8.83203125" hidden="0" customWidth="1"/>
    <x:col min="12441" max="12441" width="8.83203125" hidden="0" customWidth="1"/>
    <x:col min="12442" max="12442" width="8.83203125" hidden="0" customWidth="1"/>
    <x:col min="12443" max="12443" width="8.83203125" hidden="0" customWidth="1"/>
    <x:col min="12444" max="12444" width="8.83203125" hidden="0" customWidth="1"/>
    <x:col min="12445" max="12445" width="8.83203125" hidden="0" customWidth="1"/>
    <x:col min="12446" max="12446" width="8.83203125" hidden="0" customWidth="1"/>
    <x:col min="12447" max="12447" width="8.83203125" hidden="0" customWidth="1"/>
    <x:col min="12448" max="12448" width="8.83203125" hidden="0" customWidth="1"/>
    <x:col min="12449" max="12449" width="8.83203125" hidden="0" customWidth="1"/>
    <x:col min="12450" max="12450" width="8.83203125" hidden="0" customWidth="1"/>
    <x:col min="12451" max="12451" width="8.83203125" hidden="0" customWidth="1"/>
    <x:col min="12452" max="12452" width="8.83203125" hidden="0" customWidth="1"/>
    <x:col min="12453" max="12453" width="8.83203125" hidden="0" customWidth="1"/>
    <x:col min="12454" max="12454" width="8.83203125" hidden="0" customWidth="1"/>
    <x:col min="12455" max="12455" width="8.83203125" hidden="0" customWidth="1"/>
    <x:col min="12456" max="12456" width="8.83203125" hidden="0" customWidth="1"/>
    <x:col min="12457" max="12457" width="8.83203125" hidden="0" customWidth="1"/>
    <x:col min="12458" max="12458" width="8.83203125" hidden="0" customWidth="1"/>
    <x:col min="12459" max="12459" width="8.83203125" hidden="0" customWidth="1"/>
    <x:col min="12460" max="12460" width="8.83203125" hidden="0" customWidth="1"/>
    <x:col min="12461" max="12461" width="8.83203125" hidden="0" customWidth="1"/>
    <x:col min="12462" max="12462" width="8.83203125" hidden="0" customWidth="1"/>
    <x:col min="12463" max="12463" width="8.83203125" hidden="0" customWidth="1"/>
    <x:col min="12464" max="12464" width="8.83203125" hidden="0" customWidth="1"/>
    <x:col min="12465" max="12465" width="8.83203125" hidden="0" customWidth="1"/>
    <x:col min="12466" max="12466" width="8.83203125" hidden="0" customWidth="1"/>
    <x:col min="12467" max="12467" width="8.83203125" hidden="0" customWidth="1"/>
    <x:col min="12468" max="12468" width="8.83203125" hidden="0" customWidth="1"/>
    <x:col min="12469" max="12469" width="8.83203125" hidden="0" customWidth="1"/>
    <x:col min="12470" max="12470" width="8.83203125" hidden="0" customWidth="1"/>
    <x:col min="12471" max="12471" width="8.83203125" hidden="0" customWidth="1"/>
    <x:col min="12472" max="12472" width="8.83203125" hidden="0" customWidth="1"/>
    <x:col min="12473" max="12473" width="8.83203125" hidden="0" customWidth="1"/>
    <x:col min="12474" max="12474" width="8.83203125" hidden="0" customWidth="1"/>
    <x:col min="12475" max="12475" width="8.83203125" hidden="0" customWidth="1"/>
    <x:col min="12476" max="12476" width="8.83203125" hidden="0" customWidth="1"/>
    <x:col min="12477" max="12477" width="8.83203125" hidden="0" customWidth="1"/>
    <x:col min="12478" max="12478" width="8.83203125" hidden="0" customWidth="1"/>
    <x:col min="12479" max="12479" width="8.83203125" hidden="0" customWidth="1"/>
    <x:col min="12480" max="12480" width="8.83203125" hidden="0" customWidth="1"/>
    <x:col min="12481" max="12481" width="8.83203125" hidden="0" customWidth="1"/>
    <x:col min="12482" max="12482" width="8.83203125" hidden="0" customWidth="1"/>
    <x:col min="12483" max="12483" width="8.83203125" hidden="0" customWidth="1"/>
    <x:col min="12484" max="12484" width="8.83203125" hidden="0" customWidth="1"/>
    <x:col min="12485" max="12485" width="8.83203125" hidden="0" customWidth="1"/>
    <x:col min="12486" max="12486" width="8.83203125" hidden="0" customWidth="1"/>
    <x:col min="12487" max="12487" width="8.83203125" hidden="0" customWidth="1"/>
    <x:col min="12488" max="12488" width="8.83203125" hidden="0" customWidth="1"/>
    <x:col min="12489" max="12489" width="8.83203125" hidden="0" customWidth="1"/>
    <x:col min="12490" max="12490" width="8.83203125" hidden="0" customWidth="1"/>
    <x:col min="12491" max="12491" width="8.83203125" hidden="0" customWidth="1"/>
    <x:col min="12492" max="12492" width="8.83203125" hidden="0" customWidth="1"/>
    <x:col min="12493" max="12493" width="8.83203125" hidden="0" customWidth="1"/>
    <x:col min="12494" max="12494" width="8.83203125" hidden="0" customWidth="1"/>
    <x:col min="12495" max="12495" width="8.83203125" hidden="0" customWidth="1"/>
    <x:col min="12496" max="12496" width="8.83203125" hidden="0" customWidth="1"/>
    <x:col min="12497" max="12497" width="8.83203125" hidden="0" customWidth="1"/>
    <x:col min="12498" max="12498" width="8.83203125" hidden="0" customWidth="1"/>
    <x:col min="12499" max="12499" width="8.83203125" hidden="0" customWidth="1"/>
    <x:col min="12500" max="12500" width="8.83203125" hidden="0" customWidth="1"/>
    <x:col min="12501" max="12501" width="8.83203125" hidden="0" customWidth="1"/>
    <x:col min="12502" max="12502" width="8.83203125" hidden="0" customWidth="1"/>
    <x:col min="12503" max="12503" width="8.83203125" hidden="0" customWidth="1"/>
    <x:col min="12504" max="12504" width="8.83203125" hidden="0" customWidth="1"/>
    <x:col min="12505" max="12505" width="8.83203125" hidden="0" customWidth="1"/>
    <x:col min="12506" max="12506" width="8.83203125" hidden="0" customWidth="1"/>
    <x:col min="12507" max="12507" width="8.83203125" hidden="0" customWidth="1"/>
    <x:col min="12508" max="12508" width="8.83203125" hidden="0" customWidth="1"/>
    <x:col min="12509" max="12509" width="8.83203125" hidden="0" customWidth="1"/>
    <x:col min="12510" max="12510" width="8.83203125" hidden="0" customWidth="1"/>
    <x:col min="12511" max="12511" width="8.83203125" hidden="0" customWidth="1"/>
    <x:col min="12512" max="12512" width="8.83203125" hidden="0" customWidth="1"/>
    <x:col min="12513" max="12513" width="8.83203125" hidden="0" customWidth="1"/>
    <x:col min="12514" max="12514" width="8.83203125" hidden="0" customWidth="1"/>
    <x:col min="12515" max="12515" width="8.83203125" hidden="0" customWidth="1"/>
    <x:col min="12516" max="12516" width="8.83203125" hidden="0" customWidth="1"/>
    <x:col min="12517" max="12517" width="8.83203125" hidden="0" customWidth="1"/>
    <x:col min="12518" max="12518" width="8.83203125" hidden="0" customWidth="1"/>
    <x:col min="12519" max="12519" width="8.83203125" hidden="0" customWidth="1"/>
    <x:col min="12520" max="12520" width="8.83203125" hidden="0" customWidth="1"/>
    <x:col min="12521" max="12521" width="8.83203125" hidden="0" customWidth="1"/>
    <x:col min="12522" max="12522" width="8.83203125" hidden="0" customWidth="1"/>
    <x:col min="12523" max="12523" width="8.83203125" hidden="0" customWidth="1"/>
    <x:col min="12524" max="12524" width="8.83203125" hidden="0" customWidth="1"/>
    <x:col min="12525" max="12525" width="8.83203125" hidden="0" customWidth="1"/>
    <x:col min="12526" max="12526" width="8.83203125" hidden="0" customWidth="1"/>
    <x:col min="12527" max="12527" width="8.83203125" hidden="0" customWidth="1"/>
    <x:col min="12528" max="12528" width="8.83203125" hidden="0" customWidth="1"/>
    <x:col min="12529" max="12529" width="8.83203125" hidden="0" customWidth="1"/>
    <x:col min="12530" max="12530" width="8.83203125" hidden="0" customWidth="1"/>
    <x:col min="12531" max="12531" width="8.83203125" hidden="0" customWidth="1"/>
    <x:col min="12532" max="12532" width="8.83203125" hidden="0" customWidth="1"/>
    <x:col min="12533" max="12533" width="8.83203125" hidden="0" customWidth="1"/>
    <x:col min="12534" max="12534" width="8.83203125" hidden="0" customWidth="1"/>
    <x:col min="12535" max="12535" width="8.83203125" hidden="0" customWidth="1"/>
    <x:col min="12536" max="12536" width="8.83203125" hidden="0" customWidth="1"/>
    <x:col min="12537" max="12537" width="8.83203125" hidden="0" customWidth="1"/>
    <x:col min="12538" max="12538" width="8.83203125" hidden="0" customWidth="1"/>
    <x:col min="12539" max="12539" width="8.83203125" hidden="0" customWidth="1"/>
    <x:col min="12540" max="12540" width="8.83203125" hidden="0" customWidth="1"/>
    <x:col min="12541" max="12541" width="8.83203125" hidden="0" customWidth="1"/>
    <x:col min="12542" max="12542" width="8.83203125" hidden="0" customWidth="1"/>
    <x:col min="12543" max="12543" width="8.83203125" hidden="0" customWidth="1"/>
    <x:col min="12544" max="12544" width="8.83203125" hidden="0" customWidth="1"/>
    <x:col min="12545" max="12545" width="8.83203125" hidden="0" customWidth="1"/>
    <x:col min="12546" max="12546" width="8.83203125" hidden="0" customWidth="1"/>
    <x:col min="12547" max="12547" width="8.83203125" hidden="0" customWidth="1"/>
    <x:col min="12548" max="12548" width="8.83203125" hidden="0" customWidth="1"/>
    <x:col min="12549" max="12549" width="8.83203125" hidden="0" customWidth="1"/>
    <x:col min="12550" max="12550" width="8.83203125" hidden="0" customWidth="1"/>
    <x:col min="12551" max="12551" width="8.83203125" hidden="0" customWidth="1"/>
    <x:col min="12552" max="12552" width="8.83203125" hidden="0" customWidth="1"/>
    <x:col min="12553" max="12553" width="8.83203125" hidden="0" customWidth="1"/>
    <x:col min="12554" max="12554" width="8.83203125" hidden="0" customWidth="1"/>
    <x:col min="12555" max="12555" width="8.83203125" hidden="0" customWidth="1"/>
    <x:col min="12556" max="12556" width="8.83203125" hidden="0" customWidth="1"/>
    <x:col min="12557" max="12557" width="8.83203125" hidden="0" customWidth="1"/>
    <x:col min="12558" max="12558" width="8.83203125" hidden="0" customWidth="1"/>
    <x:col min="12559" max="12559" width="8.83203125" hidden="0" customWidth="1"/>
    <x:col min="12560" max="12560" width="8.83203125" hidden="0" customWidth="1"/>
    <x:col min="12561" max="12561" width="8.83203125" hidden="0" customWidth="1"/>
    <x:col min="12562" max="12562" width="8.83203125" hidden="0" customWidth="1"/>
    <x:col min="12563" max="12563" width="8.83203125" hidden="0" customWidth="1"/>
    <x:col min="12564" max="12564" width="8.83203125" hidden="0" customWidth="1"/>
    <x:col min="12565" max="12565" width="8.83203125" hidden="0" customWidth="1"/>
    <x:col min="12566" max="12566" width="8.83203125" hidden="0" customWidth="1"/>
    <x:col min="12567" max="12567" width="8.83203125" hidden="0" customWidth="1"/>
    <x:col min="12568" max="12568" width="8.83203125" hidden="0" customWidth="1"/>
    <x:col min="12569" max="12569" width="8.83203125" hidden="0" customWidth="1"/>
    <x:col min="12570" max="12570" width="8.83203125" hidden="0" customWidth="1"/>
    <x:col min="12571" max="12571" width="8.83203125" hidden="0" customWidth="1"/>
    <x:col min="12572" max="12572" width="8.83203125" hidden="0" customWidth="1"/>
    <x:col min="12573" max="12573" width="8.83203125" hidden="0" customWidth="1"/>
    <x:col min="12574" max="12574" width="8.83203125" hidden="0" customWidth="1"/>
    <x:col min="12575" max="12575" width="8.83203125" hidden="0" customWidth="1"/>
    <x:col min="12576" max="12576" width="8.83203125" hidden="0" customWidth="1"/>
    <x:col min="12577" max="12577" width="8.83203125" hidden="0" customWidth="1"/>
    <x:col min="12578" max="12578" width="8.83203125" hidden="0" customWidth="1"/>
    <x:col min="12579" max="12579" width="8.83203125" hidden="0" customWidth="1"/>
    <x:col min="12580" max="12580" width="8.83203125" hidden="0" customWidth="1"/>
    <x:col min="12581" max="12581" width="8.83203125" hidden="0" customWidth="1"/>
    <x:col min="12582" max="12582" width="8.83203125" hidden="0" customWidth="1"/>
    <x:col min="12583" max="12583" width="8.83203125" hidden="0" customWidth="1"/>
    <x:col min="12584" max="12584" width="8.83203125" hidden="0" customWidth="1"/>
    <x:col min="12585" max="12585" width="8.83203125" hidden="0" customWidth="1"/>
    <x:col min="12586" max="12586" width="8.83203125" hidden="0" customWidth="1"/>
    <x:col min="12587" max="12587" width="8.83203125" hidden="0" customWidth="1"/>
    <x:col min="12588" max="12588" width="8.83203125" hidden="0" customWidth="1"/>
    <x:col min="12589" max="12589" width="8.83203125" hidden="0" customWidth="1"/>
    <x:col min="12590" max="12590" width="8.83203125" hidden="0" customWidth="1"/>
    <x:col min="12591" max="12591" width="8.83203125" hidden="0" customWidth="1"/>
    <x:col min="12592" max="12592" width="8.83203125" hidden="0" customWidth="1"/>
    <x:col min="12593" max="12593" width="8.83203125" hidden="0" customWidth="1"/>
    <x:col min="12594" max="12594" width="8.83203125" hidden="0" customWidth="1"/>
    <x:col min="12595" max="12595" width="8.83203125" hidden="0" customWidth="1"/>
    <x:col min="12596" max="12596" width="8.83203125" hidden="0" customWidth="1"/>
    <x:col min="12597" max="12597" width="8.83203125" hidden="0" customWidth="1"/>
    <x:col min="12598" max="12598" width="8.83203125" hidden="0" customWidth="1"/>
    <x:col min="12599" max="12599" width="8.83203125" hidden="0" customWidth="1"/>
    <x:col min="12600" max="12600" width="8.83203125" hidden="0" customWidth="1"/>
    <x:col min="12601" max="12601" width="8.83203125" hidden="0" customWidth="1"/>
    <x:col min="12602" max="12602" width="8.83203125" hidden="0" customWidth="1"/>
    <x:col min="12603" max="12603" width="8.83203125" hidden="0" customWidth="1"/>
    <x:col min="12604" max="12604" width="8.83203125" hidden="0" customWidth="1"/>
    <x:col min="12605" max="12605" width="8.83203125" hidden="0" customWidth="1"/>
    <x:col min="12606" max="12606" width="8.83203125" hidden="0" customWidth="1"/>
    <x:col min="12607" max="12607" width="8.83203125" hidden="0" customWidth="1"/>
    <x:col min="12608" max="12608" width="8.83203125" hidden="0" customWidth="1"/>
    <x:col min="12609" max="12609" width="8.83203125" hidden="0" customWidth="1"/>
    <x:col min="12610" max="12610" width="8.83203125" hidden="0" customWidth="1"/>
    <x:col min="12611" max="12611" width="8.83203125" hidden="0" customWidth="1"/>
    <x:col min="12612" max="12612" width="8.83203125" hidden="0" customWidth="1"/>
    <x:col min="12613" max="12613" width="8.83203125" hidden="0" customWidth="1"/>
    <x:col min="12614" max="12614" width="8.83203125" hidden="0" customWidth="1"/>
    <x:col min="12615" max="12615" width="8.83203125" hidden="0" customWidth="1"/>
    <x:col min="12616" max="12616" width="8.83203125" hidden="0" customWidth="1"/>
    <x:col min="12617" max="12617" width="8.83203125" hidden="0" customWidth="1"/>
    <x:col min="12618" max="12618" width="8.83203125" hidden="0" customWidth="1"/>
    <x:col min="12619" max="12619" width="8.83203125" hidden="0" customWidth="1"/>
    <x:col min="12620" max="12620" width="8.83203125" hidden="0" customWidth="1"/>
    <x:col min="12621" max="12621" width="8.83203125" hidden="0" customWidth="1"/>
    <x:col min="12622" max="12622" width="8.83203125" hidden="0" customWidth="1"/>
    <x:col min="12623" max="12623" width="8.83203125" hidden="0" customWidth="1"/>
    <x:col min="12624" max="12624" width="8.83203125" hidden="0" customWidth="1"/>
    <x:col min="12625" max="12625" width="8.83203125" hidden="0" customWidth="1"/>
    <x:col min="12626" max="12626" width="8.83203125" hidden="0" customWidth="1"/>
    <x:col min="12627" max="12627" width="8.83203125" hidden="0" customWidth="1"/>
    <x:col min="12628" max="12628" width="8.83203125" hidden="0" customWidth="1"/>
    <x:col min="12629" max="12629" width="8.83203125" hidden="0" customWidth="1"/>
    <x:col min="12630" max="12630" width="8.83203125" hidden="0" customWidth="1"/>
    <x:col min="12631" max="12631" width="8.83203125" hidden="0" customWidth="1"/>
    <x:col min="12632" max="12632" width="8.83203125" hidden="0" customWidth="1"/>
    <x:col min="12633" max="12633" width="8.83203125" hidden="0" customWidth="1"/>
    <x:col min="12634" max="12634" width="8.83203125" hidden="0" customWidth="1"/>
    <x:col min="12635" max="12635" width="8.83203125" hidden="0" customWidth="1"/>
    <x:col min="12636" max="12636" width="8.83203125" hidden="0" customWidth="1"/>
    <x:col min="12637" max="12637" width="8.83203125" hidden="0" customWidth="1"/>
    <x:col min="12638" max="12638" width="8.83203125" hidden="0" customWidth="1"/>
    <x:col min="12639" max="12639" width="8.83203125" hidden="0" customWidth="1"/>
    <x:col min="12640" max="12640" width="8.83203125" hidden="0" customWidth="1"/>
    <x:col min="12641" max="12641" width="8.83203125" hidden="0" customWidth="1"/>
    <x:col min="12642" max="12642" width="8.83203125" hidden="0" customWidth="1"/>
    <x:col min="12643" max="12643" width="8.83203125" hidden="0" customWidth="1"/>
    <x:col min="12644" max="12644" width="8.83203125" hidden="0" customWidth="1"/>
    <x:col min="12645" max="12645" width="8.83203125" hidden="0" customWidth="1"/>
    <x:col min="12646" max="12646" width="8.83203125" hidden="0" customWidth="1"/>
    <x:col min="12647" max="12647" width="8.83203125" hidden="0" customWidth="1"/>
    <x:col min="12648" max="12648" width="8.83203125" hidden="0" customWidth="1"/>
    <x:col min="12649" max="12649" width="8.83203125" hidden="0" customWidth="1"/>
    <x:col min="12650" max="12650" width="8.83203125" hidden="0" customWidth="1"/>
    <x:col min="12651" max="12651" width="8.83203125" hidden="0" customWidth="1"/>
    <x:col min="12652" max="12652" width="8.83203125" hidden="0" customWidth="1"/>
    <x:col min="12653" max="12653" width="8.83203125" hidden="0" customWidth="1"/>
    <x:col min="12654" max="12654" width="8.83203125" hidden="0" customWidth="1"/>
    <x:col min="12655" max="12655" width="8.83203125" hidden="0" customWidth="1"/>
    <x:col min="12656" max="12656" width="8.83203125" hidden="0" customWidth="1"/>
    <x:col min="12657" max="12657" width="8.83203125" hidden="0" customWidth="1"/>
    <x:col min="12658" max="12658" width="8.83203125" hidden="0" customWidth="1"/>
    <x:col min="12659" max="12659" width="8.83203125" hidden="0" customWidth="1"/>
    <x:col min="12660" max="12660" width="8.83203125" hidden="0" customWidth="1"/>
    <x:col min="12661" max="12661" width="8.83203125" hidden="0" customWidth="1"/>
    <x:col min="12662" max="12662" width="8.83203125" hidden="0" customWidth="1"/>
    <x:col min="12663" max="12663" width="8.83203125" hidden="0" customWidth="1"/>
    <x:col min="12664" max="12664" width="8.83203125" hidden="0" customWidth="1"/>
    <x:col min="12665" max="12665" width="8.83203125" hidden="0" customWidth="1"/>
    <x:col min="12666" max="12666" width="8.83203125" hidden="0" customWidth="1"/>
    <x:col min="12667" max="12667" width="8.83203125" hidden="0" customWidth="1"/>
    <x:col min="12668" max="12668" width="8.83203125" hidden="0" customWidth="1"/>
    <x:col min="12669" max="12669" width="8.83203125" hidden="0" customWidth="1"/>
    <x:col min="12670" max="12670" width="8.83203125" hidden="0" customWidth="1"/>
    <x:col min="12671" max="12671" width="8.83203125" hidden="0" customWidth="1"/>
    <x:col min="12672" max="12672" width="8.83203125" hidden="0" customWidth="1"/>
    <x:col min="12673" max="12673" width="8.83203125" hidden="0" customWidth="1"/>
    <x:col min="12674" max="12674" width="8.83203125" hidden="0" customWidth="1"/>
    <x:col min="12675" max="12675" width="8.83203125" hidden="0" customWidth="1"/>
    <x:col min="12676" max="12676" width="8.83203125" hidden="0" customWidth="1"/>
    <x:col min="12677" max="12677" width="8.83203125" hidden="0" customWidth="1"/>
    <x:col min="12678" max="12678" width="8.83203125" hidden="0" customWidth="1"/>
    <x:col min="12679" max="12679" width="8.83203125" hidden="0" customWidth="1"/>
    <x:col min="12680" max="12680" width="8.83203125" hidden="0" customWidth="1"/>
    <x:col min="12681" max="12681" width="8.83203125" hidden="0" customWidth="1"/>
    <x:col min="12682" max="12682" width="8.83203125" hidden="0" customWidth="1"/>
    <x:col min="12683" max="12683" width="8.83203125" hidden="0" customWidth="1"/>
    <x:col min="12684" max="12684" width="8.83203125" hidden="0" customWidth="1"/>
    <x:col min="12685" max="12685" width="8.83203125" hidden="0" customWidth="1"/>
    <x:col min="12686" max="12686" width="8.83203125" hidden="0" customWidth="1"/>
    <x:col min="12687" max="12687" width="8.83203125" hidden="0" customWidth="1"/>
    <x:col min="12688" max="12688" width="8.83203125" hidden="0" customWidth="1"/>
    <x:col min="12689" max="12689" width="8.83203125" hidden="0" customWidth="1"/>
    <x:col min="12690" max="12690" width="8.83203125" hidden="0" customWidth="1"/>
    <x:col min="12691" max="12691" width="8.83203125" hidden="0" customWidth="1"/>
    <x:col min="12692" max="12692" width="8.83203125" hidden="0" customWidth="1"/>
    <x:col min="12693" max="12693" width="8.83203125" hidden="0" customWidth="1"/>
    <x:col min="12694" max="12694" width="8.83203125" hidden="0" customWidth="1"/>
    <x:col min="12695" max="12695" width="8.83203125" hidden="0" customWidth="1"/>
    <x:col min="12696" max="12696" width="8.83203125" hidden="0" customWidth="1"/>
    <x:col min="12697" max="12697" width="8.83203125" hidden="0" customWidth="1"/>
    <x:col min="12698" max="12698" width="8.83203125" hidden="0" customWidth="1"/>
    <x:col min="12699" max="12699" width="8.83203125" hidden="0" customWidth="1"/>
    <x:col min="12700" max="12700" width="8.83203125" hidden="0" customWidth="1"/>
    <x:col min="12701" max="12701" width="8.83203125" hidden="0" customWidth="1"/>
    <x:col min="12702" max="12702" width="8.83203125" hidden="0" customWidth="1"/>
    <x:col min="12703" max="12703" width="8.83203125" hidden="0" customWidth="1"/>
    <x:col min="12704" max="12704" width="8.83203125" hidden="0" customWidth="1"/>
    <x:col min="12705" max="12705" width="8.83203125" hidden="0" customWidth="1"/>
    <x:col min="12706" max="12706" width="8.83203125" hidden="0" customWidth="1"/>
    <x:col min="12707" max="12707" width="8.83203125" hidden="0" customWidth="1"/>
    <x:col min="12708" max="12708" width="8.83203125" hidden="0" customWidth="1"/>
    <x:col min="12709" max="12709" width="8.83203125" hidden="0" customWidth="1"/>
    <x:col min="12710" max="12710" width="8.83203125" hidden="0" customWidth="1"/>
    <x:col min="12711" max="12711" width="8.83203125" hidden="0" customWidth="1"/>
    <x:col min="12712" max="12712" width="8.83203125" hidden="0" customWidth="1"/>
    <x:col min="12713" max="12713" width="8.83203125" hidden="0" customWidth="1"/>
    <x:col min="12714" max="12714" width="8.83203125" hidden="0" customWidth="1"/>
    <x:col min="12715" max="12715" width="8.83203125" hidden="0" customWidth="1"/>
    <x:col min="12716" max="12716" width="8.83203125" hidden="0" customWidth="1"/>
    <x:col min="12717" max="12717" width="8.83203125" hidden="0" customWidth="1"/>
    <x:col min="12718" max="12718" width="8.83203125" hidden="0" customWidth="1"/>
    <x:col min="12719" max="12719" width="8.83203125" hidden="0" customWidth="1"/>
    <x:col min="12720" max="12720" width="8.83203125" hidden="0" customWidth="1"/>
    <x:col min="12721" max="12721" width="8.83203125" hidden="0" customWidth="1"/>
    <x:col min="12722" max="12722" width="8.83203125" hidden="0" customWidth="1"/>
    <x:col min="12723" max="12723" width="8.83203125" hidden="0" customWidth="1"/>
    <x:col min="12724" max="12724" width="8.83203125" hidden="0" customWidth="1"/>
    <x:col min="12725" max="12725" width="8.83203125" hidden="0" customWidth="1"/>
    <x:col min="12726" max="12726" width="8.83203125" hidden="0" customWidth="1"/>
    <x:col min="12727" max="12727" width="8.83203125" hidden="0" customWidth="1"/>
    <x:col min="12728" max="12728" width="8.83203125" hidden="0" customWidth="1"/>
    <x:col min="12729" max="12729" width="8.83203125" hidden="0" customWidth="1"/>
    <x:col min="12730" max="12730" width="8.83203125" hidden="0" customWidth="1"/>
    <x:col min="12731" max="12731" width="8.83203125" hidden="0" customWidth="1"/>
    <x:col min="12732" max="12732" width="8.83203125" hidden="0" customWidth="1"/>
    <x:col min="12733" max="12733" width="8.83203125" hidden="0" customWidth="1"/>
    <x:col min="12734" max="12734" width="8.83203125" hidden="0" customWidth="1"/>
    <x:col min="12735" max="12735" width="8.83203125" hidden="0" customWidth="1"/>
    <x:col min="12736" max="12736" width="8.83203125" hidden="0" customWidth="1"/>
    <x:col min="12737" max="12737" width="8.83203125" hidden="0" customWidth="1"/>
    <x:col min="12738" max="12738" width="8.83203125" hidden="0" customWidth="1"/>
    <x:col min="12739" max="12739" width="8.83203125" hidden="0" customWidth="1"/>
    <x:col min="12740" max="12740" width="8.83203125" hidden="0" customWidth="1"/>
    <x:col min="12741" max="12741" width="8.83203125" hidden="0" customWidth="1"/>
    <x:col min="12742" max="12742" width="8.83203125" hidden="0" customWidth="1"/>
    <x:col min="12743" max="12743" width="8.83203125" hidden="0" customWidth="1"/>
    <x:col min="12744" max="12744" width="8.83203125" hidden="0" customWidth="1"/>
    <x:col min="12745" max="12745" width="8.83203125" hidden="0" customWidth="1"/>
    <x:col min="12746" max="12746" width="8.83203125" hidden="0" customWidth="1"/>
    <x:col min="12747" max="12747" width="8.83203125" hidden="0" customWidth="1"/>
    <x:col min="12748" max="12748" width="8.83203125" hidden="0" customWidth="1"/>
    <x:col min="12749" max="12749" width="8.83203125" hidden="0" customWidth="1"/>
    <x:col min="12750" max="12750" width="8.83203125" hidden="0" customWidth="1"/>
    <x:col min="12751" max="12751" width="8.83203125" hidden="0" customWidth="1"/>
    <x:col min="12752" max="12752" width="8.83203125" hidden="0" customWidth="1"/>
    <x:col min="12753" max="12753" width="8.83203125" hidden="0" customWidth="1"/>
    <x:col min="12754" max="12754" width="8.83203125" hidden="0" customWidth="1"/>
    <x:col min="12755" max="12755" width="8.83203125" hidden="0" customWidth="1"/>
    <x:col min="12756" max="12756" width="8.83203125" hidden="0" customWidth="1"/>
    <x:col min="12757" max="12757" width="8.83203125" hidden="0" customWidth="1"/>
    <x:col min="12758" max="12758" width="8.83203125" hidden="0" customWidth="1"/>
    <x:col min="12759" max="12759" width="8.83203125" hidden="0" customWidth="1"/>
    <x:col min="12760" max="12760" width="8.83203125" hidden="0" customWidth="1"/>
    <x:col min="12761" max="12761" width="8.83203125" hidden="0" customWidth="1"/>
    <x:col min="12762" max="12762" width="8.83203125" hidden="0" customWidth="1"/>
    <x:col min="12763" max="12763" width="8.83203125" hidden="0" customWidth="1"/>
    <x:col min="12764" max="12764" width="8.83203125" hidden="0" customWidth="1"/>
    <x:col min="12765" max="12765" width="8.83203125" hidden="0" customWidth="1"/>
    <x:col min="12766" max="12766" width="8.83203125" hidden="0" customWidth="1"/>
    <x:col min="12767" max="12767" width="8.83203125" hidden="0" customWidth="1"/>
    <x:col min="12768" max="12768" width="8.83203125" hidden="0" customWidth="1"/>
    <x:col min="12769" max="12769" width="8.83203125" hidden="0" customWidth="1"/>
    <x:col min="12770" max="12770" width="8.83203125" hidden="0" customWidth="1"/>
    <x:col min="12771" max="12771" width="8.83203125" hidden="0" customWidth="1"/>
    <x:col min="12772" max="12772" width="8.83203125" hidden="0" customWidth="1"/>
    <x:col min="12773" max="12773" width="8.83203125" hidden="0" customWidth="1"/>
    <x:col min="12774" max="12774" width="8.83203125" hidden="0" customWidth="1"/>
    <x:col min="12775" max="12775" width="8.83203125" hidden="0" customWidth="1"/>
    <x:col min="12776" max="12776" width="8.83203125" hidden="0" customWidth="1"/>
    <x:col min="12777" max="12777" width="8.83203125" hidden="0" customWidth="1"/>
    <x:col min="12778" max="12778" width="8.83203125" hidden="0" customWidth="1"/>
    <x:col min="12779" max="12779" width="8.83203125" hidden="0" customWidth="1"/>
    <x:col min="12780" max="12780" width="8.83203125" hidden="0" customWidth="1"/>
    <x:col min="12781" max="12781" width="8.83203125" hidden="0" customWidth="1"/>
    <x:col min="12782" max="12782" width="8.83203125" hidden="0" customWidth="1"/>
    <x:col min="12783" max="12783" width="8.83203125" hidden="0" customWidth="1"/>
    <x:col min="12784" max="12784" width="8.83203125" hidden="0" customWidth="1"/>
    <x:col min="12785" max="12785" width="8.83203125" hidden="0" customWidth="1"/>
    <x:col min="12786" max="12786" width="8.83203125" hidden="0" customWidth="1"/>
    <x:col min="12787" max="12787" width="8.83203125" hidden="0" customWidth="1"/>
    <x:col min="12788" max="12788" width="8.83203125" hidden="0" customWidth="1"/>
    <x:col min="12789" max="12789" width="8.83203125" hidden="0" customWidth="1"/>
    <x:col min="12790" max="12790" width="8.83203125" hidden="0" customWidth="1"/>
    <x:col min="12791" max="12791" width="8.83203125" hidden="0" customWidth="1"/>
    <x:col min="12792" max="12792" width="8.83203125" hidden="0" customWidth="1"/>
    <x:col min="12793" max="12793" width="8.83203125" hidden="0" customWidth="1"/>
    <x:col min="12794" max="12794" width="8.83203125" hidden="0" customWidth="1"/>
    <x:col min="12795" max="12795" width="8.83203125" hidden="0" customWidth="1"/>
    <x:col min="12796" max="12796" width="8.83203125" hidden="0" customWidth="1"/>
    <x:col min="12797" max="12797" width="8.83203125" hidden="0" customWidth="1"/>
    <x:col min="12798" max="12798" width="8.83203125" hidden="0" customWidth="1"/>
    <x:col min="12799" max="12799" width="8.83203125" hidden="0" customWidth="1"/>
    <x:col min="12800" max="12800" width="8.83203125" hidden="0" customWidth="1"/>
    <x:col min="12801" max="12801" width="8.83203125" hidden="0" customWidth="1"/>
    <x:col min="12802" max="12802" width="8.83203125" hidden="0" customWidth="1"/>
    <x:col min="12803" max="12803" width="8.83203125" hidden="0" customWidth="1"/>
    <x:col min="12804" max="12804" width="8.83203125" hidden="0" customWidth="1"/>
    <x:col min="12805" max="12805" width="8.83203125" hidden="0" customWidth="1"/>
    <x:col min="12806" max="12806" width="8.83203125" hidden="0" customWidth="1"/>
    <x:col min="12807" max="12807" width="8.83203125" hidden="0" customWidth="1"/>
    <x:col min="12808" max="12808" width="8.83203125" hidden="0" customWidth="1"/>
    <x:col min="12809" max="12809" width="8.83203125" hidden="0" customWidth="1"/>
    <x:col min="12810" max="12810" width="8.83203125" hidden="0" customWidth="1"/>
    <x:col min="12811" max="12811" width="8.83203125" hidden="0" customWidth="1"/>
    <x:col min="12812" max="12812" width="8.83203125" hidden="0" customWidth="1"/>
    <x:col min="12813" max="12813" width="8.83203125" hidden="0" customWidth="1"/>
    <x:col min="12814" max="12814" width="8.83203125" hidden="0" customWidth="1"/>
    <x:col min="12815" max="12815" width="8.83203125" hidden="0" customWidth="1"/>
    <x:col min="12816" max="12816" width="8.83203125" hidden="0" customWidth="1"/>
    <x:col min="12817" max="12817" width="8.83203125" hidden="0" customWidth="1"/>
    <x:col min="12818" max="12818" width="8.83203125" hidden="0" customWidth="1"/>
    <x:col min="12819" max="12819" width="8.83203125" hidden="0" customWidth="1"/>
    <x:col min="12820" max="12820" width="8.83203125" hidden="0" customWidth="1"/>
    <x:col min="12821" max="12821" width="8.83203125" hidden="0" customWidth="1"/>
    <x:col min="12822" max="12822" width="8.83203125" hidden="0" customWidth="1"/>
    <x:col min="12823" max="12823" width="8.83203125" hidden="0" customWidth="1"/>
    <x:col min="12824" max="12824" width="8.83203125" hidden="0" customWidth="1"/>
    <x:col min="12825" max="12825" width="8.83203125" hidden="0" customWidth="1"/>
    <x:col min="12826" max="12826" width="8.83203125" hidden="0" customWidth="1"/>
    <x:col min="12827" max="12827" width="8.83203125" hidden="0" customWidth="1"/>
    <x:col min="12828" max="12828" width="8.83203125" hidden="0" customWidth="1"/>
    <x:col min="12829" max="12829" width="8.83203125" hidden="0" customWidth="1"/>
    <x:col min="12830" max="12830" width="8.83203125" hidden="0" customWidth="1"/>
    <x:col min="12831" max="12831" width="8.83203125" hidden="0" customWidth="1"/>
    <x:col min="12832" max="12832" width="8.83203125" hidden="0" customWidth="1"/>
    <x:col min="12833" max="12833" width="8.83203125" hidden="0" customWidth="1"/>
    <x:col min="12834" max="12834" width="8.83203125" hidden="0" customWidth="1"/>
    <x:col min="12835" max="12835" width="8.83203125" hidden="0" customWidth="1"/>
    <x:col min="12836" max="12836" width="8.83203125" hidden="0" customWidth="1"/>
    <x:col min="12837" max="12837" width="8.83203125" hidden="0" customWidth="1"/>
    <x:col min="12838" max="12838" width="8.83203125" hidden="0" customWidth="1"/>
    <x:col min="12839" max="12839" width="8.83203125" hidden="0" customWidth="1"/>
    <x:col min="12840" max="12840" width="8.83203125" hidden="0" customWidth="1"/>
    <x:col min="12841" max="12841" width="8.83203125" hidden="0" customWidth="1"/>
    <x:col min="12842" max="12842" width="8.83203125" hidden="0" customWidth="1"/>
    <x:col min="12843" max="12843" width="8.83203125" hidden="0" customWidth="1"/>
    <x:col min="12844" max="12844" width="8.83203125" hidden="0" customWidth="1"/>
    <x:col min="12845" max="12845" width="8.83203125" hidden="0" customWidth="1"/>
    <x:col min="12846" max="12846" width="8.83203125" hidden="0" customWidth="1"/>
    <x:col min="12847" max="12847" width="8.83203125" hidden="0" customWidth="1"/>
    <x:col min="12848" max="12848" width="8.83203125" hidden="0" customWidth="1"/>
    <x:col min="12849" max="12849" width="8.83203125" hidden="0" customWidth="1"/>
    <x:col min="12850" max="12850" width="8.83203125" hidden="0" customWidth="1"/>
    <x:col min="12851" max="12851" width="8.83203125" hidden="0" customWidth="1"/>
    <x:col min="12852" max="12852" width="8.83203125" hidden="0" customWidth="1"/>
    <x:col min="12853" max="12853" width="8.83203125" hidden="0" customWidth="1"/>
    <x:col min="12854" max="12854" width="8.83203125" hidden="0" customWidth="1"/>
    <x:col min="12855" max="12855" width="8.83203125" hidden="0" customWidth="1"/>
    <x:col min="12856" max="12856" width="8.83203125" hidden="0" customWidth="1"/>
    <x:col min="12857" max="12857" width="8.83203125" hidden="0" customWidth="1"/>
    <x:col min="12858" max="12858" width="8.83203125" hidden="0" customWidth="1"/>
    <x:col min="12859" max="12859" width="8.83203125" hidden="0" customWidth="1"/>
    <x:col min="12860" max="12860" width="8.83203125" hidden="0" customWidth="1"/>
    <x:col min="12861" max="12861" width="8.83203125" hidden="0" customWidth="1"/>
    <x:col min="12862" max="12862" width="8.83203125" hidden="0" customWidth="1"/>
    <x:col min="12863" max="12863" width="8.83203125" hidden="0" customWidth="1"/>
    <x:col min="12864" max="12864" width="8.83203125" hidden="0" customWidth="1"/>
    <x:col min="12865" max="12865" width="8.83203125" hidden="0" customWidth="1"/>
    <x:col min="12866" max="12866" width="8.83203125" hidden="0" customWidth="1"/>
    <x:col min="12867" max="12867" width="8.83203125" hidden="0" customWidth="1"/>
    <x:col min="12868" max="12868" width="8.83203125" hidden="0" customWidth="1"/>
    <x:col min="12869" max="12869" width="8.83203125" hidden="0" customWidth="1"/>
    <x:col min="12870" max="12870" width="8.83203125" hidden="0" customWidth="1"/>
    <x:col min="12871" max="12871" width="8.83203125" hidden="0" customWidth="1"/>
    <x:col min="12872" max="12872" width="8.83203125" hidden="0" customWidth="1"/>
    <x:col min="12873" max="12873" width="8.83203125" hidden="0" customWidth="1"/>
    <x:col min="12874" max="12874" width="8.83203125" hidden="0" customWidth="1"/>
    <x:col min="12875" max="12875" width="8.83203125" hidden="0" customWidth="1"/>
    <x:col min="12876" max="12876" width="8.83203125" hidden="0" customWidth="1"/>
    <x:col min="12877" max="12877" width="8.83203125" hidden="0" customWidth="1"/>
    <x:col min="12878" max="12878" width="8.83203125" hidden="0" customWidth="1"/>
    <x:col min="12879" max="12879" width="8.83203125" hidden="0" customWidth="1"/>
    <x:col min="12880" max="12880" width="8.83203125" hidden="0" customWidth="1"/>
    <x:col min="12881" max="12881" width="8.83203125" hidden="0" customWidth="1"/>
    <x:col min="12882" max="12882" width="8.83203125" hidden="0" customWidth="1"/>
    <x:col min="12883" max="12883" width="8.83203125" hidden="0" customWidth="1"/>
    <x:col min="12884" max="12884" width="8.83203125" hidden="0" customWidth="1"/>
    <x:col min="12885" max="12885" width="8.83203125" hidden="0" customWidth="1"/>
    <x:col min="12886" max="12886" width="8.83203125" hidden="0" customWidth="1"/>
    <x:col min="12887" max="12887" width="8.83203125" hidden="0" customWidth="1"/>
    <x:col min="12888" max="12888" width="8.83203125" hidden="0" customWidth="1"/>
    <x:col min="12889" max="12889" width="8.83203125" hidden="0" customWidth="1"/>
    <x:col min="12890" max="12890" width="8.83203125" hidden="0" customWidth="1"/>
    <x:col min="12891" max="12891" width="8.83203125" hidden="0" customWidth="1"/>
    <x:col min="12892" max="12892" width="8.83203125" hidden="0" customWidth="1"/>
    <x:col min="12893" max="12893" width="8.83203125" hidden="0" customWidth="1"/>
    <x:col min="12894" max="12894" width="8.83203125" hidden="0" customWidth="1"/>
    <x:col min="12895" max="12895" width="8.83203125" hidden="0" customWidth="1"/>
    <x:col min="12896" max="12896" width="8.83203125" hidden="0" customWidth="1"/>
    <x:col min="12897" max="12897" width="8.83203125" hidden="0" customWidth="1"/>
    <x:col min="12898" max="12898" width="8.83203125" hidden="0" customWidth="1"/>
    <x:col min="12899" max="12899" width="8.83203125" hidden="0" customWidth="1"/>
    <x:col min="12900" max="12900" width="8.83203125" hidden="0" customWidth="1"/>
    <x:col min="12901" max="12901" width="8.83203125" hidden="0" customWidth="1"/>
    <x:col min="12902" max="12902" width="8.83203125" hidden="0" customWidth="1"/>
    <x:col min="12903" max="12903" width="8.83203125" hidden="0" customWidth="1"/>
    <x:col min="12904" max="12904" width="8.83203125" hidden="0" customWidth="1"/>
    <x:col min="12905" max="12905" width="8.83203125" hidden="0" customWidth="1"/>
    <x:col min="12906" max="12906" width="8.83203125" hidden="0" customWidth="1"/>
    <x:col min="12907" max="12907" width="8.83203125" hidden="0" customWidth="1"/>
    <x:col min="12908" max="12908" width="8.83203125" hidden="0" customWidth="1"/>
    <x:col min="12909" max="12909" width="8.83203125" hidden="0" customWidth="1"/>
    <x:col min="12910" max="12910" width="8.83203125" hidden="0" customWidth="1"/>
    <x:col min="12911" max="12911" width="8.83203125" hidden="0" customWidth="1"/>
    <x:col min="12912" max="12912" width="8.83203125" hidden="0" customWidth="1"/>
    <x:col min="12913" max="12913" width="8.83203125" hidden="0" customWidth="1"/>
    <x:col min="12914" max="12914" width="8.83203125" hidden="0" customWidth="1"/>
    <x:col min="12915" max="12915" width="8.83203125" hidden="0" customWidth="1"/>
    <x:col min="12916" max="12916" width="8.83203125" hidden="0" customWidth="1"/>
    <x:col min="12917" max="12917" width="8.83203125" hidden="0" customWidth="1"/>
    <x:col min="12918" max="12918" width="8.83203125" hidden="0" customWidth="1"/>
    <x:col min="12919" max="12919" width="8.83203125" hidden="0" customWidth="1"/>
    <x:col min="12920" max="12920" width="8.83203125" hidden="0" customWidth="1"/>
    <x:col min="12921" max="12921" width="8.83203125" hidden="0" customWidth="1"/>
    <x:col min="12922" max="12922" width="8.83203125" hidden="0" customWidth="1"/>
    <x:col min="12923" max="12923" width="8.83203125" hidden="0" customWidth="1"/>
    <x:col min="12924" max="12924" width="8.83203125" hidden="0" customWidth="1"/>
    <x:col min="12925" max="12925" width="8.83203125" hidden="0" customWidth="1"/>
    <x:col min="12926" max="12926" width="8.83203125" hidden="0" customWidth="1"/>
    <x:col min="12927" max="12927" width="8.83203125" hidden="0" customWidth="1"/>
    <x:col min="12928" max="12928" width="8.83203125" hidden="0" customWidth="1"/>
    <x:col min="12929" max="12929" width="8.83203125" hidden="0" customWidth="1"/>
    <x:col min="12930" max="12930" width="8.83203125" hidden="0" customWidth="1"/>
    <x:col min="12931" max="12931" width="8.83203125" hidden="0" customWidth="1"/>
    <x:col min="12932" max="12932" width="8.83203125" hidden="0" customWidth="1"/>
    <x:col min="12933" max="12933" width="8.83203125" hidden="0" customWidth="1"/>
    <x:col min="12934" max="12934" width="8.83203125" hidden="0" customWidth="1"/>
    <x:col min="12935" max="12935" width="8.83203125" hidden="0" customWidth="1"/>
    <x:col min="12936" max="12936" width="8.83203125" hidden="0" customWidth="1"/>
    <x:col min="12937" max="12937" width="8.83203125" hidden="0" customWidth="1"/>
    <x:col min="12938" max="12938" width="8.83203125" hidden="0" customWidth="1"/>
    <x:col min="12939" max="12939" width="8.83203125" hidden="0" customWidth="1"/>
    <x:col min="12940" max="12940" width="8.83203125" hidden="0" customWidth="1"/>
    <x:col min="12941" max="12941" width="8.83203125" hidden="0" customWidth="1"/>
    <x:col min="12942" max="12942" width="8.83203125" hidden="0" customWidth="1"/>
    <x:col min="12943" max="12943" width="8.83203125" hidden="0" customWidth="1"/>
    <x:col min="12944" max="12944" width="8.83203125" hidden="0" customWidth="1"/>
    <x:col min="12945" max="12945" width="8.83203125" hidden="0" customWidth="1"/>
    <x:col min="12946" max="12946" width="8.83203125" hidden="0" customWidth="1"/>
    <x:col min="12947" max="12947" width="8.83203125" hidden="0" customWidth="1"/>
    <x:col min="12948" max="12948" width="8.83203125" hidden="0" customWidth="1"/>
    <x:col min="12949" max="12949" width="8.83203125" hidden="0" customWidth="1"/>
    <x:col min="12950" max="12950" width="8.83203125" hidden="0" customWidth="1"/>
    <x:col min="12951" max="12951" width="8.83203125" hidden="0" customWidth="1"/>
    <x:col min="12952" max="12952" width="8.83203125" hidden="0" customWidth="1"/>
    <x:col min="12953" max="12953" width="8.83203125" hidden="0" customWidth="1"/>
    <x:col min="12954" max="12954" width="8.83203125" hidden="0" customWidth="1"/>
    <x:col min="12955" max="12955" width="8.83203125" hidden="0" customWidth="1"/>
    <x:col min="12956" max="12956" width="8.83203125" hidden="0" customWidth="1"/>
    <x:col min="12957" max="12957" width="8.83203125" hidden="0" customWidth="1"/>
    <x:col min="12958" max="12958" width="8.83203125" hidden="0" customWidth="1"/>
    <x:col min="12959" max="12959" width="8.83203125" hidden="0" customWidth="1"/>
    <x:col min="12960" max="12960" width="8.83203125" hidden="0" customWidth="1"/>
    <x:col min="12961" max="12961" width="8.83203125" hidden="0" customWidth="1"/>
    <x:col min="12962" max="12962" width="8.83203125" hidden="0" customWidth="1"/>
    <x:col min="12963" max="12963" width="8.83203125" hidden="0" customWidth="1"/>
    <x:col min="12964" max="12964" width="8.83203125" hidden="0" customWidth="1"/>
    <x:col min="12965" max="12965" width="8.83203125" hidden="0" customWidth="1"/>
    <x:col min="12966" max="12966" width="8.83203125" hidden="0" customWidth="1"/>
    <x:col min="12967" max="12967" width="8.83203125" hidden="0" customWidth="1"/>
    <x:col min="12968" max="12968" width="8.83203125" hidden="0" customWidth="1"/>
    <x:col min="12969" max="12969" width="8.83203125" hidden="0" customWidth="1"/>
    <x:col min="12970" max="12970" width="8.83203125" hidden="0" customWidth="1"/>
    <x:col min="12971" max="12971" width="8.83203125" hidden="0" customWidth="1"/>
    <x:col min="12972" max="12972" width="8.83203125" hidden="0" customWidth="1"/>
    <x:col min="12973" max="12973" width="8.83203125" hidden="0" customWidth="1"/>
    <x:col min="12974" max="12974" width="8.83203125" hidden="0" customWidth="1"/>
    <x:col min="12975" max="12975" width="8.83203125" hidden="0" customWidth="1"/>
    <x:col min="12976" max="12976" width="8.83203125" hidden="0" customWidth="1"/>
    <x:col min="12977" max="12977" width="8.83203125" hidden="0" customWidth="1"/>
    <x:col min="12978" max="12978" width="8.83203125" hidden="0" customWidth="1"/>
    <x:col min="12979" max="12979" width="8.83203125" hidden="0" customWidth="1"/>
    <x:col min="12980" max="12980" width="8.83203125" hidden="0" customWidth="1"/>
    <x:col min="12981" max="12981" width="8.83203125" hidden="0" customWidth="1"/>
    <x:col min="12982" max="12982" width="8.83203125" hidden="0" customWidth="1"/>
    <x:col min="12983" max="12983" width="8.83203125" hidden="0" customWidth="1"/>
    <x:col min="12984" max="12984" width="8.83203125" hidden="0" customWidth="1"/>
    <x:col min="12985" max="12985" width="8.83203125" hidden="0" customWidth="1"/>
    <x:col min="12986" max="12986" width="8.83203125" hidden="0" customWidth="1"/>
    <x:col min="12987" max="12987" width="8.83203125" hidden="0" customWidth="1"/>
    <x:col min="12988" max="12988" width="8.83203125" hidden="0" customWidth="1"/>
    <x:col min="12989" max="12989" width="8.83203125" hidden="0" customWidth="1"/>
    <x:col min="12990" max="12990" width="8.83203125" hidden="0" customWidth="1"/>
    <x:col min="12991" max="12991" width="8.83203125" hidden="0" customWidth="1"/>
    <x:col min="12992" max="12992" width="8.83203125" hidden="0" customWidth="1"/>
    <x:col min="12993" max="12993" width="8.83203125" hidden="0" customWidth="1"/>
    <x:col min="12994" max="12994" width="8.83203125" hidden="0" customWidth="1"/>
    <x:col min="12995" max="12995" width="8.83203125" hidden="0" customWidth="1"/>
    <x:col min="12996" max="12996" width="8.83203125" hidden="0" customWidth="1"/>
    <x:col min="12997" max="12997" width="8.83203125" hidden="0" customWidth="1"/>
    <x:col min="12998" max="12998" width="8.83203125" hidden="0" customWidth="1"/>
    <x:col min="12999" max="12999" width="8.83203125" hidden="0" customWidth="1"/>
    <x:col min="13000" max="13000" width="8.83203125" hidden="0" customWidth="1"/>
    <x:col min="13001" max="13001" width="8.83203125" hidden="0" customWidth="1"/>
    <x:col min="13002" max="13002" width="8.83203125" hidden="0" customWidth="1"/>
    <x:col min="13003" max="13003" width="8.83203125" hidden="0" customWidth="1"/>
    <x:col min="13004" max="13004" width="8.83203125" hidden="0" customWidth="1"/>
    <x:col min="13005" max="13005" width="8.83203125" hidden="0" customWidth="1"/>
    <x:col min="13006" max="13006" width="8.83203125" hidden="0" customWidth="1"/>
    <x:col min="13007" max="13007" width="8.83203125" hidden="0" customWidth="1"/>
    <x:col min="13008" max="13008" width="8.83203125" hidden="0" customWidth="1"/>
    <x:col min="13009" max="13009" width="8.83203125" hidden="0" customWidth="1"/>
    <x:col min="13010" max="13010" width="8.83203125" hidden="0" customWidth="1"/>
    <x:col min="13011" max="13011" width="8.83203125" hidden="0" customWidth="1"/>
    <x:col min="13012" max="13012" width="8.83203125" hidden="0" customWidth="1"/>
    <x:col min="13013" max="13013" width="8.83203125" hidden="0" customWidth="1"/>
    <x:col min="13014" max="13014" width="8.83203125" hidden="0" customWidth="1"/>
    <x:col min="13015" max="13015" width="8.83203125" hidden="0" customWidth="1"/>
    <x:col min="13016" max="13016" width="8.83203125" hidden="0" customWidth="1"/>
    <x:col min="13017" max="13017" width="8.83203125" hidden="0" customWidth="1"/>
    <x:col min="13018" max="13018" width="8.83203125" hidden="0" customWidth="1"/>
    <x:col min="13019" max="13019" width="8.83203125" hidden="0" customWidth="1"/>
    <x:col min="13020" max="13020" width="8.83203125" hidden="0" customWidth="1"/>
    <x:col min="13021" max="13021" width="8.83203125" hidden="0" customWidth="1"/>
    <x:col min="13022" max="13022" width="8.83203125" hidden="0" customWidth="1"/>
    <x:col min="13023" max="13023" width="8.83203125" hidden="0" customWidth="1"/>
    <x:col min="13024" max="13024" width="8.83203125" hidden="0" customWidth="1"/>
    <x:col min="13025" max="13025" width="8.83203125" hidden="0" customWidth="1"/>
    <x:col min="13026" max="13026" width="8.83203125" hidden="0" customWidth="1"/>
    <x:col min="13027" max="13027" width="8.83203125" hidden="0" customWidth="1"/>
    <x:col min="13028" max="13028" width="8.83203125" hidden="0" customWidth="1"/>
    <x:col min="13029" max="13029" width="8.83203125" hidden="0" customWidth="1"/>
    <x:col min="13030" max="13030" width="8.83203125" hidden="0" customWidth="1"/>
    <x:col min="13031" max="13031" width="8.83203125" hidden="0" customWidth="1"/>
    <x:col min="13032" max="13032" width="8.83203125" hidden="0" customWidth="1"/>
    <x:col min="13033" max="13033" width="8.83203125" hidden="0" customWidth="1"/>
    <x:col min="13034" max="13034" width="8.83203125" hidden="0" customWidth="1"/>
    <x:col min="13035" max="13035" width="8.83203125" hidden="0" customWidth="1"/>
    <x:col min="13036" max="13036" width="8.83203125" hidden="0" customWidth="1"/>
    <x:col min="13037" max="13037" width="8.83203125" hidden="0" customWidth="1"/>
    <x:col min="13038" max="13038" width="8.83203125" hidden="0" customWidth="1"/>
    <x:col min="13039" max="13039" width="8.83203125" hidden="0" customWidth="1"/>
    <x:col min="13040" max="13040" width="8.83203125" hidden="0" customWidth="1"/>
    <x:col min="13041" max="13041" width="8.83203125" hidden="0" customWidth="1"/>
    <x:col min="13042" max="13042" width="8.83203125" hidden="0" customWidth="1"/>
    <x:col min="13043" max="13043" width="8.83203125" hidden="0" customWidth="1"/>
    <x:col min="13044" max="13044" width="8.83203125" hidden="0" customWidth="1"/>
    <x:col min="13045" max="13045" width="8.83203125" hidden="0" customWidth="1"/>
    <x:col min="13046" max="13046" width="8.83203125" hidden="0" customWidth="1"/>
    <x:col min="13047" max="13047" width="8.83203125" hidden="0" customWidth="1"/>
    <x:col min="13048" max="13048" width="8.83203125" hidden="0" customWidth="1"/>
    <x:col min="13049" max="13049" width="8.83203125" hidden="0" customWidth="1"/>
    <x:col min="13050" max="13050" width="8.83203125" hidden="0" customWidth="1"/>
    <x:col min="13051" max="13051" width="8.83203125" hidden="0" customWidth="1"/>
    <x:col min="13052" max="13052" width="8.83203125" hidden="0" customWidth="1"/>
    <x:col min="13053" max="13053" width="8.83203125" hidden="0" customWidth="1"/>
    <x:col min="13054" max="13054" width="8.83203125" hidden="0" customWidth="1"/>
    <x:col min="13055" max="13055" width="8.83203125" hidden="0" customWidth="1"/>
    <x:col min="13056" max="13056" width="8.83203125" hidden="0" customWidth="1"/>
    <x:col min="13057" max="13057" width="8.83203125" hidden="0" customWidth="1"/>
    <x:col min="13058" max="13058" width="8.83203125" hidden="0" customWidth="1"/>
    <x:col min="13059" max="13059" width="8.83203125" hidden="0" customWidth="1"/>
    <x:col min="13060" max="13060" width="8.83203125" hidden="0" customWidth="1"/>
    <x:col min="13061" max="13061" width="8.83203125" hidden="0" customWidth="1"/>
    <x:col min="13062" max="13062" width="8.83203125" hidden="0" customWidth="1"/>
    <x:col min="13063" max="13063" width="8.83203125" hidden="0" customWidth="1"/>
    <x:col min="13064" max="13064" width="8.83203125" hidden="0" customWidth="1"/>
    <x:col min="13065" max="13065" width="8.83203125" hidden="0" customWidth="1"/>
    <x:col min="13066" max="13066" width="8.83203125" hidden="0" customWidth="1"/>
    <x:col min="13067" max="13067" width="8.83203125" hidden="0" customWidth="1"/>
    <x:col min="13068" max="13068" width="8.83203125" hidden="0" customWidth="1"/>
    <x:col min="13069" max="13069" width="8.83203125" hidden="0" customWidth="1"/>
    <x:col min="13070" max="13070" width="8.83203125" hidden="0" customWidth="1"/>
    <x:col min="13071" max="13071" width="8.83203125" hidden="0" customWidth="1"/>
    <x:col min="13072" max="13072" width="8.83203125" hidden="0" customWidth="1"/>
    <x:col min="13073" max="13073" width="8.83203125" hidden="0" customWidth="1"/>
    <x:col min="13074" max="13074" width="8.83203125" hidden="0" customWidth="1"/>
    <x:col min="13075" max="13075" width="8.83203125" hidden="0" customWidth="1"/>
    <x:col min="13076" max="13076" width="8.83203125" hidden="0" customWidth="1"/>
    <x:col min="13077" max="13077" width="8.83203125" hidden="0" customWidth="1"/>
    <x:col min="13078" max="13078" width="8.83203125" hidden="0" customWidth="1"/>
    <x:col min="13079" max="13079" width="8.83203125" hidden="0" customWidth="1"/>
    <x:col min="13080" max="13080" width="8.83203125" hidden="0" customWidth="1"/>
    <x:col min="13081" max="13081" width="8.83203125" hidden="0" customWidth="1"/>
    <x:col min="13082" max="13082" width="8.83203125" hidden="0" customWidth="1"/>
    <x:col min="13083" max="13083" width="8.83203125" hidden="0" customWidth="1"/>
    <x:col min="13084" max="13084" width="8.83203125" hidden="0" customWidth="1"/>
    <x:col min="13085" max="13085" width="8.83203125" hidden="0" customWidth="1"/>
    <x:col min="13086" max="13086" width="8.83203125" hidden="0" customWidth="1"/>
    <x:col min="13087" max="13087" width="8.83203125" hidden="0" customWidth="1"/>
    <x:col min="13088" max="13088" width="8.83203125" hidden="0" customWidth="1"/>
    <x:col min="13089" max="13089" width="8.83203125" hidden="0" customWidth="1"/>
    <x:col min="13090" max="13090" width="8.83203125" hidden="0" customWidth="1"/>
    <x:col min="13091" max="13091" width="8.83203125" hidden="0" customWidth="1"/>
    <x:col min="13092" max="13092" width="8.83203125" hidden="0" customWidth="1"/>
    <x:col min="13093" max="13093" width="8.83203125" hidden="0" customWidth="1"/>
    <x:col min="13094" max="13094" width="8.83203125" hidden="0" customWidth="1"/>
    <x:col min="13095" max="13095" width="8.83203125" hidden="0" customWidth="1"/>
    <x:col min="13096" max="13096" width="8.83203125" hidden="0" customWidth="1"/>
    <x:col min="13097" max="13097" width="8.83203125" hidden="0" customWidth="1"/>
    <x:col min="13098" max="13098" width="8.83203125" hidden="0" customWidth="1"/>
    <x:col min="13099" max="13099" width="8.83203125" hidden="0" customWidth="1"/>
    <x:col min="13100" max="13100" width="8.83203125" hidden="0" customWidth="1"/>
    <x:col min="13101" max="13101" width="8.83203125" hidden="0" customWidth="1"/>
    <x:col min="13102" max="13102" width="8.83203125" hidden="0" customWidth="1"/>
    <x:col min="13103" max="13103" width="8.83203125" hidden="0" customWidth="1"/>
    <x:col min="13104" max="13104" width="8.83203125" hidden="0" customWidth="1"/>
    <x:col min="13105" max="13105" width="8.83203125" hidden="0" customWidth="1"/>
    <x:col min="13106" max="13106" width="8.83203125" hidden="0" customWidth="1"/>
    <x:col min="13107" max="13107" width="8.83203125" hidden="0" customWidth="1"/>
    <x:col min="13108" max="13108" width="8.83203125" hidden="0" customWidth="1"/>
    <x:col min="13109" max="13109" width="8.83203125" hidden="0" customWidth="1"/>
    <x:col min="13110" max="13110" width="8.83203125" hidden="0" customWidth="1"/>
    <x:col min="13111" max="13111" width="8.83203125" hidden="0" customWidth="1"/>
    <x:col min="13112" max="13112" width="8.83203125" hidden="0" customWidth="1"/>
    <x:col min="13113" max="13113" width="8.83203125" hidden="0" customWidth="1"/>
    <x:col min="13114" max="13114" width="8.83203125" hidden="0" customWidth="1"/>
    <x:col min="13115" max="13115" width="8.83203125" hidden="0" customWidth="1"/>
    <x:col min="13116" max="13116" width="8.83203125" hidden="0" customWidth="1"/>
    <x:col min="13117" max="13117" width="8.83203125" hidden="0" customWidth="1"/>
    <x:col min="13118" max="13118" width="8.83203125" hidden="0" customWidth="1"/>
    <x:col min="13119" max="13119" width="8.83203125" hidden="0" customWidth="1"/>
    <x:col min="13120" max="13120" width="8.83203125" hidden="0" customWidth="1"/>
    <x:col min="13121" max="13121" width="8.83203125" hidden="0" customWidth="1"/>
    <x:col min="13122" max="13122" width="8.83203125" hidden="0" customWidth="1"/>
    <x:col min="13123" max="13123" width="8.83203125" hidden="0" customWidth="1"/>
    <x:col min="13124" max="13124" width="8.83203125" hidden="0" customWidth="1"/>
    <x:col min="13125" max="13125" width="8.83203125" hidden="0" customWidth="1"/>
    <x:col min="13126" max="13126" width="8.83203125" hidden="0" customWidth="1"/>
    <x:col min="13127" max="13127" width="8.83203125" hidden="0" customWidth="1"/>
    <x:col min="13128" max="13128" width="8.83203125" hidden="0" customWidth="1"/>
    <x:col min="13129" max="13129" width="8.83203125" hidden="0" customWidth="1"/>
    <x:col min="13130" max="13130" width="8.83203125" hidden="0" customWidth="1"/>
    <x:col min="13131" max="13131" width="8.83203125" hidden="0" customWidth="1"/>
    <x:col min="13132" max="13132" width="8.83203125" hidden="0" customWidth="1"/>
    <x:col min="13133" max="13133" width="8.83203125" hidden="0" customWidth="1"/>
    <x:col min="13134" max="13134" width="8.83203125" hidden="0" customWidth="1"/>
    <x:col min="13135" max="13135" width="8.83203125" hidden="0" customWidth="1"/>
    <x:col min="13136" max="13136" width="8.83203125" hidden="0" customWidth="1"/>
    <x:col min="13137" max="13137" width="8.83203125" hidden="0" customWidth="1"/>
    <x:col min="13138" max="13138" width="8.83203125" hidden="0" customWidth="1"/>
    <x:col min="13139" max="13139" width="8.83203125" hidden="0" customWidth="1"/>
    <x:col min="13140" max="13140" width="8.83203125" hidden="0" customWidth="1"/>
    <x:col min="13141" max="13141" width="8.83203125" hidden="0" customWidth="1"/>
    <x:col min="13142" max="13142" width="8.83203125" hidden="0" customWidth="1"/>
    <x:col min="13143" max="13143" width="8.83203125" hidden="0" customWidth="1"/>
    <x:col min="13144" max="13144" width="8.83203125" hidden="0" customWidth="1"/>
    <x:col min="13145" max="13145" width="8.83203125" hidden="0" customWidth="1"/>
    <x:col min="13146" max="13146" width="8.83203125" hidden="0" customWidth="1"/>
    <x:col min="13147" max="13147" width="8.83203125" hidden="0" customWidth="1"/>
    <x:col min="13148" max="13148" width="8.83203125" hidden="0" customWidth="1"/>
    <x:col min="13149" max="13149" width="8.83203125" hidden="0" customWidth="1"/>
    <x:col min="13150" max="13150" width="8.83203125" hidden="0" customWidth="1"/>
    <x:col min="13151" max="13151" width="8.83203125" hidden="0" customWidth="1"/>
    <x:col min="13152" max="13152" width="8.83203125" hidden="0" customWidth="1"/>
    <x:col min="13153" max="13153" width="8.83203125" hidden="0" customWidth="1"/>
    <x:col min="13154" max="13154" width="8.83203125" hidden="0" customWidth="1"/>
    <x:col min="13155" max="13155" width="8.83203125" hidden="0" customWidth="1"/>
    <x:col min="13156" max="13156" width="8.83203125" hidden="0" customWidth="1"/>
    <x:col min="13157" max="13157" width="8.83203125" hidden="0" customWidth="1"/>
    <x:col min="13158" max="13158" width="8.83203125" hidden="0" customWidth="1"/>
    <x:col min="13159" max="13159" width="8.83203125" hidden="0" customWidth="1"/>
    <x:col min="13160" max="13160" width="8.83203125" hidden="0" customWidth="1"/>
    <x:col min="13161" max="13161" width="8.83203125" hidden="0" customWidth="1"/>
    <x:col min="13162" max="13162" width="8.83203125" hidden="0" customWidth="1"/>
    <x:col min="13163" max="13163" width="8.83203125" hidden="0" customWidth="1"/>
    <x:col min="13164" max="13164" width="8.83203125" hidden="0" customWidth="1"/>
    <x:col min="13165" max="13165" width="8.83203125" hidden="0" customWidth="1"/>
    <x:col min="13166" max="13166" width="8.83203125" hidden="0" customWidth="1"/>
    <x:col min="13167" max="13167" width="8.83203125" hidden="0" customWidth="1"/>
    <x:col min="13168" max="13168" width="8.83203125" hidden="0" customWidth="1"/>
    <x:col min="13169" max="13169" width="8.83203125" hidden="0" customWidth="1"/>
    <x:col min="13170" max="13170" width="8.83203125" hidden="0" customWidth="1"/>
    <x:col min="13171" max="13171" width="8.83203125" hidden="0" customWidth="1"/>
    <x:col min="13172" max="13172" width="8.83203125" hidden="0" customWidth="1"/>
    <x:col min="13173" max="13173" width="8.83203125" hidden="0" customWidth="1"/>
    <x:col min="13174" max="13174" width="8.83203125" hidden="0" customWidth="1"/>
    <x:col min="13175" max="13175" width="8.83203125" hidden="0" customWidth="1"/>
    <x:col min="13176" max="13176" width="8.83203125" hidden="0" customWidth="1"/>
    <x:col min="13177" max="13177" width="8.83203125" hidden="0" customWidth="1"/>
    <x:col min="13178" max="13178" width="8.83203125" hidden="0" customWidth="1"/>
    <x:col min="13179" max="13179" width="8.83203125" hidden="0" customWidth="1"/>
    <x:col min="13180" max="13180" width="8.83203125" hidden="0" customWidth="1"/>
    <x:col min="13181" max="13181" width="8.83203125" hidden="0" customWidth="1"/>
    <x:col min="13182" max="13182" width="8.83203125" hidden="0" customWidth="1"/>
    <x:col min="13183" max="13183" width="8.83203125" hidden="0" customWidth="1"/>
    <x:col min="13184" max="13184" width="8.83203125" hidden="0" customWidth="1"/>
    <x:col min="13185" max="13185" width="8.83203125" hidden="0" customWidth="1"/>
    <x:col min="13186" max="13186" width="8.83203125" hidden="0" customWidth="1"/>
    <x:col min="13187" max="13187" width="8.83203125" hidden="0" customWidth="1"/>
    <x:col min="13188" max="13188" width="8.83203125" hidden="0" customWidth="1"/>
    <x:col min="13189" max="13189" width="8.83203125" hidden="0" customWidth="1"/>
    <x:col min="13190" max="13190" width="8.83203125" hidden="0" customWidth="1"/>
    <x:col min="13191" max="13191" width="8.83203125" hidden="0" customWidth="1"/>
    <x:col min="13192" max="13192" width="8.83203125" hidden="0" customWidth="1"/>
    <x:col min="13193" max="13193" width="8.83203125" hidden="0" customWidth="1"/>
    <x:col min="13194" max="13194" width="8.83203125" hidden="0" customWidth="1"/>
    <x:col min="13195" max="13195" width="8.83203125" hidden="0" customWidth="1"/>
    <x:col min="13196" max="13196" width="8.83203125" hidden="0" customWidth="1"/>
    <x:col min="13197" max="13197" width="8.83203125" hidden="0" customWidth="1"/>
    <x:col min="13198" max="13198" width="8.83203125" hidden="0" customWidth="1"/>
    <x:col min="13199" max="13199" width="8.83203125" hidden="0" customWidth="1"/>
    <x:col min="13200" max="13200" width="8.83203125" hidden="0" customWidth="1"/>
    <x:col min="13201" max="13201" width="8.83203125" hidden="0" customWidth="1"/>
    <x:col min="13202" max="13202" width="8.83203125" hidden="0" customWidth="1"/>
    <x:col min="13203" max="13203" width="8.83203125" hidden="0" customWidth="1"/>
    <x:col min="13204" max="13204" width="8.83203125" hidden="0" customWidth="1"/>
    <x:col min="13205" max="13205" width="8.83203125" hidden="0" customWidth="1"/>
    <x:col min="13206" max="13206" width="8.83203125" hidden="0" customWidth="1"/>
    <x:col min="13207" max="13207" width="8.83203125" hidden="0" customWidth="1"/>
    <x:col min="13208" max="13208" width="8.83203125" hidden="0" customWidth="1"/>
    <x:col min="13209" max="13209" width="8.83203125" hidden="0" customWidth="1"/>
    <x:col min="13210" max="13210" width="8.83203125" hidden="0" customWidth="1"/>
    <x:col min="13211" max="13211" width="8.83203125" hidden="0" customWidth="1"/>
    <x:col min="13212" max="13212" width="8.83203125" hidden="0" customWidth="1"/>
    <x:col min="13213" max="13213" width="8.83203125" hidden="0" customWidth="1"/>
    <x:col min="13214" max="13214" width="8.83203125" hidden="0" customWidth="1"/>
    <x:col min="13215" max="13215" width="8.83203125" hidden="0" customWidth="1"/>
    <x:col min="13216" max="13216" width="8.83203125" hidden="0" customWidth="1"/>
    <x:col min="13217" max="13217" width="8.83203125" hidden="0" customWidth="1"/>
    <x:col min="13218" max="13218" width="8.83203125" hidden="0" customWidth="1"/>
    <x:col min="13219" max="13219" width="8.83203125" hidden="0" customWidth="1"/>
    <x:col min="13220" max="13220" width="8.83203125" hidden="0" customWidth="1"/>
    <x:col min="13221" max="13221" width="8.83203125" hidden="0" customWidth="1"/>
    <x:col min="13222" max="13222" width="8.83203125" hidden="0" customWidth="1"/>
    <x:col min="13223" max="13223" width="8.83203125" hidden="0" customWidth="1"/>
    <x:col min="13224" max="13224" width="8.83203125" hidden="0" customWidth="1"/>
    <x:col min="13225" max="13225" width="8.83203125" hidden="0" customWidth="1"/>
    <x:col min="13226" max="13226" width="8.83203125" hidden="0" customWidth="1"/>
    <x:col min="13227" max="13227" width="8.83203125" hidden="0" customWidth="1"/>
    <x:col min="13228" max="13228" width="8.83203125" hidden="0" customWidth="1"/>
    <x:col min="13229" max="13229" width="8.83203125" hidden="0" customWidth="1"/>
    <x:col min="13230" max="13230" width="8.83203125" hidden="0" customWidth="1"/>
    <x:col min="13231" max="13231" width="8.83203125" hidden="0" customWidth="1"/>
    <x:col min="13232" max="13232" width="8.83203125" hidden="0" customWidth="1"/>
    <x:col min="13233" max="13233" width="8.83203125" hidden="0" customWidth="1"/>
    <x:col min="13234" max="13234" width="8.83203125" hidden="0" customWidth="1"/>
    <x:col min="13235" max="13235" width="8.83203125" hidden="0" customWidth="1"/>
    <x:col min="13236" max="13236" width="8.83203125" hidden="0" customWidth="1"/>
    <x:col min="13237" max="13237" width="8.83203125" hidden="0" customWidth="1"/>
    <x:col min="13238" max="13238" width="8.83203125" hidden="0" customWidth="1"/>
    <x:col min="13239" max="13239" width="8.83203125" hidden="0" customWidth="1"/>
    <x:col min="13240" max="13240" width="8.83203125" hidden="0" customWidth="1"/>
    <x:col min="13241" max="13241" width="8.83203125" hidden="0" customWidth="1"/>
    <x:col min="13242" max="13242" width="8.83203125" hidden="0" customWidth="1"/>
    <x:col min="13243" max="13243" width="8.83203125" hidden="0" customWidth="1"/>
    <x:col min="13244" max="13244" width="8.83203125" hidden="0" customWidth="1"/>
    <x:col min="13245" max="13245" width="8.83203125" hidden="0" customWidth="1"/>
    <x:col min="13246" max="13246" width="8.83203125" hidden="0" customWidth="1"/>
    <x:col min="13247" max="13247" width="8.83203125" hidden="0" customWidth="1"/>
    <x:col min="13248" max="13248" width="8.83203125" hidden="0" customWidth="1"/>
    <x:col min="13249" max="13249" width="8.83203125" hidden="0" customWidth="1"/>
    <x:col min="13250" max="13250" width="8.83203125" hidden="0" customWidth="1"/>
    <x:col min="13251" max="13251" width="8.83203125" hidden="0" customWidth="1"/>
    <x:col min="13252" max="13252" width="8.83203125" hidden="0" customWidth="1"/>
    <x:col min="13253" max="13253" width="8.83203125" hidden="0" customWidth="1"/>
    <x:col min="13254" max="13254" width="8.83203125" hidden="0" customWidth="1"/>
    <x:col min="13255" max="13255" width="8.83203125" hidden="0" customWidth="1"/>
    <x:col min="13256" max="13256" width="8.83203125" hidden="0" customWidth="1"/>
    <x:col min="13257" max="13257" width="8.83203125" hidden="0" customWidth="1"/>
    <x:col min="13258" max="13258" width="8.83203125" hidden="0" customWidth="1"/>
    <x:col min="13259" max="13259" width="8.83203125" hidden="0" customWidth="1"/>
    <x:col min="13260" max="13260" width="8.83203125" hidden="0" customWidth="1"/>
    <x:col min="13261" max="13261" width="8.83203125" hidden="0" customWidth="1"/>
    <x:col min="13262" max="13262" width="8.83203125" hidden="0" customWidth="1"/>
    <x:col min="13263" max="13263" width="8.83203125" hidden="0" customWidth="1"/>
    <x:col min="13264" max="13264" width="8.83203125" hidden="0" customWidth="1"/>
    <x:col min="13265" max="13265" width="8.83203125" hidden="0" customWidth="1"/>
    <x:col min="13266" max="13266" width="8.83203125" hidden="0" customWidth="1"/>
    <x:col min="13267" max="13267" width="8.83203125" hidden="0" customWidth="1"/>
    <x:col min="13268" max="13268" width="8.83203125" hidden="0" customWidth="1"/>
    <x:col min="13269" max="13269" width="8.83203125" hidden="0" customWidth="1"/>
    <x:col min="13270" max="13270" width="8.83203125" hidden="0" customWidth="1"/>
    <x:col min="13271" max="13271" width="8.83203125" hidden="0" customWidth="1"/>
    <x:col min="13272" max="13272" width="8.83203125" hidden="0" customWidth="1"/>
    <x:col min="13273" max="13273" width="8.83203125" hidden="0" customWidth="1"/>
    <x:col min="13274" max="13274" width="8.83203125" hidden="0" customWidth="1"/>
    <x:col min="13275" max="13275" width="8.83203125" hidden="0" customWidth="1"/>
    <x:col min="13276" max="13276" width="8.83203125" hidden="0" customWidth="1"/>
    <x:col min="13277" max="13277" width="8.83203125" hidden="0" customWidth="1"/>
    <x:col min="13278" max="13278" width="8.83203125" hidden="0" customWidth="1"/>
    <x:col min="13279" max="13279" width="8.83203125" hidden="0" customWidth="1"/>
    <x:col min="13280" max="13280" width="8.83203125" hidden="0" customWidth="1"/>
    <x:col min="13281" max="13281" width="8.83203125" hidden="0" customWidth="1"/>
    <x:col min="13282" max="13282" width="8.83203125" hidden="0" customWidth="1"/>
    <x:col min="13283" max="13283" width="8.83203125" hidden="0" customWidth="1"/>
    <x:col min="13284" max="13284" width="8.83203125" hidden="0" customWidth="1"/>
    <x:col min="13285" max="13285" width="8.83203125" hidden="0" customWidth="1"/>
    <x:col min="13286" max="13286" width="8.83203125" hidden="0" customWidth="1"/>
    <x:col min="13287" max="13287" width="8.83203125" hidden="0" customWidth="1"/>
    <x:col min="13288" max="13288" width="8.83203125" hidden="0" customWidth="1"/>
    <x:col min="13289" max="13289" width="8.83203125" hidden="0" customWidth="1"/>
    <x:col min="13290" max="13290" width="8.83203125" hidden="0" customWidth="1"/>
    <x:col min="13291" max="13291" width="8.83203125" hidden="0" customWidth="1"/>
    <x:col min="13292" max="13292" width="8.83203125" hidden="0" customWidth="1"/>
    <x:col min="13293" max="13293" width="8.83203125" hidden="0" customWidth="1"/>
    <x:col min="13294" max="13294" width="8.83203125" hidden="0" customWidth="1"/>
    <x:col min="13295" max="13295" width="8.83203125" hidden="0" customWidth="1"/>
    <x:col min="13296" max="13296" width="8.83203125" hidden="0" customWidth="1"/>
    <x:col min="13297" max="13297" width="8.83203125" hidden="0" customWidth="1"/>
    <x:col min="13298" max="13298" width="8.83203125" hidden="0" customWidth="1"/>
    <x:col min="13299" max="13299" width="8.83203125" hidden="0" customWidth="1"/>
    <x:col min="13300" max="13300" width="8.83203125" hidden="0" customWidth="1"/>
    <x:col min="13301" max="13301" width="8.83203125" hidden="0" customWidth="1"/>
    <x:col min="13302" max="13302" width="8.83203125" hidden="0" customWidth="1"/>
    <x:col min="13303" max="13303" width="8.83203125" hidden="0" customWidth="1"/>
    <x:col min="13304" max="13304" width="8.83203125" hidden="0" customWidth="1"/>
    <x:col min="13305" max="13305" width="8.83203125" hidden="0" customWidth="1"/>
    <x:col min="13306" max="13306" width="8.83203125" hidden="0" customWidth="1"/>
    <x:col min="13307" max="13307" width="8.83203125" hidden="0" customWidth="1"/>
    <x:col min="13308" max="13308" width="8.83203125" hidden="0" customWidth="1"/>
    <x:col min="13309" max="13309" width="8.83203125" hidden="0" customWidth="1"/>
    <x:col min="13310" max="13310" width="8.83203125" hidden="0" customWidth="1"/>
    <x:col min="13311" max="13311" width="8.83203125" hidden="0" customWidth="1"/>
    <x:col min="13312" max="13312" width="8.83203125" hidden="0" customWidth="1"/>
    <x:col min="13313" max="13313" width="8.83203125" hidden="0" customWidth="1"/>
    <x:col min="13314" max="13314" width="8.83203125" hidden="0" customWidth="1"/>
    <x:col min="13315" max="13315" width="8.83203125" hidden="0" customWidth="1"/>
    <x:col min="13316" max="13316" width="8.83203125" hidden="0" customWidth="1"/>
    <x:col min="13317" max="13317" width="8.83203125" hidden="0" customWidth="1"/>
    <x:col min="13318" max="13318" width="8.83203125" hidden="0" customWidth="1"/>
    <x:col min="13319" max="13319" width="8.83203125" hidden="0" customWidth="1"/>
    <x:col min="13320" max="13320" width="8.83203125" hidden="0" customWidth="1"/>
    <x:col min="13321" max="13321" width="8.83203125" hidden="0" customWidth="1"/>
    <x:col min="13322" max="13322" width="8.83203125" hidden="0" customWidth="1"/>
    <x:col min="13323" max="13323" width="8.83203125" hidden="0" customWidth="1"/>
    <x:col min="13324" max="13324" width="8.83203125" hidden="0" customWidth="1"/>
    <x:col min="13325" max="13325" width="8.83203125" hidden="0" customWidth="1"/>
    <x:col min="13326" max="13326" width="8.83203125" hidden="0" customWidth="1"/>
    <x:col min="13327" max="13327" width="8.83203125" hidden="0" customWidth="1"/>
    <x:col min="13328" max="13328" width="8.83203125" hidden="0" customWidth="1"/>
    <x:col min="13329" max="13329" width="8.83203125" hidden="0" customWidth="1"/>
    <x:col min="13330" max="13330" width="8.83203125" hidden="0" customWidth="1"/>
    <x:col min="13331" max="13331" width="8.83203125" hidden="0" customWidth="1"/>
    <x:col min="13332" max="13332" width="8.83203125" hidden="0" customWidth="1"/>
    <x:col min="13333" max="13333" width="8.83203125" hidden="0" customWidth="1"/>
    <x:col min="13334" max="13334" width="8.83203125" hidden="0" customWidth="1"/>
    <x:col min="13335" max="13335" width="8.83203125" hidden="0" customWidth="1"/>
    <x:col min="13336" max="13336" width="8.83203125" hidden="0" customWidth="1"/>
    <x:col min="13337" max="13337" width="8.83203125" hidden="0" customWidth="1"/>
    <x:col min="13338" max="13338" width="8.83203125" hidden="0" customWidth="1"/>
    <x:col min="13339" max="13339" width="8.83203125" hidden="0" customWidth="1"/>
    <x:col min="13340" max="13340" width="8.83203125" hidden="0" customWidth="1"/>
    <x:col min="13341" max="13341" width="8.83203125" hidden="0" customWidth="1"/>
    <x:col min="13342" max="13342" width="8.83203125" hidden="0" customWidth="1"/>
    <x:col min="13343" max="13343" width="8.83203125" hidden="0" customWidth="1"/>
    <x:col min="13344" max="13344" width="8.83203125" hidden="0" customWidth="1"/>
    <x:col min="13345" max="13345" width="8.83203125" hidden="0" customWidth="1"/>
    <x:col min="13346" max="13346" width="8.83203125" hidden="0" customWidth="1"/>
    <x:col min="13347" max="13347" width="8.83203125" hidden="0" customWidth="1"/>
    <x:col min="13348" max="13348" width="8.83203125" hidden="0" customWidth="1"/>
    <x:col min="13349" max="13349" width="8.83203125" hidden="0" customWidth="1"/>
    <x:col min="13350" max="13350" width="8.83203125" hidden="0" customWidth="1"/>
    <x:col min="13351" max="13351" width="8.83203125" hidden="0" customWidth="1"/>
    <x:col min="13352" max="13352" width="8.83203125" hidden="0" customWidth="1"/>
    <x:col min="13353" max="13353" width="8.83203125" hidden="0" customWidth="1"/>
    <x:col min="13354" max="13354" width="8.83203125" hidden="0" customWidth="1"/>
    <x:col min="13355" max="13355" width="8.83203125" hidden="0" customWidth="1"/>
    <x:col min="13356" max="13356" width="8.83203125" hidden="0" customWidth="1"/>
    <x:col min="13357" max="13357" width="8.83203125" hidden="0" customWidth="1"/>
    <x:col min="13358" max="13358" width="8.83203125" hidden="0" customWidth="1"/>
    <x:col min="13359" max="13359" width="8.83203125" hidden="0" customWidth="1"/>
    <x:col min="13360" max="13360" width="8.83203125" hidden="0" customWidth="1"/>
    <x:col min="13361" max="13361" width="8.83203125" hidden="0" customWidth="1"/>
    <x:col min="13362" max="13362" width="8.83203125" hidden="0" customWidth="1"/>
    <x:col min="13363" max="13363" width="8.83203125" hidden="0" customWidth="1"/>
    <x:col min="13364" max="13364" width="8.83203125" hidden="0" customWidth="1"/>
    <x:col min="13365" max="13365" width="8.83203125" hidden="0" customWidth="1"/>
    <x:col min="13366" max="13366" width="8.83203125" hidden="0" customWidth="1"/>
    <x:col min="13367" max="13367" width="8.83203125" hidden="0" customWidth="1"/>
    <x:col min="13368" max="13368" width="8.83203125" hidden="0" customWidth="1"/>
    <x:col min="13369" max="13369" width="8.83203125" hidden="0" customWidth="1"/>
    <x:col min="13370" max="13370" width="8.83203125" hidden="0" customWidth="1"/>
    <x:col min="13371" max="13371" width="8.83203125" hidden="0" customWidth="1"/>
    <x:col min="13372" max="13372" width="8.83203125" hidden="0" customWidth="1"/>
    <x:col min="13373" max="13373" width="8.83203125" hidden="0" customWidth="1"/>
    <x:col min="13374" max="13374" width="8.83203125" hidden="0" customWidth="1"/>
    <x:col min="13375" max="13375" width="8.83203125" hidden="0" customWidth="1"/>
    <x:col min="13376" max="13376" width="8.83203125" hidden="0" customWidth="1"/>
    <x:col min="13377" max="13377" width="8.83203125" hidden="0" customWidth="1"/>
    <x:col min="13378" max="13378" width="8.83203125" hidden="0" customWidth="1"/>
    <x:col min="13379" max="13379" width="8.83203125" hidden="0" customWidth="1"/>
    <x:col min="13380" max="13380" width="8.83203125" hidden="0" customWidth="1"/>
    <x:col min="13381" max="13381" width="8.83203125" hidden="0" customWidth="1"/>
    <x:col min="13382" max="13382" width="8.83203125" hidden="0" customWidth="1"/>
    <x:col min="13383" max="13383" width="8.83203125" hidden="0" customWidth="1"/>
    <x:col min="13384" max="13384" width="8.83203125" hidden="0" customWidth="1"/>
    <x:col min="13385" max="13385" width="8.83203125" hidden="0" customWidth="1"/>
    <x:col min="13386" max="13386" width="8.83203125" hidden="0" customWidth="1"/>
    <x:col min="13387" max="13387" width="8.83203125" hidden="0" customWidth="1"/>
    <x:col min="13388" max="13388" width="8.83203125" hidden="0" customWidth="1"/>
    <x:col min="13389" max="13389" width="8.83203125" hidden="0" customWidth="1"/>
    <x:col min="13390" max="13390" width="8.83203125" hidden="0" customWidth="1"/>
    <x:col min="13391" max="13391" width="8.83203125" hidden="0" customWidth="1"/>
    <x:col min="13392" max="13392" width="8.83203125" hidden="0" customWidth="1"/>
    <x:col min="13393" max="13393" width="8.83203125" hidden="0" customWidth="1"/>
    <x:col min="13394" max="13394" width="8.83203125" hidden="0" customWidth="1"/>
    <x:col min="13395" max="13395" width="8.83203125" hidden="0" customWidth="1"/>
    <x:col min="13396" max="13396" width="8.83203125" hidden="0" customWidth="1"/>
    <x:col min="13397" max="13397" width="8.83203125" hidden="0" customWidth="1"/>
    <x:col min="13398" max="13398" width="8.83203125" hidden="0" customWidth="1"/>
    <x:col min="13399" max="13399" width="8.83203125" hidden="0" customWidth="1"/>
    <x:col min="13400" max="13400" width="8.83203125" hidden="0" customWidth="1"/>
    <x:col min="13401" max="13401" width="8.83203125" hidden="0" customWidth="1"/>
    <x:col min="13402" max="13402" width="8.83203125" hidden="0" customWidth="1"/>
    <x:col min="13403" max="13403" width="8.83203125" hidden="0" customWidth="1"/>
    <x:col min="13404" max="13404" width="8.83203125" hidden="0" customWidth="1"/>
    <x:col min="13405" max="13405" width="8.83203125" hidden="0" customWidth="1"/>
    <x:col min="13406" max="13406" width="8.83203125" hidden="0" customWidth="1"/>
    <x:col min="13407" max="13407" width="8.83203125" hidden="0" customWidth="1"/>
    <x:col min="13408" max="13408" width="8.83203125" hidden="0" customWidth="1"/>
    <x:col min="13409" max="13409" width="8.83203125" hidden="0" customWidth="1"/>
    <x:col min="13410" max="13410" width="8.83203125" hidden="0" customWidth="1"/>
    <x:col min="13411" max="13411" width="8.83203125" hidden="0" customWidth="1"/>
    <x:col min="13412" max="13412" width="8.83203125" hidden="0" customWidth="1"/>
    <x:col min="13413" max="13413" width="8.83203125" hidden="0" customWidth="1"/>
    <x:col min="13414" max="13414" width="8.83203125" hidden="0" customWidth="1"/>
    <x:col min="13415" max="13415" width="8.83203125" hidden="0" customWidth="1"/>
    <x:col min="13416" max="13416" width="8.83203125" hidden="0" customWidth="1"/>
    <x:col min="13417" max="13417" width="8.83203125" hidden="0" customWidth="1"/>
    <x:col min="13418" max="13418" width="8.83203125" hidden="0" customWidth="1"/>
    <x:col min="13419" max="13419" width="8.83203125" hidden="0" customWidth="1"/>
    <x:col min="13420" max="13420" width="8.83203125" hidden="0" customWidth="1"/>
    <x:col min="13421" max="13421" width="8.83203125" hidden="0" customWidth="1"/>
    <x:col min="13422" max="13422" width="8.83203125" hidden="0" customWidth="1"/>
    <x:col min="13423" max="13423" width="8.83203125" hidden="0" customWidth="1"/>
    <x:col min="13424" max="13424" width="8.83203125" hidden="0" customWidth="1"/>
    <x:col min="13425" max="13425" width="8.83203125" hidden="0" customWidth="1"/>
    <x:col min="13426" max="13426" width="8.83203125" hidden="0" customWidth="1"/>
    <x:col min="13427" max="13427" width="8.83203125" hidden="0" customWidth="1"/>
    <x:col min="13428" max="13428" width="8.83203125" hidden="0" customWidth="1"/>
    <x:col min="13429" max="13429" width="8.83203125" hidden="0" customWidth="1"/>
    <x:col min="13430" max="13430" width="8.83203125" hidden="0" customWidth="1"/>
    <x:col min="13431" max="13431" width="8.83203125" hidden="0" customWidth="1"/>
    <x:col min="13432" max="13432" width="8.83203125" hidden="0" customWidth="1"/>
    <x:col min="13433" max="13433" width="8.83203125" hidden="0" customWidth="1"/>
    <x:col min="13434" max="13434" width="8.83203125" hidden="0" customWidth="1"/>
    <x:col min="13435" max="13435" width="8.83203125" hidden="0" customWidth="1"/>
    <x:col min="13436" max="13436" width="8.83203125" hidden="0" customWidth="1"/>
    <x:col min="13437" max="13437" width="8.83203125" hidden="0" customWidth="1"/>
    <x:col min="13438" max="13438" width="8.83203125" hidden="0" customWidth="1"/>
    <x:col min="13439" max="13439" width="8.83203125" hidden="0" customWidth="1"/>
    <x:col min="13440" max="13440" width="8.83203125" hidden="0" customWidth="1"/>
    <x:col min="13441" max="13441" width="8.83203125" hidden="0" customWidth="1"/>
    <x:col min="13442" max="13442" width="8.83203125" hidden="0" customWidth="1"/>
    <x:col min="13443" max="13443" width="8.83203125" hidden="0" customWidth="1"/>
    <x:col min="13444" max="13444" width="8.83203125" hidden="0" customWidth="1"/>
    <x:col min="13445" max="13445" width="8.83203125" hidden="0" customWidth="1"/>
    <x:col min="13446" max="13446" width="8.83203125" hidden="0" customWidth="1"/>
    <x:col min="13447" max="13447" width="8.83203125" hidden="0" customWidth="1"/>
    <x:col min="13448" max="13448" width="8.83203125" hidden="0" customWidth="1"/>
    <x:col min="13449" max="13449" width="8.83203125" hidden="0" customWidth="1"/>
    <x:col min="13450" max="13450" width="8.83203125" hidden="0" customWidth="1"/>
    <x:col min="13451" max="13451" width="8.83203125" hidden="0" customWidth="1"/>
    <x:col min="13452" max="13452" width="8.83203125" hidden="0" customWidth="1"/>
    <x:col min="13453" max="13453" width="8.83203125" hidden="0" customWidth="1"/>
    <x:col min="13454" max="13454" width="8.83203125" hidden="0" customWidth="1"/>
    <x:col min="13455" max="13455" width="8.83203125" hidden="0" customWidth="1"/>
    <x:col min="13456" max="13456" width="8.83203125" hidden="0" customWidth="1"/>
    <x:col min="13457" max="13457" width="8.83203125" hidden="0" customWidth="1"/>
    <x:col min="13458" max="13458" width="8.83203125" hidden="0" customWidth="1"/>
    <x:col min="13459" max="13459" width="8.83203125" hidden="0" customWidth="1"/>
    <x:col min="13460" max="13460" width="8.83203125" hidden="0" customWidth="1"/>
    <x:col min="13461" max="13461" width="8.83203125" hidden="0" customWidth="1"/>
    <x:col min="13462" max="13462" width="8.83203125" hidden="0" customWidth="1"/>
    <x:col min="13463" max="13463" width="8.83203125" hidden="0" customWidth="1"/>
    <x:col min="13464" max="13464" width="8.83203125" hidden="0" customWidth="1"/>
    <x:col min="13465" max="13465" width="8.83203125" hidden="0" customWidth="1"/>
    <x:col min="13466" max="13466" width="8.83203125" hidden="0" customWidth="1"/>
    <x:col min="13467" max="13467" width="8.83203125" hidden="0" customWidth="1"/>
    <x:col min="13468" max="13468" width="8.83203125" hidden="0" customWidth="1"/>
    <x:col min="13469" max="13469" width="8.83203125" hidden="0" customWidth="1"/>
    <x:col min="13470" max="13470" width="8.83203125" hidden="0" customWidth="1"/>
    <x:col min="13471" max="13471" width="8.83203125" hidden="0" customWidth="1"/>
    <x:col min="13472" max="13472" width="8.83203125" hidden="0" customWidth="1"/>
    <x:col min="13473" max="13473" width="8.83203125" hidden="0" customWidth="1"/>
    <x:col min="13474" max="13474" width="8.83203125" hidden="0" customWidth="1"/>
    <x:col min="13475" max="13475" width="8.83203125" hidden="0" customWidth="1"/>
    <x:col min="13476" max="13476" width="8.83203125" hidden="0" customWidth="1"/>
    <x:col min="13477" max="13477" width="8.83203125" hidden="0" customWidth="1"/>
    <x:col min="13478" max="13478" width="8.83203125" hidden="0" customWidth="1"/>
    <x:col min="13479" max="13479" width="8.83203125" hidden="0" customWidth="1"/>
    <x:col min="13480" max="13480" width="8.83203125" hidden="0" customWidth="1"/>
    <x:col min="13481" max="13481" width="8.83203125" hidden="0" customWidth="1"/>
    <x:col min="13482" max="13482" width="8.83203125" hidden="0" customWidth="1"/>
    <x:col min="13483" max="13483" width="8.83203125" hidden="0" customWidth="1"/>
    <x:col min="13484" max="13484" width="8.83203125" hidden="0" customWidth="1"/>
    <x:col min="13485" max="13485" width="8.83203125" hidden="0" customWidth="1"/>
    <x:col min="13486" max="13486" width="8.83203125" hidden="0" customWidth="1"/>
    <x:col min="13487" max="13487" width="8.83203125" hidden="0" customWidth="1"/>
    <x:col min="13488" max="13488" width="8.83203125" hidden="0" customWidth="1"/>
    <x:col min="13489" max="13489" width="8.83203125" hidden="0" customWidth="1"/>
    <x:col min="13490" max="13490" width="8.83203125" hidden="0" customWidth="1"/>
    <x:col min="13491" max="13491" width="8.83203125" hidden="0" customWidth="1"/>
    <x:col min="13492" max="13492" width="8.83203125" hidden="0" customWidth="1"/>
    <x:col min="13493" max="13493" width="8.83203125" hidden="0" customWidth="1"/>
    <x:col min="13494" max="13494" width="8.83203125" hidden="0" customWidth="1"/>
    <x:col min="13495" max="13495" width="8.83203125" hidden="0" customWidth="1"/>
    <x:col min="13496" max="13496" width="8.83203125" hidden="0" customWidth="1"/>
    <x:col min="13497" max="13497" width="8.83203125" hidden="0" customWidth="1"/>
    <x:col min="13498" max="13498" width="8.83203125" hidden="0" customWidth="1"/>
    <x:col min="13499" max="13499" width="8.83203125" hidden="0" customWidth="1"/>
    <x:col min="13500" max="13500" width="8.83203125" hidden="0" customWidth="1"/>
    <x:col min="13501" max="13501" width="8.83203125" hidden="0" customWidth="1"/>
    <x:col min="13502" max="13502" width="8.83203125" hidden="0" customWidth="1"/>
    <x:col min="13503" max="13503" width="8.83203125" hidden="0" customWidth="1"/>
    <x:col min="13504" max="13504" width="8.83203125" hidden="0" customWidth="1"/>
    <x:col min="13505" max="13505" width="8.83203125" hidden="0" customWidth="1"/>
    <x:col min="13506" max="13506" width="8.83203125" hidden="0" customWidth="1"/>
    <x:col min="13507" max="13507" width="8.83203125" hidden="0" customWidth="1"/>
    <x:col min="13508" max="13508" width="8.83203125" hidden="0" customWidth="1"/>
    <x:col min="13509" max="13509" width="8.83203125" hidden="0" customWidth="1"/>
    <x:col min="13510" max="13510" width="8.83203125" hidden="0" customWidth="1"/>
    <x:col min="13511" max="13511" width="8.83203125" hidden="0" customWidth="1"/>
    <x:col min="13512" max="13512" width="8.83203125" hidden="0" customWidth="1"/>
    <x:col min="13513" max="13513" width="8.83203125" hidden="0" customWidth="1"/>
    <x:col min="13514" max="13514" width="8.83203125" hidden="0" customWidth="1"/>
    <x:col min="13515" max="13515" width="8.83203125" hidden="0" customWidth="1"/>
    <x:col min="13516" max="13516" width="8.83203125" hidden="0" customWidth="1"/>
    <x:col min="13517" max="13517" width="8.83203125" hidden="0" customWidth="1"/>
    <x:col min="13518" max="13518" width="8.83203125" hidden="0" customWidth="1"/>
    <x:col min="13519" max="13519" width="8.83203125" hidden="0" customWidth="1"/>
    <x:col min="13520" max="13520" width="8.83203125" hidden="0" customWidth="1"/>
    <x:col min="13521" max="13521" width="8.83203125" hidden="0" customWidth="1"/>
    <x:col min="13522" max="13522" width="8.83203125" hidden="0" customWidth="1"/>
    <x:col min="13523" max="13523" width="8.83203125" hidden="0" customWidth="1"/>
    <x:col min="13524" max="13524" width="8.83203125" hidden="0" customWidth="1"/>
    <x:col min="13525" max="13525" width="8.83203125" hidden="0" customWidth="1"/>
    <x:col min="13526" max="13526" width="8.83203125" hidden="0" customWidth="1"/>
    <x:col min="13527" max="13527" width="8.83203125" hidden="0" customWidth="1"/>
    <x:col min="13528" max="13528" width="8.83203125" hidden="0" customWidth="1"/>
    <x:col min="13529" max="13529" width="8.83203125" hidden="0" customWidth="1"/>
    <x:col min="13530" max="13530" width="8.83203125" hidden="0" customWidth="1"/>
    <x:col min="13531" max="13531" width="8.83203125" hidden="0" customWidth="1"/>
    <x:col min="13532" max="13532" width="8.83203125" hidden="0" customWidth="1"/>
    <x:col min="13533" max="13533" width="8.83203125" hidden="0" customWidth="1"/>
    <x:col min="13534" max="13534" width="8.83203125" hidden="0" customWidth="1"/>
    <x:col min="13535" max="13535" width="8.83203125" hidden="0" customWidth="1"/>
    <x:col min="13536" max="13536" width="8.83203125" hidden="0" customWidth="1"/>
    <x:col min="13537" max="13537" width="8.83203125" hidden="0" customWidth="1"/>
    <x:col min="13538" max="13538" width="8.83203125" hidden="0" customWidth="1"/>
    <x:col min="13539" max="13539" width="8.83203125" hidden="0" customWidth="1"/>
    <x:col min="13540" max="13540" width="8.83203125" hidden="0" customWidth="1"/>
    <x:col min="13541" max="13541" width="8.83203125" hidden="0" customWidth="1"/>
    <x:col min="13542" max="13542" width="8.83203125" hidden="0" customWidth="1"/>
    <x:col min="13543" max="13543" width="8.83203125" hidden="0" customWidth="1"/>
    <x:col min="13544" max="13544" width="8.83203125" hidden="0" customWidth="1"/>
    <x:col min="13545" max="13545" width="8.83203125" hidden="0" customWidth="1"/>
    <x:col min="13546" max="13546" width="8.83203125" hidden="0" customWidth="1"/>
    <x:col min="13547" max="13547" width="8.83203125" hidden="0" customWidth="1"/>
    <x:col min="13548" max="13548" width="8.83203125" hidden="0" customWidth="1"/>
    <x:col min="13549" max="13549" width="8.83203125" hidden="0" customWidth="1"/>
    <x:col min="13550" max="13550" width="8.83203125" hidden="0" customWidth="1"/>
    <x:col min="13551" max="13551" width="8.83203125" hidden="0" customWidth="1"/>
    <x:col min="13552" max="13552" width="8.83203125" hidden="0" customWidth="1"/>
    <x:col min="13553" max="13553" width="8.83203125" hidden="0" customWidth="1"/>
    <x:col min="13554" max="13554" width="8.83203125" hidden="0" customWidth="1"/>
    <x:col min="13555" max="13555" width="8.83203125" hidden="0" customWidth="1"/>
    <x:col min="13556" max="13556" width="8.83203125" hidden="0" customWidth="1"/>
    <x:col min="13557" max="13557" width="8.83203125" hidden="0" customWidth="1"/>
    <x:col min="13558" max="13558" width="8.83203125" hidden="0" customWidth="1"/>
    <x:col min="13559" max="13559" width="8.83203125" hidden="0" customWidth="1"/>
    <x:col min="13560" max="13560" width="8.83203125" hidden="0" customWidth="1"/>
    <x:col min="13561" max="13561" width="8.83203125" hidden="0" customWidth="1"/>
    <x:col min="13562" max="13562" width="8.83203125" hidden="0" customWidth="1"/>
    <x:col min="13563" max="13563" width="8.83203125" hidden="0" customWidth="1"/>
    <x:col min="13564" max="13564" width="8.83203125" hidden="0" customWidth="1"/>
    <x:col min="13565" max="13565" width="8.83203125" hidden="0" customWidth="1"/>
    <x:col min="13566" max="13566" width="8.83203125" hidden="0" customWidth="1"/>
    <x:col min="13567" max="13567" width="8.83203125" hidden="0" customWidth="1"/>
    <x:col min="13568" max="13568" width="8.83203125" hidden="0" customWidth="1"/>
    <x:col min="13569" max="13569" width="8.83203125" hidden="0" customWidth="1"/>
    <x:col min="13570" max="13570" width="8.83203125" hidden="0" customWidth="1"/>
    <x:col min="13571" max="13571" width="8.83203125" hidden="0" customWidth="1"/>
    <x:col min="13572" max="13572" width="8.83203125" hidden="0" customWidth="1"/>
    <x:col min="13573" max="13573" width="8.83203125" hidden="0" customWidth="1"/>
    <x:col min="13574" max="13574" width="8.83203125" hidden="0" customWidth="1"/>
    <x:col min="13575" max="13575" width="8.83203125" hidden="0" customWidth="1"/>
    <x:col min="13576" max="13576" width="8.83203125" hidden="0" customWidth="1"/>
    <x:col min="13577" max="13577" width="8.83203125" hidden="0" customWidth="1"/>
    <x:col min="13578" max="13578" width="8.83203125" hidden="0" customWidth="1"/>
    <x:col min="13579" max="13579" width="8.83203125" hidden="0" customWidth="1"/>
    <x:col min="13580" max="13580" width="8.83203125" hidden="0" customWidth="1"/>
    <x:col min="13581" max="13581" width="8.83203125" hidden="0" customWidth="1"/>
    <x:col min="13582" max="13582" width="8.83203125" hidden="0" customWidth="1"/>
    <x:col min="13583" max="13583" width="8.83203125" hidden="0" customWidth="1"/>
    <x:col min="13584" max="13584" width="8.83203125" hidden="0" customWidth="1"/>
    <x:col min="13585" max="13585" width="8.83203125" hidden="0" customWidth="1"/>
    <x:col min="13586" max="13586" width="8.83203125" hidden="0" customWidth="1"/>
    <x:col min="13587" max="13587" width="8.83203125" hidden="0" customWidth="1"/>
    <x:col min="13588" max="13588" width="8.83203125" hidden="0" customWidth="1"/>
    <x:col min="13589" max="13589" width="8.83203125" hidden="0" customWidth="1"/>
    <x:col min="13590" max="13590" width="8.83203125" hidden="0" customWidth="1"/>
    <x:col min="13591" max="13591" width="8.83203125" hidden="0" customWidth="1"/>
    <x:col min="13592" max="13592" width="8.83203125" hidden="0" customWidth="1"/>
    <x:col min="13593" max="13593" width="8.83203125" hidden="0" customWidth="1"/>
    <x:col min="13594" max="13594" width="8.83203125" hidden="0" customWidth="1"/>
    <x:col min="13595" max="13595" width="8.83203125" hidden="0" customWidth="1"/>
    <x:col min="13596" max="13596" width="8.83203125" hidden="0" customWidth="1"/>
    <x:col min="13597" max="13597" width="8.83203125" hidden="0" customWidth="1"/>
    <x:col min="13598" max="13598" width="8.83203125" hidden="0" customWidth="1"/>
    <x:col min="13599" max="13599" width="8.83203125" hidden="0" customWidth="1"/>
    <x:col min="13600" max="13600" width="8.83203125" hidden="0" customWidth="1"/>
    <x:col min="13601" max="13601" width="8.83203125" hidden="0" customWidth="1"/>
    <x:col min="13602" max="13602" width="8.83203125" hidden="0" customWidth="1"/>
    <x:col min="13603" max="13603" width="8.83203125" hidden="0" customWidth="1"/>
    <x:col min="13604" max="13604" width="8.83203125" hidden="0" customWidth="1"/>
    <x:col min="13605" max="13605" width="8.83203125" hidden="0" customWidth="1"/>
    <x:col min="13606" max="13606" width="8.83203125" hidden="0" customWidth="1"/>
    <x:col min="13607" max="13607" width="8.83203125" hidden="0" customWidth="1"/>
    <x:col min="13608" max="13608" width="8.83203125" hidden="0" customWidth="1"/>
    <x:col min="13609" max="13609" width="8.83203125" hidden="0" customWidth="1"/>
    <x:col min="13610" max="13610" width="8.83203125" hidden="0" customWidth="1"/>
    <x:col min="13611" max="13611" width="8.83203125" hidden="0" customWidth="1"/>
    <x:col min="13612" max="13612" width="8.83203125" hidden="0" customWidth="1"/>
    <x:col min="13613" max="13613" width="8.83203125" hidden="0" customWidth="1"/>
    <x:col min="13614" max="13614" width="8.83203125" hidden="0" customWidth="1"/>
    <x:col min="13615" max="13615" width="8.83203125" hidden="0" customWidth="1"/>
    <x:col min="13616" max="13616" width="8.83203125" hidden="0" customWidth="1"/>
    <x:col min="13617" max="13617" width="8.83203125" hidden="0" customWidth="1"/>
    <x:col min="13618" max="13618" width="8.83203125" hidden="0" customWidth="1"/>
    <x:col min="13619" max="13619" width="8.83203125" hidden="0" customWidth="1"/>
    <x:col min="13620" max="13620" width="8.83203125" hidden="0" customWidth="1"/>
    <x:col min="13621" max="13621" width="8.83203125" hidden="0" customWidth="1"/>
    <x:col min="13622" max="13622" width="8.83203125" hidden="0" customWidth="1"/>
    <x:col min="13623" max="13623" width="8.83203125" hidden="0" customWidth="1"/>
    <x:col min="13624" max="13624" width="8.83203125" hidden="0" customWidth="1"/>
    <x:col min="13625" max="13625" width="8.83203125" hidden="0" customWidth="1"/>
    <x:col min="13626" max="13626" width="8.83203125" hidden="0" customWidth="1"/>
    <x:col min="13627" max="13627" width="8.83203125" hidden="0" customWidth="1"/>
    <x:col min="13628" max="13628" width="8.83203125" hidden="0" customWidth="1"/>
    <x:col min="13629" max="13629" width="8.83203125" hidden="0" customWidth="1"/>
    <x:col min="13630" max="13630" width="8.83203125" hidden="0" customWidth="1"/>
    <x:col min="13631" max="13631" width="8.83203125" hidden="0" customWidth="1"/>
    <x:col min="13632" max="13632" width="8.83203125" hidden="0" customWidth="1"/>
    <x:col min="13633" max="13633" width="8.83203125" hidden="0" customWidth="1"/>
    <x:col min="13634" max="13634" width="8.83203125" hidden="0" customWidth="1"/>
    <x:col min="13635" max="13635" width="8.83203125" hidden="0" customWidth="1"/>
    <x:col min="13636" max="13636" width="8.83203125" hidden="0" customWidth="1"/>
    <x:col min="13637" max="13637" width="8.83203125" hidden="0" customWidth="1"/>
    <x:col min="13638" max="13638" width="8.83203125" hidden="0" customWidth="1"/>
    <x:col min="13639" max="13639" width="8.83203125" hidden="0" customWidth="1"/>
    <x:col min="13640" max="13640" width="8.83203125" hidden="0" customWidth="1"/>
    <x:col min="13641" max="13641" width="8.83203125" hidden="0" customWidth="1"/>
    <x:col min="13642" max="13642" width="8.83203125" hidden="0" customWidth="1"/>
    <x:col min="13643" max="13643" width="8.83203125" hidden="0" customWidth="1"/>
    <x:col min="13644" max="13644" width="8.83203125" hidden="0" customWidth="1"/>
    <x:col min="13645" max="13645" width="8.83203125" hidden="0" customWidth="1"/>
    <x:col min="13646" max="13646" width="8.83203125" hidden="0" customWidth="1"/>
    <x:col min="13647" max="13647" width="8.83203125" hidden="0" customWidth="1"/>
    <x:col min="13648" max="13648" width="8.83203125" hidden="0" customWidth="1"/>
    <x:col min="13649" max="13649" width="8.83203125" hidden="0" customWidth="1"/>
    <x:col min="13650" max="13650" width="8.83203125" hidden="0" customWidth="1"/>
    <x:col min="13651" max="13651" width="8.83203125" hidden="0" customWidth="1"/>
    <x:col min="13652" max="13652" width="8.83203125" hidden="0" customWidth="1"/>
    <x:col min="13653" max="13653" width="8.83203125" hidden="0" customWidth="1"/>
    <x:col min="13654" max="13654" width="8.83203125" hidden="0" customWidth="1"/>
    <x:col min="13655" max="13655" width="8.83203125" hidden="0" customWidth="1"/>
    <x:col min="13656" max="13656" width="8.83203125" hidden="0" customWidth="1"/>
    <x:col min="13657" max="13657" width="8.83203125" hidden="0" customWidth="1"/>
    <x:col min="13658" max="13658" width="8.83203125" hidden="0" customWidth="1"/>
    <x:col min="13659" max="13659" width="8.83203125" hidden="0" customWidth="1"/>
    <x:col min="13660" max="13660" width="8.83203125" hidden="0" customWidth="1"/>
    <x:col min="13661" max="13661" width="8.83203125" hidden="0" customWidth="1"/>
    <x:col min="13662" max="13662" width="8.83203125" hidden="0" customWidth="1"/>
    <x:col min="13663" max="13663" width="8.83203125" hidden="0" customWidth="1"/>
    <x:col min="13664" max="13664" width="8.83203125" hidden="0" customWidth="1"/>
    <x:col min="13665" max="13665" width="8.83203125" hidden="0" customWidth="1"/>
    <x:col min="13666" max="13666" width="8.83203125" hidden="0" customWidth="1"/>
    <x:col min="13667" max="13667" width="8.83203125" hidden="0" customWidth="1"/>
    <x:col min="13668" max="13668" width="8.83203125" hidden="0" customWidth="1"/>
    <x:col min="13669" max="13669" width="8.83203125" hidden="0" customWidth="1"/>
    <x:col min="13670" max="13670" width="8.83203125" hidden="0" customWidth="1"/>
    <x:col min="13671" max="13671" width="8.83203125" hidden="0" customWidth="1"/>
    <x:col min="13672" max="13672" width="8.83203125" hidden="0" customWidth="1"/>
    <x:col min="13673" max="13673" width="8.83203125" hidden="0" customWidth="1"/>
    <x:col min="13674" max="13674" width="8.83203125" hidden="0" customWidth="1"/>
    <x:col min="13675" max="13675" width="8.83203125" hidden="0" customWidth="1"/>
    <x:col min="13676" max="13676" width="8.83203125" hidden="0" customWidth="1"/>
    <x:col min="13677" max="13677" width="8.83203125" hidden="0" customWidth="1"/>
    <x:col min="13678" max="13678" width="8.83203125" hidden="0" customWidth="1"/>
    <x:col min="13679" max="13679" width="8.83203125" hidden="0" customWidth="1"/>
    <x:col min="13680" max="13680" width="8.83203125" hidden="0" customWidth="1"/>
    <x:col min="13681" max="13681" width="8.83203125" hidden="0" customWidth="1"/>
    <x:col min="13682" max="13682" width="8.83203125" hidden="0" customWidth="1"/>
    <x:col min="13683" max="13683" width="8.83203125" hidden="0" customWidth="1"/>
    <x:col min="13684" max="13684" width="8.83203125" hidden="0" customWidth="1"/>
    <x:col min="13685" max="13685" width="8.83203125" hidden="0" customWidth="1"/>
    <x:col min="13686" max="13686" width="8.83203125" hidden="0" customWidth="1"/>
    <x:col min="13687" max="13687" width="8.83203125" hidden="0" customWidth="1"/>
    <x:col min="13688" max="13688" width="8.83203125" hidden="0" customWidth="1"/>
    <x:col min="13689" max="13689" width="8.83203125" hidden="0" customWidth="1"/>
    <x:col min="13690" max="13690" width="8.83203125" hidden="0" customWidth="1"/>
    <x:col min="13691" max="13691" width="8.83203125" hidden="0" customWidth="1"/>
    <x:col min="13692" max="13692" width="8.83203125" hidden="0" customWidth="1"/>
    <x:col min="13693" max="13693" width="8.83203125" hidden="0" customWidth="1"/>
    <x:col min="13694" max="13694" width="8.83203125" hidden="0" customWidth="1"/>
    <x:col min="13695" max="13695" width="8.83203125" hidden="0" customWidth="1"/>
    <x:col min="13696" max="13696" width="8.83203125" hidden="0" customWidth="1"/>
    <x:col min="13697" max="13697" width="8.83203125" hidden="0" customWidth="1"/>
    <x:col min="13698" max="13698" width="8.83203125" hidden="0" customWidth="1"/>
    <x:col min="13699" max="13699" width="8.83203125" hidden="0" customWidth="1"/>
    <x:col min="13700" max="13700" width="8.83203125" hidden="0" customWidth="1"/>
    <x:col min="13701" max="13701" width="8.83203125" hidden="0" customWidth="1"/>
    <x:col min="13702" max="13702" width="8.83203125" hidden="0" customWidth="1"/>
    <x:col min="13703" max="13703" width="8.83203125" hidden="0" customWidth="1"/>
    <x:col min="13704" max="13704" width="8.83203125" hidden="0" customWidth="1"/>
    <x:col min="13705" max="13705" width="8.83203125" hidden="0" customWidth="1"/>
    <x:col min="13706" max="13706" width="8.83203125" hidden="0" customWidth="1"/>
    <x:col min="13707" max="13707" width="8.83203125" hidden="0" customWidth="1"/>
    <x:col min="13708" max="13708" width="8.83203125" hidden="0" customWidth="1"/>
    <x:col min="13709" max="13709" width="8.83203125" hidden="0" customWidth="1"/>
    <x:col min="13710" max="13710" width="8.83203125" hidden="0" customWidth="1"/>
    <x:col min="13711" max="13711" width="8.83203125" hidden="0" customWidth="1"/>
    <x:col min="13712" max="13712" width="8.83203125" hidden="0" customWidth="1"/>
    <x:col min="13713" max="13713" width="8.83203125" hidden="0" customWidth="1"/>
    <x:col min="13714" max="13714" width="8.83203125" hidden="0" customWidth="1"/>
    <x:col min="13715" max="13715" width="8.83203125" hidden="0" customWidth="1"/>
    <x:col min="13716" max="13716" width="8.83203125" hidden="0" customWidth="1"/>
    <x:col min="13717" max="13717" width="8.83203125" hidden="0" customWidth="1"/>
    <x:col min="13718" max="13718" width="8.83203125" hidden="0" customWidth="1"/>
    <x:col min="13719" max="13719" width="8.83203125" hidden="0" customWidth="1"/>
    <x:col min="13720" max="13720" width="8.83203125" hidden="0" customWidth="1"/>
    <x:col min="13721" max="13721" width="8.83203125" hidden="0" customWidth="1"/>
    <x:col min="13722" max="13722" width="8.83203125" hidden="0" customWidth="1"/>
    <x:col min="13723" max="13723" width="8.83203125" hidden="0" customWidth="1"/>
    <x:col min="13724" max="13724" width="8.83203125" hidden="0" customWidth="1"/>
    <x:col min="13725" max="13725" width="8.83203125" hidden="0" customWidth="1"/>
    <x:col min="13726" max="13726" width="8.83203125" hidden="0" customWidth="1"/>
    <x:col min="13727" max="13727" width="8.83203125" hidden="0" customWidth="1"/>
    <x:col min="13728" max="13728" width="8.83203125" hidden="0" customWidth="1"/>
    <x:col min="13729" max="13729" width="8.83203125" hidden="0" customWidth="1"/>
    <x:col min="13730" max="13730" width="8.83203125" hidden="0" customWidth="1"/>
    <x:col min="13731" max="13731" width="8.83203125" hidden="0" customWidth="1"/>
    <x:col min="13732" max="13732" width="8.83203125" hidden="0" customWidth="1"/>
    <x:col min="13733" max="13733" width="8.83203125" hidden="0" customWidth="1"/>
    <x:col min="13734" max="13734" width="8.83203125" hidden="0" customWidth="1"/>
    <x:col min="13735" max="13735" width="8.83203125" hidden="0" customWidth="1"/>
    <x:col min="13736" max="13736" width="8.83203125" hidden="0" customWidth="1"/>
    <x:col min="13737" max="13737" width="8.83203125" hidden="0" customWidth="1"/>
    <x:col min="13738" max="13738" width="8.83203125" hidden="0" customWidth="1"/>
    <x:col min="13739" max="13739" width="8.83203125" hidden="0" customWidth="1"/>
    <x:col min="13740" max="13740" width="8.83203125" hidden="0" customWidth="1"/>
    <x:col min="13741" max="13741" width="8.83203125" hidden="0" customWidth="1"/>
    <x:col min="13742" max="13742" width="8.83203125" hidden="0" customWidth="1"/>
    <x:col min="13743" max="13743" width="8.83203125" hidden="0" customWidth="1"/>
    <x:col min="13744" max="13744" width="8.83203125" hidden="0" customWidth="1"/>
    <x:col min="13745" max="13745" width="8.83203125" hidden="0" customWidth="1"/>
    <x:col min="13746" max="13746" width="8.83203125" hidden="0" customWidth="1"/>
    <x:col min="13747" max="13747" width="8.83203125" hidden="0" customWidth="1"/>
    <x:col min="13748" max="13748" width="8.83203125" hidden="0" customWidth="1"/>
    <x:col min="13749" max="13749" width="8.83203125" hidden="0" customWidth="1"/>
    <x:col min="13750" max="13750" width="8.83203125" hidden="0" customWidth="1"/>
    <x:col min="13751" max="13751" width="8.83203125" hidden="0" customWidth="1"/>
    <x:col min="13752" max="13752" width="8.83203125" hidden="0" customWidth="1"/>
    <x:col min="13753" max="13753" width="8.83203125" hidden="0" customWidth="1"/>
    <x:col min="13754" max="13754" width="8.83203125" hidden="0" customWidth="1"/>
    <x:col min="13755" max="13755" width="8.83203125" hidden="0" customWidth="1"/>
    <x:col min="13756" max="13756" width="8.83203125" hidden="0" customWidth="1"/>
    <x:col min="13757" max="13757" width="8.83203125" hidden="0" customWidth="1"/>
    <x:col min="13758" max="13758" width="8.83203125" hidden="0" customWidth="1"/>
    <x:col min="13759" max="13759" width="8.83203125" hidden="0" customWidth="1"/>
    <x:col min="13760" max="13760" width="8.83203125" hidden="0" customWidth="1"/>
    <x:col min="13761" max="13761" width="8.83203125" hidden="0" customWidth="1"/>
    <x:col min="13762" max="13762" width="8.83203125" hidden="0" customWidth="1"/>
    <x:col min="13763" max="13763" width="8.83203125" hidden="0" customWidth="1"/>
    <x:col min="13764" max="13764" width="8.83203125" hidden="0" customWidth="1"/>
    <x:col min="13765" max="13765" width="8.83203125" hidden="0" customWidth="1"/>
    <x:col min="13766" max="13766" width="8.83203125" hidden="0" customWidth="1"/>
    <x:col min="13767" max="13767" width="8.83203125" hidden="0" customWidth="1"/>
    <x:col min="13768" max="13768" width="8.83203125" hidden="0" customWidth="1"/>
    <x:col min="13769" max="13769" width="8.83203125" hidden="0" customWidth="1"/>
    <x:col min="13770" max="13770" width="8.83203125" hidden="0" customWidth="1"/>
    <x:col min="13771" max="13771" width="8.83203125" hidden="0" customWidth="1"/>
    <x:col min="13772" max="13772" width="8.83203125" hidden="0" customWidth="1"/>
    <x:col min="13773" max="13773" width="8.83203125" hidden="0" customWidth="1"/>
    <x:col min="13774" max="13774" width="8.83203125" hidden="0" customWidth="1"/>
    <x:col min="13775" max="13775" width="8.83203125" hidden="0" customWidth="1"/>
    <x:col min="13776" max="13776" width="8.83203125" hidden="0" customWidth="1"/>
    <x:col min="13777" max="13777" width="8.83203125" hidden="0" customWidth="1"/>
    <x:col min="13778" max="13778" width="8.83203125" hidden="0" customWidth="1"/>
    <x:col min="13779" max="13779" width="8.83203125" hidden="0" customWidth="1"/>
    <x:col min="13780" max="13780" width="8.83203125" hidden="0" customWidth="1"/>
    <x:col min="13781" max="13781" width="8.83203125" hidden="0" customWidth="1"/>
    <x:col min="13782" max="13782" width="8.83203125" hidden="0" customWidth="1"/>
    <x:col min="13783" max="13783" width="8.83203125" hidden="0" customWidth="1"/>
    <x:col min="13784" max="13784" width="8.83203125" hidden="0" customWidth="1"/>
    <x:col min="13785" max="13785" width="8.83203125" hidden="0" customWidth="1"/>
    <x:col min="13786" max="13786" width="8.83203125" hidden="0" customWidth="1"/>
    <x:col min="13787" max="13787" width="8.83203125" hidden="0" customWidth="1"/>
    <x:col min="13788" max="13788" width="8.83203125" hidden="0" customWidth="1"/>
    <x:col min="13789" max="13789" width="8.83203125" hidden="0" customWidth="1"/>
    <x:col min="13790" max="13790" width="8.83203125" hidden="0" customWidth="1"/>
    <x:col min="13791" max="13791" width="8.83203125" hidden="0" customWidth="1"/>
    <x:col min="13792" max="13792" width="8.83203125" hidden="0" customWidth="1"/>
    <x:col min="13793" max="13793" width="8.83203125" hidden="0" customWidth="1"/>
    <x:col min="13794" max="13794" width="8.83203125" hidden="0" customWidth="1"/>
    <x:col min="13795" max="13795" width="8.83203125" hidden="0" customWidth="1"/>
    <x:col min="13796" max="13796" width="8.83203125" hidden="0" customWidth="1"/>
    <x:col min="13797" max="13797" width="8.83203125" hidden="0" customWidth="1"/>
    <x:col min="13798" max="13798" width="8.83203125" hidden="0" customWidth="1"/>
    <x:col min="13799" max="13799" width="8.83203125" hidden="0" customWidth="1"/>
    <x:col min="13800" max="13800" width="8.83203125" hidden="0" customWidth="1"/>
    <x:col min="13801" max="13801" width="8.83203125" hidden="0" customWidth="1"/>
    <x:col min="13802" max="13802" width="8.83203125" hidden="0" customWidth="1"/>
    <x:col min="13803" max="13803" width="8.83203125" hidden="0" customWidth="1"/>
    <x:col min="13804" max="13804" width="8.83203125" hidden="0" customWidth="1"/>
    <x:col min="13805" max="13805" width="8.83203125" hidden="0" customWidth="1"/>
    <x:col min="13806" max="13806" width="8.83203125" hidden="0" customWidth="1"/>
    <x:col min="13807" max="13807" width="8.83203125" hidden="0" customWidth="1"/>
    <x:col min="13808" max="13808" width="8.83203125" hidden="0" customWidth="1"/>
    <x:col min="13809" max="13809" width="8.83203125" hidden="0" customWidth="1"/>
    <x:col min="13810" max="13810" width="8.83203125" hidden="0" customWidth="1"/>
    <x:col min="13811" max="13811" width="8.83203125" hidden="0" customWidth="1"/>
    <x:col min="13812" max="13812" width="8.83203125" hidden="0" customWidth="1"/>
    <x:col min="13813" max="13813" width="8.83203125" hidden="0" customWidth="1"/>
    <x:col min="13814" max="13814" width="8.83203125" hidden="0" customWidth="1"/>
    <x:col min="13815" max="13815" width="8.83203125" hidden="0" customWidth="1"/>
    <x:col min="13816" max="13816" width="8.83203125" hidden="0" customWidth="1"/>
    <x:col min="13817" max="13817" width="8.83203125" hidden="0" customWidth="1"/>
    <x:col min="13818" max="13818" width="8.83203125" hidden="0" customWidth="1"/>
    <x:col min="13819" max="13819" width="8.83203125" hidden="0" customWidth="1"/>
    <x:col min="13820" max="13820" width="8.83203125" hidden="0" customWidth="1"/>
    <x:col min="13821" max="13821" width="8.83203125" hidden="0" customWidth="1"/>
    <x:col min="13822" max="13822" width="8.83203125" hidden="0" customWidth="1"/>
    <x:col min="13823" max="13823" width="8.83203125" hidden="0" customWidth="1"/>
    <x:col min="13824" max="13824" width="8.83203125" hidden="0" customWidth="1"/>
    <x:col min="13825" max="13825" width="8.83203125" hidden="0" customWidth="1"/>
    <x:col min="13826" max="13826" width="8.83203125" hidden="0" customWidth="1"/>
    <x:col min="13827" max="13827" width="8.83203125" hidden="0" customWidth="1"/>
    <x:col min="13828" max="13828" width="8.83203125" hidden="0" customWidth="1"/>
    <x:col min="13829" max="13829" width="8.83203125" hidden="0" customWidth="1"/>
    <x:col min="13830" max="13830" width="8.83203125" hidden="0" customWidth="1"/>
    <x:col min="13831" max="13831" width="8.83203125" hidden="0" customWidth="1"/>
    <x:col min="13832" max="13832" width="8.83203125" hidden="0" customWidth="1"/>
    <x:col min="13833" max="13833" width="8.83203125" hidden="0" customWidth="1"/>
    <x:col min="13834" max="13834" width="8.83203125" hidden="0" customWidth="1"/>
    <x:col min="13835" max="13835" width="8.83203125" hidden="0" customWidth="1"/>
    <x:col min="13836" max="13836" width="8.83203125" hidden="0" customWidth="1"/>
    <x:col min="13837" max="13837" width="8.83203125" hidden="0" customWidth="1"/>
    <x:col min="13838" max="13838" width="8.83203125" hidden="0" customWidth="1"/>
    <x:col min="13839" max="13839" width="8.83203125" hidden="0" customWidth="1"/>
    <x:col min="13840" max="13840" width="8.83203125" hidden="0" customWidth="1"/>
    <x:col min="13841" max="13841" width="8.83203125" hidden="0" customWidth="1"/>
    <x:col min="13842" max="13842" width="8.83203125" hidden="0" customWidth="1"/>
    <x:col min="13843" max="13843" width="8.83203125" hidden="0" customWidth="1"/>
    <x:col min="13844" max="13844" width="8.83203125" hidden="0" customWidth="1"/>
    <x:col min="13845" max="13845" width="8.83203125" hidden="0" customWidth="1"/>
    <x:col min="13846" max="13846" width="8.83203125" hidden="0" customWidth="1"/>
    <x:col min="13847" max="13847" width="8.83203125" hidden="0" customWidth="1"/>
    <x:col min="13848" max="13848" width="8.83203125" hidden="0" customWidth="1"/>
    <x:col min="13849" max="13849" width="8.83203125" hidden="0" customWidth="1"/>
    <x:col min="13850" max="13850" width="8.83203125" hidden="0" customWidth="1"/>
    <x:col min="13851" max="13851" width="8.83203125" hidden="0" customWidth="1"/>
    <x:col min="13852" max="13852" width="8.83203125" hidden="0" customWidth="1"/>
    <x:col min="13853" max="13853" width="8.83203125" hidden="0" customWidth="1"/>
    <x:col min="13854" max="13854" width="8.83203125" hidden="0" customWidth="1"/>
    <x:col min="13855" max="13855" width="8.83203125" hidden="0" customWidth="1"/>
    <x:col min="13856" max="13856" width="8.83203125" hidden="0" customWidth="1"/>
    <x:col min="13857" max="13857" width="8.83203125" hidden="0" customWidth="1"/>
    <x:col min="13858" max="13858" width="8.83203125" hidden="0" customWidth="1"/>
    <x:col min="13859" max="13859" width="8.83203125" hidden="0" customWidth="1"/>
    <x:col min="13860" max="13860" width="8.83203125" hidden="0" customWidth="1"/>
    <x:col min="13861" max="13861" width="8.83203125" hidden="0" customWidth="1"/>
    <x:col min="13862" max="13862" width="8.83203125" hidden="0" customWidth="1"/>
    <x:col min="13863" max="13863" width="8.83203125" hidden="0" customWidth="1"/>
    <x:col min="13864" max="13864" width="8.83203125" hidden="0" customWidth="1"/>
    <x:col min="13865" max="13865" width="8.83203125" hidden="0" customWidth="1"/>
    <x:col min="13866" max="13866" width="8.83203125" hidden="0" customWidth="1"/>
    <x:col min="13867" max="13867" width="8.83203125" hidden="0" customWidth="1"/>
    <x:col min="13868" max="13868" width="8.83203125" hidden="0" customWidth="1"/>
    <x:col min="13869" max="13869" width="8.83203125" hidden="0" customWidth="1"/>
    <x:col min="13870" max="13870" width="8.83203125" hidden="0" customWidth="1"/>
    <x:col min="13871" max="13871" width="8.83203125" hidden="0" customWidth="1"/>
    <x:col min="13872" max="13872" width="8.83203125" hidden="0" customWidth="1"/>
    <x:col min="13873" max="13873" width="8.83203125" hidden="0" customWidth="1"/>
    <x:col min="13874" max="13874" width="8.83203125" hidden="0" customWidth="1"/>
    <x:col min="13875" max="13875" width="8.83203125" hidden="0" customWidth="1"/>
    <x:col min="13876" max="13876" width="8.83203125" hidden="0" customWidth="1"/>
    <x:col min="13877" max="13877" width="8.83203125" hidden="0" customWidth="1"/>
    <x:col min="13878" max="13878" width="8.83203125" hidden="0" customWidth="1"/>
    <x:col min="13879" max="13879" width="8.83203125" hidden="0" customWidth="1"/>
    <x:col min="13880" max="13880" width="8.83203125" hidden="0" customWidth="1"/>
    <x:col min="13881" max="13881" width="8.83203125" hidden="0" customWidth="1"/>
    <x:col min="13882" max="13882" width="8.83203125" hidden="0" customWidth="1"/>
    <x:col min="13883" max="13883" width="8.83203125" hidden="0" customWidth="1"/>
    <x:col min="13884" max="13884" width="8.83203125" hidden="0" customWidth="1"/>
    <x:col min="13885" max="13885" width="8.83203125" hidden="0" customWidth="1"/>
    <x:col min="13886" max="13886" width="8.83203125" hidden="0" customWidth="1"/>
    <x:col min="13887" max="13887" width="8.83203125" hidden="0" customWidth="1"/>
    <x:col min="13888" max="13888" width="8.83203125" hidden="0" customWidth="1"/>
    <x:col min="13889" max="13889" width="8.83203125" hidden="0" customWidth="1"/>
    <x:col min="13890" max="13890" width="8.83203125" hidden="0" customWidth="1"/>
    <x:col min="13891" max="13891" width="8.83203125" hidden="0" customWidth="1"/>
    <x:col min="13892" max="13892" width="8.83203125" hidden="0" customWidth="1"/>
    <x:col min="13893" max="13893" width="8.83203125" hidden="0" customWidth="1"/>
    <x:col min="13894" max="13894" width="8.83203125" hidden="0" customWidth="1"/>
    <x:col min="13895" max="13895" width="8.83203125" hidden="0" customWidth="1"/>
    <x:col min="13896" max="13896" width="8.83203125" hidden="0" customWidth="1"/>
    <x:col min="13897" max="13897" width="8.83203125" hidden="0" customWidth="1"/>
    <x:col min="13898" max="13898" width="8.83203125" hidden="0" customWidth="1"/>
    <x:col min="13899" max="13899" width="8.83203125" hidden="0" customWidth="1"/>
    <x:col min="13900" max="13900" width="8.83203125" hidden="0" customWidth="1"/>
    <x:col min="13901" max="13901" width="8.83203125" hidden="0" customWidth="1"/>
    <x:col min="13902" max="13902" width="8.83203125" hidden="0" customWidth="1"/>
    <x:col min="13903" max="13903" width="8.83203125" hidden="0" customWidth="1"/>
    <x:col min="13904" max="13904" width="8.83203125" hidden="0" customWidth="1"/>
    <x:col min="13905" max="13905" width="8.83203125" hidden="0" customWidth="1"/>
    <x:col min="13906" max="13906" width="8.83203125" hidden="0" customWidth="1"/>
    <x:col min="13907" max="13907" width="8.83203125" hidden="0" customWidth="1"/>
    <x:col min="13908" max="13908" width="8.83203125" hidden="0" customWidth="1"/>
    <x:col min="13909" max="13909" width="8.83203125" hidden="0" customWidth="1"/>
    <x:col min="13910" max="13910" width="8.83203125" hidden="0" customWidth="1"/>
    <x:col min="13911" max="13911" width="8.83203125" hidden="0" customWidth="1"/>
    <x:col min="13912" max="13912" width="8.83203125" hidden="0" customWidth="1"/>
    <x:col min="13913" max="13913" width="8.83203125" hidden="0" customWidth="1"/>
    <x:col min="13914" max="13914" width="8.83203125" hidden="0" customWidth="1"/>
    <x:col min="13915" max="13915" width="8.83203125" hidden="0" customWidth="1"/>
    <x:col min="13916" max="13916" width="8.83203125" hidden="0" customWidth="1"/>
    <x:col min="13917" max="13917" width="8.83203125" hidden="0" customWidth="1"/>
    <x:col min="13918" max="13918" width="8.83203125" hidden="0" customWidth="1"/>
    <x:col min="13919" max="13919" width="8.83203125" hidden="0" customWidth="1"/>
    <x:col min="13920" max="13920" width="8.83203125" hidden="0" customWidth="1"/>
    <x:col min="13921" max="13921" width="8.83203125" hidden="0" customWidth="1"/>
    <x:col min="13922" max="13922" width="8.83203125" hidden="0" customWidth="1"/>
    <x:col min="13923" max="13923" width="8.83203125" hidden="0" customWidth="1"/>
    <x:col min="13924" max="13924" width="8.83203125" hidden="0" customWidth="1"/>
    <x:col min="13925" max="13925" width="8.83203125" hidden="0" customWidth="1"/>
    <x:col min="13926" max="13926" width="8.83203125" hidden="0" customWidth="1"/>
    <x:col min="13927" max="13927" width="8.83203125" hidden="0" customWidth="1"/>
    <x:col min="13928" max="13928" width="8.83203125" hidden="0" customWidth="1"/>
    <x:col min="13929" max="13929" width="8.83203125" hidden="0" customWidth="1"/>
    <x:col min="13930" max="13930" width="8.83203125" hidden="0" customWidth="1"/>
    <x:col min="13931" max="13931" width="8.83203125" hidden="0" customWidth="1"/>
    <x:col min="13932" max="13932" width="8.83203125" hidden="0" customWidth="1"/>
    <x:col min="13933" max="13933" width="8.83203125" hidden="0" customWidth="1"/>
    <x:col min="13934" max="13934" width="8.83203125" hidden="0" customWidth="1"/>
    <x:col min="13935" max="13935" width="8.83203125" hidden="0" customWidth="1"/>
    <x:col min="13936" max="13936" width="8.83203125" hidden="0" customWidth="1"/>
    <x:col min="13937" max="13937" width="8.83203125" hidden="0" customWidth="1"/>
    <x:col min="13938" max="13938" width="8.83203125" hidden="0" customWidth="1"/>
    <x:col min="13939" max="13939" width="8.83203125" hidden="0" customWidth="1"/>
    <x:col min="13940" max="13940" width="8.83203125" hidden="0" customWidth="1"/>
    <x:col min="13941" max="13941" width="8.83203125" hidden="0" customWidth="1"/>
    <x:col min="13942" max="13942" width="8.83203125" hidden="0" customWidth="1"/>
    <x:col min="13943" max="13943" width="8.83203125" hidden="0" customWidth="1"/>
    <x:col min="13944" max="13944" width="8.83203125" hidden="0" customWidth="1"/>
    <x:col min="13945" max="13945" width="8.83203125" hidden="0" customWidth="1"/>
    <x:col min="13946" max="13946" width="8.83203125" hidden="0" customWidth="1"/>
    <x:col min="13947" max="13947" width="8.83203125" hidden="0" customWidth="1"/>
    <x:col min="13948" max="13948" width="8.83203125" hidden="0" customWidth="1"/>
    <x:col min="13949" max="13949" width="8.83203125" hidden="0" customWidth="1"/>
    <x:col min="13950" max="13950" width="8.83203125" hidden="0" customWidth="1"/>
    <x:col min="13951" max="13951" width="8.83203125" hidden="0" customWidth="1"/>
    <x:col min="13952" max="13952" width="8.83203125" hidden="0" customWidth="1"/>
    <x:col min="13953" max="13953" width="8.83203125" hidden="0" customWidth="1"/>
    <x:col min="13954" max="13954" width="8.83203125" hidden="0" customWidth="1"/>
    <x:col min="13955" max="13955" width="8.83203125" hidden="0" customWidth="1"/>
    <x:col min="13956" max="13956" width="8.83203125" hidden="0" customWidth="1"/>
    <x:col min="13957" max="13957" width="8.83203125" hidden="0" customWidth="1"/>
    <x:col min="13958" max="13958" width="8.83203125" hidden="0" customWidth="1"/>
    <x:col min="13959" max="13959" width="8.83203125" hidden="0" customWidth="1"/>
    <x:col min="13960" max="13960" width="8.83203125" hidden="0" customWidth="1"/>
    <x:col min="13961" max="13961" width="8.83203125" hidden="0" customWidth="1"/>
    <x:col min="13962" max="13962" width="8.83203125" hidden="0" customWidth="1"/>
    <x:col min="13963" max="13963" width="8.83203125" hidden="0" customWidth="1"/>
    <x:col min="13964" max="13964" width="8.83203125" hidden="0" customWidth="1"/>
    <x:col min="13965" max="13965" width="8.83203125" hidden="0" customWidth="1"/>
    <x:col min="13966" max="13966" width="8.83203125" hidden="0" customWidth="1"/>
    <x:col min="13967" max="13967" width="8.83203125" hidden="0" customWidth="1"/>
    <x:col min="13968" max="13968" width="8.83203125" hidden="0" customWidth="1"/>
    <x:col min="13969" max="13969" width="8.83203125" hidden="0" customWidth="1"/>
    <x:col min="13970" max="13970" width="8.83203125" hidden="0" customWidth="1"/>
    <x:col min="13971" max="13971" width="8.83203125" hidden="0" customWidth="1"/>
    <x:col min="13972" max="13972" width="8.83203125" hidden="0" customWidth="1"/>
    <x:col min="13973" max="13973" width="8.83203125" hidden="0" customWidth="1"/>
    <x:col min="13974" max="13974" width="8.83203125" hidden="0" customWidth="1"/>
    <x:col min="13975" max="13975" width="8.83203125" hidden="0" customWidth="1"/>
    <x:col min="13976" max="13976" width="8.83203125" hidden="0" customWidth="1"/>
    <x:col min="13977" max="13977" width="8.83203125" hidden="0" customWidth="1"/>
    <x:col min="13978" max="13978" width="8.83203125" hidden="0" customWidth="1"/>
    <x:col min="13979" max="13979" width="8.83203125" hidden="0" customWidth="1"/>
    <x:col min="13980" max="13980" width="8.83203125" hidden="0" customWidth="1"/>
    <x:col min="13981" max="13981" width="8.83203125" hidden="0" customWidth="1"/>
    <x:col min="13982" max="13982" width="8.83203125" hidden="0" customWidth="1"/>
    <x:col min="13983" max="13983" width="8.83203125" hidden="0" customWidth="1"/>
    <x:col min="13984" max="13984" width="8.83203125" hidden="0" customWidth="1"/>
    <x:col min="13985" max="13985" width="8.83203125" hidden="0" customWidth="1"/>
    <x:col min="13986" max="13986" width="8.83203125" hidden="0" customWidth="1"/>
    <x:col min="13987" max="13987" width="8.83203125" hidden="0" customWidth="1"/>
    <x:col min="13988" max="13988" width="8.83203125" hidden="0" customWidth="1"/>
    <x:col min="13989" max="13989" width="8.83203125" hidden="0" customWidth="1"/>
    <x:col min="13990" max="13990" width="8.83203125" hidden="0" customWidth="1"/>
    <x:col min="13991" max="13991" width="8.83203125" hidden="0" customWidth="1"/>
    <x:col min="13992" max="13992" width="8.83203125" hidden="0" customWidth="1"/>
    <x:col min="13993" max="13993" width="8.83203125" hidden="0" customWidth="1"/>
    <x:col min="13994" max="13994" width="8.83203125" hidden="0" customWidth="1"/>
    <x:col min="13995" max="13995" width="8.83203125" hidden="0" customWidth="1"/>
    <x:col min="13996" max="13996" width="8.83203125" hidden="0" customWidth="1"/>
    <x:col min="13997" max="13997" width="8.83203125" hidden="0" customWidth="1"/>
    <x:col min="13998" max="13998" width="8.83203125" hidden="0" customWidth="1"/>
    <x:col min="13999" max="13999" width="8.83203125" hidden="0" customWidth="1"/>
    <x:col min="14000" max="14000" width="8.83203125" hidden="0" customWidth="1"/>
    <x:col min="14001" max="14001" width="8.83203125" hidden="0" customWidth="1"/>
    <x:col min="14002" max="14002" width="8.83203125" hidden="0" customWidth="1"/>
    <x:col min="14003" max="14003" width="8.83203125" hidden="0" customWidth="1"/>
    <x:col min="14004" max="14004" width="8.83203125" hidden="0" customWidth="1"/>
    <x:col min="14005" max="14005" width="8.83203125" hidden="0" customWidth="1"/>
    <x:col min="14006" max="14006" width="8.83203125" hidden="0" customWidth="1"/>
    <x:col min="14007" max="14007" width="8.83203125" hidden="0" customWidth="1"/>
    <x:col min="14008" max="14008" width="8.83203125" hidden="0" customWidth="1"/>
    <x:col min="14009" max="14009" width="8.83203125" hidden="0" customWidth="1"/>
    <x:col min="14010" max="14010" width="8.83203125" hidden="0" customWidth="1"/>
    <x:col min="14011" max="14011" width="8.83203125" hidden="0" customWidth="1"/>
    <x:col min="14012" max="14012" width="8.83203125" hidden="0" customWidth="1"/>
    <x:col min="14013" max="14013" width="8.83203125" hidden="0" customWidth="1"/>
    <x:col min="14014" max="14014" width="8.83203125" hidden="0" customWidth="1"/>
    <x:col min="14015" max="14015" width="8.83203125" hidden="0" customWidth="1"/>
    <x:col min="14016" max="14016" width="8.83203125" hidden="0" customWidth="1"/>
    <x:col min="14017" max="14017" width="8.83203125" hidden="0" customWidth="1"/>
    <x:col min="14018" max="14018" width="8.83203125" hidden="0" customWidth="1"/>
    <x:col min="14019" max="14019" width="8.83203125" hidden="0" customWidth="1"/>
    <x:col min="14020" max="14020" width="8.83203125" hidden="0" customWidth="1"/>
    <x:col min="14021" max="14021" width="8.83203125" hidden="0" customWidth="1"/>
    <x:col min="14022" max="14022" width="8.83203125" hidden="0" customWidth="1"/>
    <x:col min="14023" max="14023" width="8.83203125" hidden="0" customWidth="1"/>
    <x:col min="14024" max="14024" width="8.83203125" hidden="0" customWidth="1"/>
    <x:col min="14025" max="14025" width="8.83203125" hidden="0" customWidth="1"/>
    <x:col min="14026" max="14026" width="8.83203125" hidden="0" customWidth="1"/>
    <x:col min="14027" max="14027" width="8.83203125" hidden="0" customWidth="1"/>
    <x:col min="14028" max="14028" width="8.83203125" hidden="0" customWidth="1"/>
    <x:col min="14029" max="14029" width="8.83203125" hidden="0" customWidth="1"/>
    <x:col min="14030" max="14030" width="8.83203125" hidden="0" customWidth="1"/>
    <x:col min="14031" max="14031" width="8.83203125" hidden="0" customWidth="1"/>
    <x:col min="14032" max="14032" width="8.83203125" hidden="0" customWidth="1"/>
    <x:col min="14033" max="14033" width="8.83203125" hidden="0" customWidth="1"/>
    <x:col min="14034" max="14034" width="8.83203125" hidden="0" customWidth="1"/>
    <x:col min="14035" max="14035" width="8.83203125" hidden="0" customWidth="1"/>
    <x:col min="14036" max="14036" width="8.83203125" hidden="0" customWidth="1"/>
    <x:col min="14037" max="14037" width="8.83203125" hidden="0" customWidth="1"/>
    <x:col min="14038" max="14038" width="8.83203125" hidden="0" customWidth="1"/>
    <x:col min="14039" max="14039" width="8.83203125" hidden="0" customWidth="1"/>
    <x:col min="14040" max="14040" width="8.83203125" hidden="0" customWidth="1"/>
    <x:col min="14041" max="14041" width="8.83203125" hidden="0" customWidth="1"/>
    <x:col min="14042" max="14042" width="8.83203125" hidden="0" customWidth="1"/>
    <x:col min="14043" max="14043" width="8.83203125" hidden="0" customWidth="1"/>
    <x:col min="14044" max="14044" width="8.83203125" hidden="0" customWidth="1"/>
    <x:col min="14045" max="14045" width="8.83203125" hidden="0" customWidth="1"/>
    <x:col min="14046" max="14046" width="8.83203125" hidden="0" customWidth="1"/>
    <x:col min="14047" max="14047" width="8.83203125" hidden="0" customWidth="1"/>
    <x:col min="14048" max="14048" width="8.83203125" hidden="0" customWidth="1"/>
    <x:col min="14049" max="14049" width="8.83203125" hidden="0" customWidth="1"/>
    <x:col min="14050" max="14050" width="8.83203125" hidden="0" customWidth="1"/>
    <x:col min="14051" max="14051" width="8.83203125" hidden="0" customWidth="1"/>
    <x:col min="14052" max="14052" width="8.83203125" hidden="0" customWidth="1"/>
    <x:col min="14053" max="14053" width="8.83203125" hidden="0" customWidth="1"/>
    <x:col min="14054" max="14054" width="8.83203125" hidden="0" customWidth="1"/>
    <x:col min="14055" max="14055" width="8.83203125" hidden="0" customWidth="1"/>
    <x:col min="14056" max="14056" width="8.83203125" hidden="0" customWidth="1"/>
    <x:col min="14057" max="14057" width="8.83203125" hidden="0" customWidth="1"/>
    <x:col min="14058" max="14058" width="8.83203125" hidden="0" customWidth="1"/>
    <x:col min="14059" max="14059" width="8.83203125" hidden="0" customWidth="1"/>
    <x:col min="14060" max="14060" width="8.83203125" hidden="0" customWidth="1"/>
    <x:col min="14061" max="14061" width="8.83203125" hidden="0" customWidth="1"/>
    <x:col min="14062" max="14062" width="8.83203125" hidden="0" customWidth="1"/>
    <x:col min="14063" max="14063" width="8.83203125" hidden="0" customWidth="1"/>
    <x:col min="14064" max="14064" width="8.83203125" hidden="0" customWidth="1"/>
    <x:col min="14065" max="14065" width="8.83203125" hidden="0" customWidth="1"/>
    <x:col min="14066" max="14066" width="8.83203125" hidden="0" customWidth="1"/>
    <x:col min="14067" max="14067" width="8.83203125" hidden="0" customWidth="1"/>
    <x:col min="14068" max="14068" width="8.83203125" hidden="0" customWidth="1"/>
    <x:col min="14069" max="14069" width="8.83203125" hidden="0" customWidth="1"/>
    <x:col min="14070" max="14070" width="8.83203125" hidden="0" customWidth="1"/>
    <x:col min="14071" max="14071" width="8.83203125" hidden="0" customWidth="1"/>
    <x:col min="14072" max="14072" width="8.83203125" hidden="0" customWidth="1"/>
    <x:col min="14073" max="14073" width="8.83203125" hidden="0" customWidth="1"/>
    <x:col min="14074" max="14074" width="8.83203125" hidden="0" customWidth="1"/>
    <x:col min="14075" max="14075" width="8.83203125" hidden="0" customWidth="1"/>
    <x:col min="14076" max="14076" width="8.83203125" hidden="0" customWidth="1"/>
    <x:col min="14077" max="14077" width="8.83203125" hidden="0" customWidth="1"/>
    <x:col min="14078" max="14078" width="8.83203125" hidden="0" customWidth="1"/>
    <x:col min="14079" max="14079" width="8.83203125" hidden="0" customWidth="1"/>
    <x:col min="14080" max="14080" width="8.83203125" hidden="0" customWidth="1"/>
    <x:col min="14081" max="14081" width="8.83203125" hidden="0" customWidth="1"/>
    <x:col min="14082" max="14082" width="8.83203125" hidden="0" customWidth="1"/>
    <x:col min="14083" max="14083" width="8.83203125" hidden="0" customWidth="1"/>
    <x:col min="14084" max="14084" width="8.83203125" hidden="0" customWidth="1"/>
    <x:col min="14085" max="14085" width="8.83203125" hidden="0" customWidth="1"/>
    <x:col min="14086" max="14086" width="8.83203125" hidden="0" customWidth="1"/>
    <x:col min="14087" max="14087" width="8.83203125" hidden="0" customWidth="1"/>
    <x:col min="14088" max="14088" width="8.83203125" hidden="0" customWidth="1"/>
    <x:col min="14089" max="14089" width="8.83203125" hidden="0" customWidth="1"/>
    <x:col min="14090" max="14090" width="8.83203125" hidden="0" customWidth="1"/>
    <x:col min="14091" max="14091" width="8.83203125" hidden="0" customWidth="1"/>
    <x:col min="14092" max="14092" width="8.83203125" hidden="0" customWidth="1"/>
    <x:col min="14093" max="14093" width="8.83203125" hidden="0" customWidth="1"/>
    <x:col min="14094" max="14094" width="8.83203125" hidden="0" customWidth="1"/>
    <x:col min="14095" max="14095" width="8.83203125" hidden="0" customWidth="1"/>
    <x:col min="14096" max="14096" width="8.83203125" hidden="0" customWidth="1"/>
    <x:col min="14097" max="14097" width="8.83203125" hidden="0" customWidth="1"/>
    <x:col min="14098" max="14098" width="8.83203125" hidden="0" customWidth="1"/>
    <x:col min="14099" max="14099" width="8.83203125" hidden="0" customWidth="1"/>
    <x:col min="14100" max="14100" width="8.83203125" hidden="0" customWidth="1"/>
    <x:col min="14101" max="14101" width="8.83203125" hidden="0" customWidth="1"/>
    <x:col min="14102" max="14102" width="8.83203125" hidden="0" customWidth="1"/>
    <x:col min="14103" max="14103" width="8.83203125" hidden="0" customWidth="1"/>
    <x:col min="14104" max="14104" width="8.83203125" hidden="0" customWidth="1"/>
    <x:col min="14105" max="14105" width="8.83203125" hidden="0" customWidth="1"/>
    <x:col min="14106" max="14106" width="8.83203125" hidden="0" customWidth="1"/>
    <x:col min="14107" max="14107" width="8.83203125" hidden="0" customWidth="1"/>
    <x:col min="14108" max="14108" width="8.83203125" hidden="0" customWidth="1"/>
    <x:col min="14109" max="14109" width="8.83203125" hidden="0" customWidth="1"/>
    <x:col min="14110" max="14110" width="8.83203125" hidden="0" customWidth="1"/>
    <x:col min="14111" max="14111" width="8.83203125" hidden="0" customWidth="1"/>
    <x:col min="14112" max="14112" width="8.83203125" hidden="0" customWidth="1"/>
    <x:col min="14113" max="14113" width="8.83203125" hidden="0" customWidth="1"/>
    <x:col min="14114" max="14114" width="8.83203125" hidden="0" customWidth="1"/>
    <x:col min="14115" max="14115" width="8.83203125" hidden="0" customWidth="1"/>
    <x:col min="14116" max="14116" width="8.83203125" hidden="0" customWidth="1"/>
    <x:col min="14117" max="14117" width="8.83203125" hidden="0" customWidth="1"/>
    <x:col min="14118" max="14118" width="8.83203125" hidden="0" customWidth="1"/>
    <x:col min="14119" max="14119" width="8.83203125" hidden="0" customWidth="1"/>
    <x:col min="14120" max="14120" width="8.83203125" hidden="0" customWidth="1"/>
    <x:col min="14121" max="14121" width="8.83203125" hidden="0" customWidth="1"/>
    <x:col min="14122" max="14122" width="8.83203125" hidden="0" customWidth="1"/>
    <x:col min="14123" max="14123" width="8.83203125" hidden="0" customWidth="1"/>
    <x:col min="14124" max="14124" width="8.83203125" hidden="0" customWidth="1"/>
    <x:col min="14125" max="14125" width="8.83203125" hidden="0" customWidth="1"/>
    <x:col min="14126" max="14126" width="8.83203125" hidden="0" customWidth="1"/>
    <x:col min="14127" max="14127" width="8.83203125" hidden="0" customWidth="1"/>
    <x:col min="14128" max="14128" width="8.83203125" hidden="0" customWidth="1"/>
    <x:col min="14129" max="14129" width="8.83203125" hidden="0" customWidth="1"/>
    <x:col min="14130" max="14130" width="8.83203125" hidden="0" customWidth="1"/>
    <x:col min="14131" max="14131" width="8.83203125" hidden="0" customWidth="1"/>
    <x:col min="14132" max="14132" width="8.83203125" hidden="0" customWidth="1"/>
    <x:col min="14133" max="14133" width="8.83203125" hidden="0" customWidth="1"/>
    <x:col min="14134" max="14134" width="8.83203125" hidden="0" customWidth="1"/>
    <x:col min="14135" max="14135" width="8.83203125" hidden="0" customWidth="1"/>
    <x:col min="14136" max="14136" width="8.83203125" hidden="0" customWidth="1"/>
    <x:col min="14137" max="14137" width="8.83203125" hidden="0" customWidth="1"/>
    <x:col min="14138" max="14138" width="8.83203125" hidden="0" customWidth="1"/>
    <x:col min="14139" max="14139" width="8.83203125" hidden="0" customWidth="1"/>
    <x:col min="14140" max="14140" width="8.83203125" hidden="0" customWidth="1"/>
    <x:col min="14141" max="14141" width="8.83203125" hidden="0" customWidth="1"/>
    <x:col min="14142" max="14142" width="8.83203125" hidden="0" customWidth="1"/>
    <x:col min="14143" max="14143" width="8.83203125" hidden="0" customWidth="1"/>
    <x:col min="14144" max="14144" width="8.83203125" hidden="0" customWidth="1"/>
    <x:col min="14145" max="14145" width="8.83203125" hidden="0" customWidth="1"/>
    <x:col min="14146" max="14146" width="8.83203125" hidden="0" customWidth="1"/>
    <x:col min="14147" max="14147" width="8.83203125" hidden="0" customWidth="1"/>
    <x:col min="14148" max="14148" width="8.83203125" hidden="0" customWidth="1"/>
    <x:col min="14149" max="14149" width="8.83203125" hidden="0" customWidth="1"/>
    <x:col min="14150" max="14150" width="8.83203125" hidden="0" customWidth="1"/>
    <x:col min="14151" max="14151" width="8.83203125" hidden="0" customWidth="1"/>
    <x:col min="14152" max="14152" width="8.83203125" hidden="0" customWidth="1"/>
    <x:col min="14153" max="14153" width="8.83203125" hidden="0" customWidth="1"/>
    <x:col min="14154" max="14154" width="8.83203125" hidden="0" customWidth="1"/>
    <x:col min="14155" max="14155" width="8.83203125" hidden="0" customWidth="1"/>
    <x:col min="14156" max="14156" width="8.83203125" hidden="0" customWidth="1"/>
    <x:col min="14157" max="14157" width="8.83203125" hidden="0" customWidth="1"/>
    <x:col min="14158" max="14158" width="8.83203125" hidden="0" customWidth="1"/>
    <x:col min="14159" max="14159" width="8.83203125" hidden="0" customWidth="1"/>
    <x:col min="14160" max="14160" width="8.83203125" hidden="0" customWidth="1"/>
    <x:col min="14161" max="14161" width="8.83203125" hidden="0" customWidth="1"/>
    <x:col min="14162" max="14162" width="8.83203125" hidden="0" customWidth="1"/>
    <x:col min="14163" max="14163" width="8.83203125" hidden="0" customWidth="1"/>
    <x:col min="14164" max="14164" width="8.83203125" hidden="0" customWidth="1"/>
    <x:col min="14165" max="14165" width="8.83203125" hidden="0" customWidth="1"/>
    <x:col min="14166" max="14166" width="8.83203125" hidden="0" customWidth="1"/>
    <x:col min="14167" max="14167" width="8.83203125" hidden="0" customWidth="1"/>
    <x:col min="14168" max="14168" width="8.83203125" hidden="0" customWidth="1"/>
    <x:col min="14169" max="14169" width="8.83203125" hidden="0" customWidth="1"/>
    <x:col min="14170" max="14170" width="8.83203125" hidden="0" customWidth="1"/>
    <x:col min="14171" max="14171" width="8.83203125" hidden="0" customWidth="1"/>
    <x:col min="14172" max="14172" width="8.83203125" hidden="0" customWidth="1"/>
    <x:col min="14173" max="14173" width="8.83203125" hidden="0" customWidth="1"/>
    <x:col min="14174" max="14174" width="8.83203125" hidden="0" customWidth="1"/>
    <x:col min="14175" max="14175" width="8.83203125" hidden="0" customWidth="1"/>
    <x:col min="14176" max="14176" width="8.83203125" hidden="0" customWidth="1"/>
    <x:col min="14177" max="14177" width="8.83203125" hidden="0" customWidth="1"/>
    <x:col min="14178" max="14178" width="8.83203125" hidden="0" customWidth="1"/>
    <x:col min="14179" max="14179" width="8.83203125" hidden="0" customWidth="1"/>
    <x:col min="14180" max="14180" width="8.83203125" hidden="0" customWidth="1"/>
    <x:col min="14181" max="14181" width="8.83203125" hidden="0" customWidth="1"/>
    <x:col min="14182" max="14182" width="8.83203125" hidden="0" customWidth="1"/>
    <x:col min="14183" max="14183" width="8.83203125" hidden="0" customWidth="1"/>
    <x:col min="14184" max="14184" width="8.83203125" hidden="0" customWidth="1"/>
    <x:col min="14185" max="14185" width="8.83203125" hidden="0" customWidth="1"/>
    <x:col min="14186" max="14186" width="8.83203125" hidden="0" customWidth="1"/>
    <x:col min="14187" max="14187" width="8.83203125" hidden="0" customWidth="1"/>
    <x:col min="14188" max="14188" width="8.83203125" hidden="0" customWidth="1"/>
    <x:col min="14189" max="14189" width="8.83203125" hidden="0" customWidth="1"/>
    <x:col min="14190" max="14190" width="8.83203125" hidden="0" customWidth="1"/>
    <x:col min="14191" max="14191" width="8.83203125" hidden="0" customWidth="1"/>
    <x:col min="14192" max="14192" width="8.83203125" hidden="0" customWidth="1"/>
    <x:col min="14193" max="14193" width="8.83203125" hidden="0" customWidth="1"/>
    <x:col min="14194" max="14194" width="8.83203125" hidden="0" customWidth="1"/>
    <x:col min="14195" max="14195" width="8.83203125" hidden="0" customWidth="1"/>
    <x:col min="14196" max="14196" width="8.83203125" hidden="0" customWidth="1"/>
    <x:col min="14197" max="14197" width="8.83203125" hidden="0" customWidth="1"/>
    <x:col min="14198" max="14198" width="8.83203125" hidden="0" customWidth="1"/>
    <x:col min="14199" max="14199" width="8.83203125" hidden="0" customWidth="1"/>
    <x:col min="14200" max="14200" width="8.83203125" hidden="0" customWidth="1"/>
    <x:col min="14201" max="14201" width="8.83203125" hidden="0" customWidth="1"/>
    <x:col min="14202" max="14202" width="8.83203125" hidden="0" customWidth="1"/>
    <x:col min="14203" max="14203" width="8.83203125" hidden="0" customWidth="1"/>
    <x:col min="14204" max="14204" width="8.83203125" hidden="0" customWidth="1"/>
    <x:col min="14205" max="14205" width="8.83203125" hidden="0" customWidth="1"/>
    <x:col min="14206" max="14206" width="8.83203125" hidden="0" customWidth="1"/>
    <x:col min="14207" max="14207" width="8.83203125" hidden="0" customWidth="1"/>
    <x:col min="14208" max="14208" width="8.83203125" hidden="0" customWidth="1"/>
    <x:col min="14209" max="14209" width="8.83203125" hidden="0" customWidth="1"/>
    <x:col min="14210" max="14210" width="8.83203125" hidden="0" customWidth="1"/>
    <x:col min="14211" max="14211" width="8.83203125" hidden="0" customWidth="1"/>
    <x:col min="14212" max="14212" width="8.83203125" hidden="0" customWidth="1"/>
    <x:col min="14213" max="14213" width="8.83203125" hidden="0" customWidth="1"/>
    <x:col min="14214" max="14214" width="8.83203125" hidden="0" customWidth="1"/>
    <x:col min="14215" max="14215" width="8.83203125" hidden="0" customWidth="1"/>
    <x:col min="14216" max="14216" width="8.83203125" hidden="0" customWidth="1"/>
    <x:col min="14217" max="14217" width="8.83203125" hidden="0" customWidth="1"/>
    <x:col min="14218" max="14218" width="8.83203125" hidden="0" customWidth="1"/>
    <x:col min="14219" max="14219" width="8.83203125" hidden="0" customWidth="1"/>
    <x:col min="14220" max="14220" width="8.83203125" hidden="0" customWidth="1"/>
    <x:col min="14221" max="14221" width="8.83203125" hidden="0" customWidth="1"/>
    <x:col min="14222" max="14222" width="8.83203125" hidden="0" customWidth="1"/>
    <x:col min="14223" max="14223" width="8.83203125" hidden="0" customWidth="1"/>
    <x:col min="14224" max="14224" width="8.83203125" hidden="0" customWidth="1"/>
    <x:col min="14225" max="14225" width="8.83203125" hidden="0" customWidth="1"/>
    <x:col min="14226" max="14226" width="8.83203125" hidden="0" customWidth="1"/>
    <x:col min="14227" max="14227" width="8.83203125" hidden="0" customWidth="1"/>
    <x:col min="14228" max="14228" width="8.83203125" hidden="0" customWidth="1"/>
    <x:col min="14229" max="14229" width="8.83203125" hidden="0" customWidth="1"/>
    <x:col min="14230" max="14230" width="8.83203125" hidden="0" customWidth="1"/>
    <x:col min="14231" max="14231" width="8.83203125" hidden="0" customWidth="1"/>
    <x:col min="14232" max="14232" width="8.83203125" hidden="0" customWidth="1"/>
    <x:col min="14233" max="14233" width="8.83203125" hidden="0" customWidth="1"/>
    <x:col min="14234" max="14234" width="8.83203125" hidden="0" customWidth="1"/>
    <x:col min="14235" max="14235" width="8.83203125" hidden="0" customWidth="1"/>
    <x:col min="14236" max="14236" width="8.83203125" hidden="0" customWidth="1"/>
    <x:col min="14237" max="14237" width="8.83203125" hidden="0" customWidth="1"/>
    <x:col min="14238" max="14238" width="8.83203125" hidden="0" customWidth="1"/>
    <x:col min="14239" max="14239" width="8.83203125" hidden="0" customWidth="1"/>
    <x:col min="14240" max="14240" width="8.83203125" hidden="0" customWidth="1"/>
    <x:col min="14241" max="14241" width="8.83203125" hidden="0" customWidth="1"/>
    <x:col min="14242" max="14242" width="8.83203125" hidden="0" customWidth="1"/>
    <x:col min="14243" max="14243" width="8.83203125" hidden="0" customWidth="1"/>
    <x:col min="14244" max="14244" width="8.83203125" hidden="0" customWidth="1"/>
    <x:col min="14245" max="14245" width="8.83203125" hidden="0" customWidth="1"/>
    <x:col min="14246" max="14246" width="8.83203125" hidden="0" customWidth="1"/>
    <x:col min="14247" max="14247" width="8.83203125" hidden="0" customWidth="1"/>
    <x:col min="14248" max="14248" width="8.83203125" hidden="0" customWidth="1"/>
    <x:col min="14249" max="14249" width="8.83203125" hidden="0" customWidth="1"/>
    <x:col min="14250" max="14250" width="8.83203125" hidden="0" customWidth="1"/>
    <x:col min="14251" max="14251" width="8.83203125" hidden="0" customWidth="1"/>
    <x:col min="14252" max="14252" width="8.83203125" hidden="0" customWidth="1"/>
    <x:col min="14253" max="14253" width="8.83203125" hidden="0" customWidth="1"/>
    <x:col min="14254" max="14254" width="8.83203125" hidden="0" customWidth="1"/>
    <x:col min="14255" max="14255" width="8.83203125" hidden="0" customWidth="1"/>
    <x:col min="14256" max="14256" width="8.83203125" hidden="0" customWidth="1"/>
    <x:col min="14257" max="14257" width="8.83203125" hidden="0" customWidth="1"/>
    <x:col min="14258" max="14258" width="8.83203125" hidden="0" customWidth="1"/>
    <x:col min="14259" max="14259" width="8.83203125" hidden="0" customWidth="1"/>
    <x:col min="14260" max="14260" width="8.83203125" hidden="0" customWidth="1"/>
    <x:col min="14261" max="14261" width="8.83203125" hidden="0" customWidth="1"/>
    <x:col min="14262" max="14262" width="8.83203125" hidden="0" customWidth="1"/>
    <x:col min="14263" max="14263" width="8.83203125" hidden="0" customWidth="1"/>
    <x:col min="14264" max="14264" width="8.83203125" hidden="0" customWidth="1"/>
    <x:col min="14265" max="14265" width="8.83203125" hidden="0" customWidth="1"/>
    <x:col min="14266" max="14266" width="8.83203125" hidden="0" customWidth="1"/>
    <x:col min="14267" max="14267" width="8.83203125" hidden="0" customWidth="1"/>
    <x:col min="14268" max="14268" width="8.83203125" hidden="0" customWidth="1"/>
    <x:col min="14269" max="14269" width="8.83203125" hidden="0" customWidth="1"/>
    <x:col min="14270" max="14270" width="8.83203125" hidden="0" customWidth="1"/>
    <x:col min="14271" max="14271" width="8.83203125" hidden="0" customWidth="1"/>
    <x:col min="14272" max="14272" width="8.83203125" hidden="0" customWidth="1"/>
    <x:col min="14273" max="14273" width="8.83203125" hidden="0" customWidth="1"/>
    <x:col min="14274" max="14274" width="8.83203125" hidden="0" customWidth="1"/>
    <x:col min="14275" max="14275" width="8.83203125" hidden="0" customWidth="1"/>
    <x:col min="14276" max="14276" width="8.83203125" hidden="0" customWidth="1"/>
    <x:col min="14277" max="14277" width="8.83203125" hidden="0" customWidth="1"/>
    <x:col min="14278" max="14278" width="8.83203125" hidden="0" customWidth="1"/>
    <x:col min="14279" max="14279" width="8.83203125" hidden="0" customWidth="1"/>
    <x:col min="14280" max="14280" width="8.83203125" hidden="0" customWidth="1"/>
    <x:col min="14281" max="14281" width="8.83203125" hidden="0" customWidth="1"/>
    <x:col min="14282" max="14282" width="8.83203125" hidden="0" customWidth="1"/>
    <x:col min="14283" max="14283" width="8.83203125" hidden="0" customWidth="1"/>
    <x:col min="14284" max="14284" width="8.83203125" hidden="0" customWidth="1"/>
    <x:col min="14285" max="14285" width="8.83203125" hidden="0" customWidth="1"/>
    <x:col min="14286" max="14286" width="8.83203125" hidden="0" customWidth="1"/>
    <x:col min="14287" max="14287" width="8.83203125" hidden="0" customWidth="1"/>
    <x:col min="14288" max="14288" width="8.83203125" hidden="0" customWidth="1"/>
    <x:col min="14289" max="14289" width="8.83203125" hidden="0" customWidth="1"/>
    <x:col min="14290" max="14290" width="8.83203125" hidden="0" customWidth="1"/>
    <x:col min="14291" max="14291" width="8.83203125" hidden="0" customWidth="1"/>
    <x:col min="14292" max="14292" width="8.83203125" hidden="0" customWidth="1"/>
    <x:col min="14293" max="14293" width="8.83203125" hidden="0" customWidth="1"/>
    <x:col min="14294" max="14294" width="8.83203125" hidden="0" customWidth="1"/>
    <x:col min="14295" max="14295" width="8.83203125" hidden="0" customWidth="1"/>
    <x:col min="14296" max="14296" width="8.83203125" hidden="0" customWidth="1"/>
    <x:col min="14297" max="14297" width="8.83203125" hidden="0" customWidth="1"/>
    <x:col min="14298" max="14298" width="8.83203125" hidden="0" customWidth="1"/>
    <x:col min="14299" max="14299" width="8.83203125" hidden="0" customWidth="1"/>
    <x:col min="14300" max="14300" width="8.83203125" hidden="0" customWidth="1"/>
    <x:col min="14301" max="14301" width="8.83203125" hidden="0" customWidth="1"/>
    <x:col min="14302" max="14302" width="8.83203125" hidden="0" customWidth="1"/>
    <x:col min="14303" max="14303" width="8.83203125" hidden="0" customWidth="1"/>
    <x:col min="14304" max="14304" width="8.83203125" hidden="0" customWidth="1"/>
    <x:col min="14305" max="14305" width="8.83203125" hidden="0" customWidth="1"/>
    <x:col min="14306" max="14306" width="8.83203125" hidden="0" customWidth="1"/>
    <x:col min="14307" max="14307" width="8.83203125" hidden="0" customWidth="1"/>
    <x:col min="14308" max="14308" width="8.83203125" hidden="0" customWidth="1"/>
    <x:col min="14309" max="14309" width="8.83203125" hidden="0" customWidth="1"/>
    <x:col min="14310" max="14310" width="8.83203125" hidden="0" customWidth="1"/>
    <x:col min="14311" max="14311" width="8.83203125" hidden="0" customWidth="1"/>
    <x:col min="14312" max="14312" width="8.83203125" hidden="0" customWidth="1"/>
    <x:col min="14313" max="14313" width="8.83203125" hidden="0" customWidth="1"/>
    <x:col min="14314" max="14314" width="8.83203125" hidden="0" customWidth="1"/>
    <x:col min="14315" max="14315" width="8.83203125" hidden="0" customWidth="1"/>
    <x:col min="14316" max="14316" width="8.83203125" hidden="0" customWidth="1"/>
    <x:col min="14317" max="14317" width="8.83203125" hidden="0" customWidth="1"/>
    <x:col min="14318" max="14318" width="8.83203125" hidden="0" customWidth="1"/>
    <x:col min="14319" max="14319" width="8.83203125" hidden="0" customWidth="1"/>
    <x:col min="14320" max="14320" width="8.83203125" hidden="0" customWidth="1"/>
    <x:col min="14321" max="14321" width="8.83203125" hidden="0" customWidth="1"/>
    <x:col min="14322" max="14322" width="8.83203125" hidden="0" customWidth="1"/>
    <x:col min="14323" max="14323" width="8.83203125" hidden="0" customWidth="1"/>
    <x:col min="14324" max="14324" width="8.83203125" hidden="0" customWidth="1"/>
    <x:col min="14325" max="14325" width="8.83203125" hidden="0" customWidth="1"/>
    <x:col min="14326" max="14326" width="8.83203125" hidden="0" customWidth="1"/>
    <x:col min="14327" max="14327" width="8.83203125" hidden="0" customWidth="1"/>
    <x:col min="14328" max="14328" width="8.83203125" hidden="0" customWidth="1"/>
    <x:col min="14329" max="14329" width="8.83203125" hidden="0" customWidth="1"/>
    <x:col min="14330" max="14330" width="8.83203125" hidden="0" customWidth="1"/>
    <x:col min="14331" max="14331" width="8.83203125" hidden="0" customWidth="1"/>
    <x:col min="14332" max="14332" width="8.83203125" hidden="0" customWidth="1"/>
    <x:col min="14333" max="14333" width="8.83203125" hidden="0" customWidth="1"/>
    <x:col min="14334" max="14334" width="8.83203125" hidden="0" customWidth="1"/>
    <x:col min="14335" max="14335" width="8.83203125" hidden="0" customWidth="1"/>
    <x:col min="14336" max="14336" width="8.83203125" hidden="0" customWidth="1"/>
    <x:col min="14337" max="14337" width="8.83203125" hidden="0" customWidth="1"/>
    <x:col min="14338" max="14338" width="8.83203125" hidden="0" customWidth="1"/>
    <x:col min="14339" max="14339" width="8.83203125" hidden="0" customWidth="1"/>
    <x:col min="14340" max="14340" width="8.83203125" hidden="0" customWidth="1"/>
    <x:col min="14341" max="14341" width="8.83203125" hidden="0" customWidth="1"/>
    <x:col min="14342" max="14342" width="8.83203125" hidden="0" customWidth="1"/>
    <x:col min="14343" max="14343" width="8.83203125" hidden="0" customWidth="1"/>
    <x:col min="14344" max="14344" width="8.83203125" hidden="0" customWidth="1"/>
    <x:col min="14345" max="14345" width="8.83203125" hidden="0" customWidth="1"/>
    <x:col min="14346" max="14346" width="8.83203125" hidden="0" customWidth="1"/>
    <x:col min="14347" max="14347" width="8.83203125" hidden="0" customWidth="1"/>
    <x:col min="14348" max="14348" width="8.83203125" hidden="0" customWidth="1"/>
    <x:col min="14349" max="14349" width="8.83203125" hidden="0" customWidth="1"/>
    <x:col min="14350" max="14350" width="8.83203125" hidden="0" customWidth="1"/>
    <x:col min="14351" max="14351" width="8.83203125" hidden="0" customWidth="1"/>
    <x:col min="14352" max="14352" width="8.83203125" hidden="0" customWidth="1"/>
    <x:col min="14353" max="14353" width="8.83203125" hidden="0" customWidth="1"/>
    <x:col min="14354" max="14354" width="8.83203125" hidden="0" customWidth="1"/>
    <x:col min="14355" max="14355" width="8.83203125" hidden="0" customWidth="1"/>
    <x:col min="14356" max="14356" width="8.83203125" hidden="0" customWidth="1"/>
    <x:col min="14357" max="14357" width="8.83203125" hidden="0" customWidth="1"/>
    <x:col min="14358" max="14358" width="8.83203125" hidden="0" customWidth="1"/>
    <x:col min="14359" max="14359" width="8.83203125" hidden="0" customWidth="1"/>
    <x:col min="14360" max="14360" width="8.83203125" hidden="0" customWidth="1"/>
    <x:col min="14361" max="14361" width="8.83203125" hidden="0" customWidth="1"/>
    <x:col min="14362" max="14362" width="8.83203125" hidden="0" customWidth="1"/>
    <x:col min="14363" max="14363" width="8.83203125" hidden="0" customWidth="1"/>
    <x:col min="14364" max="14364" width="8.83203125" hidden="0" customWidth="1"/>
    <x:col min="14365" max="14365" width="8.83203125" hidden="0" customWidth="1"/>
    <x:col min="14366" max="14366" width="8.83203125" hidden="0" customWidth="1"/>
    <x:col min="14367" max="14367" width="8.83203125" hidden="0" customWidth="1"/>
    <x:col min="14368" max="14368" width="8.83203125" hidden="0" customWidth="1"/>
    <x:col min="14369" max="14369" width="8.83203125" hidden="0" customWidth="1"/>
    <x:col min="14370" max="14370" width="8.83203125" hidden="0" customWidth="1"/>
    <x:col min="14371" max="14371" width="8.83203125" hidden="0" customWidth="1"/>
    <x:col min="14372" max="14372" width="8.83203125" hidden="0" customWidth="1"/>
    <x:col min="14373" max="14373" width="8.83203125" hidden="0" customWidth="1"/>
    <x:col min="14374" max="14374" width="8.83203125" hidden="0" customWidth="1"/>
    <x:col min="14375" max="14375" width="8.83203125" hidden="0" customWidth="1"/>
    <x:col min="14376" max="14376" width="8.83203125" hidden="0" customWidth="1"/>
    <x:col min="14377" max="14377" width="8.83203125" hidden="0" customWidth="1"/>
    <x:col min="14378" max="14378" width="8.83203125" hidden="0" customWidth="1"/>
    <x:col min="14379" max="14379" width="8.83203125" hidden="0" customWidth="1"/>
    <x:col min="14380" max="14380" width="8.83203125" hidden="0" customWidth="1"/>
    <x:col min="14381" max="14381" width="8.83203125" hidden="0" customWidth="1"/>
    <x:col min="14382" max="14382" width="8.83203125" hidden="0" customWidth="1"/>
    <x:col min="14383" max="14383" width="8.83203125" hidden="0" customWidth="1"/>
    <x:col min="14384" max="14384" width="8.83203125" hidden="0" customWidth="1"/>
    <x:col min="14385" max="14385" width="8.83203125" hidden="0" customWidth="1"/>
    <x:col min="14386" max="14386" width="8.83203125" hidden="0" customWidth="1"/>
    <x:col min="14387" max="14387" width="8.83203125" hidden="0" customWidth="1"/>
    <x:col min="14388" max="14388" width="8.83203125" hidden="0" customWidth="1"/>
    <x:col min="14389" max="14389" width="8.83203125" hidden="0" customWidth="1"/>
    <x:col min="14390" max="14390" width="8.83203125" hidden="0" customWidth="1"/>
    <x:col min="14391" max="14391" width="8.83203125" hidden="0" customWidth="1"/>
    <x:col min="14392" max="14392" width="8.83203125" hidden="0" customWidth="1"/>
    <x:col min="14393" max="14393" width="8.83203125" hidden="0" customWidth="1"/>
    <x:col min="14394" max="14394" width="8.83203125" hidden="0" customWidth="1"/>
    <x:col min="14395" max="14395" width="8.83203125" hidden="0" customWidth="1"/>
    <x:col min="14396" max="14396" width="8.83203125" hidden="0" customWidth="1"/>
    <x:col min="14397" max="14397" width="8.83203125" hidden="0" customWidth="1"/>
    <x:col min="14398" max="14398" width="8.83203125" hidden="0" customWidth="1"/>
    <x:col min="14399" max="14399" width="8.83203125" hidden="0" customWidth="1"/>
    <x:col min="14400" max="14400" width="8.83203125" hidden="0" customWidth="1"/>
    <x:col min="14401" max="14401" width="8.83203125" hidden="0" customWidth="1"/>
    <x:col min="14402" max="14402" width="8.83203125" hidden="0" customWidth="1"/>
    <x:col min="14403" max="14403" width="8.83203125" hidden="0" customWidth="1"/>
    <x:col min="14404" max="14404" width="8.83203125" hidden="0" customWidth="1"/>
    <x:col min="14405" max="14405" width="8.83203125" hidden="0" customWidth="1"/>
    <x:col min="14406" max="14406" width="8.83203125" hidden="0" customWidth="1"/>
    <x:col min="14407" max="14407" width="8.83203125" hidden="0" customWidth="1"/>
    <x:col min="14408" max="14408" width="8.83203125" hidden="0" customWidth="1"/>
    <x:col min="14409" max="14409" width="8.83203125" hidden="0" customWidth="1"/>
    <x:col min="14410" max="14410" width="8.83203125" hidden="0" customWidth="1"/>
    <x:col min="14411" max="14411" width="8.83203125" hidden="0" customWidth="1"/>
    <x:col min="14412" max="14412" width="8.83203125" hidden="0" customWidth="1"/>
    <x:col min="14413" max="14413" width="8.83203125" hidden="0" customWidth="1"/>
    <x:col min="14414" max="14414" width="8.83203125" hidden="0" customWidth="1"/>
    <x:col min="14415" max="14415" width="8.83203125" hidden="0" customWidth="1"/>
    <x:col min="14416" max="14416" width="8.83203125" hidden="0" customWidth="1"/>
    <x:col min="14417" max="14417" width="8.83203125" hidden="0" customWidth="1"/>
    <x:col min="14418" max="14418" width="8.83203125" hidden="0" customWidth="1"/>
    <x:col min="14419" max="14419" width="8.83203125" hidden="0" customWidth="1"/>
    <x:col min="14420" max="14420" width="8.83203125" hidden="0" customWidth="1"/>
    <x:col min="14421" max="14421" width="8.83203125" hidden="0" customWidth="1"/>
    <x:col min="14422" max="14422" width="8.83203125" hidden="0" customWidth="1"/>
    <x:col min="14423" max="14423" width="8.83203125" hidden="0" customWidth="1"/>
    <x:col min="14424" max="14424" width="8.83203125" hidden="0" customWidth="1"/>
    <x:col min="14425" max="14425" width="8.83203125" hidden="0" customWidth="1"/>
    <x:col min="14426" max="14426" width="8.83203125" hidden="0" customWidth="1"/>
    <x:col min="14427" max="14427" width="8.83203125" hidden="0" customWidth="1"/>
    <x:col min="14428" max="14428" width="8.83203125" hidden="0" customWidth="1"/>
    <x:col min="14429" max="14429" width="8.83203125" hidden="0" customWidth="1"/>
    <x:col min="14430" max="14430" width="8.83203125" hidden="0" customWidth="1"/>
    <x:col min="14431" max="14431" width="8.83203125" hidden="0" customWidth="1"/>
    <x:col min="14432" max="14432" width="8.83203125" hidden="0" customWidth="1"/>
    <x:col min="14433" max="14433" width="8.83203125" hidden="0" customWidth="1"/>
    <x:col min="14434" max="14434" width="8.83203125" hidden="0" customWidth="1"/>
    <x:col min="14435" max="14435" width="8.83203125" hidden="0" customWidth="1"/>
    <x:col min="14436" max="14436" width="8.83203125" hidden="0" customWidth="1"/>
    <x:col min="14437" max="14437" width="8.83203125" hidden="0" customWidth="1"/>
    <x:col min="14438" max="14438" width="8.83203125" hidden="0" customWidth="1"/>
    <x:col min="14439" max="14439" width="8.83203125" hidden="0" customWidth="1"/>
    <x:col min="14440" max="14440" width="8.83203125" hidden="0" customWidth="1"/>
    <x:col min="14441" max="14441" width="8.83203125" hidden="0" customWidth="1"/>
    <x:col min="14442" max="14442" width="8.83203125" hidden="0" customWidth="1"/>
    <x:col min="14443" max="14443" width="8.83203125" hidden="0" customWidth="1"/>
    <x:col min="14444" max="14444" width="8.83203125" hidden="0" customWidth="1"/>
    <x:col min="14445" max="14445" width="8.83203125" hidden="0" customWidth="1"/>
    <x:col min="14446" max="14446" width="8.83203125" hidden="0" customWidth="1"/>
    <x:col min="14447" max="14447" width="8.83203125" hidden="0" customWidth="1"/>
    <x:col min="14448" max="14448" width="8.83203125" hidden="0" customWidth="1"/>
    <x:col min="14449" max="14449" width="8.83203125" hidden="0" customWidth="1"/>
    <x:col min="14450" max="14450" width="8.83203125" hidden="0" customWidth="1"/>
    <x:col min="14451" max="14451" width="8.83203125" hidden="0" customWidth="1"/>
    <x:col min="14452" max="14452" width="8.83203125" hidden="0" customWidth="1"/>
    <x:col min="14453" max="14453" width="8.83203125" hidden="0" customWidth="1"/>
    <x:col min="14454" max="14454" width="8.83203125" hidden="0" customWidth="1"/>
    <x:col min="14455" max="14455" width="8.83203125" hidden="0" customWidth="1"/>
    <x:col min="14456" max="14456" width="8.83203125" hidden="0" customWidth="1"/>
    <x:col min="14457" max="14457" width="8.83203125" hidden="0" customWidth="1"/>
    <x:col min="14458" max="14458" width="8.83203125" hidden="0" customWidth="1"/>
    <x:col min="14459" max="14459" width="8.83203125" hidden="0" customWidth="1"/>
    <x:col min="14460" max="14460" width="8.83203125" hidden="0" customWidth="1"/>
    <x:col min="14461" max="14461" width="8.83203125" hidden="0" customWidth="1"/>
    <x:col min="14462" max="14462" width="8.83203125" hidden="0" customWidth="1"/>
    <x:col min="14463" max="14463" width="8.83203125" hidden="0" customWidth="1"/>
    <x:col min="14464" max="14464" width="8.83203125" hidden="0" customWidth="1"/>
    <x:col min="14465" max="14465" width="8.83203125" hidden="0" customWidth="1"/>
    <x:col min="14466" max="14466" width="8.83203125" hidden="0" customWidth="1"/>
    <x:col min="14467" max="14467" width="8.83203125" hidden="0" customWidth="1"/>
    <x:col min="14468" max="14468" width="8.83203125" hidden="0" customWidth="1"/>
    <x:col min="14469" max="14469" width="8.83203125" hidden="0" customWidth="1"/>
    <x:col min="14470" max="14470" width="8.83203125" hidden="0" customWidth="1"/>
    <x:col min="14471" max="14471" width="8.83203125" hidden="0" customWidth="1"/>
    <x:col min="14472" max="14472" width="8.83203125" hidden="0" customWidth="1"/>
    <x:col min="14473" max="14473" width="8.83203125" hidden="0" customWidth="1"/>
    <x:col min="14474" max="14474" width="8.83203125" hidden="0" customWidth="1"/>
    <x:col min="14475" max="14475" width="8.83203125" hidden="0" customWidth="1"/>
    <x:col min="14476" max="14476" width="8.83203125" hidden="0" customWidth="1"/>
    <x:col min="14477" max="14477" width="8.83203125" hidden="0" customWidth="1"/>
    <x:col min="14478" max="14478" width="8.83203125" hidden="0" customWidth="1"/>
    <x:col min="14479" max="14479" width="8.83203125" hidden="0" customWidth="1"/>
    <x:col min="14480" max="14480" width="8.83203125" hidden="0" customWidth="1"/>
    <x:col min="14481" max="14481" width="8.83203125" hidden="0" customWidth="1"/>
    <x:col min="14482" max="14482" width="8.83203125" hidden="0" customWidth="1"/>
    <x:col min="14483" max="14483" width="8.83203125" hidden="0" customWidth="1"/>
    <x:col min="14484" max="14484" width="8.83203125" hidden="0" customWidth="1"/>
    <x:col min="14485" max="14485" width="8.83203125" hidden="0" customWidth="1"/>
    <x:col min="14486" max="14486" width="8.83203125" hidden="0" customWidth="1"/>
    <x:col min="14487" max="14487" width="8.83203125" hidden="0" customWidth="1"/>
    <x:col min="14488" max="14488" width="8.83203125" hidden="0" customWidth="1"/>
    <x:col min="14489" max="14489" width="8.83203125" hidden="0" customWidth="1"/>
    <x:col min="14490" max="14490" width="8.83203125" hidden="0" customWidth="1"/>
    <x:col min="14491" max="14491" width="8.83203125" hidden="0" customWidth="1"/>
    <x:col min="14492" max="14492" width="8.83203125" hidden="0" customWidth="1"/>
    <x:col min="14493" max="14493" width="8.83203125" hidden="0" customWidth="1"/>
    <x:col min="14494" max="14494" width="8.83203125" hidden="0" customWidth="1"/>
    <x:col min="14495" max="14495" width="8.83203125" hidden="0" customWidth="1"/>
    <x:col min="14496" max="14496" width="8.83203125" hidden="0" customWidth="1"/>
    <x:col min="14497" max="14497" width="8.83203125" hidden="0" customWidth="1"/>
    <x:col min="14498" max="14498" width="8.83203125" hidden="0" customWidth="1"/>
    <x:col min="14499" max="14499" width="8.83203125" hidden="0" customWidth="1"/>
    <x:col min="14500" max="14500" width="8.83203125" hidden="0" customWidth="1"/>
    <x:col min="14501" max="14501" width="8.83203125" hidden="0" customWidth="1"/>
    <x:col min="14502" max="14502" width="8.83203125" hidden="0" customWidth="1"/>
    <x:col min="14503" max="14503" width="8.83203125" hidden="0" customWidth="1"/>
    <x:col min="14504" max="14504" width="8.83203125" hidden="0" customWidth="1"/>
    <x:col min="14505" max="14505" width="8.83203125" hidden="0" customWidth="1"/>
    <x:col min="14506" max="14506" width="8.83203125" hidden="0" customWidth="1"/>
    <x:col min="14507" max="14507" width="8.83203125" hidden="0" customWidth="1"/>
    <x:col min="14508" max="14508" width="8.83203125" hidden="0" customWidth="1"/>
    <x:col min="14509" max="14509" width="8.83203125" hidden="0" customWidth="1"/>
    <x:col min="14510" max="14510" width="8.83203125" hidden="0" customWidth="1"/>
    <x:col min="14511" max="14511" width="8.83203125" hidden="0" customWidth="1"/>
    <x:col min="14512" max="14512" width="8.83203125" hidden="0" customWidth="1"/>
    <x:col min="14513" max="14513" width="8.83203125" hidden="0" customWidth="1"/>
    <x:col min="14514" max="14514" width="8.83203125" hidden="0" customWidth="1"/>
    <x:col min="14515" max="14515" width="8.83203125" hidden="0" customWidth="1"/>
    <x:col min="14516" max="14516" width="8.83203125" hidden="0" customWidth="1"/>
    <x:col min="14517" max="14517" width="8.83203125" hidden="0" customWidth="1"/>
    <x:col min="14518" max="14518" width="8.83203125" hidden="0" customWidth="1"/>
    <x:col min="14519" max="14519" width="8.83203125" hidden="0" customWidth="1"/>
    <x:col min="14520" max="14520" width="8.83203125" hidden="0" customWidth="1"/>
    <x:col min="14521" max="14521" width="8.83203125" hidden="0" customWidth="1"/>
    <x:col min="14522" max="14522" width="8.83203125" hidden="0" customWidth="1"/>
    <x:col min="14523" max="14523" width="8.83203125" hidden="0" customWidth="1"/>
    <x:col min="14524" max="14524" width="8.83203125" hidden="0" customWidth="1"/>
    <x:col min="14525" max="14525" width="8.83203125" hidden="0" customWidth="1"/>
    <x:col min="14526" max="14526" width="8.83203125" hidden="0" customWidth="1"/>
    <x:col min="14527" max="14527" width="8.83203125" hidden="0" customWidth="1"/>
    <x:col min="14528" max="14528" width="8.83203125" hidden="0" customWidth="1"/>
    <x:col min="14529" max="14529" width="8.83203125" hidden="0" customWidth="1"/>
    <x:col min="14530" max="14530" width="8.83203125" hidden="0" customWidth="1"/>
    <x:col min="14531" max="14531" width="8.83203125" hidden="0" customWidth="1"/>
    <x:col min="14532" max="14532" width="8.83203125" hidden="0" customWidth="1"/>
    <x:col min="14533" max="14533" width="8.83203125" hidden="0" customWidth="1"/>
    <x:col min="14534" max="14534" width="8.83203125" hidden="0" customWidth="1"/>
    <x:col min="14535" max="14535" width="8.83203125" hidden="0" customWidth="1"/>
    <x:col min="14536" max="14536" width="8.83203125" hidden="0" customWidth="1"/>
    <x:col min="14537" max="14537" width="8.83203125" hidden="0" customWidth="1"/>
    <x:col min="14538" max="14538" width="8.83203125" hidden="0" customWidth="1"/>
    <x:col min="14539" max="14539" width="8.83203125" hidden="0" customWidth="1"/>
    <x:col min="14540" max="14540" width="8.83203125" hidden="0" customWidth="1"/>
    <x:col min="14541" max="14541" width="8.83203125" hidden="0" customWidth="1"/>
    <x:col min="14542" max="14542" width="8.83203125" hidden="0" customWidth="1"/>
    <x:col min="14543" max="14543" width="8.83203125" hidden="0" customWidth="1"/>
    <x:col min="14544" max="14544" width="8.83203125" hidden="0" customWidth="1"/>
    <x:col min="14545" max="14545" width="8.83203125" hidden="0" customWidth="1"/>
    <x:col min="14546" max="14546" width="8.83203125" hidden="0" customWidth="1"/>
    <x:col min="14547" max="14547" width="8.83203125" hidden="0" customWidth="1"/>
    <x:col min="14548" max="14548" width="8.83203125" hidden="0" customWidth="1"/>
    <x:col min="14549" max="14549" width="8.83203125" hidden="0" customWidth="1"/>
    <x:col min="14550" max="14550" width="8.83203125" hidden="0" customWidth="1"/>
    <x:col min="14551" max="14551" width="8.83203125" hidden="0" customWidth="1"/>
    <x:col min="14552" max="14552" width="8.83203125" hidden="0" customWidth="1"/>
    <x:col min="14553" max="14553" width="8.83203125" hidden="0" customWidth="1"/>
    <x:col min="14554" max="14554" width="8.83203125" hidden="0" customWidth="1"/>
    <x:col min="14555" max="14555" width="8.83203125" hidden="0" customWidth="1"/>
    <x:col min="14556" max="14556" width="8.83203125" hidden="0" customWidth="1"/>
    <x:col min="14557" max="14557" width="8.83203125" hidden="0" customWidth="1"/>
    <x:col min="14558" max="14558" width="8.83203125" hidden="0" customWidth="1"/>
    <x:col min="14559" max="14559" width="8.83203125" hidden="0" customWidth="1"/>
    <x:col min="14560" max="14560" width="8.83203125" hidden="0" customWidth="1"/>
    <x:col min="14561" max="14561" width="8.83203125" hidden="0" customWidth="1"/>
    <x:col min="14562" max="14562" width="8.83203125" hidden="0" customWidth="1"/>
    <x:col min="14563" max="14563" width="8.83203125" hidden="0" customWidth="1"/>
    <x:col min="14564" max="14564" width="8.83203125" hidden="0" customWidth="1"/>
    <x:col min="14565" max="14565" width="8.83203125" hidden="0" customWidth="1"/>
    <x:col min="14566" max="14566" width="8.83203125" hidden="0" customWidth="1"/>
    <x:col min="14567" max="14567" width="8.83203125" hidden="0" customWidth="1"/>
    <x:col min="14568" max="14568" width="8.83203125" hidden="0" customWidth="1"/>
    <x:col min="14569" max="14569" width="8.83203125" hidden="0" customWidth="1"/>
    <x:col min="14570" max="14570" width="8.83203125" hidden="0" customWidth="1"/>
    <x:col min="14571" max="14571" width="8.83203125" hidden="0" customWidth="1"/>
    <x:col min="14572" max="14572" width="8.83203125" hidden="0" customWidth="1"/>
    <x:col min="14573" max="14573" width="8.83203125" hidden="0" customWidth="1"/>
    <x:col min="14574" max="14574" width="8.83203125" hidden="0" customWidth="1"/>
    <x:col min="14575" max="14575" width="8.83203125" hidden="0" customWidth="1"/>
    <x:col min="14576" max="14576" width="8.83203125" hidden="0" customWidth="1"/>
    <x:col min="14577" max="14577" width="8.83203125" hidden="0" customWidth="1"/>
    <x:col min="14578" max="14578" width="8.83203125" hidden="0" customWidth="1"/>
    <x:col min="14579" max="14579" width="8.83203125" hidden="0" customWidth="1"/>
    <x:col min="14580" max="14580" width="8.83203125" hidden="0" customWidth="1"/>
    <x:col min="14581" max="14581" width="8.83203125" hidden="0" customWidth="1"/>
    <x:col min="14582" max="14582" width="8.83203125" hidden="0" customWidth="1"/>
    <x:col min="14583" max="14583" width="8.83203125" hidden="0" customWidth="1"/>
    <x:col min="14584" max="14584" width="8.83203125" hidden="0" customWidth="1"/>
    <x:col min="14585" max="14585" width="8.83203125" hidden="0" customWidth="1"/>
    <x:col min="14586" max="14586" width="8.83203125" hidden="0" customWidth="1"/>
    <x:col min="14587" max="14587" width="8.83203125" hidden="0" customWidth="1"/>
    <x:col min="14588" max="14588" width="8.83203125" hidden="0" customWidth="1"/>
    <x:col min="14589" max="14589" width="8.83203125" hidden="0" customWidth="1"/>
    <x:col min="14590" max="14590" width="8.83203125" hidden="0" customWidth="1"/>
    <x:col min="14591" max="14591" width="8.83203125" hidden="0" customWidth="1"/>
    <x:col min="14592" max="14592" width="8.83203125" hidden="0" customWidth="1"/>
    <x:col min="14593" max="14593" width="8.83203125" hidden="0" customWidth="1"/>
    <x:col min="14594" max="14594" width="8.83203125" hidden="0" customWidth="1"/>
    <x:col min="14595" max="14595" width="8.83203125" hidden="0" customWidth="1"/>
    <x:col min="14596" max="14596" width="8.83203125" hidden="0" customWidth="1"/>
    <x:col min="14597" max="14597" width="8.83203125" hidden="0" customWidth="1"/>
    <x:col min="14598" max="14598" width="8.83203125" hidden="0" customWidth="1"/>
    <x:col min="14599" max="14599" width="8.83203125" hidden="0" customWidth="1"/>
    <x:col min="14600" max="14600" width="8.83203125" hidden="0" customWidth="1"/>
    <x:col min="14601" max="14601" width="8.83203125" hidden="0" customWidth="1"/>
    <x:col min="14602" max="14602" width="8.83203125" hidden="0" customWidth="1"/>
    <x:col min="14603" max="14603" width="8.83203125" hidden="0" customWidth="1"/>
    <x:col min="14604" max="14604" width="8.83203125" hidden="0" customWidth="1"/>
    <x:col min="14605" max="14605" width="8.83203125" hidden="0" customWidth="1"/>
    <x:col min="14606" max="14606" width="8.83203125" hidden="0" customWidth="1"/>
    <x:col min="14607" max="14607" width="8.83203125" hidden="0" customWidth="1"/>
    <x:col min="14608" max="14608" width="8.83203125" hidden="0" customWidth="1"/>
    <x:col min="14609" max="14609" width="8.83203125" hidden="0" customWidth="1"/>
    <x:col min="14610" max="14610" width="8.83203125" hidden="0" customWidth="1"/>
    <x:col min="14611" max="14611" width="8.83203125" hidden="0" customWidth="1"/>
    <x:col min="14612" max="14612" width="8.83203125" hidden="0" customWidth="1"/>
    <x:col min="14613" max="14613" width="8.83203125" hidden="0" customWidth="1"/>
    <x:col min="14614" max="14614" width="8.83203125" hidden="0" customWidth="1"/>
    <x:col min="14615" max="14615" width="8.83203125" hidden="0" customWidth="1"/>
    <x:col min="14616" max="14616" width="8.83203125" hidden="0" customWidth="1"/>
    <x:col min="14617" max="14617" width="8.83203125" hidden="0" customWidth="1"/>
    <x:col min="14618" max="14618" width="8.83203125" hidden="0" customWidth="1"/>
    <x:col min="14619" max="14619" width="8.83203125" hidden="0" customWidth="1"/>
    <x:col min="14620" max="14620" width="8.83203125" hidden="0" customWidth="1"/>
    <x:col min="14621" max="14621" width="8.83203125" hidden="0" customWidth="1"/>
    <x:col min="14622" max="14622" width="8.83203125" hidden="0" customWidth="1"/>
    <x:col min="14623" max="14623" width="8.83203125" hidden="0" customWidth="1"/>
    <x:col min="14624" max="14624" width="8.83203125" hidden="0" customWidth="1"/>
    <x:col min="14625" max="14625" width="8.83203125" hidden="0" customWidth="1"/>
    <x:col min="14626" max="14626" width="8.83203125" hidden="0" customWidth="1"/>
    <x:col min="14627" max="14627" width="8.83203125" hidden="0" customWidth="1"/>
    <x:col min="14628" max="14628" width="8.83203125" hidden="0" customWidth="1"/>
    <x:col min="14629" max="14629" width="8.83203125" hidden="0" customWidth="1"/>
    <x:col min="14630" max="14630" width="8.83203125" hidden="0" customWidth="1"/>
    <x:col min="14631" max="14631" width="8.83203125" hidden="0" customWidth="1"/>
    <x:col min="14632" max="14632" width="8.83203125" hidden="0" customWidth="1"/>
    <x:col min="14633" max="14633" width="8.83203125" hidden="0" customWidth="1"/>
    <x:col min="14634" max="14634" width="8.83203125" hidden="0" customWidth="1"/>
    <x:col min="14635" max="14635" width="8.83203125" hidden="0" customWidth="1"/>
    <x:col min="14636" max="14636" width="8.83203125" hidden="0" customWidth="1"/>
    <x:col min="14637" max="14637" width="8.83203125" hidden="0" customWidth="1"/>
    <x:col min="14638" max="14638" width="8.83203125" hidden="0" customWidth="1"/>
    <x:col min="14639" max="14639" width="8.83203125" hidden="0" customWidth="1"/>
    <x:col min="14640" max="14640" width="8.83203125" hidden="0" customWidth="1"/>
    <x:col min="14641" max="14641" width="8.83203125" hidden="0" customWidth="1"/>
    <x:col min="14642" max="14642" width="8.83203125" hidden="0" customWidth="1"/>
    <x:col min="14643" max="14643" width="8.83203125" hidden="0" customWidth="1"/>
    <x:col min="14644" max="14644" width="8.83203125" hidden="0" customWidth="1"/>
    <x:col min="14645" max="14645" width="8.83203125" hidden="0" customWidth="1"/>
    <x:col min="14646" max="14646" width="8.83203125" hidden="0" customWidth="1"/>
    <x:col min="14647" max="14647" width="8.83203125" hidden="0" customWidth="1"/>
    <x:col min="14648" max="14648" width="8.83203125" hidden="0" customWidth="1"/>
    <x:col min="14649" max="14649" width="8.83203125" hidden="0" customWidth="1"/>
    <x:col min="14650" max="14650" width="8.83203125" hidden="0" customWidth="1"/>
    <x:col min="14651" max="14651" width="8.83203125" hidden="0" customWidth="1"/>
    <x:col min="14652" max="14652" width="8.83203125" hidden="0" customWidth="1"/>
    <x:col min="14653" max="14653" width="8.83203125" hidden="0" customWidth="1"/>
    <x:col min="14654" max="14654" width="8.83203125" hidden="0" customWidth="1"/>
    <x:col min="14655" max="14655" width="8.83203125" hidden="0" customWidth="1"/>
    <x:col min="14656" max="14656" width="8.83203125" hidden="0" customWidth="1"/>
    <x:col min="14657" max="14657" width="8.83203125" hidden="0" customWidth="1"/>
    <x:col min="14658" max="14658" width="8.83203125" hidden="0" customWidth="1"/>
    <x:col min="14659" max="14659" width="8.83203125" hidden="0" customWidth="1"/>
    <x:col min="14660" max="14660" width="8.83203125" hidden="0" customWidth="1"/>
    <x:col min="14661" max="14661" width="8.83203125" hidden="0" customWidth="1"/>
    <x:col min="14662" max="14662" width="8.83203125" hidden="0" customWidth="1"/>
    <x:col min="14663" max="14663" width="8.83203125" hidden="0" customWidth="1"/>
    <x:col min="14664" max="14664" width="8.83203125" hidden="0" customWidth="1"/>
    <x:col min="14665" max="14665" width="8.83203125" hidden="0" customWidth="1"/>
    <x:col min="14666" max="14666" width="8.83203125" hidden="0" customWidth="1"/>
    <x:col min="14667" max="14667" width="8.83203125" hidden="0" customWidth="1"/>
    <x:col min="14668" max="14668" width="8.83203125" hidden="0" customWidth="1"/>
    <x:col min="14669" max="14669" width="8.83203125" hidden="0" customWidth="1"/>
    <x:col min="14670" max="14670" width="8.83203125" hidden="0" customWidth="1"/>
    <x:col min="14671" max="14671" width="8.83203125" hidden="0" customWidth="1"/>
    <x:col min="14672" max="14672" width="8.83203125" hidden="0" customWidth="1"/>
    <x:col min="14673" max="14673" width="8.83203125" hidden="0" customWidth="1"/>
    <x:col min="14674" max="14674" width="8.83203125" hidden="0" customWidth="1"/>
    <x:col min="14675" max="14675" width="8.83203125" hidden="0" customWidth="1"/>
    <x:col min="14676" max="14676" width="8.83203125" hidden="0" customWidth="1"/>
    <x:col min="14677" max="14677" width="8.83203125" hidden="0" customWidth="1"/>
    <x:col min="14678" max="14678" width="8.83203125" hidden="0" customWidth="1"/>
    <x:col min="14679" max="14679" width="8.83203125" hidden="0" customWidth="1"/>
    <x:col min="14680" max="14680" width="8.83203125" hidden="0" customWidth="1"/>
    <x:col min="14681" max="14681" width="8.83203125" hidden="0" customWidth="1"/>
    <x:col min="14682" max="14682" width="8.83203125" hidden="0" customWidth="1"/>
    <x:col min="14683" max="14683" width="8.83203125" hidden="0" customWidth="1"/>
    <x:col min="14684" max="14684" width="8.83203125" hidden="0" customWidth="1"/>
    <x:col min="14685" max="14685" width="8.83203125" hidden="0" customWidth="1"/>
    <x:col min="14686" max="14686" width="8.83203125" hidden="0" customWidth="1"/>
    <x:col min="14687" max="14687" width="8.83203125" hidden="0" customWidth="1"/>
    <x:col min="14688" max="14688" width="8.83203125" hidden="0" customWidth="1"/>
    <x:col min="14689" max="14689" width="8.83203125" hidden="0" customWidth="1"/>
    <x:col min="14690" max="14690" width="8.83203125" hidden="0" customWidth="1"/>
    <x:col min="14691" max="14691" width="8.83203125" hidden="0" customWidth="1"/>
    <x:col min="14692" max="14692" width="8.83203125" hidden="0" customWidth="1"/>
    <x:col min="14693" max="14693" width="8.83203125" hidden="0" customWidth="1"/>
    <x:col min="14694" max="14694" width="8.83203125" hidden="0" customWidth="1"/>
    <x:col min="14695" max="14695" width="8.83203125" hidden="0" customWidth="1"/>
    <x:col min="14696" max="14696" width="8.83203125" hidden="0" customWidth="1"/>
    <x:col min="14697" max="14697" width="8.83203125" hidden="0" customWidth="1"/>
    <x:col min="14698" max="14698" width="8.83203125" hidden="0" customWidth="1"/>
    <x:col min="14699" max="14699" width="8.83203125" hidden="0" customWidth="1"/>
    <x:col min="14700" max="14700" width="8.83203125" hidden="0" customWidth="1"/>
    <x:col min="14701" max="14701" width="8.83203125" hidden="0" customWidth="1"/>
    <x:col min="14702" max="14702" width="8.83203125" hidden="0" customWidth="1"/>
    <x:col min="14703" max="14703" width="8.83203125" hidden="0" customWidth="1"/>
    <x:col min="14704" max="14704" width="8.83203125" hidden="0" customWidth="1"/>
    <x:col min="14705" max="14705" width="8.83203125" hidden="0" customWidth="1"/>
    <x:col min="14706" max="14706" width="8.83203125" hidden="0" customWidth="1"/>
    <x:col min="14707" max="14707" width="8.83203125" hidden="0" customWidth="1"/>
    <x:col min="14708" max="14708" width="8.83203125" hidden="0" customWidth="1"/>
    <x:col min="14709" max="14709" width="8.83203125" hidden="0" customWidth="1"/>
    <x:col min="14710" max="14710" width="8.83203125" hidden="0" customWidth="1"/>
    <x:col min="14711" max="14711" width="8.83203125" hidden="0" customWidth="1"/>
    <x:col min="14712" max="14712" width="8.83203125" hidden="0" customWidth="1"/>
    <x:col min="14713" max="14713" width="8.83203125" hidden="0" customWidth="1"/>
    <x:col min="14714" max="14714" width="8.83203125" hidden="0" customWidth="1"/>
    <x:col min="14715" max="14715" width="8.83203125" hidden="0" customWidth="1"/>
    <x:col min="14716" max="14716" width="8.83203125" hidden="0" customWidth="1"/>
    <x:col min="14717" max="14717" width="8.83203125" hidden="0" customWidth="1"/>
    <x:col min="14718" max="14718" width="8.83203125" hidden="0" customWidth="1"/>
    <x:col min="14719" max="14719" width="8.83203125" hidden="0" customWidth="1"/>
    <x:col min="14720" max="14720" width="8.83203125" hidden="0" customWidth="1"/>
    <x:col min="14721" max="14721" width="8.83203125" hidden="0" customWidth="1"/>
    <x:col min="14722" max="14722" width="8.83203125" hidden="0" customWidth="1"/>
    <x:col min="14723" max="14723" width="8.83203125" hidden="0" customWidth="1"/>
    <x:col min="14724" max="14724" width="8.83203125" hidden="0" customWidth="1"/>
    <x:col min="14725" max="14725" width="8.83203125" hidden="0" customWidth="1"/>
    <x:col min="14726" max="14726" width="8.83203125" hidden="0" customWidth="1"/>
    <x:col min="14727" max="14727" width="8.83203125" hidden="0" customWidth="1"/>
    <x:col min="14728" max="14728" width="8.83203125" hidden="0" customWidth="1"/>
    <x:col min="14729" max="14729" width="8.83203125" hidden="0" customWidth="1"/>
    <x:col min="14730" max="14730" width="8.83203125" hidden="0" customWidth="1"/>
    <x:col min="14731" max="14731" width="8.83203125" hidden="0" customWidth="1"/>
    <x:col min="14732" max="14732" width="8.83203125" hidden="0" customWidth="1"/>
    <x:col min="14733" max="14733" width="8.83203125" hidden="0" customWidth="1"/>
    <x:col min="14734" max="14734" width="8.83203125" hidden="0" customWidth="1"/>
    <x:col min="14735" max="14735" width="8.83203125" hidden="0" customWidth="1"/>
    <x:col min="14736" max="14736" width="8.83203125" hidden="0" customWidth="1"/>
    <x:col min="14737" max="14737" width="8.83203125" hidden="0" customWidth="1"/>
    <x:col min="14738" max="14738" width="8.83203125" hidden="0" customWidth="1"/>
    <x:col min="14739" max="14739" width="8.83203125" hidden="0" customWidth="1"/>
    <x:col min="14740" max="14740" width="8.83203125" hidden="0" customWidth="1"/>
    <x:col min="14741" max="14741" width="8.83203125" hidden="0" customWidth="1"/>
    <x:col min="14742" max="14742" width="8.83203125" hidden="0" customWidth="1"/>
    <x:col min="14743" max="14743" width="8.83203125" hidden="0" customWidth="1"/>
    <x:col min="14744" max="14744" width="8.83203125" hidden="0" customWidth="1"/>
    <x:col min="14745" max="14745" width="8.83203125" hidden="0" customWidth="1"/>
    <x:col min="14746" max="14746" width="8.83203125" hidden="0" customWidth="1"/>
    <x:col min="14747" max="14747" width="8.83203125" hidden="0" customWidth="1"/>
    <x:col min="14748" max="14748" width="8.83203125" hidden="0" customWidth="1"/>
    <x:col min="14749" max="14749" width="8.83203125" hidden="0" customWidth="1"/>
    <x:col min="14750" max="14750" width="8.83203125" hidden="0" customWidth="1"/>
    <x:col min="14751" max="14751" width="8.83203125" hidden="0" customWidth="1"/>
    <x:col min="14752" max="14752" width="8.83203125" hidden="0" customWidth="1"/>
    <x:col min="14753" max="14753" width="8.83203125" hidden="0" customWidth="1"/>
    <x:col min="14754" max="14754" width="8.83203125" hidden="0" customWidth="1"/>
    <x:col min="14755" max="14755" width="8.83203125" hidden="0" customWidth="1"/>
    <x:col min="14756" max="14756" width="8.83203125" hidden="0" customWidth="1"/>
    <x:col min="14757" max="14757" width="8.83203125" hidden="0" customWidth="1"/>
    <x:col min="14758" max="14758" width="8.83203125" hidden="0" customWidth="1"/>
    <x:col min="14759" max="14759" width="8.83203125" hidden="0" customWidth="1"/>
    <x:col min="14760" max="14760" width="8.83203125" hidden="0" customWidth="1"/>
    <x:col min="14761" max="14761" width="8.83203125" hidden="0" customWidth="1"/>
    <x:col min="14762" max="14762" width="8.83203125" hidden="0" customWidth="1"/>
    <x:col min="14763" max="14763" width="8.83203125" hidden="0" customWidth="1"/>
    <x:col min="14764" max="14764" width="8.83203125" hidden="0" customWidth="1"/>
    <x:col min="14765" max="14765" width="8.83203125" hidden="0" customWidth="1"/>
    <x:col min="14766" max="14766" width="8.83203125" hidden="0" customWidth="1"/>
    <x:col min="14767" max="14767" width="8.83203125" hidden="0" customWidth="1"/>
    <x:col min="14768" max="14768" width="8.83203125" hidden="0" customWidth="1"/>
    <x:col min="14769" max="14769" width="8.83203125" hidden="0" customWidth="1"/>
    <x:col min="14770" max="14770" width="8.83203125" hidden="0" customWidth="1"/>
    <x:col min="14771" max="14771" width="8.83203125" hidden="0" customWidth="1"/>
    <x:col min="14772" max="14772" width="8.83203125" hidden="0" customWidth="1"/>
    <x:col min="14773" max="14773" width="8.83203125" hidden="0" customWidth="1"/>
    <x:col min="14774" max="14774" width="8.83203125" hidden="0" customWidth="1"/>
    <x:col min="14775" max="14775" width="8.83203125" hidden="0" customWidth="1"/>
    <x:col min="14776" max="14776" width="8.83203125" hidden="0" customWidth="1"/>
    <x:col min="14777" max="14777" width="8.83203125" hidden="0" customWidth="1"/>
    <x:col min="14778" max="14778" width="8.83203125" hidden="0" customWidth="1"/>
    <x:col min="14779" max="14779" width="8.83203125" hidden="0" customWidth="1"/>
    <x:col min="14780" max="14780" width="8.83203125" hidden="0" customWidth="1"/>
    <x:col min="14781" max="14781" width="8.83203125" hidden="0" customWidth="1"/>
    <x:col min="14782" max="14782" width="8.83203125" hidden="0" customWidth="1"/>
    <x:col min="14783" max="14783" width="8.83203125" hidden="0" customWidth="1"/>
    <x:col min="14784" max="14784" width="8.83203125" hidden="0" customWidth="1"/>
    <x:col min="14785" max="14785" width="8.83203125" hidden="0" customWidth="1"/>
    <x:col min="14786" max="14786" width="8.83203125" hidden="0" customWidth="1"/>
    <x:col min="14787" max="14787" width="8.83203125" hidden="0" customWidth="1"/>
    <x:col min="14788" max="14788" width="8.83203125" hidden="0" customWidth="1"/>
    <x:col min="14789" max="14789" width="8.83203125" hidden="0" customWidth="1"/>
    <x:col min="14790" max="14790" width="8.83203125" hidden="0" customWidth="1"/>
    <x:col min="14791" max="14791" width="8.83203125" hidden="0" customWidth="1"/>
    <x:col min="14792" max="14792" width="8.83203125" hidden="0" customWidth="1"/>
    <x:col min="14793" max="14793" width="8.83203125" hidden="0" customWidth="1"/>
    <x:col min="14794" max="14794" width="8.83203125" hidden="0" customWidth="1"/>
    <x:col min="14795" max="14795" width="8.83203125" hidden="0" customWidth="1"/>
    <x:col min="14796" max="14796" width="8.83203125" hidden="0" customWidth="1"/>
    <x:col min="14797" max="14797" width="8.83203125" hidden="0" customWidth="1"/>
    <x:col min="14798" max="14798" width="8.83203125" hidden="0" customWidth="1"/>
    <x:col min="14799" max="14799" width="8.83203125" hidden="0" customWidth="1"/>
    <x:col min="14800" max="14800" width="8.83203125" hidden="0" customWidth="1"/>
    <x:col min="14801" max="14801" width="8.83203125" hidden="0" customWidth="1"/>
    <x:col min="14802" max="14802" width="8.83203125" hidden="0" customWidth="1"/>
    <x:col min="14803" max="14803" width="8.83203125" hidden="0" customWidth="1"/>
    <x:col min="14804" max="14804" width="8.83203125" hidden="0" customWidth="1"/>
    <x:col min="14805" max="14805" width="8.83203125" hidden="0" customWidth="1"/>
    <x:col min="14806" max="14806" width="8.83203125" hidden="0" customWidth="1"/>
    <x:col min="14807" max="14807" width="8.83203125" hidden="0" customWidth="1"/>
    <x:col min="14808" max="14808" width="8.83203125" hidden="0" customWidth="1"/>
    <x:col min="14809" max="14809" width="8.83203125" hidden="0" customWidth="1"/>
    <x:col min="14810" max="14810" width="8.83203125" hidden="0" customWidth="1"/>
    <x:col min="14811" max="14811" width="8.83203125" hidden="0" customWidth="1"/>
    <x:col min="14812" max="14812" width="8.83203125" hidden="0" customWidth="1"/>
    <x:col min="14813" max="14813" width="8.83203125" hidden="0" customWidth="1"/>
    <x:col min="14814" max="14814" width="8.83203125" hidden="0" customWidth="1"/>
    <x:col min="14815" max="14815" width="8.83203125" hidden="0" customWidth="1"/>
    <x:col min="14816" max="14816" width="8.83203125" hidden="0" customWidth="1"/>
    <x:col min="14817" max="14817" width="8.83203125" hidden="0" customWidth="1"/>
    <x:col min="14818" max="14818" width="8.83203125" hidden="0" customWidth="1"/>
    <x:col min="14819" max="14819" width="8.83203125" hidden="0" customWidth="1"/>
    <x:col min="14820" max="14820" width="8.83203125" hidden="0" customWidth="1"/>
    <x:col min="14821" max="14821" width="8.83203125" hidden="0" customWidth="1"/>
    <x:col min="14822" max="14822" width="8.83203125" hidden="0" customWidth="1"/>
    <x:col min="14823" max="14823" width="8.83203125" hidden="0" customWidth="1"/>
    <x:col min="14824" max="14824" width="8.83203125" hidden="0" customWidth="1"/>
    <x:col min="14825" max="14825" width="8.83203125" hidden="0" customWidth="1"/>
    <x:col min="14826" max="14826" width="8.83203125" hidden="0" customWidth="1"/>
    <x:col min="14827" max="14827" width="8.83203125" hidden="0" customWidth="1"/>
    <x:col min="14828" max="14828" width="8.83203125" hidden="0" customWidth="1"/>
    <x:col min="14829" max="14829" width="8.83203125" hidden="0" customWidth="1"/>
    <x:col min="14830" max="14830" width="8.83203125" hidden="0" customWidth="1"/>
    <x:col min="14831" max="14831" width="8.83203125" hidden="0" customWidth="1"/>
    <x:col min="14832" max="14832" width="8.83203125" hidden="0" customWidth="1"/>
    <x:col min="14833" max="14833" width="8.83203125" hidden="0" customWidth="1"/>
    <x:col min="14834" max="14834" width="8.83203125" hidden="0" customWidth="1"/>
    <x:col min="14835" max="14835" width="8.83203125" hidden="0" customWidth="1"/>
    <x:col min="14836" max="14836" width="8.83203125" hidden="0" customWidth="1"/>
    <x:col min="14837" max="14837" width="8.83203125" hidden="0" customWidth="1"/>
    <x:col min="14838" max="14838" width="8.83203125" hidden="0" customWidth="1"/>
    <x:col min="14839" max="14839" width="8.83203125" hidden="0" customWidth="1"/>
    <x:col min="14840" max="14840" width="8.83203125" hidden="0" customWidth="1"/>
    <x:col min="14841" max="14841" width="8.83203125" hidden="0" customWidth="1"/>
    <x:col min="14842" max="14842" width="8.83203125" hidden="0" customWidth="1"/>
    <x:col min="14843" max="14843" width="8.83203125" hidden="0" customWidth="1"/>
    <x:col min="14844" max="14844" width="8.83203125" hidden="0" customWidth="1"/>
    <x:col min="14845" max="14845" width="8.83203125" hidden="0" customWidth="1"/>
    <x:col min="14846" max="14846" width="8.83203125" hidden="0" customWidth="1"/>
    <x:col min="14847" max="14847" width="8.83203125" hidden="0" customWidth="1"/>
    <x:col min="14848" max="14848" width="8.83203125" hidden="0" customWidth="1"/>
    <x:col min="14849" max="14849" width="8.83203125" hidden="0" customWidth="1"/>
    <x:col min="14850" max="14850" width="8.83203125" hidden="0" customWidth="1"/>
    <x:col min="14851" max="14851" width="8.83203125" hidden="0" customWidth="1"/>
    <x:col min="14852" max="14852" width="8.83203125" hidden="0" customWidth="1"/>
    <x:col min="14853" max="14853" width="8.83203125" hidden="0" customWidth="1"/>
    <x:col min="14854" max="14854" width="8.83203125" hidden="0" customWidth="1"/>
    <x:col min="14855" max="14855" width="8.83203125" hidden="0" customWidth="1"/>
    <x:col min="14856" max="14856" width="8.83203125" hidden="0" customWidth="1"/>
    <x:col min="14857" max="14857" width="8.83203125" hidden="0" customWidth="1"/>
    <x:col min="14858" max="14858" width="8.83203125" hidden="0" customWidth="1"/>
    <x:col min="14859" max="14859" width="8.83203125" hidden="0" customWidth="1"/>
    <x:col min="14860" max="14860" width="8.83203125" hidden="0" customWidth="1"/>
    <x:col min="14861" max="14861" width="8.83203125" hidden="0" customWidth="1"/>
    <x:col min="14862" max="14862" width="8.83203125" hidden="0" customWidth="1"/>
    <x:col min="14863" max="14863" width="8.83203125" hidden="0" customWidth="1"/>
    <x:col min="14864" max="14864" width="8.83203125" hidden="0" customWidth="1"/>
    <x:col min="14865" max="14865" width="8.83203125" hidden="0" customWidth="1"/>
    <x:col min="14866" max="14866" width="8.83203125" hidden="0" customWidth="1"/>
    <x:col min="14867" max="14867" width="8.83203125" hidden="0" customWidth="1"/>
    <x:col min="14868" max="14868" width="8.83203125" hidden="0" customWidth="1"/>
    <x:col min="14869" max="14869" width="8.83203125" hidden="0" customWidth="1"/>
    <x:col min="14870" max="14870" width="8.83203125" hidden="0" customWidth="1"/>
    <x:col min="14871" max="14871" width="8.83203125" hidden="0" customWidth="1"/>
    <x:col min="14872" max="14872" width="8.83203125" hidden="0" customWidth="1"/>
    <x:col min="14873" max="14873" width="8.83203125" hidden="0" customWidth="1"/>
    <x:col min="14874" max="14874" width="8.83203125" hidden="0" customWidth="1"/>
    <x:col min="14875" max="14875" width="8.83203125" hidden="0" customWidth="1"/>
    <x:col min="14876" max="14876" width="8.83203125" hidden="0" customWidth="1"/>
    <x:col min="14877" max="14877" width="8.83203125" hidden="0" customWidth="1"/>
    <x:col min="14878" max="14878" width="8.83203125" hidden="0" customWidth="1"/>
    <x:col min="14879" max="14879" width="8.83203125" hidden="0" customWidth="1"/>
    <x:col min="14880" max="14880" width="8.83203125" hidden="0" customWidth="1"/>
    <x:col min="14881" max="14881" width="8.83203125" hidden="0" customWidth="1"/>
    <x:col min="14882" max="14882" width="8.83203125" hidden="0" customWidth="1"/>
    <x:col min="14883" max="14883" width="8.83203125" hidden="0" customWidth="1"/>
    <x:col min="14884" max="14884" width="8.83203125" hidden="0" customWidth="1"/>
    <x:col min="14885" max="14885" width="8.83203125" hidden="0" customWidth="1"/>
    <x:col min="14886" max="14886" width="8.83203125" hidden="0" customWidth="1"/>
    <x:col min="14887" max="14887" width="8.83203125" hidden="0" customWidth="1"/>
    <x:col min="14888" max="14888" width="8.83203125" hidden="0" customWidth="1"/>
    <x:col min="14889" max="14889" width="8.83203125" hidden="0" customWidth="1"/>
    <x:col min="14890" max="14890" width="8.83203125" hidden="0" customWidth="1"/>
    <x:col min="14891" max="14891" width="8.83203125" hidden="0" customWidth="1"/>
    <x:col min="14892" max="14892" width="8.83203125" hidden="0" customWidth="1"/>
    <x:col min="14893" max="14893" width="8.83203125" hidden="0" customWidth="1"/>
    <x:col min="14894" max="14894" width="8.83203125" hidden="0" customWidth="1"/>
    <x:col min="14895" max="14895" width="8.83203125" hidden="0" customWidth="1"/>
    <x:col min="14896" max="14896" width="8.83203125" hidden="0" customWidth="1"/>
    <x:col min="14897" max="14897" width="8.83203125" hidden="0" customWidth="1"/>
    <x:col min="14898" max="14898" width="8.83203125" hidden="0" customWidth="1"/>
    <x:col min="14899" max="14899" width="8.83203125" hidden="0" customWidth="1"/>
    <x:col min="14900" max="14900" width="8.83203125" hidden="0" customWidth="1"/>
    <x:col min="14901" max="14901" width="8.83203125" hidden="0" customWidth="1"/>
    <x:col min="14902" max="14902" width="8.83203125" hidden="0" customWidth="1"/>
    <x:col min="14903" max="14903" width="8.83203125" hidden="0" customWidth="1"/>
    <x:col min="14904" max="14904" width="8.83203125" hidden="0" customWidth="1"/>
    <x:col min="14905" max="14905" width="8.83203125" hidden="0" customWidth="1"/>
    <x:col min="14906" max="14906" width="8.83203125" hidden="0" customWidth="1"/>
    <x:col min="14907" max="14907" width="8.83203125" hidden="0" customWidth="1"/>
    <x:col min="14908" max="14908" width="8.83203125" hidden="0" customWidth="1"/>
    <x:col min="14909" max="14909" width="8.83203125" hidden="0" customWidth="1"/>
    <x:col min="14910" max="14910" width="8.83203125" hidden="0" customWidth="1"/>
    <x:col min="14911" max="14911" width="8.83203125" hidden="0" customWidth="1"/>
    <x:col min="14912" max="14912" width="8.83203125" hidden="0" customWidth="1"/>
    <x:col min="14913" max="14913" width="8.83203125" hidden="0" customWidth="1"/>
    <x:col min="14914" max="14914" width="8.83203125" hidden="0" customWidth="1"/>
    <x:col min="14915" max="14915" width="8.83203125" hidden="0" customWidth="1"/>
    <x:col min="14916" max="14916" width="8.83203125" hidden="0" customWidth="1"/>
    <x:col min="14917" max="14917" width="8.83203125" hidden="0" customWidth="1"/>
    <x:col min="14918" max="14918" width="8.83203125" hidden="0" customWidth="1"/>
    <x:col min="14919" max="14919" width="8.83203125" hidden="0" customWidth="1"/>
    <x:col min="14920" max="14920" width="8.83203125" hidden="0" customWidth="1"/>
    <x:col min="14921" max="14921" width="8.83203125" hidden="0" customWidth="1"/>
    <x:col min="14922" max="14922" width="8.83203125" hidden="0" customWidth="1"/>
    <x:col min="14923" max="14923" width="8.83203125" hidden="0" customWidth="1"/>
    <x:col min="14924" max="14924" width="8.83203125" hidden="0" customWidth="1"/>
    <x:col min="14925" max="14925" width="8.83203125" hidden="0" customWidth="1"/>
    <x:col min="14926" max="14926" width="8.83203125" hidden="0" customWidth="1"/>
    <x:col min="14927" max="14927" width="8.83203125" hidden="0" customWidth="1"/>
    <x:col min="14928" max="14928" width="8.83203125" hidden="0" customWidth="1"/>
    <x:col min="14929" max="14929" width="8.83203125" hidden="0" customWidth="1"/>
    <x:col min="14930" max="14930" width="8.83203125" hidden="0" customWidth="1"/>
    <x:col min="14931" max="14931" width="8.83203125" hidden="0" customWidth="1"/>
    <x:col min="14932" max="14932" width="8.83203125" hidden="0" customWidth="1"/>
    <x:col min="14933" max="14933" width="8.83203125" hidden="0" customWidth="1"/>
    <x:col min="14934" max="14934" width="8.83203125" hidden="0" customWidth="1"/>
    <x:col min="14935" max="14935" width="8.83203125" hidden="0" customWidth="1"/>
    <x:col min="14936" max="14936" width="8.83203125" hidden="0" customWidth="1"/>
    <x:col min="14937" max="14937" width="8.83203125" hidden="0" customWidth="1"/>
    <x:col min="14938" max="14938" width="8.83203125" hidden="0" customWidth="1"/>
    <x:col min="14939" max="14939" width="8.83203125" hidden="0" customWidth="1"/>
    <x:col min="14940" max="14940" width="8.83203125" hidden="0" customWidth="1"/>
    <x:col min="14941" max="14941" width="8.83203125" hidden="0" customWidth="1"/>
    <x:col min="14942" max="14942" width="8.83203125" hidden="0" customWidth="1"/>
    <x:col min="14943" max="14943" width="8.83203125" hidden="0" customWidth="1"/>
    <x:col min="14944" max="14944" width="8.83203125" hidden="0" customWidth="1"/>
    <x:col min="14945" max="14945" width="8.83203125" hidden="0" customWidth="1"/>
    <x:col min="14946" max="14946" width="8.83203125" hidden="0" customWidth="1"/>
    <x:col min="14947" max="14947" width="8.83203125" hidden="0" customWidth="1"/>
    <x:col min="14948" max="14948" width="8.83203125" hidden="0" customWidth="1"/>
    <x:col min="14949" max="14949" width="8.83203125" hidden="0" customWidth="1"/>
    <x:col min="14950" max="14950" width="8.83203125" hidden="0" customWidth="1"/>
    <x:col min="14951" max="14951" width="8.83203125" hidden="0" customWidth="1"/>
    <x:col min="14952" max="14952" width="8.83203125" hidden="0" customWidth="1"/>
    <x:col min="14953" max="14953" width="8.83203125" hidden="0" customWidth="1"/>
    <x:col min="14954" max="14954" width="8.83203125" hidden="0" customWidth="1"/>
    <x:col min="14955" max="14955" width="8.83203125" hidden="0" customWidth="1"/>
    <x:col min="14956" max="14956" width="8.83203125" hidden="0" customWidth="1"/>
    <x:col min="14957" max="14957" width="8.83203125" hidden="0" customWidth="1"/>
    <x:col min="14958" max="14958" width="8.83203125" hidden="0" customWidth="1"/>
    <x:col min="14959" max="14959" width="8.83203125" hidden="0" customWidth="1"/>
    <x:col min="14960" max="14960" width="8.83203125" hidden="0" customWidth="1"/>
    <x:col min="14961" max="14961" width="8.83203125" hidden="0" customWidth="1"/>
    <x:col min="14962" max="14962" width="8.83203125" hidden="0" customWidth="1"/>
    <x:col min="14963" max="14963" width="8.83203125" hidden="0" customWidth="1"/>
    <x:col min="14964" max="14964" width="8.83203125" hidden="0" customWidth="1"/>
    <x:col min="14965" max="14965" width="8.83203125" hidden="0" customWidth="1"/>
    <x:col min="14966" max="14966" width="8.83203125" hidden="0" customWidth="1"/>
    <x:col min="14967" max="14967" width="8.83203125" hidden="0" customWidth="1"/>
    <x:col min="14968" max="14968" width="8.83203125" hidden="0" customWidth="1"/>
    <x:col min="14969" max="14969" width="8.83203125" hidden="0" customWidth="1"/>
    <x:col min="14970" max="14970" width="8.83203125" hidden="0" customWidth="1"/>
    <x:col min="14971" max="14971" width="8.83203125" hidden="0" customWidth="1"/>
    <x:col min="14972" max="14972" width="8.83203125" hidden="0" customWidth="1"/>
    <x:col min="14973" max="14973" width="8.83203125" hidden="0" customWidth="1"/>
    <x:col min="14974" max="14974" width="8.83203125" hidden="0" customWidth="1"/>
    <x:col min="14975" max="14975" width="8.83203125" hidden="0" customWidth="1"/>
    <x:col min="14976" max="14976" width="8.83203125" hidden="0" customWidth="1"/>
    <x:col min="14977" max="14977" width="8.83203125" hidden="0" customWidth="1"/>
    <x:col min="14978" max="14978" width="8.83203125" hidden="0" customWidth="1"/>
    <x:col min="14979" max="14979" width="8.83203125" hidden="0" customWidth="1"/>
    <x:col min="14980" max="14980" width="8.83203125" hidden="0" customWidth="1"/>
    <x:col min="14981" max="14981" width="8.83203125" hidden="0" customWidth="1"/>
    <x:col min="14982" max="14982" width="8.83203125" hidden="0" customWidth="1"/>
    <x:col min="14983" max="14983" width="8.83203125" hidden="0" customWidth="1"/>
    <x:col min="14984" max="14984" width="8.83203125" hidden="0" customWidth="1"/>
    <x:col min="14985" max="14985" width="8.83203125" hidden="0" customWidth="1"/>
    <x:col min="14986" max="14986" width="8.83203125" hidden="0" customWidth="1"/>
    <x:col min="14987" max="14987" width="8.83203125" hidden="0" customWidth="1"/>
    <x:col min="14988" max="14988" width="8.83203125" hidden="0" customWidth="1"/>
    <x:col min="14989" max="14989" width="8.83203125" hidden="0" customWidth="1"/>
    <x:col min="14990" max="14990" width="8.83203125" hidden="0" customWidth="1"/>
    <x:col min="14991" max="14991" width="8.83203125" hidden="0" customWidth="1"/>
    <x:col min="14992" max="14992" width="8.83203125" hidden="0" customWidth="1"/>
    <x:col min="14993" max="14993" width="8.83203125" hidden="0" customWidth="1"/>
    <x:col min="14994" max="14994" width="8.83203125" hidden="0" customWidth="1"/>
    <x:col min="14995" max="14995" width="8.83203125" hidden="0" customWidth="1"/>
    <x:col min="14996" max="14996" width="8.83203125" hidden="0" customWidth="1"/>
    <x:col min="14997" max="14997" width="8.83203125" hidden="0" customWidth="1"/>
    <x:col min="14998" max="14998" width="8.83203125" hidden="0" customWidth="1"/>
    <x:col min="14999" max="14999" width="8.83203125" hidden="0" customWidth="1"/>
    <x:col min="15000" max="15000" width="8.83203125" hidden="0" customWidth="1"/>
    <x:col min="15001" max="15001" width="8.83203125" hidden="0" customWidth="1"/>
    <x:col min="15002" max="15002" width="8.83203125" hidden="0" customWidth="1"/>
    <x:col min="15003" max="15003" width="8.83203125" hidden="0" customWidth="1"/>
    <x:col min="15004" max="15004" width="8.83203125" hidden="0" customWidth="1"/>
    <x:col min="15005" max="15005" width="8.83203125" hidden="0" customWidth="1"/>
    <x:col min="15006" max="15006" width="8.83203125" hidden="0" customWidth="1"/>
    <x:col min="15007" max="15007" width="8.83203125" hidden="0" customWidth="1"/>
    <x:col min="15008" max="15008" width="8.83203125" hidden="0" customWidth="1"/>
    <x:col min="15009" max="15009" width="8.83203125" hidden="0" customWidth="1"/>
    <x:col min="15010" max="15010" width="8.83203125" hidden="0" customWidth="1"/>
    <x:col min="15011" max="15011" width="8.83203125" hidden="0" customWidth="1"/>
    <x:col min="15012" max="15012" width="8.83203125" hidden="0" customWidth="1"/>
    <x:col min="15013" max="15013" width="8.83203125" hidden="0" customWidth="1"/>
    <x:col min="15014" max="15014" width="8.83203125" hidden="0" customWidth="1"/>
    <x:col min="15015" max="15015" width="8.83203125" hidden="0" customWidth="1"/>
    <x:col min="15016" max="15016" width="8.83203125" hidden="0" customWidth="1"/>
    <x:col min="15017" max="15017" width="8.83203125" hidden="0" customWidth="1"/>
    <x:col min="15018" max="15018" width="8.83203125" hidden="0" customWidth="1"/>
    <x:col min="15019" max="15019" width="8.83203125" hidden="0" customWidth="1"/>
    <x:col min="15020" max="15020" width="8.83203125" hidden="0" customWidth="1"/>
    <x:col min="15021" max="15021" width="8.83203125" hidden="0" customWidth="1"/>
    <x:col min="15022" max="15022" width="8.83203125" hidden="0" customWidth="1"/>
    <x:col min="15023" max="15023" width="8.83203125" hidden="0" customWidth="1"/>
    <x:col min="15024" max="15024" width="8.83203125" hidden="0" customWidth="1"/>
    <x:col min="15025" max="15025" width="8.83203125" hidden="0" customWidth="1"/>
    <x:col min="15026" max="15026" width="8.83203125" hidden="0" customWidth="1"/>
    <x:col min="15027" max="15027" width="8.83203125" hidden="0" customWidth="1"/>
    <x:col min="15028" max="15028" width="8.83203125" hidden="0" customWidth="1"/>
    <x:col min="15029" max="15029" width="8.83203125" hidden="0" customWidth="1"/>
    <x:col min="15030" max="15030" width="8.83203125" hidden="0" customWidth="1"/>
    <x:col min="15031" max="15031" width="8.83203125" hidden="0" customWidth="1"/>
    <x:col min="15032" max="15032" width="8.83203125" hidden="0" customWidth="1"/>
    <x:col min="15033" max="15033" width="8.83203125" hidden="0" customWidth="1"/>
    <x:col min="15034" max="15034" width="8.83203125" hidden="0" customWidth="1"/>
    <x:col min="15035" max="15035" width="8.83203125" hidden="0" customWidth="1"/>
    <x:col min="15036" max="15036" width="8.83203125" hidden="0" customWidth="1"/>
    <x:col min="15037" max="15037" width="8.83203125" hidden="0" customWidth="1"/>
    <x:col min="15038" max="15038" width="8.83203125" hidden="0" customWidth="1"/>
    <x:col min="15039" max="15039" width="8.83203125" hidden="0" customWidth="1"/>
    <x:col min="15040" max="15040" width="8.83203125" hidden="0" customWidth="1"/>
    <x:col min="15041" max="15041" width="8.83203125" hidden="0" customWidth="1"/>
    <x:col min="15042" max="15042" width="8.83203125" hidden="0" customWidth="1"/>
    <x:col min="15043" max="15043" width="8.83203125" hidden="0" customWidth="1"/>
    <x:col min="15044" max="15044" width="8.83203125" hidden="0" customWidth="1"/>
    <x:col min="15045" max="15045" width="8.83203125" hidden="0" customWidth="1"/>
    <x:col min="15046" max="15046" width="8.83203125" hidden="0" customWidth="1"/>
    <x:col min="15047" max="15047" width="8.83203125" hidden="0" customWidth="1"/>
    <x:col min="15048" max="15048" width="8.83203125" hidden="0" customWidth="1"/>
    <x:col min="15049" max="15049" width="8.83203125" hidden="0" customWidth="1"/>
    <x:col min="15050" max="15050" width="8.83203125" hidden="0" customWidth="1"/>
    <x:col min="15051" max="15051" width="8.83203125" hidden="0" customWidth="1"/>
    <x:col min="15052" max="15052" width="8.83203125" hidden="0" customWidth="1"/>
    <x:col min="15053" max="15053" width="8.83203125" hidden="0" customWidth="1"/>
    <x:col min="15054" max="15054" width="8.83203125" hidden="0" customWidth="1"/>
    <x:col min="15055" max="15055" width="8.83203125" hidden="0" customWidth="1"/>
    <x:col min="15056" max="15056" width="8.83203125" hidden="0" customWidth="1"/>
    <x:col min="15057" max="15057" width="8.83203125" hidden="0" customWidth="1"/>
    <x:col min="15058" max="15058" width="8.83203125" hidden="0" customWidth="1"/>
    <x:col min="15059" max="15059" width="8.83203125" hidden="0" customWidth="1"/>
    <x:col min="15060" max="15060" width="8.83203125" hidden="0" customWidth="1"/>
    <x:col min="15061" max="15061" width="8.83203125" hidden="0" customWidth="1"/>
    <x:col min="15062" max="15062" width="8.83203125" hidden="0" customWidth="1"/>
    <x:col min="15063" max="15063" width="8.83203125" hidden="0" customWidth="1"/>
    <x:col min="15064" max="15064" width="8.83203125" hidden="0" customWidth="1"/>
    <x:col min="15065" max="15065" width="8.83203125" hidden="0" customWidth="1"/>
    <x:col min="15066" max="15066" width="8.83203125" hidden="0" customWidth="1"/>
    <x:col min="15067" max="15067" width="8.83203125" hidden="0" customWidth="1"/>
    <x:col min="15068" max="15068" width="8.83203125" hidden="0" customWidth="1"/>
    <x:col min="15069" max="15069" width="8.83203125" hidden="0" customWidth="1"/>
    <x:col min="15070" max="15070" width="8.83203125" hidden="0" customWidth="1"/>
    <x:col min="15071" max="15071" width="8.83203125" hidden="0" customWidth="1"/>
    <x:col min="15072" max="15072" width="8.83203125" hidden="0" customWidth="1"/>
    <x:col min="15073" max="15073" width="8.83203125" hidden="0" customWidth="1"/>
    <x:col min="15074" max="15074" width="8.83203125" hidden="0" customWidth="1"/>
    <x:col min="15075" max="15075" width="8.83203125" hidden="0" customWidth="1"/>
    <x:col min="15076" max="15076" width="8.83203125" hidden="0" customWidth="1"/>
    <x:col min="15077" max="15077" width="8.83203125" hidden="0" customWidth="1"/>
    <x:col min="15078" max="15078" width="8.83203125" hidden="0" customWidth="1"/>
    <x:col min="15079" max="15079" width="8.83203125" hidden="0" customWidth="1"/>
    <x:col min="15080" max="15080" width="8.83203125" hidden="0" customWidth="1"/>
    <x:col min="15081" max="15081" width="8.83203125" hidden="0" customWidth="1"/>
    <x:col min="15082" max="15082" width="8.83203125" hidden="0" customWidth="1"/>
    <x:col min="15083" max="15083" width="8.83203125" hidden="0" customWidth="1"/>
    <x:col min="15084" max="15084" width="8.83203125" hidden="0" customWidth="1"/>
    <x:col min="15085" max="15085" width="8.83203125" hidden="0" customWidth="1"/>
    <x:col min="15086" max="15086" width="8.83203125" hidden="0" customWidth="1"/>
    <x:col min="15087" max="15087" width="8.83203125" hidden="0" customWidth="1"/>
    <x:col min="15088" max="15088" width="8.83203125" hidden="0" customWidth="1"/>
    <x:col min="15089" max="15089" width="8.83203125" hidden="0" customWidth="1"/>
    <x:col min="15090" max="15090" width="8.83203125" hidden="0" customWidth="1"/>
    <x:col min="15091" max="15091" width="8.83203125" hidden="0" customWidth="1"/>
    <x:col min="15092" max="15092" width="8.83203125" hidden="0" customWidth="1"/>
    <x:col min="15093" max="15093" width="8.83203125" hidden="0" customWidth="1"/>
    <x:col min="15094" max="15094" width="8.83203125" hidden="0" customWidth="1"/>
    <x:col min="15095" max="15095" width="8.83203125" hidden="0" customWidth="1"/>
    <x:col min="15096" max="15096" width="8.83203125" hidden="0" customWidth="1"/>
    <x:col min="15097" max="15097" width="8.83203125" hidden="0" customWidth="1"/>
    <x:col min="15098" max="15098" width="8.83203125" hidden="0" customWidth="1"/>
    <x:col min="15099" max="15099" width="8.83203125" hidden="0" customWidth="1"/>
    <x:col min="15100" max="15100" width="8.83203125" hidden="0" customWidth="1"/>
    <x:col min="15101" max="15101" width="8.83203125" hidden="0" customWidth="1"/>
    <x:col min="15102" max="15102" width="8.83203125" hidden="0" customWidth="1"/>
    <x:col min="15103" max="15103" width="8.83203125" hidden="0" customWidth="1"/>
    <x:col min="15104" max="15104" width="8.83203125" hidden="0" customWidth="1"/>
    <x:col min="15105" max="15105" width="8.83203125" hidden="0" customWidth="1"/>
    <x:col min="15106" max="15106" width="8.83203125" hidden="0" customWidth="1"/>
    <x:col min="15107" max="15107" width="8.83203125" hidden="0" customWidth="1"/>
    <x:col min="15108" max="15108" width="8.83203125" hidden="0" customWidth="1"/>
    <x:col min="15109" max="15109" width="8.83203125" hidden="0" customWidth="1"/>
    <x:col min="15110" max="15110" width="8.83203125" hidden="0" customWidth="1"/>
    <x:col min="15111" max="15111" width="8.83203125" hidden="0" customWidth="1"/>
    <x:col min="15112" max="15112" width="8.83203125" hidden="0" customWidth="1"/>
    <x:col min="15113" max="15113" width="8.83203125" hidden="0" customWidth="1"/>
    <x:col min="15114" max="15114" width="8.83203125" hidden="0" customWidth="1"/>
    <x:col min="15115" max="15115" width="8.83203125" hidden="0" customWidth="1"/>
    <x:col min="15116" max="15116" width="8.83203125" hidden="0" customWidth="1"/>
    <x:col min="15117" max="15117" width="8.83203125" hidden="0" customWidth="1"/>
    <x:col min="15118" max="15118" width="8.83203125" hidden="0" customWidth="1"/>
    <x:col min="15119" max="15119" width="8.83203125" hidden="0" customWidth="1"/>
    <x:col min="15120" max="15120" width="8.83203125" hidden="0" customWidth="1"/>
    <x:col min="15121" max="15121" width="8.83203125" hidden="0" customWidth="1"/>
    <x:col min="15122" max="15122" width="8.83203125" hidden="0" customWidth="1"/>
    <x:col min="15123" max="15123" width="8.83203125" hidden="0" customWidth="1"/>
    <x:col min="15124" max="15124" width="8.83203125" hidden="0" customWidth="1"/>
    <x:col min="15125" max="15125" width="8.83203125" hidden="0" customWidth="1"/>
    <x:col min="15126" max="15126" width="8.83203125" hidden="0" customWidth="1"/>
    <x:col min="15127" max="15127" width="8.83203125" hidden="0" customWidth="1"/>
    <x:col min="15128" max="15128" width="8.83203125" hidden="0" customWidth="1"/>
    <x:col min="15129" max="15129" width="8.83203125" hidden="0" customWidth="1"/>
    <x:col min="15130" max="15130" width="8.83203125" hidden="0" customWidth="1"/>
    <x:col min="15131" max="15131" width="8.83203125" hidden="0" customWidth="1"/>
    <x:col min="15132" max="15132" width="8.83203125" hidden="0" customWidth="1"/>
    <x:col min="15133" max="15133" width="8.83203125" hidden="0" customWidth="1"/>
    <x:col min="15134" max="15134" width="8.83203125" hidden="0" customWidth="1"/>
    <x:col min="15135" max="15135" width="8.83203125" hidden="0" customWidth="1"/>
    <x:col min="15136" max="15136" width="8.83203125" hidden="0" customWidth="1"/>
    <x:col min="15137" max="15137" width="8.83203125" hidden="0" customWidth="1"/>
    <x:col min="15138" max="15138" width="8.83203125" hidden="0" customWidth="1"/>
    <x:col min="15139" max="15139" width="8.83203125" hidden="0" customWidth="1"/>
    <x:col min="15140" max="15140" width="8.83203125" hidden="0" customWidth="1"/>
    <x:col min="15141" max="15141" width="8.83203125" hidden="0" customWidth="1"/>
    <x:col min="15142" max="15142" width="8.83203125" hidden="0" customWidth="1"/>
    <x:col min="15143" max="15143" width="8.83203125" hidden="0" customWidth="1"/>
    <x:col min="15144" max="15144" width="8.83203125" hidden="0" customWidth="1"/>
    <x:col min="15145" max="15145" width="8.83203125" hidden="0" customWidth="1"/>
    <x:col min="15146" max="15146" width="8.83203125" hidden="0" customWidth="1"/>
    <x:col min="15147" max="15147" width="8.83203125" hidden="0" customWidth="1"/>
    <x:col min="15148" max="15148" width="8.83203125" hidden="0" customWidth="1"/>
    <x:col min="15149" max="15149" width="8.83203125" hidden="0" customWidth="1"/>
    <x:col min="15150" max="15150" width="8.83203125" hidden="0" customWidth="1"/>
    <x:col min="15151" max="15151" width="8.83203125" hidden="0" customWidth="1"/>
    <x:col min="15152" max="15152" width="8.83203125" hidden="0" customWidth="1"/>
    <x:col min="15153" max="15153" width="8.83203125" hidden="0" customWidth="1"/>
    <x:col min="15154" max="15154" width="8.83203125" hidden="0" customWidth="1"/>
    <x:col min="15155" max="15155" width="8.83203125" hidden="0" customWidth="1"/>
    <x:col min="15156" max="15156" width="8.83203125" hidden="0" customWidth="1"/>
    <x:col min="15157" max="15157" width="8.83203125" hidden="0" customWidth="1"/>
    <x:col min="15158" max="15158" width="8.83203125" hidden="0" customWidth="1"/>
    <x:col min="15159" max="15159" width="8.83203125" hidden="0" customWidth="1"/>
    <x:col min="15160" max="15160" width="8.83203125" hidden="0" customWidth="1"/>
    <x:col min="15161" max="15161" width="8.83203125" hidden="0" customWidth="1"/>
    <x:col min="15162" max="15162" width="8.83203125" hidden="0" customWidth="1"/>
    <x:col min="15163" max="15163" width="8.83203125" hidden="0" customWidth="1"/>
    <x:col min="15164" max="15164" width="8.83203125" hidden="0" customWidth="1"/>
    <x:col min="15165" max="15165" width="8.83203125" hidden="0" customWidth="1"/>
    <x:col min="15166" max="15166" width="8.83203125" hidden="0" customWidth="1"/>
    <x:col min="15167" max="15167" width="8.83203125" hidden="0" customWidth="1"/>
    <x:col min="15168" max="15168" width="8.83203125" hidden="0" customWidth="1"/>
    <x:col min="15169" max="15169" width="8.83203125" hidden="0" customWidth="1"/>
    <x:col min="15170" max="15170" width="8.83203125" hidden="0" customWidth="1"/>
    <x:col min="15171" max="15171" width="8.83203125" hidden="0" customWidth="1"/>
    <x:col min="15172" max="15172" width="8.83203125" hidden="0" customWidth="1"/>
    <x:col min="15173" max="15173" width="8.83203125" hidden="0" customWidth="1"/>
    <x:col min="15174" max="15174" width="8.83203125" hidden="0" customWidth="1"/>
    <x:col min="15175" max="15175" width="8.83203125" hidden="0" customWidth="1"/>
    <x:col min="15176" max="15176" width="8.83203125" hidden="0" customWidth="1"/>
    <x:col min="15177" max="15177" width="8.83203125" hidden="0" customWidth="1"/>
    <x:col min="15178" max="15178" width="8.83203125" hidden="0" customWidth="1"/>
    <x:col min="15179" max="15179" width="8.83203125" hidden="0" customWidth="1"/>
    <x:col min="15180" max="15180" width="8.83203125" hidden="0" customWidth="1"/>
    <x:col min="15181" max="15181" width="8.83203125" hidden="0" customWidth="1"/>
    <x:col min="15182" max="15182" width="8.83203125" hidden="0" customWidth="1"/>
    <x:col min="15183" max="15183" width="8.83203125" hidden="0" customWidth="1"/>
    <x:col min="15184" max="15184" width="8.83203125" hidden="0" customWidth="1"/>
    <x:col min="15185" max="15185" width="8.83203125" hidden="0" customWidth="1"/>
    <x:col min="15186" max="15186" width="8.83203125" hidden="0" customWidth="1"/>
    <x:col min="15187" max="15187" width="8.83203125" hidden="0" customWidth="1"/>
    <x:col min="15188" max="15188" width="8.83203125" hidden="0" customWidth="1"/>
    <x:col min="15189" max="15189" width="8.83203125" hidden="0" customWidth="1"/>
    <x:col min="15190" max="15190" width="8.83203125" hidden="0" customWidth="1"/>
    <x:col min="15191" max="15191" width="8.83203125" hidden="0" customWidth="1"/>
    <x:col min="15192" max="15192" width="8.83203125" hidden="0" customWidth="1"/>
    <x:col min="15193" max="15193" width="8.83203125" hidden="0" customWidth="1"/>
    <x:col min="15194" max="15194" width="8.83203125" hidden="0" customWidth="1"/>
    <x:col min="15195" max="15195" width="8.83203125" hidden="0" customWidth="1"/>
    <x:col min="15196" max="15196" width="8.83203125" hidden="0" customWidth="1"/>
    <x:col min="15197" max="15197" width="8.83203125" hidden="0" customWidth="1"/>
    <x:col min="15198" max="15198" width="8.83203125" hidden="0" customWidth="1"/>
    <x:col min="15199" max="15199" width="8.83203125" hidden="0" customWidth="1"/>
    <x:col min="15200" max="15200" width="8.83203125" hidden="0" customWidth="1"/>
    <x:col min="15201" max="15201" width="8.83203125" hidden="0" customWidth="1"/>
    <x:col min="15202" max="15202" width="8.83203125" hidden="0" customWidth="1"/>
    <x:col min="15203" max="15203" width="8.83203125" hidden="0" customWidth="1"/>
    <x:col min="15204" max="15204" width="8.83203125" hidden="0" customWidth="1"/>
    <x:col min="15205" max="15205" width="8.83203125" hidden="0" customWidth="1"/>
    <x:col min="15206" max="15206" width="8.83203125" hidden="0" customWidth="1"/>
    <x:col min="15207" max="15207" width="8.83203125" hidden="0" customWidth="1"/>
    <x:col min="15208" max="15208" width="8.83203125" hidden="0" customWidth="1"/>
    <x:col min="15209" max="15209" width="8.83203125" hidden="0" customWidth="1"/>
    <x:col min="15210" max="15210" width="8.83203125" hidden="0" customWidth="1"/>
    <x:col min="15211" max="15211" width="8.83203125" hidden="0" customWidth="1"/>
    <x:col min="15212" max="15212" width="8.83203125" hidden="0" customWidth="1"/>
    <x:col min="15213" max="15213" width="8.83203125" hidden="0" customWidth="1"/>
    <x:col min="15214" max="15214" width="8.83203125" hidden="0" customWidth="1"/>
    <x:col min="15215" max="15215" width="8.83203125" hidden="0" customWidth="1"/>
    <x:col min="15216" max="15216" width="8.83203125" hidden="0" customWidth="1"/>
    <x:col min="15217" max="15217" width="8.83203125" hidden="0" customWidth="1"/>
    <x:col min="15218" max="15218" width="8.83203125" hidden="0" customWidth="1"/>
    <x:col min="15219" max="15219" width="8.83203125" hidden="0" customWidth="1"/>
    <x:col min="15220" max="15220" width="8.83203125" hidden="0" customWidth="1"/>
    <x:col min="15221" max="15221" width="8.83203125" hidden="0" customWidth="1"/>
    <x:col min="15222" max="15222" width="8.83203125" hidden="0" customWidth="1"/>
    <x:col min="15223" max="15223" width="8.83203125" hidden="0" customWidth="1"/>
    <x:col min="15224" max="15224" width="8.83203125" hidden="0" customWidth="1"/>
    <x:col min="15225" max="15225" width="8.83203125" hidden="0" customWidth="1"/>
    <x:col min="15226" max="15226" width="8.83203125" hidden="0" customWidth="1"/>
    <x:col min="15227" max="15227" width="8.83203125" hidden="0" customWidth="1"/>
    <x:col min="15228" max="15228" width="8.83203125" hidden="0" customWidth="1"/>
    <x:col min="15229" max="15229" width="8.83203125" hidden="0" customWidth="1"/>
    <x:col min="15230" max="15230" width="8.83203125" hidden="0" customWidth="1"/>
    <x:col min="15231" max="15231" width="8.83203125" hidden="0" customWidth="1"/>
    <x:col min="15232" max="15232" width="8.83203125" hidden="0" customWidth="1"/>
    <x:col min="15233" max="15233" width="8.83203125" hidden="0" customWidth="1"/>
    <x:col min="15234" max="15234" width="8.83203125" hidden="0" customWidth="1"/>
    <x:col min="15235" max="15235" width="8.83203125" hidden="0" customWidth="1"/>
    <x:col min="15236" max="15236" width="8.83203125" hidden="0" customWidth="1"/>
    <x:col min="15237" max="15237" width="8.83203125" hidden="0" customWidth="1"/>
    <x:col min="15238" max="15238" width="8.83203125" hidden="0" customWidth="1"/>
    <x:col min="15239" max="15239" width="8.83203125" hidden="0" customWidth="1"/>
    <x:col min="15240" max="15240" width="8.83203125" hidden="0" customWidth="1"/>
    <x:col min="15241" max="15241" width="8.83203125" hidden="0" customWidth="1"/>
    <x:col min="15242" max="15242" width="8.83203125" hidden="0" customWidth="1"/>
    <x:col min="15243" max="15243" width="8.83203125" hidden="0" customWidth="1"/>
    <x:col min="15244" max="15244" width="8.83203125" hidden="0" customWidth="1"/>
    <x:col min="15245" max="15245" width="8.83203125" hidden="0" customWidth="1"/>
    <x:col min="15246" max="15246" width="8.83203125" hidden="0" customWidth="1"/>
    <x:col min="15247" max="15247" width="8.83203125" hidden="0" customWidth="1"/>
    <x:col min="15248" max="15248" width="8.83203125" hidden="0" customWidth="1"/>
    <x:col min="15249" max="15249" width="8.83203125" hidden="0" customWidth="1"/>
    <x:col min="15250" max="15250" width="8.83203125" hidden="0" customWidth="1"/>
    <x:col min="15251" max="15251" width="8.83203125" hidden="0" customWidth="1"/>
    <x:col min="15252" max="15252" width="8.83203125" hidden="0" customWidth="1"/>
    <x:col min="15253" max="15253" width="8.83203125" hidden="0" customWidth="1"/>
    <x:col min="15254" max="15254" width="8.83203125" hidden="0" customWidth="1"/>
    <x:col min="15255" max="15255" width="8.83203125" hidden="0" customWidth="1"/>
    <x:col min="15256" max="15256" width="8.83203125" hidden="0" customWidth="1"/>
    <x:col min="15257" max="15257" width="8.83203125" hidden="0" customWidth="1"/>
    <x:col min="15258" max="15258" width="8.83203125" hidden="0" customWidth="1"/>
    <x:col min="15259" max="15259" width="8.83203125" hidden="0" customWidth="1"/>
    <x:col min="15260" max="15260" width="8.83203125" hidden="0" customWidth="1"/>
    <x:col min="15261" max="15261" width="8.83203125" hidden="0" customWidth="1"/>
    <x:col min="15262" max="15262" width="8.83203125" hidden="0" customWidth="1"/>
    <x:col min="15263" max="15263" width="8.83203125" hidden="0" customWidth="1"/>
    <x:col min="15264" max="15264" width="8.83203125" hidden="0" customWidth="1"/>
    <x:col min="15265" max="15265" width="8.83203125" hidden="0" customWidth="1"/>
    <x:col min="15266" max="15266" width="8.83203125" hidden="0" customWidth="1"/>
    <x:col min="15267" max="15267" width="8.83203125" hidden="0" customWidth="1"/>
    <x:col min="15268" max="15268" width="8.83203125" hidden="0" customWidth="1"/>
    <x:col min="15269" max="15269" width="8.83203125" hidden="0" customWidth="1"/>
    <x:col min="15270" max="15270" width="8.83203125" hidden="0" customWidth="1"/>
    <x:col min="15271" max="15271" width="8.83203125" hidden="0" customWidth="1"/>
    <x:col min="15272" max="15272" width="8.83203125" hidden="0" customWidth="1"/>
    <x:col min="15273" max="15273" width="8.83203125" hidden="0" customWidth="1"/>
    <x:col min="15274" max="15274" width="8.83203125" hidden="0" customWidth="1"/>
    <x:col min="15275" max="15275" width="8.83203125" hidden="0" customWidth="1"/>
    <x:col min="15276" max="15276" width="8.83203125" hidden="0" customWidth="1"/>
    <x:col min="15277" max="15277" width="8.83203125" hidden="0" customWidth="1"/>
    <x:col min="15278" max="15278" width="8.83203125" hidden="0" customWidth="1"/>
    <x:col min="15279" max="15279" width="8.83203125" hidden="0" customWidth="1"/>
    <x:col min="15280" max="15280" width="8.83203125" hidden="0" customWidth="1"/>
    <x:col min="15281" max="15281" width="8.83203125" hidden="0" customWidth="1"/>
    <x:col min="15282" max="15282" width="8.83203125" hidden="0" customWidth="1"/>
    <x:col min="15283" max="15283" width="8.83203125" hidden="0" customWidth="1"/>
    <x:col min="15284" max="15284" width="8.83203125" hidden="0" customWidth="1"/>
    <x:col min="15285" max="15285" width="8.83203125" hidden="0" customWidth="1"/>
    <x:col min="15286" max="15286" width="8.83203125" hidden="0" customWidth="1"/>
    <x:col min="15287" max="15287" width="8.83203125" hidden="0" customWidth="1"/>
    <x:col min="15288" max="15288" width="8.83203125" hidden="0" customWidth="1"/>
    <x:col min="15289" max="15289" width="8.83203125" hidden="0" customWidth="1"/>
    <x:col min="15290" max="15290" width="8.83203125" hidden="0" customWidth="1"/>
    <x:col min="15291" max="15291" width="8.83203125" hidden="0" customWidth="1"/>
    <x:col min="15292" max="15292" width="8.83203125" hidden="0" customWidth="1"/>
    <x:col min="15293" max="15293" width="8.83203125" hidden="0" customWidth="1"/>
    <x:col min="15294" max="15294" width="8.83203125" hidden="0" customWidth="1"/>
    <x:col min="15295" max="15295" width="8.83203125" hidden="0" customWidth="1"/>
    <x:col min="15296" max="15296" width="8.83203125" hidden="0" customWidth="1"/>
    <x:col min="15297" max="15297" width="8.83203125" hidden="0" customWidth="1"/>
    <x:col min="15298" max="15298" width="8.83203125" hidden="0" customWidth="1"/>
    <x:col min="15299" max="15299" width="8.83203125" hidden="0" customWidth="1"/>
    <x:col min="15300" max="15300" width="8.83203125" hidden="0" customWidth="1"/>
    <x:col min="15301" max="15301" width="8.83203125" hidden="0" customWidth="1"/>
    <x:col min="15302" max="15302" width="8.83203125" hidden="0" customWidth="1"/>
    <x:col min="15303" max="15303" width="8.83203125" hidden="0" customWidth="1"/>
    <x:col min="15304" max="15304" width="8.83203125" hidden="0" customWidth="1"/>
    <x:col min="15305" max="15305" width="8.83203125" hidden="0" customWidth="1"/>
    <x:col min="15306" max="15306" width="8.83203125" hidden="0" customWidth="1"/>
    <x:col min="15307" max="15307" width="8.83203125" hidden="0" customWidth="1"/>
    <x:col min="15308" max="15308" width="8.83203125" hidden="0" customWidth="1"/>
    <x:col min="15309" max="15309" width="8.83203125" hidden="0" customWidth="1"/>
    <x:col min="15310" max="15310" width="8.83203125" hidden="0" customWidth="1"/>
    <x:col min="15311" max="15311" width="8.83203125" hidden="0" customWidth="1"/>
    <x:col min="15312" max="15312" width="8.83203125" hidden="0" customWidth="1"/>
    <x:col min="15313" max="15313" width="8.83203125" hidden="0" customWidth="1"/>
    <x:col min="15314" max="15314" width="8.83203125" hidden="0" customWidth="1"/>
    <x:col min="15315" max="15315" width="8.83203125" hidden="0" customWidth="1"/>
    <x:col min="15316" max="15316" width="8.83203125" hidden="0" customWidth="1"/>
    <x:col min="15317" max="15317" width="8.83203125" hidden="0" customWidth="1"/>
    <x:col min="15318" max="15318" width="8.83203125" hidden="0" customWidth="1"/>
    <x:col min="15319" max="15319" width="8.83203125" hidden="0" customWidth="1"/>
    <x:col min="15320" max="15320" width="8.83203125" hidden="0" customWidth="1"/>
    <x:col min="15321" max="15321" width="8.83203125" hidden="0" customWidth="1"/>
    <x:col min="15322" max="15322" width="8.83203125" hidden="0" customWidth="1"/>
    <x:col min="15323" max="15323" width="8.83203125" hidden="0" customWidth="1"/>
    <x:col min="15324" max="15324" width="8.83203125" hidden="0" customWidth="1"/>
    <x:col min="15325" max="15325" width="8.83203125" hidden="0" customWidth="1"/>
    <x:col min="15326" max="15326" width="8.83203125" hidden="0" customWidth="1"/>
    <x:col min="15327" max="15327" width="8.83203125" hidden="0" customWidth="1"/>
    <x:col min="15328" max="15328" width="8.83203125" hidden="0" customWidth="1"/>
    <x:col min="15329" max="15329" width="8.83203125" hidden="0" customWidth="1"/>
    <x:col min="15330" max="15330" width="8.83203125" hidden="0" customWidth="1"/>
    <x:col min="15331" max="15331" width="8.83203125" hidden="0" customWidth="1"/>
    <x:col min="15332" max="15332" width="8.83203125" hidden="0" customWidth="1"/>
    <x:col min="15333" max="15333" width="8.83203125" hidden="0" customWidth="1"/>
    <x:col min="15334" max="15334" width="8.83203125" hidden="0" customWidth="1"/>
    <x:col min="15335" max="15335" width="8.83203125" hidden="0" customWidth="1"/>
    <x:col min="15336" max="15336" width="8.83203125" hidden="0" customWidth="1"/>
    <x:col min="15337" max="15337" width="8.83203125" hidden="0" customWidth="1"/>
    <x:col min="15338" max="15338" width="8.83203125" hidden="0" customWidth="1"/>
    <x:col min="15339" max="15339" width="8.83203125" hidden="0" customWidth="1"/>
    <x:col min="15340" max="15340" width="8.83203125" hidden="0" customWidth="1"/>
    <x:col min="15341" max="15341" width="8.83203125" hidden="0" customWidth="1"/>
    <x:col min="15342" max="15342" width="8.83203125" hidden="0" customWidth="1"/>
    <x:col min="15343" max="15343" width="8.83203125" hidden="0" customWidth="1"/>
    <x:col min="15344" max="15344" width="8.83203125" hidden="0" customWidth="1"/>
    <x:col min="15345" max="15345" width="8.83203125" hidden="0" customWidth="1"/>
    <x:col min="15346" max="15346" width="8.83203125" hidden="0" customWidth="1"/>
    <x:col min="15347" max="15347" width="8.83203125" hidden="0" customWidth="1"/>
    <x:col min="15348" max="15348" width="8.83203125" hidden="0" customWidth="1"/>
    <x:col min="15349" max="15349" width="8.83203125" hidden="0" customWidth="1"/>
    <x:col min="15350" max="15350" width="8.83203125" hidden="0" customWidth="1"/>
    <x:col min="15351" max="15351" width="8.83203125" hidden="0" customWidth="1"/>
    <x:col min="15352" max="15352" width="8.83203125" hidden="0" customWidth="1"/>
    <x:col min="15353" max="15353" width="8.83203125" hidden="0" customWidth="1"/>
    <x:col min="15354" max="15354" width="8.83203125" hidden="0" customWidth="1"/>
    <x:col min="15355" max="15355" width="8.83203125" hidden="0" customWidth="1"/>
    <x:col min="15356" max="15356" width="8.83203125" hidden="0" customWidth="1"/>
    <x:col min="15357" max="15357" width="8.83203125" hidden="0" customWidth="1"/>
    <x:col min="15358" max="15358" width="8.83203125" hidden="0" customWidth="1"/>
    <x:col min="15359" max="15359" width="8.83203125" hidden="0" customWidth="1"/>
    <x:col min="15360" max="15360" width="8.83203125" hidden="0" customWidth="1"/>
    <x:col min="15361" max="15361" width="8.83203125" hidden="0" customWidth="1"/>
    <x:col min="15362" max="15362" width="8.83203125" hidden="0" customWidth="1"/>
    <x:col min="15363" max="15363" width="8.83203125" hidden="0" customWidth="1"/>
    <x:col min="15364" max="15364" width="8.83203125" hidden="0" customWidth="1"/>
    <x:col min="15365" max="15365" width="8.83203125" hidden="0" customWidth="1"/>
    <x:col min="15366" max="15366" width="8.83203125" hidden="0" customWidth="1"/>
    <x:col min="15367" max="15367" width="8.83203125" hidden="0" customWidth="1"/>
    <x:col min="15368" max="15368" width="8.83203125" hidden="0" customWidth="1"/>
    <x:col min="15369" max="15369" width="8.83203125" hidden="0" customWidth="1"/>
    <x:col min="15370" max="15370" width="8.83203125" hidden="0" customWidth="1"/>
    <x:col min="15371" max="15371" width="8.83203125" hidden="0" customWidth="1"/>
    <x:col min="15372" max="15372" width="8.83203125" hidden="0" customWidth="1"/>
    <x:col min="15373" max="15373" width="8.83203125" hidden="0" customWidth="1"/>
    <x:col min="15374" max="15374" width="8.83203125" hidden="0" customWidth="1"/>
    <x:col min="15375" max="15375" width="8.83203125" hidden="0" customWidth="1"/>
    <x:col min="15376" max="15376" width="8.83203125" hidden="0" customWidth="1"/>
    <x:col min="15377" max="15377" width="8.83203125" hidden="0" customWidth="1"/>
    <x:col min="15378" max="15378" width="8.83203125" hidden="0" customWidth="1"/>
    <x:col min="15379" max="15379" width="8.83203125" hidden="0" customWidth="1"/>
    <x:col min="15380" max="15380" width="8.83203125" hidden="0" customWidth="1"/>
    <x:col min="15381" max="15381" width="8.83203125" hidden="0" customWidth="1"/>
    <x:col min="15382" max="15382" width="8.83203125" hidden="0" customWidth="1"/>
    <x:col min="15383" max="15383" width="8.83203125" hidden="0" customWidth="1"/>
    <x:col min="15384" max="15384" width="8.83203125" hidden="0" customWidth="1"/>
    <x:col min="15385" max="15385" width="8.83203125" hidden="0" customWidth="1"/>
    <x:col min="15386" max="15386" width="8.83203125" hidden="0" customWidth="1"/>
    <x:col min="15387" max="15387" width="8.83203125" hidden="0" customWidth="1"/>
    <x:col min="15388" max="15388" width="8.83203125" hidden="0" customWidth="1"/>
    <x:col min="15389" max="15389" width="8.83203125" hidden="0" customWidth="1"/>
    <x:col min="15390" max="15390" width="8.83203125" hidden="0" customWidth="1"/>
    <x:col min="15391" max="15391" width="8.83203125" hidden="0" customWidth="1"/>
    <x:col min="15392" max="15392" width="8.83203125" hidden="0" customWidth="1"/>
    <x:col min="15393" max="15393" width="8.83203125" hidden="0" customWidth="1"/>
    <x:col min="15394" max="15394" width="8.83203125" hidden="0" customWidth="1"/>
    <x:col min="15395" max="15395" width="8.83203125" hidden="0" customWidth="1"/>
    <x:col min="15396" max="15396" width="8.83203125" hidden="0" customWidth="1"/>
    <x:col min="15397" max="15397" width="8.83203125" hidden="0" customWidth="1"/>
    <x:col min="15398" max="15398" width="8.83203125" hidden="0" customWidth="1"/>
    <x:col min="15399" max="15399" width="8.83203125" hidden="0" customWidth="1"/>
    <x:col min="15400" max="15400" width="8.83203125" hidden="0" customWidth="1"/>
    <x:col min="15401" max="15401" width="8.83203125" hidden="0" customWidth="1"/>
    <x:col min="15402" max="15402" width="8.83203125" hidden="0" customWidth="1"/>
    <x:col min="15403" max="15403" width="8.83203125" hidden="0" customWidth="1"/>
    <x:col min="15404" max="15404" width="8.83203125" hidden="0" customWidth="1"/>
    <x:col min="15405" max="15405" width="8.83203125" hidden="0" customWidth="1"/>
    <x:col min="15406" max="15406" width="8.83203125" hidden="0" customWidth="1"/>
    <x:col min="15407" max="15407" width="8.83203125" hidden="0" customWidth="1"/>
    <x:col min="15408" max="15408" width="8.83203125" hidden="0" customWidth="1"/>
    <x:col min="15409" max="15409" width="8.83203125" hidden="0" customWidth="1"/>
    <x:col min="15410" max="15410" width="8.83203125" hidden="0" customWidth="1"/>
    <x:col min="15411" max="15411" width="8.83203125" hidden="0" customWidth="1"/>
    <x:col min="15412" max="15412" width="8.83203125" hidden="0" customWidth="1"/>
    <x:col min="15413" max="15413" width="8.83203125" hidden="0" customWidth="1"/>
    <x:col min="15414" max="15414" width="8.83203125" hidden="0" customWidth="1"/>
    <x:col min="15415" max="15415" width="8.83203125" hidden="0" customWidth="1"/>
    <x:col min="15416" max="15416" width="8.83203125" hidden="0" customWidth="1"/>
    <x:col min="15417" max="15417" width="8.83203125" hidden="0" customWidth="1"/>
    <x:col min="15418" max="15418" width="8.83203125" hidden="0" customWidth="1"/>
    <x:col min="15419" max="15419" width="8.83203125" hidden="0" customWidth="1"/>
    <x:col min="15420" max="15420" width="8.83203125" hidden="0" customWidth="1"/>
    <x:col min="15421" max="15421" width="8.83203125" hidden="0" customWidth="1"/>
    <x:col min="15422" max="15422" width="8.83203125" hidden="0" customWidth="1"/>
    <x:col min="15423" max="15423" width="8.83203125" hidden="0" customWidth="1"/>
    <x:col min="15424" max="15424" width="8.83203125" hidden="0" customWidth="1"/>
    <x:col min="15425" max="15425" width="8.83203125" hidden="0" customWidth="1"/>
    <x:col min="15426" max="15426" width="8.83203125" hidden="0" customWidth="1"/>
    <x:col min="15427" max="15427" width="8.83203125" hidden="0" customWidth="1"/>
    <x:col min="15428" max="15428" width="8.83203125" hidden="0" customWidth="1"/>
    <x:col min="15429" max="15429" width="8.83203125" hidden="0" customWidth="1"/>
    <x:col min="15430" max="15430" width="8.83203125" hidden="0" customWidth="1"/>
    <x:col min="15431" max="15431" width="8.83203125" hidden="0" customWidth="1"/>
    <x:col min="15432" max="15432" width="8.83203125" hidden="0" customWidth="1"/>
    <x:col min="15433" max="15433" width="8.83203125" hidden="0" customWidth="1"/>
    <x:col min="15434" max="15434" width="8.83203125" hidden="0" customWidth="1"/>
    <x:col min="15435" max="15435" width="8.83203125" hidden="0" customWidth="1"/>
    <x:col min="15436" max="15436" width="8.83203125" hidden="0" customWidth="1"/>
    <x:col min="15437" max="15437" width="8.83203125" hidden="0" customWidth="1"/>
    <x:col min="15438" max="15438" width="8.83203125" hidden="0" customWidth="1"/>
    <x:col min="15439" max="15439" width="8.83203125" hidden="0" customWidth="1"/>
    <x:col min="15440" max="15440" width="8.83203125" hidden="0" customWidth="1"/>
    <x:col min="15441" max="15441" width="8.83203125" hidden="0" customWidth="1"/>
    <x:col min="15442" max="15442" width="8.83203125" hidden="0" customWidth="1"/>
    <x:col min="15443" max="15443" width="8.83203125" hidden="0" customWidth="1"/>
    <x:col min="15444" max="15444" width="8.83203125" hidden="0" customWidth="1"/>
    <x:col min="15445" max="15445" width="8.83203125" hidden="0" customWidth="1"/>
    <x:col min="15446" max="15446" width="8.83203125" hidden="0" customWidth="1"/>
    <x:col min="15447" max="15447" width="8.83203125" hidden="0" customWidth="1"/>
    <x:col min="15448" max="15448" width="8.83203125" hidden="0" customWidth="1"/>
    <x:col min="15449" max="15449" width="8.83203125" hidden="0" customWidth="1"/>
    <x:col min="15450" max="15450" width="8.83203125" hidden="0" customWidth="1"/>
    <x:col min="15451" max="15451" width="8.83203125" hidden="0" customWidth="1"/>
    <x:col min="15452" max="15452" width="8.83203125" hidden="0" customWidth="1"/>
    <x:col min="15453" max="15453" width="8.83203125" hidden="0" customWidth="1"/>
    <x:col min="15454" max="15454" width="8.83203125" hidden="0" customWidth="1"/>
    <x:col min="15455" max="15455" width="8.83203125" hidden="0" customWidth="1"/>
    <x:col min="15456" max="15456" width="8.83203125" hidden="0" customWidth="1"/>
    <x:col min="15457" max="15457" width="8.83203125" hidden="0" customWidth="1"/>
    <x:col min="15458" max="15458" width="8.83203125" hidden="0" customWidth="1"/>
    <x:col min="15459" max="15459" width="8.83203125" hidden="0" customWidth="1"/>
    <x:col min="15460" max="15460" width="8.83203125" hidden="0" customWidth="1"/>
    <x:col min="15461" max="15461" width="8.83203125" hidden="0" customWidth="1"/>
    <x:col min="15462" max="15462" width="8.83203125" hidden="0" customWidth="1"/>
    <x:col min="15463" max="15463" width="8.83203125" hidden="0" customWidth="1"/>
    <x:col min="15464" max="15464" width="8.83203125" hidden="0" customWidth="1"/>
    <x:col min="15465" max="15465" width="8.83203125" hidden="0" customWidth="1"/>
    <x:col min="15466" max="15466" width="8.83203125" hidden="0" customWidth="1"/>
    <x:col min="15467" max="15467" width="8.83203125" hidden="0" customWidth="1"/>
    <x:col min="15468" max="15468" width="8.83203125" hidden="0" customWidth="1"/>
    <x:col min="15469" max="15469" width="8.83203125" hidden="0" customWidth="1"/>
    <x:col min="15470" max="15470" width="8.83203125" hidden="0" customWidth="1"/>
    <x:col min="15471" max="15471" width="8.83203125" hidden="0" customWidth="1"/>
    <x:col min="15472" max="15472" width="8.83203125" hidden="0" customWidth="1"/>
    <x:col min="15473" max="15473" width="8.83203125" hidden="0" customWidth="1"/>
    <x:col min="15474" max="15474" width="8.83203125" hidden="0" customWidth="1"/>
    <x:col min="15475" max="15475" width="8.83203125" hidden="0" customWidth="1"/>
    <x:col min="15476" max="15476" width="8.83203125" hidden="0" customWidth="1"/>
    <x:col min="15477" max="15477" width="8.83203125" hidden="0" customWidth="1"/>
    <x:col min="15478" max="15478" width="8.83203125" hidden="0" customWidth="1"/>
    <x:col min="15479" max="15479" width="8.83203125" hidden="0" customWidth="1"/>
    <x:col min="15480" max="15480" width="8.83203125" hidden="0" customWidth="1"/>
    <x:col min="15481" max="15481" width="8.83203125" hidden="0" customWidth="1"/>
    <x:col min="15482" max="15482" width="8.83203125" hidden="0" customWidth="1"/>
    <x:col min="15483" max="15483" width="8.83203125" hidden="0" customWidth="1"/>
    <x:col min="15484" max="15484" width="8.83203125" hidden="0" customWidth="1"/>
    <x:col min="15485" max="15485" width="8.83203125" hidden="0" customWidth="1"/>
    <x:col min="15486" max="15486" width="8.83203125" hidden="0" customWidth="1"/>
    <x:col min="15487" max="15487" width="8.83203125" hidden="0" customWidth="1"/>
    <x:col min="15488" max="15488" width="8.83203125" hidden="0" customWidth="1"/>
    <x:col min="15489" max="15489" width="8.83203125" hidden="0" customWidth="1"/>
    <x:col min="15490" max="15490" width="8.83203125" hidden="0" customWidth="1"/>
    <x:col min="15491" max="15491" width="8.83203125" hidden="0" customWidth="1"/>
    <x:col min="15492" max="15492" width="8.83203125" hidden="0" customWidth="1"/>
    <x:col min="15493" max="15493" width="8.83203125" hidden="0" customWidth="1"/>
    <x:col min="15494" max="15494" width="8.83203125" hidden="0" customWidth="1"/>
    <x:col min="15495" max="15495" width="8.83203125" hidden="0" customWidth="1"/>
    <x:col min="15496" max="15496" width="8.83203125" hidden="0" customWidth="1"/>
    <x:col min="15497" max="15497" width="8.83203125" hidden="0" customWidth="1"/>
    <x:col min="15498" max="15498" width="8.83203125" hidden="0" customWidth="1"/>
    <x:col min="15499" max="15499" width="8.83203125" hidden="0" customWidth="1"/>
    <x:col min="15500" max="15500" width="8.83203125" hidden="0" customWidth="1"/>
    <x:col min="15501" max="15501" width="8.83203125" hidden="0" customWidth="1"/>
    <x:col min="15502" max="15502" width="8.83203125" hidden="0" customWidth="1"/>
    <x:col min="15503" max="15503" width="8.83203125" hidden="0" customWidth="1"/>
    <x:col min="15504" max="15504" width="8.83203125" hidden="0" customWidth="1"/>
    <x:col min="15505" max="15505" width="8.83203125" hidden="0" customWidth="1"/>
    <x:col min="15506" max="15506" width="8.83203125" hidden="0" customWidth="1"/>
    <x:col min="15507" max="15507" width="8.83203125" hidden="0" customWidth="1"/>
    <x:col min="15508" max="15508" width="8.83203125" hidden="0" customWidth="1"/>
    <x:col min="15509" max="15509" width="8.83203125" hidden="0" customWidth="1"/>
    <x:col min="15510" max="15510" width="8.83203125" hidden="0" customWidth="1"/>
    <x:col min="15511" max="15511" width="8.83203125" hidden="0" customWidth="1"/>
    <x:col min="15512" max="15512" width="8.83203125" hidden="0" customWidth="1"/>
    <x:col min="15513" max="15513" width="8.83203125" hidden="0" customWidth="1"/>
    <x:col min="15514" max="15514" width="8.83203125" hidden="0" customWidth="1"/>
    <x:col min="15515" max="15515" width="8.83203125" hidden="0" customWidth="1"/>
    <x:col min="15516" max="15516" width="8.83203125" hidden="0" customWidth="1"/>
    <x:col min="15517" max="15517" width="8.83203125" hidden="0" customWidth="1"/>
    <x:col min="15518" max="15518" width="8.83203125" hidden="0" customWidth="1"/>
    <x:col min="15519" max="15519" width="8.83203125" hidden="0" customWidth="1"/>
    <x:col min="15520" max="15520" width="8.83203125" hidden="0" customWidth="1"/>
    <x:col min="15521" max="15521" width="8.83203125" hidden="0" customWidth="1"/>
    <x:col min="15522" max="15522" width="8.83203125" hidden="0" customWidth="1"/>
    <x:col min="15523" max="15523" width="8.83203125" hidden="0" customWidth="1"/>
    <x:col min="15524" max="15524" width="8.83203125" hidden="0" customWidth="1"/>
    <x:col min="15525" max="15525" width="8.83203125" hidden="0" customWidth="1"/>
    <x:col min="15526" max="15526" width="8.83203125" hidden="0" customWidth="1"/>
    <x:col min="15527" max="15527" width="8.83203125" hidden="0" customWidth="1"/>
    <x:col min="15528" max="15528" width="8.83203125" hidden="0" customWidth="1"/>
    <x:col min="15529" max="15529" width="8.83203125" hidden="0" customWidth="1"/>
    <x:col min="15530" max="15530" width="8.83203125" hidden="0" customWidth="1"/>
    <x:col min="15531" max="15531" width="8.83203125" hidden="0" customWidth="1"/>
    <x:col min="15532" max="15532" width="8.83203125" hidden="0" customWidth="1"/>
    <x:col min="15533" max="15533" width="8.83203125" hidden="0" customWidth="1"/>
    <x:col min="15534" max="15534" width="8.83203125" hidden="0" customWidth="1"/>
    <x:col min="15535" max="15535" width="8.83203125" hidden="0" customWidth="1"/>
    <x:col min="15536" max="15536" width="8.83203125" hidden="0" customWidth="1"/>
    <x:col min="15537" max="15537" width="8.83203125" hidden="0" customWidth="1"/>
    <x:col min="15538" max="15538" width="8.83203125" hidden="0" customWidth="1"/>
    <x:col min="15539" max="15539" width="8.83203125" hidden="0" customWidth="1"/>
    <x:col min="15540" max="15540" width="8.83203125" hidden="0" customWidth="1"/>
    <x:col min="15541" max="15541" width="8.83203125" hidden="0" customWidth="1"/>
    <x:col min="15542" max="15542" width="8.83203125" hidden="0" customWidth="1"/>
    <x:col min="15543" max="15543" width="8.83203125" hidden="0" customWidth="1"/>
    <x:col min="15544" max="15544" width="8.83203125" hidden="0" customWidth="1"/>
    <x:col min="15545" max="15545" width="8.83203125" hidden="0" customWidth="1"/>
    <x:col min="15546" max="15546" width="8.83203125" hidden="0" customWidth="1"/>
    <x:col min="15547" max="15547" width="8.83203125" hidden="0" customWidth="1"/>
    <x:col min="15548" max="15548" width="8.83203125" hidden="0" customWidth="1"/>
    <x:col min="15549" max="15549" width="8.83203125" hidden="0" customWidth="1"/>
    <x:col min="15550" max="15550" width="8.83203125" hidden="0" customWidth="1"/>
    <x:col min="15551" max="15551" width="8.83203125" hidden="0" customWidth="1"/>
    <x:col min="15552" max="15552" width="8.83203125" hidden="0" customWidth="1"/>
    <x:col min="15553" max="15553" width="8.83203125" hidden="0" customWidth="1"/>
    <x:col min="15554" max="15554" width="8.83203125" hidden="0" customWidth="1"/>
    <x:col min="15555" max="15555" width="8.83203125" hidden="0" customWidth="1"/>
    <x:col min="15556" max="15556" width="8.83203125" hidden="0" customWidth="1"/>
    <x:col min="15557" max="15557" width="8.83203125" hidden="0" customWidth="1"/>
    <x:col min="15558" max="15558" width="8.83203125" hidden="0" customWidth="1"/>
    <x:col min="15559" max="15559" width="8.83203125" hidden="0" customWidth="1"/>
    <x:col min="15560" max="15560" width="8.83203125" hidden="0" customWidth="1"/>
    <x:col min="15561" max="15561" width="8.83203125" hidden="0" customWidth="1"/>
    <x:col min="15562" max="15562" width="8.83203125" hidden="0" customWidth="1"/>
    <x:col min="15563" max="15563" width="8.83203125" hidden="0" customWidth="1"/>
    <x:col min="15564" max="15564" width="8.83203125" hidden="0" customWidth="1"/>
    <x:col min="15565" max="15565" width="8.83203125" hidden="0" customWidth="1"/>
    <x:col min="15566" max="15566" width="8.83203125" hidden="0" customWidth="1"/>
    <x:col min="15567" max="15567" width="8.83203125" hidden="0" customWidth="1"/>
    <x:col min="15568" max="15568" width="8.83203125" hidden="0" customWidth="1"/>
    <x:col min="15569" max="15569" width="8.83203125" hidden="0" customWidth="1"/>
    <x:col min="15570" max="15570" width="8.83203125" hidden="0" customWidth="1"/>
    <x:col min="15571" max="15571" width="8.83203125" hidden="0" customWidth="1"/>
    <x:col min="15572" max="15572" width="8.83203125" hidden="0" customWidth="1"/>
    <x:col min="15573" max="15573" width="8.83203125" hidden="0" customWidth="1"/>
    <x:col min="15574" max="15574" width="8.83203125" hidden="0" customWidth="1"/>
    <x:col min="15575" max="15575" width="8.83203125" hidden="0" customWidth="1"/>
    <x:col min="15576" max="15576" width="8.83203125" hidden="0" customWidth="1"/>
    <x:col min="15577" max="15577" width="8.83203125" hidden="0" customWidth="1"/>
    <x:col min="15578" max="15578" width="8.83203125" hidden="0" customWidth="1"/>
    <x:col min="15579" max="15579" width="8.83203125" hidden="0" customWidth="1"/>
    <x:col min="15580" max="15580" width="8.83203125" hidden="0" customWidth="1"/>
    <x:col min="15581" max="15581" width="8.83203125" hidden="0" customWidth="1"/>
    <x:col min="15582" max="15582" width="8.83203125" hidden="0" customWidth="1"/>
    <x:col min="15583" max="15583" width="8.83203125" hidden="0" customWidth="1"/>
    <x:col min="15584" max="15584" width="8.83203125" hidden="0" customWidth="1"/>
    <x:col min="15585" max="15585" width="8.83203125" hidden="0" customWidth="1"/>
    <x:col min="15586" max="15586" width="8.83203125" hidden="0" customWidth="1"/>
    <x:col min="15587" max="15587" width="8.83203125" hidden="0" customWidth="1"/>
    <x:col min="15588" max="15588" width="8.83203125" hidden="0" customWidth="1"/>
    <x:col min="15589" max="15589" width="8.83203125" hidden="0" customWidth="1"/>
    <x:col min="15590" max="15590" width="8.83203125" hidden="0" customWidth="1"/>
    <x:col min="15591" max="15591" width="8.83203125" hidden="0" customWidth="1"/>
    <x:col min="15592" max="15592" width="8.83203125" hidden="0" customWidth="1"/>
    <x:col min="15593" max="15593" width="8.83203125" hidden="0" customWidth="1"/>
    <x:col min="15594" max="15594" width="8.83203125" hidden="0" customWidth="1"/>
    <x:col min="15595" max="15595" width="8.83203125" hidden="0" customWidth="1"/>
    <x:col min="15596" max="15596" width="8.83203125" hidden="0" customWidth="1"/>
    <x:col min="15597" max="15597" width="8.83203125" hidden="0" customWidth="1"/>
    <x:col min="15598" max="15598" width="8.83203125" hidden="0" customWidth="1"/>
    <x:col min="15599" max="15599" width="8.83203125" hidden="0" customWidth="1"/>
    <x:col min="15600" max="15600" width="8.83203125" hidden="0" customWidth="1"/>
    <x:col min="15601" max="15601" width="8.83203125" hidden="0" customWidth="1"/>
    <x:col min="15602" max="15602" width="8.83203125" hidden="0" customWidth="1"/>
    <x:col min="15603" max="15603" width="8.83203125" hidden="0" customWidth="1"/>
    <x:col min="15604" max="15604" width="8.83203125" hidden="0" customWidth="1"/>
    <x:col min="15605" max="15605" width="8.83203125" hidden="0" customWidth="1"/>
    <x:col min="15606" max="15606" width="8.83203125" hidden="0" customWidth="1"/>
    <x:col min="15607" max="15607" width="8.83203125" hidden="0" customWidth="1"/>
    <x:col min="15608" max="15608" width="8.83203125" hidden="0" customWidth="1"/>
    <x:col min="15609" max="15609" width="8.83203125" hidden="0" customWidth="1"/>
    <x:col min="15610" max="15610" width="8.83203125" hidden="0" customWidth="1"/>
    <x:col min="15611" max="15611" width="8.83203125" hidden="0" customWidth="1"/>
    <x:col min="15612" max="15612" width="8.83203125" hidden="0" customWidth="1"/>
    <x:col min="15613" max="15613" width="8.83203125" hidden="0" customWidth="1"/>
    <x:col min="15614" max="15614" width="8.83203125" hidden="0" customWidth="1"/>
    <x:col min="15615" max="15615" width="8.83203125" hidden="0" customWidth="1"/>
    <x:col min="15616" max="15616" width="8.83203125" hidden="0" customWidth="1"/>
    <x:col min="15617" max="15617" width="8.83203125" hidden="0" customWidth="1"/>
    <x:col min="15618" max="15618" width="8.83203125" hidden="0" customWidth="1"/>
    <x:col min="15619" max="15619" width="8.83203125" hidden="0" customWidth="1"/>
    <x:col min="15620" max="15620" width="8.83203125" hidden="0" customWidth="1"/>
    <x:col min="15621" max="15621" width="8.83203125" hidden="0" customWidth="1"/>
    <x:col min="15622" max="15622" width="8.83203125" hidden="0" customWidth="1"/>
    <x:col min="15623" max="15623" width="8.83203125" hidden="0" customWidth="1"/>
    <x:col min="15624" max="15624" width="8.83203125" hidden="0" customWidth="1"/>
    <x:col min="15625" max="15625" width="8.83203125" hidden="0" customWidth="1"/>
    <x:col min="15626" max="15626" width="8.83203125" hidden="0" customWidth="1"/>
    <x:col min="15627" max="15627" width="8.83203125" hidden="0" customWidth="1"/>
    <x:col min="15628" max="15628" width="8.83203125" hidden="0" customWidth="1"/>
    <x:col min="15629" max="15629" width="8.83203125" hidden="0" customWidth="1"/>
    <x:col min="15630" max="15630" width="8.83203125" hidden="0" customWidth="1"/>
    <x:col min="15631" max="15631" width="8.83203125" hidden="0" customWidth="1"/>
    <x:col min="15632" max="15632" width="8.83203125" hidden="0" customWidth="1"/>
    <x:col min="15633" max="15633" width="8.83203125" hidden="0" customWidth="1"/>
    <x:col min="15634" max="15634" width="8.83203125" hidden="0" customWidth="1"/>
    <x:col min="15635" max="15635" width="8.83203125" hidden="0" customWidth="1"/>
    <x:col min="15636" max="15636" width="8.83203125" hidden="0" customWidth="1"/>
    <x:col min="15637" max="15637" width="8.83203125" hidden="0" customWidth="1"/>
    <x:col min="15638" max="15638" width="8.83203125" hidden="0" customWidth="1"/>
    <x:col min="15639" max="15639" width="8.83203125" hidden="0" customWidth="1"/>
    <x:col min="15640" max="15640" width="8.83203125" hidden="0" customWidth="1"/>
    <x:col min="15641" max="15641" width="8.83203125" hidden="0" customWidth="1"/>
    <x:col min="15642" max="15642" width="8.83203125" hidden="0" customWidth="1"/>
    <x:col min="15643" max="15643" width="8.83203125" hidden="0" customWidth="1"/>
    <x:col min="15644" max="15644" width="8.83203125" hidden="0" customWidth="1"/>
    <x:col min="15645" max="15645" width="8.83203125" hidden="0" customWidth="1"/>
    <x:col min="15646" max="15646" width="8.83203125" hidden="0" customWidth="1"/>
    <x:col min="15647" max="15647" width="8.83203125" hidden="0" customWidth="1"/>
    <x:col min="15648" max="15648" width="8.83203125" hidden="0" customWidth="1"/>
    <x:col min="15649" max="15649" width="8.83203125" hidden="0" customWidth="1"/>
    <x:col min="15650" max="15650" width="8.83203125" hidden="0" customWidth="1"/>
    <x:col min="15651" max="15651" width="8.83203125" hidden="0" customWidth="1"/>
    <x:col min="15652" max="15652" width="8.83203125" hidden="0" customWidth="1"/>
    <x:col min="15653" max="15653" width="8.83203125" hidden="0" customWidth="1"/>
    <x:col min="15654" max="15654" width="8.83203125" hidden="0" customWidth="1"/>
    <x:col min="15655" max="15655" width="8.83203125" hidden="0" customWidth="1"/>
    <x:col min="15656" max="15656" width="8.83203125" hidden="0" customWidth="1"/>
    <x:col min="15657" max="15657" width="8.83203125" hidden="0" customWidth="1"/>
    <x:col min="15658" max="15658" width="8.83203125" hidden="0" customWidth="1"/>
    <x:col min="15659" max="15659" width="8.83203125" hidden="0" customWidth="1"/>
    <x:col min="15660" max="15660" width="8.83203125" hidden="0" customWidth="1"/>
    <x:col min="15661" max="15661" width="8.83203125" hidden="0" customWidth="1"/>
    <x:col min="15662" max="15662" width="8.83203125" hidden="0" customWidth="1"/>
    <x:col min="15663" max="15663" width="8.83203125" hidden="0" customWidth="1"/>
    <x:col min="15664" max="15664" width="8.83203125" hidden="0" customWidth="1"/>
    <x:col min="15665" max="15665" width="8.83203125" hidden="0" customWidth="1"/>
    <x:col min="15666" max="15666" width="8.83203125" hidden="0" customWidth="1"/>
    <x:col min="15667" max="15667" width="8.83203125" hidden="0" customWidth="1"/>
    <x:col min="15668" max="15668" width="8.83203125" hidden="0" customWidth="1"/>
    <x:col min="15669" max="15669" width="8.83203125" hidden="0" customWidth="1"/>
    <x:col min="15670" max="15670" width="8.83203125" hidden="0" customWidth="1"/>
    <x:col min="15671" max="15671" width="8.83203125" hidden="0" customWidth="1"/>
    <x:col min="15672" max="15672" width="8.83203125" hidden="0" customWidth="1"/>
    <x:col min="15673" max="15673" width="8.83203125" hidden="0" customWidth="1"/>
    <x:col min="15674" max="15674" width="8.83203125" hidden="0" customWidth="1"/>
    <x:col min="15675" max="15675" width="8.83203125" hidden="0" customWidth="1"/>
    <x:col min="15676" max="15676" width="8.83203125" hidden="0" customWidth="1"/>
    <x:col min="15677" max="15677" width="8.83203125" hidden="0" customWidth="1"/>
    <x:col min="15678" max="15678" width="8.83203125" hidden="0" customWidth="1"/>
    <x:col min="15679" max="15679" width="8.83203125" hidden="0" customWidth="1"/>
    <x:col min="15680" max="15680" width="8.83203125" hidden="0" customWidth="1"/>
    <x:col min="15681" max="15681" width="8.83203125" hidden="0" customWidth="1"/>
    <x:col min="15682" max="15682" width="8.83203125" hidden="0" customWidth="1"/>
    <x:col min="15683" max="15683" width="8.83203125" hidden="0" customWidth="1"/>
    <x:col min="15684" max="15684" width="8.83203125" hidden="0" customWidth="1"/>
    <x:col min="15685" max="15685" width="8.83203125" hidden="0" customWidth="1"/>
    <x:col min="15686" max="15686" width="8.83203125" hidden="0" customWidth="1"/>
    <x:col min="15687" max="15687" width="8.83203125" hidden="0" customWidth="1"/>
    <x:col min="15688" max="15688" width="8.83203125" hidden="0" customWidth="1"/>
    <x:col min="15689" max="15689" width="8.83203125" hidden="0" customWidth="1"/>
    <x:col min="15690" max="15690" width="8.83203125" hidden="0" customWidth="1"/>
    <x:col min="15691" max="15691" width="8.83203125" hidden="0" customWidth="1"/>
    <x:col min="15692" max="15692" width="8.83203125" hidden="0" customWidth="1"/>
    <x:col min="15693" max="15693" width="8.83203125" hidden="0" customWidth="1"/>
    <x:col min="15694" max="15694" width="8.83203125" hidden="0" customWidth="1"/>
    <x:col min="15695" max="15695" width="8.83203125" hidden="0" customWidth="1"/>
    <x:col min="15696" max="15696" width="8.83203125" hidden="0" customWidth="1"/>
    <x:col min="15697" max="15697" width="8.83203125" hidden="0" customWidth="1"/>
    <x:col min="15698" max="15698" width="8.83203125" hidden="0" customWidth="1"/>
    <x:col min="15699" max="15699" width="8.83203125" hidden="0" customWidth="1"/>
    <x:col min="15700" max="15700" width="8.83203125" hidden="0" customWidth="1"/>
    <x:col min="15701" max="15701" width="8.83203125" hidden="0" customWidth="1"/>
    <x:col min="15702" max="15702" width="8.83203125" hidden="0" customWidth="1"/>
    <x:col min="15703" max="15703" width="8.83203125" hidden="0" customWidth="1"/>
    <x:col min="15704" max="15704" width="8.83203125" hidden="0" customWidth="1"/>
    <x:col min="15705" max="15705" width="8.83203125" hidden="0" customWidth="1"/>
    <x:col min="15706" max="15706" width="8.83203125" hidden="0" customWidth="1"/>
    <x:col min="15707" max="15707" width="8.83203125" hidden="0" customWidth="1"/>
    <x:col min="15708" max="15708" width="8.83203125" hidden="0" customWidth="1"/>
    <x:col min="15709" max="15709" width="8.83203125" hidden="0" customWidth="1"/>
    <x:col min="15710" max="15710" width="8.83203125" hidden="0" customWidth="1"/>
    <x:col min="15711" max="15711" width="8.83203125" hidden="0" customWidth="1"/>
    <x:col min="15712" max="15712" width="8.83203125" hidden="0" customWidth="1"/>
    <x:col min="15713" max="15713" width="8.83203125" hidden="0" customWidth="1"/>
    <x:col min="15714" max="15714" width="8.83203125" hidden="0" customWidth="1"/>
    <x:col min="15715" max="15715" width="8.83203125" hidden="0" customWidth="1"/>
    <x:col min="15716" max="15716" width="8.83203125" hidden="0" customWidth="1"/>
    <x:col min="15717" max="15717" width="8.83203125" hidden="0" customWidth="1"/>
    <x:col min="15718" max="15718" width="8.83203125" hidden="0" customWidth="1"/>
    <x:col min="15719" max="15719" width="8.83203125" hidden="0" customWidth="1"/>
    <x:col min="15720" max="15720" width="8.83203125" hidden="0" customWidth="1"/>
    <x:col min="15721" max="15721" width="8.83203125" hidden="0" customWidth="1"/>
    <x:col min="15722" max="15722" width="8.83203125" hidden="0" customWidth="1"/>
    <x:col min="15723" max="15723" width="8.83203125" hidden="0" customWidth="1"/>
    <x:col min="15724" max="15724" width="8.83203125" hidden="0" customWidth="1"/>
    <x:col min="15725" max="15725" width="8.83203125" hidden="0" customWidth="1"/>
    <x:col min="15726" max="15726" width="8.83203125" hidden="0" customWidth="1"/>
    <x:col min="15727" max="15727" width="8.83203125" hidden="0" customWidth="1"/>
    <x:col min="15728" max="15728" width="8.83203125" hidden="0" customWidth="1"/>
    <x:col min="15729" max="15729" width="8.83203125" hidden="0" customWidth="1"/>
    <x:col min="15730" max="15730" width="8.83203125" hidden="0" customWidth="1"/>
    <x:col min="15731" max="15731" width="8.83203125" hidden="0" customWidth="1"/>
    <x:col min="15732" max="15732" width="8.83203125" hidden="0" customWidth="1"/>
    <x:col min="15733" max="15733" width="8.83203125" hidden="0" customWidth="1"/>
    <x:col min="15734" max="15734" width="8.83203125" hidden="0" customWidth="1"/>
    <x:col min="15735" max="15735" width="8.83203125" hidden="0" customWidth="1"/>
    <x:col min="15736" max="15736" width="8.83203125" hidden="0" customWidth="1"/>
    <x:col min="15737" max="15737" width="8.83203125" hidden="0" customWidth="1"/>
    <x:col min="15738" max="15738" width="8.83203125" hidden="0" customWidth="1"/>
    <x:col min="15739" max="15739" width="8.83203125" hidden="0" customWidth="1"/>
    <x:col min="15740" max="15740" width="8.83203125" hidden="0" customWidth="1"/>
    <x:col min="15741" max="15741" width="8.83203125" hidden="0" customWidth="1"/>
    <x:col min="15742" max="15742" width="8.83203125" hidden="0" customWidth="1"/>
    <x:col min="15743" max="15743" width="8.83203125" hidden="0" customWidth="1"/>
    <x:col min="15744" max="15744" width="8.83203125" hidden="0" customWidth="1"/>
    <x:col min="15745" max="15745" width="8.83203125" hidden="0" customWidth="1"/>
    <x:col min="15746" max="15746" width="8.83203125" hidden="0" customWidth="1"/>
    <x:col min="15747" max="15747" width="8.83203125" hidden="0" customWidth="1"/>
    <x:col min="15748" max="15748" width="8.83203125" hidden="0" customWidth="1"/>
    <x:col min="15749" max="15749" width="8.83203125" hidden="0" customWidth="1"/>
    <x:col min="15750" max="15750" width="8.83203125" hidden="0" customWidth="1"/>
    <x:col min="15751" max="15751" width="8.83203125" hidden="0" customWidth="1"/>
    <x:col min="15752" max="15752" width="8.83203125" hidden="0" customWidth="1"/>
    <x:col min="15753" max="15753" width="8.83203125" hidden="0" customWidth="1"/>
    <x:col min="15754" max="15754" width="8.83203125" hidden="0" customWidth="1"/>
    <x:col min="15755" max="15755" width="8.83203125" hidden="0" customWidth="1"/>
    <x:col min="15756" max="15756" width="8.83203125" hidden="0" customWidth="1"/>
    <x:col min="15757" max="15757" width="8.83203125" hidden="0" customWidth="1"/>
    <x:col min="15758" max="15758" width="8.83203125" hidden="0" customWidth="1"/>
    <x:col min="15759" max="15759" width="8.83203125" hidden="0" customWidth="1"/>
    <x:col min="15760" max="15760" width="8.83203125" hidden="0" customWidth="1"/>
    <x:col min="15761" max="15761" width="8.83203125" hidden="0" customWidth="1"/>
    <x:col min="15762" max="15762" width="8.83203125" hidden="0" customWidth="1"/>
    <x:col min="15763" max="15763" width="8.83203125" hidden="0" customWidth="1"/>
    <x:col min="15764" max="15764" width="8.83203125" hidden="0" customWidth="1"/>
    <x:col min="15765" max="15765" width="8.83203125" hidden="0" customWidth="1"/>
    <x:col min="15766" max="15766" width="8.83203125" hidden="0" customWidth="1"/>
    <x:col min="15767" max="15767" width="8.83203125" hidden="0" customWidth="1"/>
    <x:col min="15768" max="15768" width="8.83203125" hidden="0" customWidth="1"/>
    <x:col min="15769" max="15769" width="8.83203125" hidden="0" customWidth="1"/>
    <x:col min="15770" max="15770" width="8.83203125" hidden="0" customWidth="1"/>
    <x:col min="15771" max="15771" width="8.83203125" hidden="0" customWidth="1"/>
    <x:col min="15772" max="15772" width="8.83203125" hidden="0" customWidth="1"/>
    <x:col min="15773" max="15773" width="8.83203125" hidden="0" customWidth="1"/>
    <x:col min="15774" max="15774" width="8.83203125" hidden="0" customWidth="1"/>
    <x:col min="15775" max="15775" width="8.83203125" hidden="0" customWidth="1"/>
    <x:col min="15776" max="15776" width="8.83203125" hidden="0" customWidth="1"/>
    <x:col min="15777" max="15777" width="8.83203125" hidden="0" customWidth="1"/>
    <x:col min="15778" max="15778" width="8.83203125" hidden="0" customWidth="1"/>
    <x:col min="15779" max="15779" width="8.83203125" hidden="0" customWidth="1"/>
    <x:col min="15780" max="15780" width="8.83203125" hidden="0" customWidth="1"/>
    <x:col min="15781" max="15781" width="8.83203125" hidden="0" customWidth="1"/>
    <x:col min="15782" max="15782" width="8.83203125" hidden="0" customWidth="1"/>
    <x:col min="15783" max="15783" width="8.83203125" hidden="0" customWidth="1"/>
    <x:col min="15784" max="15784" width="8.83203125" hidden="0" customWidth="1"/>
    <x:col min="15785" max="15785" width="8.83203125" hidden="0" customWidth="1"/>
    <x:col min="15786" max="15786" width="8.83203125" hidden="0" customWidth="1"/>
    <x:col min="15787" max="15787" width="8.83203125" hidden="0" customWidth="1"/>
    <x:col min="15788" max="15788" width="8.83203125" hidden="0" customWidth="1"/>
    <x:col min="15789" max="15789" width="8.83203125" hidden="0" customWidth="1"/>
    <x:col min="15790" max="15790" width="8.83203125" hidden="0" customWidth="1"/>
    <x:col min="15791" max="15791" width="8.83203125" hidden="0" customWidth="1"/>
    <x:col min="15792" max="15792" width="8.83203125" hidden="0" customWidth="1"/>
    <x:col min="15793" max="15793" width="8.83203125" hidden="0" customWidth="1"/>
    <x:col min="15794" max="15794" width="8.83203125" hidden="0" customWidth="1"/>
    <x:col min="15795" max="15795" width="8.83203125" hidden="0" customWidth="1"/>
    <x:col min="15796" max="15796" width="8.83203125" hidden="0" customWidth="1"/>
    <x:col min="15797" max="15797" width="8.83203125" hidden="0" customWidth="1"/>
    <x:col min="15798" max="15798" width="8.83203125" hidden="0" customWidth="1"/>
    <x:col min="15799" max="15799" width="8.83203125" hidden="0" customWidth="1"/>
    <x:col min="15800" max="15800" width="8.83203125" hidden="0" customWidth="1"/>
    <x:col min="15801" max="15801" width="8.83203125" hidden="0" customWidth="1"/>
    <x:col min="15802" max="15802" width="8.83203125" hidden="0" customWidth="1"/>
    <x:col min="15803" max="15803" width="8.83203125" hidden="0" customWidth="1"/>
    <x:col min="15804" max="15804" width="8.83203125" hidden="0" customWidth="1"/>
    <x:col min="15805" max="15805" width="8.83203125" hidden="0" customWidth="1"/>
    <x:col min="15806" max="15806" width="8.83203125" hidden="0" customWidth="1"/>
    <x:col min="15807" max="15807" width="8.83203125" hidden="0" customWidth="1"/>
    <x:col min="15808" max="15808" width="8.83203125" hidden="0" customWidth="1"/>
    <x:col min="15809" max="15809" width="8.83203125" hidden="0" customWidth="1"/>
    <x:col min="15810" max="15810" width="8.83203125" hidden="0" customWidth="1"/>
    <x:col min="15811" max="15811" width="8.83203125" hidden="0" customWidth="1"/>
    <x:col min="15812" max="15812" width="8.83203125" hidden="0" customWidth="1"/>
    <x:col min="15813" max="15813" width="8.83203125" hidden="0" customWidth="1"/>
    <x:col min="15814" max="15814" width="8.83203125" hidden="0" customWidth="1"/>
    <x:col min="15815" max="15815" width="8.83203125" hidden="0" customWidth="1"/>
    <x:col min="15816" max="15816" width="8.83203125" hidden="0" customWidth="1"/>
    <x:col min="15817" max="15817" width="8.83203125" hidden="0" customWidth="1"/>
    <x:col min="15818" max="15818" width="8.83203125" hidden="0" customWidth="1"/>
    <x:col min="15819" max="15819" width="8.83203125" hidden="0" customWidth="1"/>
    <x:col min="15820" max="15820" width="8.83203125" hidden="0" customWidth="1"/>
    <x:col min="15821" max="15821" width="8.83203125" hidden="0" customWidth="1"/>
    <x:col min="15822" max="15822" width="8.83203125" hidden="0" customWidth="1"/>
    <x:col min="15823" max="15823" width="8.83203125" hidden="0" customWidth="1"/>
    <x:col min="15824" max="15824" width="8.83203125" hidden="0" customWidth="1"/>
    <x:col min="15825" max="15825" width="8.83203125" hidden="0" customWidth="1"/>
    <x:col min="15826" max="15826" width="8.83203125" hidden="0" customWidth="1"/>
    <x:col min="15827" max="15827" width="8.83203125" hidden="0" customWidth="1"/>
    <x:col min="15828" max="15828" width="8.83203125" hidden="0" customWidth="1"/>
    <x:col min="15829" max="15829" width="8.83203125" hidden="0" customWidth="1"/>
    <x:col min="15830" max="15830" width="8.83203125" hidden="0" customWidth="1"/>
    <x:col min="15831" max="15831" width="8.83203125" hidden="0" customWidth="1"/>
    <x:col min="15832" max="15832" width="8.83203125" hidden="0" customWidth="1"/>
    <x:col min="15833" max="15833" width="8.83203125" hidden="0" customWidth="1"/>
    <x:col min="15834" max="15834" width="8.83203125" hidden="0" customWidth="1"/>
    <x:col min="15835" max="15835" width="8.83203125" hidden="0" customWidth="1"/>
    <x:col min="15836" max="15836" width="8.83203125" hidden="0" customWidth="1"/>
    <x:col min="15837" max="15837" width="8.83203125" hidden="0" customWidth="1"/>
    <x:col min="15838" max="15838" width="8.83203125" hidden="0" customWidth="1"/>
    <x:col min="15839" max="15839" width="8.83203125" hidden="0" customWidth="1"/>
    <x:col min="15840" max="15840" width="8.83203125" hidden="0" customWidth="1"/>
    <x:col min="15841" max="15841" width="8.83203125" hidden="0" customWidth="1"/>
    <x:col min="15842" max="15842" width="8.83203125" hidden="0" customWidth="1"/>
    <x:col min="15843" max="15843" width="8.83203125" hidden="0" customWidth="1"/>
    <x:col min="15844" max="15844" width="8.83203125" hidden="0" customWidth="1"/>
    <x:col min="15845" max="15845" width="8.83203125" hidden="0" customWidth="1"/>
    <x:col min="15846" max="15846" width="8.83203125" hidden="0" customWidth="1"/>
    <x:col min="15847" max="15847" width="8.83203125" hidden="0" customWidth="1"/>
    <x:col min="15848" max="15848" width="8.83203125" hidden="0" customWidth="1"/>
    <x:col min="15849" max="15849" width="8.83203125" hidden="0" customWidth="1"/>
    <x:col min="15850" max="15850" width="8.83203125" hidden="0" customWidth="1"/>
    <x:col min="15851" max="15851" width="8.83203125" hidden="0" customWidth="1"/>
    <x:col min="15852" max="15852" width="8.83203125" hidden="0" customWidth="1"/>
    <x:col min="15853" max="15853" width="8.83203125" hidden="0" customWidth="1"/>
    <x:col min="15854" max="15854" width="8.83203125" hidden="0" customWidth="1"/>
    <x:col min="15855" max="15855" width="8.83203125" hidden="0" customWidth="1"/>
    <x:col min="15856" max="15856" width="8.83203125" hidden="0" customWidth="1"/>
    <x:col min="15857" max="15857" width="8.83203125" hidden="0" customWidth="1"/>
    <x:col min="15858" max="15858" width="8.83203125" hidden="0" customWidth="1"/>
    <x:col min="15859" max="15859" width="8.83203125" hidden="0" customWidth="1"/>
    <x:col min="15860" max="15860" width="8.83203125" hidden="0" customWidth="1"/>
    <x:col min="15861" max="15861" width="8.83203125" hidden="0" customWidth="1"/>
    <x:col min="15862" max="15862" width="8.83203125" hidden="0" customWidth="1"/>
    <x:col min="15863" max="15863" width="8.83203125" hidden="0" customWidth="1"/>
    <x:col min="15864" max="15864" width="8.83203125" hidden="0" customWidth="1"/>
    <x:col min="15865" max="15865" width="8.83203125" hidden="0" customWidth="1"/>
    <x:col min="15866" max="15866" width="8.83203125" hidden="0" customWidth="1"/>
    <x:col min="15867" max="15867" width="8.83203125" hidden="0" customWidth="1"/>
    <x:col min="15868" max="15868" width="8.83203125" hidden="0" customWidth="1"/>
    <x:col min="15869" max="15869" width="8.83203125" hidden="0" customWidth="1"/>
    <x:col min="15870" max="15870" width="8.83203125" hidden="0" customWidth="1"/>
    <x:col min="15871" max="15871" width="8.83203125" hidden="0" customWidth="1"/>
    <x:col min="15872" max="15872" width="8.83203125" hidden="0" customWidth="1"/>
    <x:col min="15873" max="15873" width="8.83203125" hidden="0" customWidth="1"/>
    <x:col min="15874" max="15874" width="8.83203125" hidden="0" customWidth="1"/>
    <x:col min="15875" max="15875" width="8.83203125" hidden="0" customWidth="1"/>
    <x:col min="15876" max="15876" width="8.83203125" hidden="0" customWidth="1"/>
    <x:col min="15877" max="15877" width="8.83203125" hidden="0" customWidth="1"/>
    <x:col min="15878" max="15878" width="8.83203125" hidden="0" customWidth="1"/>
    <x:col min="15879" max="15879" width="8.83203125" hidden="0" customWidth="1"/>
    <x:col min="15880" max="15880" width="8.83203125" hidden="0" customWidth="1"/>
    <x:col min="15881" max="15881" width="8.83203125" hidden="0" customWidth="1"/>
    <x:col min="15882" max="15882" width="8.83203125" hidden="0" customWidth="1"/>
    <x:col min="15883" max="15883" width="8.83203125" hidden="0" customWidth="1"/>
    <x:col min="15884" max="15884" width="8.83203125" hidden="0" customWidth="1"/>
    <x:col min="15885" max="15885" width="8.83203125" hidden="0" customWidth="1"/>
    <x:col min="15886" max="15886" width="8.83203125" hidden="0" customWidth="1"/>
    <x:col min="15887" max="15887" width="8.83203125" hidden="0" customWidth="1"/>
    <x:col min="15888" max="15888" width="8.83203125" hidden="0" customWidth="1"/>
    <x:col min="15889" max="15889" width="8.83203125" hidden="0" customWidth="1"/>
    <x:col min="15890" max="15890" width="8.83203125" hidden="0" customWidth="1"/>
    <x:col min="15891" max="15891" width="8.83203125" hidden="0" customWidth="1"/>
    <x:col min="15892" max="15892" width="8.83203125" hidden="0" customWidth="1"/>
    <x:col min="15893" max="15893" width="8.83203125" hidden="0" customWidth="1"/>
    <x:col min="15894" max="15894" width="8.83203125" hidden="0" customWidth="1"/>
    <x:col min="15895" max="15895" width="8.83203125" hidden="0" customWidth="1"/>
    <x:col min="15896" max="15896" width="8.83203125" hidden="0" customWidth="1"/>
    <x:col min="15897" max="15897" width="8.83203125" hidden="0" customWidth="1"/>
    <x:col min="15898" max="15898" width="8.83203125" hidden="0" customWidth="1"/>
    <x:col min="15899" max="15899" width="8.83203125" hidden="0" customWidth="1"/>
    <x:col min="15900" max="15900" width="8.83203125" hidden="0" customWidth="1"/>
    <x:col min="15901" max="15901" width="8.83203125" hidden="0" customWidth="1"/>
    <x:col min="15902" max="15902" width="8.83203125" hidden="0" customWidth="1"/>
    <x:col min="15903" max="15903" width="8.83203125" hidden="0" customWidth="1"/>
    <x:col min="15904" max="15904" width="8.83203125" hidden="0" customWidth="1"/>
    <x:col min="15905" max="15905" width="8.83203125" hidden="0" customWidth="1"/>
    <x:col min="15906" max="15906" width="8.83203125" hidden="0" customWidth="1"/>
    <x:col min="15907" max="15907" width="8.83203125" hidden="0" customWidth="1"/>
    <x:col min="15908" max="15908" width="8.83203125" hidden="0" customWidth="1"/>
    <x:col min="15909" max="15909" width="8.83203125" hidden="0" customWidth="1"/>
    <x:col min="15910" max="15910" width="8.83203125" hidden="0" customWidth="1"/>
    <x:col min="15911" max="15911" width="8.83203125" hidden="0" customWidth="1"/>
    <x:col min="15912" max="15912" width="8.83203125" hidden="0" customWidth="1"/>
    <x:col min="15913" max="15913" width="8.83203125" hidden="0" customWidth="1"/>
    <x:col min="15914" max="15914" width="8.83203125" hidden="0" customWidth="1"/>
    <x:col min="15915" max="15915" width="8.83203125" hidden="0" customWidth="1"/>
    <x:col min="15916" max="15916" width="8.83203125" hidden="0" customWidth="1"/>
    <x:col min="15917" max="15917" width="8.83203125" hidden="0" customWidth="1"/>
    <x:col min="15918" max="15918" width="8.83203125" hidden="0" customWidth="1"/>
    <x:col min="15919" max="15919" width="8.83203125" hidden="0" customWidth="1"/>
    <x:col min="15920" max="15920" width="8.83203125" hidden="0" customWidth="1"/>
    <x:col min="15921" max="15921" width="8.83203125" hidden="0" customWidth="1"/>
    <x:col min="15922" max="15922" width="8.83203125" hidden="0" customWidth="1"/>
    <x:col min="15923" max="15923" width="8.83203125" hidden="0" customWidth="1"/>
    <x:col min="15924" max="15924" width="8.83203125" hidden="0" customWidth="1"/>
    <x:col min="15925" max="15925" width="8.83203125" hidden="0" customWidth="1"/>
    <x:col min="15926" max="15926" width="8.83203125" hidden="0" customWidth="1"/>
    <x:col min="15927" max="15927" width="8.83203125" hidden="0" customWidth="1"/>
    <x:col min="15928" max="15928" width="8.83203125" hidden="0" customWidth="1"/>
    <x:col min="15929" max="15929" width="8.83203125" hidden="0" customWidth="1"/>
    <x:col min="15930" max="15930" width="8.83203125" hidden="0" customWidth="1"/>
    <x:col min="15931" max="15931" width="8.83203125" hidden="0" customWidth="1"/>
    <x:col min="15932" max="15932" width="8.83203125" hidden="0" customWidth="1"/>
    <x:col min="15933" max="15933" width="8.83203125" hidden="0" customWidth="1"/>
    <x:col min="15934" max="15934" width="8.83203125" hidden="0" customWidth="1"/>
    <x:col min="15935" max="15935" width="8.83203125" hidden="0" customWidth="1"/>
    <x:col min="15936" max="15936" width="8.83203125" hidden="0" customWidth="1"/>
    <x:col min="15937" max="15937" width="8.83203125" hidden="0" customWidth="1"/>
    <x:col min="15938" max="15938" width="8.83203125" hidden="0" customWidth="1"/>
    <x:col min="15939" max="15939" width="8.83203125" hidden="0" customWidth="1"/>
    <x:col min="15940" max="15940" width="8.83203125" hidden="0" customWidth="1"/>
    <x:col min="15941" max="15941" width="8.83203125" hidden="0" customWidth="1"/>
    <x:col min="15942" max="15942" width="8.83203125" hidden="0" customWidth="1"/>
    <x:col min="15943" max="15943" width="8.83203125" hidden="0" customWidth="1"/>
    <x:col min="15944" max="15944" width="8.83203125" hidden="0" customWidth="1"/>
    <x:col min="15945" max="15945" width="8.83203125" hidden="0" customWidth="1"/>
    <x:col min="15946" max="15946" width="8.83203125" hidden="0" customWidth="1"/>
    <x:col min="15947" max="15947" width="8.83203125" hidden="0" customWidth="1"/>
    <x:col min="15948" max="15948" width="8.83203125" hidden="0" customWidth="1"/>
    <x:col min="15949" max="15949" width="8.83203125" hidden="0" customWidth="1"/>
    <x:col min="15950" max="15950" width="8.83203125" hidden="0" customWidth="1"/>
    <x:col min="15951" max="15951" width="8.83203125" hidden="0" customWidth="1"/>
    <x:col min="15952" max="15952" width="8.83203125" hidden="0" customWidth="1"/>
    <x:col min="15953" max="15953" width="8.83203125" hidden="0" customWidth="1"/>
    <x:col min="15954" max="15954" width="8.83203125" hidden="0" customWidth="1"/>
    <x:col min="15955" max="15955" width="8.83203125" hidden="0" customWidth="1"/>
    <x:col min="15956" max="15956" width="8.83203125" hidden="0" customWidth="1"/>
    <x:col min="15957" max="15957" width="8.83203125" hidden="0" customWidth="1"/>
    <x:col min="15958" max="15958" width="8.83203125" hidden="0" customWidth="1"/>
    <x:col min="15959" max="15959" width="8.83203125" hidden="0" customWidth="1"/>
    <x:col min="15960" max="15960" width="8.83203125" hidden="0" customWidth="1"/>
    <x:col min="15961" max="15961" width="8.83203125" hidden="0" customWidth="1"/>
    <x:col min="15962" max="15962" width="8.83203125" hidden="0" customWidth="1"/>
    <x:col min="15963" max="15963" width="8.83203125" hidden="0" customWidth="1"/>
    <x:col min="15964" max="15964" width="8.83203125" hidden="0" customWidth="1"/>
    <x:col min="15965" max="15965" width="8.83203125" hidden="0" customWidth="1"/>
    <x:col min="15966" max="15966" width="8.83203125" hidden="0" customWidth="1"/>
    <x:col min="15967" max="15967" width="8.83203125" hidden="0" customWidth="1"/>
    <x:col min="15968" max="15968" width="8.83203125" hidden="0" customWidth="1"/>
    <x:col min="15969" max="15969" width="8.83203125" hidden="0" customWidth="1"/>
    <x:col min="15970" max="15970" width="8.83203125" hidden="0" customWidth="1"/>
    <x:col min="15971" max="15971" width="8.83203125" hidden="0" customWidth="1"/>
    <x:col min="15972" max="15972" width="8.83203125" hidden="0" customWidth="1"/>
    <x:col min="15973" max="15973" width="8.83203125" hidden="0" customWidth="1"/>
    <x:col min="15974" max="15974" width="8.83203125" hidden="0" customWidth="1"/>
    <x:col min="15975" max="15975" width="8.83203125" hidden="0" customWidth="1"/>
    <x:col min="15976" max="15976" width="8.83203125" hidden="0" customWidth="1"/>
    <x:col min="15977" max="15977" width="8.83203125" hidden="0" customWidth="1"/>
    <x:col min="15978" max="15978" width="8.83203125" hidden="0" customWidth="1"/>
    <x:col min="15979" max="15979" width="8.83203125" hidden="0" customWidth="1"/>
    <x:col min="15980" max="15980" width="8.83203125" hidden="0" customWidth="1"/>
    <x:col min="15981" max="15981" width="8.83203125" hidden="0" customWidth="1"/>
    <x:col min="15982" max="15982" width="8.83203125" hidden="0" customWidth="1"/>
    <x:col min="15983" max="15983" width="8.83203125" hidden="0" customWidth="1"/>
    <x:col min="15984" max="15984" width="8.83203125" hidden="0" customWidth="1"/>
    <x:col min="15985" max="15985" width="8.83203125" hidden="0" customWidth="1"/>
    <x:col min="15986" max="15986" width="8.83203125" hidden="0" customWidth="1"/>
    <x:col min="15987" max="15987" width="8.83203125" hidden="0" customWidth="1"/>
    <x:col min="15988" max="15988" width="8.83203125" hidden="0" customWidth="1"/>
    <x:col min="15989" max="15989" width="8.83203125" hidden="0" customWidth="1"/>
    <x:col min="15990" max="15990" width="8.83203125" hidden="0" customWidth="1"/>
    <x:col min="15991" max="15991" width="8.83203125" hidden="0" customWidth="1"/>
    <x:col min="15992" max="15992" width="8.83203125" hidden="0" customWidth="1"/>
    <x:col min="15993" max="15993" width="8.83203125" hidden="0" customWidth="1"/>
    <x:col min="15994" max="15994" width="8.83203125" hidden="0" customWidth="1"/>
    <x:col min="15995" max="15995" width="8.83203125" hidden="0" customWidth="1"/>
    <x:col min="15996" max="15996" width="8.83203125" hidden="0" customWidth="1"/>
    <x:col min="15997" max="15997" width="8.83203125" hidden="0" customWidth="1"/>
    <x:col min="15998" max="15998" width="8.83203125" hidden="0" customWidth="1"/>
    <x:col min="15999" max="15999" width="8.83203125" hidden="0" customWidth="1"/>
    <x:col min="16000" max="16000" width="8.83203125" hidden="0" customWidth="1"/>
    <x:col min="16001" max="16001" width="8.83203125" hidden="0" customWidth="1"/>
    <x:col min="16002" max="16002" width="8.83203125" hidden="0" customWidth="1"/>
    <x:col min="16003" max="16003" width="8.83203125" hidden="0" customWidth="1"/>
    <x:col min="16004" max="16004" width="8.83203125" hidden="0" customWidth="1"/>
    <x:col min="16005" max="16005" width="8.83203125" hidden="0" customWidth="1"/>
    <x:col min="16006" max="16006" width="8.83203125" hidden="0" customWidth="1"/>
    <x:col min="16007" max="16007" width="8.83203125" hidden="0" customWidth="1"/>
    <x:col min="16008" max="16008" width="8.83203125" hidden="0" customWidth="1"/>
    <x:col min="16009" max="16009" width="8.83203125" hidden="0" customWidth="1"/>
    <x:col min="16010" max="16010" width="8.83203125" hidden="0" customWidth="1"/>
    <x:col min="16011" max="16011" width="8.83203125" hidden="0" customWidth="1"/>
    <x:col min="16012" max="16012" width="8.83203125" hidden="0" customWidth="1"/>
    <x:col min="16013" max="16013" width="8.83203125" hidden="0" customWidth="1"/>
    <x:col min="16014" max="16014" width="8.83203125" hidden="0" customWidth="1"/>
    <x:col min="16015" max="16015" width="8.83203125" hidden="0" customWidth="1"/>
    <x:col min="16016" max="16016" width="8.83203125" hidden="0" customWidth="1"/>
    <x:col min="16017" max="16017" width="8.83203125" hidden="0" customWidth="1"/>
    <x:col min="16018" max="16018" width="8.83203125" hidden="0" customWidth="1"/>
    <x:col min="16019" max="16019" width="8.83203125" hidden="0" customWidth="1"/>
    <x:col min="16020" max="16020" width="8.83203125" hidden="0" customWidth="1"/>
    <x:col min="16021" max="16021" width="8.83203125" hidden="0" customWidth="1"/>
    <x:col min="16022" max="16022" width="8.83203125" hidden="0" customWidth="1"/>
    <x:col min="16023" max="16023" width="8.83203125" hidden="0" customWidth="1"/>
    <x:col min="16024" max="16024" width="8.83203125" hidden="0" customWidth="1"/>
    <x:col min="16025" max="16025" width="8.83203125" hidden="0" customWidth="1"/>
    <x:col min="16026" max="16026" width="8.83203125" hidden="0" customWidth="1"/>
    <x:col min="16027" max="16027" width="8.83203125" hidden="0" customWidth="1"/>
    <x:col min="16028" max="16028" width="8.83203125" hidden="0" customWidth="1"/>
    <x:col min="16029" max="16029" width="8.83203125" hidden="0" customWidth="1"/>
    <x:col min="16030" max="16030" width="8.83203125" hidden="0" customWidth="1"/>
    <x:col min="16031" max="16031" width="8.83203125" hidden="0" customWidth="1"/>
    <x:col min="16032" max="16032" width="8.83203125" hidden="0" customWidth="1"/>
    <x:col min="16033" max="16033" width="8.83203125" hidden="0" customWidth="1"/>
    <x:col min="16034" max="16034" width="8.83203125" hidden="0" customWidth="1"/>
    <x:col min="16035" max="16035" width="8.83203125" hidden="0" customWidth="1"/>
    <x:col min="16036" max="16036" width="8.83203125" hidden="0" customWidth="1"/>
    <x:col min="16037" max="16037" width="8.83203125" hidden="0" customWidth="1"/>
    <x:col min="16038" max="16038" width="8.83203125" hidden="0" customWidth="1"/>
    <x:col min="16039" max="16039" width="8.83203125" hidden="0" customWidth="1"/>
    <x:col min="16040" max="16040" width="8.83203125" hidden="0" customWidth="1"/>
    <x:col min="16041" max="16041" width="8.83203125" hidden="0" customWidth="1"/>
    <x:col min="16042" max="16042" width="8.83203125" hidden="0" customWidth="1"/>
    <x:col min="16043" max="16043" width="8.83203125" hidden="0" customWidth="1"/>
    <x:col min="16044" max="16044" width="8.83203125" hidden="0" customWidth="1"/>
    <x:col min="16045" max="16045" width="8.83203125" hidden="0" customWidth="1"/>
    <x:col min="16046" max="16046" width="8.83203125" hidden="0" customWidth="1"/>
    <x:col min="16047" max="16047" width="8.83203125" hidden="0" customWidth="1"/>
    <x:col min="16048" max="16048" width="8.83203125" hidden="0" customWidth="1"/>
    <x:col min="16049" max="16049" width="8.83203125" hidden="0" customWidth="1"/>
    <x:col min="16050" max="16050" width="8.83203125" hidden="0" customWidth="1"/>
    <x:col min="16051" max="16051" width="8.83203125" hidden="0" customWidth="1"/>
    <x:col min="16052" max="16052" width="8.83203125" hidden="0" customWidth="1"/>
    <x:col min="16053" max="16053" width="8.83203125" hidden="0" customWidth="1"/>
    <x:col min="16054" max="16054" width="8.83203125" hidden="0" customWidth="1"/>
    <x:col min="16055" max="16055" width="8.83203125" hidden="0" customWidth="1"/>
    <x:col min="16056" max="16056" width="8.83203125" hidden="0" customWidth="1"/>
    <x:col min="16057" max="16057" width="8.83203125" hidden="0" customWidth="1"/>
    <x:col min="16058" max="16058" width="8.83203125" hidden="0" customWidth="1"/>
    <x:col min="16059" max="16059" width="8.83203125" hidden="0" customWidth="1"/>
    <x:col min="16060" max="16060" width="8.83203125" hidden="0" customWidth="1"/>
    <x:col min="16061" max="16061" width="8.83203125" hidden="0" customWidth="1"/>
    <x:col min="16062" max="16062" width="8.83203125" hidden="0" customWidth="1"/>
    <x:col min="16063" max="16063" width="8.83203125" hidden="0" customWidth="1"/>
    <x:col min="16064" max="16064" width="8.83203125" hidden="0" customWidth="1"/>
    <x:col min="16065" max="16065" width="8.83203125" hidden="0" customWidth="1"/>
    <x:col min="16066" max="16066" width="8.83203125" hidden="0" customWidth="1"/>
    <x:col min="16067" max="16067" width="8.83203125" hidden="0" customWidth="1"/>
    <x:col min="16068" max="16068" width="8.83203125" hidden="0" customWidth="1"/>
    <x:col min="16069" max="16069" width="8.83203125" hidden="0" customWidth="1"/>
    <x:col min="16070" max="16070" width="8.83203125" hidden="0" customWidth="1"/>
    <x:col min="16071" max="16071" width="8.83203125" hidden="0" customWidth="1"/>
    <x:col min="16072" max="16072" width="8.83203125" hidden="0" customWidth="1"/>
    <x:col min="16073" max="16073" width="8.83203125" hidden="0" customWidth="1"/>
    <x:col min="16074" max="16074" width="8.83203125" hidden="0" customWidth="1"/>
    <x:col min="16075" max="16075" width="8.83203125" hidden="0" customWidth="1"/>
    <x:col min="16076" max="16076" width="8.83203125" hidden="0" customWidth="1"/>
    <x:col min="16077" max="16077" width="8.83203125" hidden="0" customWidth="1"/>
    <x:col min="16078" max="16078" width="8.83203125" hidden="0" customWidth="1"/>
    <x:col min="16079" max="16079" width="8.83203125" hidden="0" customWidth="1"/>
    <x:col min="16080" max="16080" width="8.83203125" hidden="0" customWidth="1"/>
    <x:col min="16081" max="16081" width="8.83203125" hidden="0" customWidth="1"/>
    <x:col min="16082" max="16082" width="8.83203125" hidden="0" customWidth="1"/>
    <x:col min="16083" max="16083" width="8.83203125" hidden="0" customWidth="1"/>
    <x:col min="16084" max="16084" width="8.83203125" hidden="0" customWidth="1"/>
    <x:col min="16085" max="16085" width="8.83203125" hidden="0" customWidth="1"/>
    <x:col min="16086" max="16086" width="8.83203125" hidden="0" customWidth="1"/>
    <x:col min="16087" max="16087" width="8.83203125" hidden="0" customWidth="1"/>
    <x:col min="16088" max="16088" width="8.83203125" hidden="0" customWidth="1"/>
    <x:col min="16089" max="16089" width="8.83203125" hidden="0" customWidth="1"/>
    <x:col min="16090" max="16090" width="8.83203125" hidden="0" customWidth="1"/>
    <x:col min="16091" max="16091" width="8.83203125" hidden="0" customWidth="1"/>
    <x:col min="16092" max="16092" width="8.83203125" hidden="0" customWidth="1"/>
    <x:col min="16093" max="16093" width="8.83203125" hidden="0" customWidth="1"/>
    <x:col min="16094" max="16094" width="8.83203125" hidden="0" customWidth="1"/>
    <x:col min="16095" max="16095" width="8.83203125" hidden="0" customWidth="1"/>
    <x:col min="16096" max="16096" width="8.83203125" hidden="0" customWidth="1"/>
    <x:col min="16097" max="16097" width="8.83203125" hidden="0" customWidth="1"/>
    <x:col min="16098" max="16098" width="8.83203125" hidden="0" customWidth="1"/>
    <x:col min="16099" max="16099" width="8.83203125" hidden="0" customWidth="1"/>
    <x:col min="16100" max="16100" width="8.83203125" hidden="0" customWidth="1"/>
    <x:col min="16101" max="16101" width="8.83203125" hidden="0" customWidth="1"/>
    <x:col min="16102" max="16102" width="8.83203125" hidden="0" customWidth="1"/>
    <x:col min="16103" max="16103" width="8.83203125" hidden="0" customWidth="1"/>
    <x:col min="16104" max="16104" width="8.83203125" hidden="0" customWidth="1"/>
    <x:col min="16105" max="16105" width="8.83203125" hidden="0" customWidth="1"/>
    <x:col min="16106" max="16106" width="8.83203125" hidden="0" customWidth="1"/>
    <x:col min="16107" max="16107" width="8.83203125" hidden="0" customWidth="1"/>
    <x:col min="16108" max="16108" width="8.83203125" hidden="0" customWidth="1"/>
    <x:col min="16109" max="16109" width="8.83203125" hidden="0" customWidth="1"/>
    <x:col min="16110" max="16110" width="8.83203125" hidden="0" customWidth="1"/>
    <x:col min="16111" max="16111" width="8.83203125" hidden="0" customWidth="1"/>
    <x:col min="16112" max="16112" width="8.83203125" hidden="0" customWidth="1"/>
    <x:col min="16113" max="16113" width="8.83203125" hidden="0" customWidth="1"/>
    <x:col min="16114" max="16114" width="8.83203125" hidden="0" customWidth="1"/>
    <x:col min="16115" max="16115" width="8.83203125" hidden="0" customWidth="1"/>
    <x:col min="16116" max="16116" width="8.83203125" hidden="0" customWidth="1"/>
    <x:col min="16117" max="16117" width="8.83203125" hidden="0" customWidth="1"/>
    <x:col min="16118" max="16118" width="8.83203125" hidden="0" customWidth="1"/>
    <x:col min="16119" max="16119" width="8.83203125" hidden="0" customWidth="1"/>
    <x:col min="16120" max="16120" width="8.83203125" hidden="0" customWidth="1"/>
    <x:col min="16121" max="16121" width="8.83203125" hidden="0" customWidth="1"/>
    <x:col min="16122" max="16122" width="8.83203125" hidden="0" customWidth="1"/>
    <x:col min="16123" max="16123" width="8.83203125" hidden="0" customWidth="1"/>
    <x:col min="16124" max="16124" width="8.83203125" hidden="0" customWidth="1"/>
    <x:col min="16125" max="16125" width="8.83203125" hidden="0" customWidth="1"/>
    <x:col min="16126" max="16126" width="8.83203125" hidden="0" customWidth="1"/>
    <x:col min="16127" max="16127" width="8.83203125" hidden="0" customWidth="1"/>
    <x:col min="16128" max="16128" width="8.83203125" hidden="0" customWidth="1"/>
    <x:col min="16129" max="16129" width="8.83203125" hidden="0" customWidth="1"/>
    <x:col min="16130" max="16130" width="8.83203125" hidden="0" customWidth="1"/>
    <x:col min="16131" max="16131" width="8.83203125" hidden="0" customWidth="1"/>
    <x:col min="16132" max="16132" width="8.83203125" hidden="0" customWidth="1"/>
    <x:col min="16133" max="16133" width="8.83203125" hidden="0" customWidth="1"/>
    <x:col min="16134" max="16134" width="8.83203125" hidden="0" customWidth="1"/>
    <x:col min="16135" max="16135" width="8.83203125" hidden="0" customWidth="1"/>
    <x:col min="16136" max="16136" width="8.83203125" hidden="0" customWidth="1"/>
    <x:col min="16137" max="16137" width="8.83203125" hidden="0" customWidth="1"/>
    <x:col min="16138" max="16138" width="8.83203125" hidden="0" customWidth="1"/>
    <x:col min="16139" max="16139" width="8.83203125" hidden="0" customWidth="1"/>
    <x:col min="16140" max="16140" width="8.83203125" hidden="0" customWidth="1"/>
    <x:col min="16141" max="16141" width="8.83203125" hidden="0" customWidth="1"/>
    <x:col min="16142" max="16142" width="8.83203125" hidden="0" customWidth="1"/>
    <x:col min="16143" max="16143" width="8.83203125" hidden="0" customWidth="1"/>
    <x:col min="16144" max="16144" width="8.83203125" hidden="0" customWidth="1"/>
    <x:col min="16145" max="16145" width="8.83203125" hidden="0" customWidth="1"/>
    <x:col min="16146" max="16146" width="8.83203125" hidden="0" customWidth="1"/>
    <x:col min="16147" max="16147" width="8.83203125" hidden="0" customWidth="1"/>
    <x:col min="16148" max="16148" width="8.83203125" hidden="0" customWidth="1"/>
    <x:col min="16149" max="16149" width="8.83203125" hidden="0" customWidth="1"/>
    <x:col min="16150" max="16150" width="8.83203125" hidden="0" customWidth="1"/>
    <x:col min="16151" max="16151" width="8.83203125" hidden="0" customWidth="1"/>
    <x:col min="16152" max="16152" width="8.83203125" hidden="0" customWidth="1"/>
    <x:col min="16153" max="16153" width="8.83203125" hidden="0" customWidth="1"/>
    <x:col min="16154" max="16154" width="8.83203125" hidden="0" customWidth="1"/>
    <x:col min="16155" max="16155" width="8.83203125" hidden="0" customWidth="1"/>
    <x:col min="16156" max="16156" width="8.83203125" hidden="0" customWidth="1"/>
    <x:col min="16157" max="16157" width="8.83203125" hidden="0" customWidth="1"/>
    <x:col min="16158" max="16158" width="8.83203125" hidden="0" customWidth="1"/>
    <x:col min="16159" max="16159" width="8.83203125" hidden="0" customWidth="1"/>
    <x:col min="16160" max="16160" width="8.83203125" hidden="0" customWidth="1"/>
    <x:col min="16161" max="16161" width="8.83203125" hidden="0" customWidth="1"/>
    <x:col min="16162" max="16162" width="8.83203125" hidden="0" customWidth="1"/>
    <x:col min="16163" max="16163" width="8.83203125" hidden="0" customWidth="1"/>
    <x:col min="16164" max="16164" width="8.83203125" hidden="0" customWidth="1"/>
    <x:col min="16165" max="16165" width="8.83203125" hidden="0" customWidth="1"/>
    <x:col min="16166" max="16166" width="8.83203125" hidden="0" customWidth="1"/>
    <x:col min="16167" max="16167" width="8.83203125" hidden="0" customWidth="1"/>
    <x:col min="16168" max="16168" width="8.83203125" hidden="0" customWidth="1"/>
    <x:col min="16169" max="16169" width="8.83203125" hidden="0" customWidth="1"/>
    <x:col min="16170" max="16170" width="8.83203125" hidden="0" customWidth="1"/>
    <x:col min="16171" max="16171" width="8.83203125" hidden="0" customWidth="1"/>
    <x:col min="16172" max="16172" width="8.83203125" hidden="0" customWidth="1"/>
    <x:col min="16173" max="16173" width="8.83203125" hidden="0" customWidth="1"/>
    <x:col min="16174" max="16174" width="8.83203125" hidden="0" customWidth="1"/>
    <x:col min="16175" max="16175" width="8.83203125" hidden="0" customWidth="1"/>
    <x:col min="16176" max="16176" width="8.83203125" hidden="0" customWidth="1"/>
    <x:col min="16177" max="16177" width="8.83203125" hidden="0" customWidth="1"/>
    <x:col min="16178" max="16178" width="8.83203125" hidden="0" customWidth="1"/>
    <x:col min="16179" max="16179" width="8.83203125" hidden="0" customWidth="1"/>
    <x:col min="16180" max="16180" width="8.83203125" hidden="0" customWidth="1"/>
    <x:col min="16181" max="16181" width="8.83203125" hidden="0" customWidth="1"/>
    <x:col min="16182" max="16182" width="8.83203125" hidden="0" customWidth="1"/>
    <x:col min="16183" max="16183" width="8.83203125" hidden="0" customWidth="1"/>
    <x:col min="16184" max="16184" width="8.83203125" hidden="0" customWidth="1"/>
    <x:col min="16185" max="16185" width="8.83203125" hidden="0" customWidth="1"/>
    <x:col min="16186" max="16186" width="8.83203125" hidden="0" customWidth="1"/>
    <x:col min="16187" max="16187" width="8.83203125" hidden="0" customWidth="1"/>
    <x:col min="16188" max="16188" width="8.83203125" hidden="0" customWidth="1"/>
    <x:col min="16189" max="16189" width="8.83203125" hidden="0" customWidth="1"/>
    <x:col min="16190" max="16190" width="8.83203125" hidden="0" customWidth="1"/>
    <x:col min="16191" max="16191" width="8.83203125" hidden="0" customWidth="1"/>
    <x:col min="16192" max="16192" width="8.83203125" hidden="0" customWidth="1"/>
    <x:col min="16193" max="16193" width="8.83203125" hidden="0" customWidth="1"/>
    <x:col min="16194" max="16194" width="8.83203125" hidden="0" customWidth="1"/>
    <x:col min="16195" max="16195" width="8.83203125" hidden="0" customWidth="1"/>
    <x:col min="16196" max="16196" width="8.83203125" hidden="0" customWidth="1"/>
    <x:col min="16197" max="16197" width="8.83203125" hidden="0" customWidth="1"/>
    <x:col min="16198" max="16198" width="8.83203125" hidden="0" customWidth="1"/>
    <x:col min="16199" max="16199" width="8.83203125" hidden="0" customWidth="1"/>
    <x:col min="16200" max="16200" width="8.83203125" hidden="0" customWidth="1"/>
    <x:col min="16201" max="16201" width="8.83203125" hidden="0" customWidth="1"/>
    <x:col min="16202" max="16202" width="8.83203125" hidden="0" customWidth="1"/>
    <x:col min="16203" max="16203" width="8.83203125" hidden="0" customWidth="1"/>
    <x:col min="16204" max="16204" width="8.83203125" hidden="0" customWidth="1"/>
    <x:col min="16205" max="16205" width="8.83203125" hidden="0" customWidth="1"/>
    <x:col min="16206" max="16206" width="8.83203125" hidden="0" customWidth="1"/>
    <x:col min="16207" max="16207" width="8.83203125" hidden="0" customWidth="1"/>
    <x:col min="16208" max="16208" width="8.83203125" hidden="0" customWidth="1"/>
    <x:col min="16209" max="16209" width="8.83203125" hidden="0" customWidth="1"/>
    <x:col min="16210" max="16210" width="8.83203125" hidden="0" customWidth="1"/>
    <x:col min="16211" max="16211" width="8.83203125" hidden="0" customWidth="1"/>
    <x:col min="16212" max="16212" width="8.83203125" hidden="0" customWidth="1"/>
    <x:col min="16213" max="16213" width="8.83203125" hidden="0" customWidth="1"/>
    <x:col min="16214" max="16214" width="8.83203125" hidden="0" customWidth="1"/>
    <x:col min="16215" max="16215" width="8.83203125" hidden="0" customWidth="1"/>
    <x:col min="16216" max="16216" width="8.83203125" hidden="0" customWidth="1"/>
    <x:col min="16217" max="16217" width="8.83203125" hidden="0" customWidth="1"/>
    <x:col min="16218" max="16218" width="8.83203125" hidden="0" customWidth="1"/>
    <x:col min="16219" max="16219" width="8.83203125" hidden="0" customWidth="1"/>
    <x:col min="16220" max="16220" width="8.83203125" hidden="0" customWidth="1"/>
    <x:col min="16221" max="16221" width="8.83203125" hidden="0" customWidth="1"/>
    <x:col min="16222" max="16222" width="8.83203125" hidden="0" customWidth="1"/>
    <x:col min="16223" max="16223" width="8.83203125" hidden="0" customWidth="1"/>
    <x:col min="16224" max="16224" width="8.83203125" hidden="0" customWidth="1"/>
    <x:col min="16225" max="16225" width="8.83203125" hidden="0" customWidth="1"/>
    <x:col min="16226" max="16226" width="8.83203125" hidden="0" customWidth="1"/>
    <x:col min="16227" max="16227" width="8.83203125" hidden="0" customWidth="1"/>
    <x:col min="16228" max="16228" width="8.83203125" hidden="0" customWidth="1"/>
    <x:col min="16229" max="16229" width="8.83203125" hidden="0" customWidth="1"/>
    <x:col min="16230" max="16230" width="8.83203125" hidden="0" customWidth="1"/>
    <x:col min="16231" max="16231" width="8.83203125" hidden="0" customWidth="1"/>
    <x:col min="16232" max="16232" width="8.83203125" hidden="0" customWidth="1"/>
    <x:col min="16233" max="16233" width="8.83203125" hidden="0" customWidth="1"/>
    <x:col min="16234" max="16234" width="8.83203125" hidden="0" customWidth="1"/>
    <x:col min="16235" max="16235" width="8.83203125" hidden="0" customWidth="1"/>
    <x:col min="16236" max="16236" width="8.83203125" hidden="0" customWidth="1"/>
    <x:col min="16237" max="16237" width="8.83203125" hidden="0" customWidth="1"/>
    <x:col min="16238" max="16238" width="8.83203125" hidden="0" customWidth="1"/>
    <x:col min="16239" max="16239" width="8.83203125" hidden="0" customWidth="1"/>
    <x:col min="16240" max="16240" width="8.83203125" hidden="0" customWidth="1"/>
    <x:col min="16241" max="16241" width="8.83203125" hidden="0" customWidth="1"/>
    <x:col min="16242" max="16242" width="8.83203125" hidden="0" customWidth="1"/>
    <x:col min="16243" max="16243" width="8.83203125" hidden="0" customWidth="1"/>
    <x:col min="16244" max="16244" width="8.83203125" hidden="0" customWidth="1"/>
    <x:col min="16245" max="16245" width="8.83203125" hidden="0" customWidth="1"/>
    <x:col min="16246" max="16246" width="8.83203125" hidden="0" customWidth="1"/>
    <x:col min="16247" max="16247" width="8.83203125" hidden="0" customWidth="1"/>
    <x:col min="16248" max="16248" width="8.83203125" hidden="0" customWidth="1"/>
    <x:col min="16249" max="16249" width="8.83203125" hidden="0" customWidth="1"/>
    <x:col min="16250" max="16250" width="8.83203125" hidden="0" customWidth="1"/>
    <x:col min="16251" max="16251" width="8.83203125" hidden="0" customWidth="1"/>
    <x:col min="16252" max="16252" width="8.83203125" hidden="0" customWidth="1"/>
    <x:col min="16253" max="16253" width="8.83203125" hidden="0" customWidth="1"/>
    <x:col min="16254" max="16254" width="8.83203125" hidden="0" customWidth="1"/>
    <x:col min="16255" max="16255" width="8.83203125" hidden="0" customWidth="1"/>
    <x:col min="16256" max="16256" width="8.83203125" hidden="0" customWidth="1"/>
    <x:col min="16257" max="16257" width="8.83203125" hidden="0" customWidth="1"/>
    <x:col min="16258" max="16258" width="8.83203125" hidden="0" customWidth="1"/>
    <x:col min="16259" max="16259" width="8.83203125" hidden="0" customWidth="1"/>
    <x:col min="16260" max="16260" width="8.83203125" hidden="0" customWidth="1"/>
    <x:col min="16261" max="16261" width="8.83203125" hidden="0" customWidth="1"/>
    <x:col min="16262" max="16262" width="8.83203125" hidden="0" customWidth="1"/>
    <x:col min="16263" max="16263" width="8.83203125" hidden="0" customWidth="1"/>
    <x:col min="16264" max="16264" width="8.83203125" hidden="0" customWidth="1"/>
    <x:col min="16265" max="16265" width="8.83203125" hidden="0" customWidth="1"/>
    <x:col min="16266" max="16266" width="8.83203125" hidden="0" customWidth="1"/>
    <x:col min="16267" max="16267" width="8.83203125" hidden="0" customWidth="1"/>
    <x:col min="16268" max="16268" width="8.83203125" hidden="0" customWidth="1"/>
    <x:col min="16269" max="16269" width="8.83203125" hidden="0" customWidth="1"/>
    <x:col min="16270" max="16270" width="8.83203125" hidden="0" customWidth="1"/>
    <x:col min="16271" max="16271" width="8.83203125" hidden="0" customWidth="1"/>
    <x:col min="16272" max="16272" width="8.83203125" hidden="0" customWidth="1"/>
    <x:col min="16273" max="16273" width="8.83203125" hidden="0" customWidth="1"/>
    <x:col min="16274" max="16274" width="8.83203125" hidden="0" customWidth="1"/>
    <x:col min="16275" max="16275" width="8.83203125" hidden="0" customWidth="1"/>
    <x:col min="16276" max="16276" width="8.83203125" hidden="0" customWidth="1"/>
    <x:col min="16277" max="16277" width="8.83203125" hidden="0" customWidth="1"/>
    <x:col min="16278" max="16278" width="8.83203125" hidden="0" customWidth="1"/>
    <x:col min="16279" max="16279" width="8.83203125" hidden="0" customWidth="1"/>
    <x:col min="16280" max="16280" width="8.83203125" hidden="0" customWidth="1"/>
    <x:col min="16281" max="16281" width="8.83203125" hidden="0" customWidth="1"/>
    <x:col min="16282" max="16282" width="8.83203125" hidden="0" customWidth="1"/>
    <x:col min="16283" max="16283" width="8.83203125" hidden="0" customWidth="1"/>
    <x:col min="16284" max="16284" width="8.83203125" hidden="0" customWidth="1"/>
    <x:col min="16285" max="16285" width="8.83203125" hidden="0" customWidth="1"/>
    <x:col min="16286" max="16286" width="8.83203125" hidden="0" customWidth="1"/>
    <x:col min="16287" max="16287" width="8.83203125" hidden="0" customWidth="1"/>
    <x:col min="16288" max="16288" width="8.83203125" hidden="0" customWidth="1"/>
    <x:col min="16289" max="16289" width="8.83203125" hidden="0" customWidth="1"/>
    <x:col min="16290" max="16290" width="8.83203125" hidden="0" customWidth="1"/>
    <x:col min="16291" max="16291" width="8.83203125" hidden="0" customWidth="1"/>
    <x:col min="16292" max="16292" width="8.83203125" hidden="0" customWidth="1"/>
    <x:col min="16293" max="16293" width="8.83203125" hidden="0" customWidth="1"/>
    <x:col min="16294" max="16294" width="8.83203125" hidden="0" customWidth="1"/>
    <x:col min="16295" max="16295" width="8.83203125" hidden="0" customWidth="1"/>
    <x:col min="16296" max="16296" width="8.83203125" hidden="0" customWidth="1"/>
    <x:col min="16297" max="16297" width="8.83203125" hidden="0" customWidth="1"/>
    <x:col min="16298" max="16298" width="8.83203125" hidden="0" customWidth="1"/>
    <x:col min="16299" max="16299" width="8.83203125" hidden="0" customWidth="1"/>
    <x:col min="16300" max="16300" width="8.83203125" hidden="0" customWidth="1"/>
    <x:col min="16301" max="16301" width="8.83203125" hidden="0" customWidth="1"/>
    <x:col min="16302" max="16302" width="8.83203125" hidden="0" customWidth="1"/>
    <x:col min="16303" max="16303" width="8.83203125" hidden="0" customWidth="1"/>
    <x:col min="16304" max="16304" width="8.83203125" hidden="0" customWidth="1"/>
    <x:col min="16305" max="16305" width="8.83203125" hidden="0" customWidth="1"/>
    <x:col min="16306" max="16306" width="8.83203125" hidden="0" customWidth="1"/>
    <x:col min="16307" max="16307" width="8.83203125" hidden="0" customWidth="1"/>
    <x:col min="16308" max="16308" width="8.83203125" hidden="0" customWidth="1"/>
    <x:col min="16309" max="16309" width="8.83203125" hidden="0" customWidth="1"/>
    <x:col min="16310" max="16310" width="8.83203125" hidden="0" customWidth="1"/>
    <x:col min="16311" max="16311" width="8.83203125" hidden="0" customWidth="1"/>
    <x:col min="16312" max="16312" width="8.83203125" hidden="0" customWidth="1"/>
    <x:col min="16313" max="16313" width="8.83203125" hidden="0" customWidth="1"/>
    <x:col min="16314" max="16314" width="8.83203125" hidden="0" customWidth="1"/>
    <x:col min="16315" max="16315" width="8.83203125" hidden="0" customWidth="1"/>
    <x:col min="16316" max="16316" width="8.83203125" hidden="0" customWidth="1"/>
    <x:col min="16317" max="16317" width="8.83203125" hidden="0" customWidth="1"/>
    <x:col min="16318" max="16318" width="8.83203125" hidden="0" customWidth="1"/>
    <x:col min="16319" max="16319" width="8.83203125" hidden="0" customWidth="1"/>
    <x:col min="16320" max="16320" width="8.83203125" hidden="0" customWidth="1"/>
    <x:col min="16321" max="16321" width="8.83203125" hidden="0" customWidth="1"/>
    <x:col min="16322" max="16322" width="8.83203125" hidden="0" customWidth="1"/>
    <x:col min="16323" max="16323" width="8.83203125" hidden="0" customWidth="1"/>
    <x:col min="16324" max="16324" width="8.83203125" hidden="0" customWidth="1"/>
    <x:col min="16325" max="16325" width="8.83203125" hidden="0" customWidth="1"/>
    <x:col min="16326" max="16326" width="8.83203125" hidden="0" customWidth="1"/>
    <x:col min="16327" max="16327" width="8.83203125" hidden="0" customWidth="1"/>
    <x:col min="16328" max="16328" width="8.83203125" hidden="0" customWidth="1"/>
    <x:col min="16329" max="16329" width="8.83203125" hidden="0" customWidth="1"/>
    <x:col min="16330" max="16330" width="8.83203125" hidden="0" customWidth="1"/>
    <x:col min="16331" max="16331" width="8.83203125" hidden="0" customWidth="1"/>
    <x:col min="16332" max="16332" width="8.83203125" hidden="0" customWidth="1"/>
    <x:col min="16333" max="16333" width="8.83203125" hidden="0" customWidth="1"/>
    <x:col min="16334" max="16334" width="8.83203125" hidden="0" customWidth="1"/>
    <x:col min="16335" max="16335" width="8.83203125" hidden="0" customWidth="1"/>
    <x:col min="16336" max="16336" width="8.83203125" hidden="0" customWidth="1"/>
    <x:col min="16337" max="16337" width="8.83203125" hidden="0" customWidth="1"/>
    <x:col min="16338" max="16338" width="8.83203125" hidden="0" customWidth="1"/>
    <x:col min="16339" max="16339" width="8.83203125" hidden="0" customWidth="1"/>
    <x:col min="16340" max="16340" width="8.83203125" hidden="0" customWidth="1"/>
    <x:col min="16341" max="16341" width="8.83203125" hidden="0" customWidth="1"/>
    <x:col min="16342" max="16342" width="8.83203125" hidden="0" customWidth="1"/>
    <x:col min="16343" max="16343" width="8.83203125" hidden="0" customWidth="1"/>
    <x:col min="16344" max="16344" width="8.83203125" hidden="0" customWidth="1"/>
    <x:col min="16345" max="16345" width="8.83203125" hidden="0" customWidth="1"/>
    <x:col min="16346" max="16346" width="8.83203125" hidden="0" customWidth="1"/>
    <x:col min="16347" max="16347" width="8.83203125" hidden="0" customWidth="1"/>
    <x:col min="16348" max="16348" width="8.83203125" hidden="0" customWidth="1"/>
    <x:col min="16349" max="16349" width="8.83203125" hidden="0" customWidth="1"/>
    <x:col min="16350" max="16350" width="8.83203125" hidden="0" customWidth="1"/>
    <x:col min="16351" max="16351" width="8.83203125" hidden="0" customWidth="1"/>
    <x:col min="16352" max="16352" width="8.83203125" hidden="0" customWidth="1"/>
    <x:col min="16353" max="16353" width="8.83203125" hidden="0" customWidth="1"/>
    <x:col min="16354" max="16354" width="8.83203125" hidden="0" customWidth="1"/>
    <x:col min="16355" max="16355" width="8.83203125" hidden="0" customWidth="1"/>
    <x:col min="16356" max="16356" width="8.83203125" hidden="0" customWidth="1"/>
    <x:col min="16357" max="16357" width="8.83203125" hidden="0" customWidth="1"/>
    <x:col min="16358" max="16358" width="8.83203125" hidden="0" customWidth="1"/>
    <x:col min="16359" max="16359" width="8.83203125" hidden="0" customWidth="1"/>
    <x:col min="16360" max="16360" width="8.83203125" hidden="0" customWidth="1"/>
    <x:col min="16361" max="16361" width="8.83203125" hidden="0" customWidth="1"/>
    <x:col min="16362" max="16362" width="8.83203125" hidden="0" customWidth="1"/>
    <x:col min="16363" max="16363" width="8.83203125" hidden="0" customWidth="1"/>
    <x:col min="16364" max="16364" width="8.83203125" hidden="0" customWidth="1"/>
    <x:col min="16365" max="16365" width="8.83203125" hidden="0" customWidth="1"/>
    <x:col min="16366" max="16366" width="8.83203125" hidden="0" customWidth="1"/>
    <x:col min="16367" max="16367" width="8.83203125" hidden="0" customWidth="1"/>
    <x:col min="16368" max="16368" width="8.83203125" hidden="0" customWidth="1"/>
    <x:col min="16369" max="16369" width="8.83203125" hidden="0" customWidth="1"/>
    <x:col min="16370" max="16370" width="8.83203125" hidden="0" customWidth="1"/>
    <x:col min="16371" max="16371" width="8.83203125" hidden="0" customWidth="1"/>
    <x:col min="16372" max="16372" width="8.83203125" hidden="0" customWidth="1"/>
    <x:col min="16373" max="16373" width="8.83203125" hidden="0" customWidth="1"/>
    <x:col min="16374" max="16374" width="8.83203125" hidden="0" customWidth="1"/>
    <x:col min="16375" max="16375" width="8.83203125" hidden="0" customWidth="1"/>
    <x:col min="16376" max="16376" width="8.83203125" hidden="0" customWidth="1"/>
    <x:col min="16377" max="16377" width="8.83203125" hidden="0" customWidth="1"/>
    <x:col min="16378" max="16378" width="8.83203125" hidden="0" customWidth="1"/>
    <x:col min="16379" max="16379" width="8.83203125" hidden="0" customWidth="1"/>
    <x:col min="16380" max="16380" width="8.83203125" hidden="0" customWidth="1"/>
    <x:col min="16381" max="16381" width="8.83203125" hidden="0" customWidth="1"/>
    <x:col min="16382" max="16382" width="8.83203125" hidden="0" customWidth="1"/>
    <x:col min="16383" max="16383" width="8.83203125" hidden="0" customWidth="1"/>
    <x:col min="16384" max="16384" width="8.83203125" hidden="0" customWidth="1"/>
  </x:cols>
  <x:sheetData>
    <x:row r="1" ht="30" customHeight="1">
      <x:c r="A1" s="5" t="inlineStr">
        <x:is>
          <x:t xml:space="preserve">DCA Script Marker — DCA State Template</x:t>
        </x:is>
      </x:c>
      <x:c r="B1"/>
      <x:c r="C1"/>
      <x:c r="D1"/>
      <x:c r="E1"/>
      <x:c r="F1"/>
      <x:c r="G1"/>
      <x:c r="H1"/>
      <x:c r="I1"/>
      <x:c r="J1"/>
      <x:c r="K1"/>
      <x:c r="L1"/>
      <x:c r="M1"/>
      <x:c r="N1"/>
      <x:c r="O1"/>
      <x:c r="P1"/>
      <x:c r="Q1"/>
      <x:c r="R1"/>
      <x:c r="S1"/>
    </x:row>
    <x:row r="2" ht="42" customHeight="1">
      <x:c r="A2" s="86" t="str">
        <x:v>Page Hint = printed script page; if none is printed, use the PDF page position. Selected-page ranges in the app always use PDF page positions. Performer / Role Mapping is optional and belongs in Character List. MALE ENSEMBLE can be entered as an ordinary DCA Name. / Page Hint = 剧本内印刷页码；没有印刷页码时才使用 PDF 顺序页码。软件中的指定页码范围始终使用 PDF 顺序页码。演员／角色对应关系为可选项，填写在 Character List。MALE ENSEMBLE 可直接作为普通 DCA Name 使用。</x:v>
      </x:c>
      <x:c r="B2"/>
      <x:c r="C2"/>
      <x:c r="D2"/>
      <x:c r="E2"/>
      <x:c r="F2"/>
      <x:c r="G2"/>
      <x:c r="H2"/>
      <x:c r="I2"/>
      <x:c r="J2"/>
      <x:c r="K2"/>
      <x:c r="L2"/>
      <x:c r="M2"/>
      <x:c r="N2"/>
      <x:c r="O2"/>
      <x:c r="P2"/>
      <x:c r="Q2"/>
      <x:c r="R2"/>
      <x:c r="S2"/>
    </x:row>
    <x:row r="3">
      <x:c r="A3"/>
      <x:c r="B3"/>
      <x:c r="C3"/>
      <x:c r="D3"/>
      <x:c r="E3"/>
      <x:c r="F3"/>
      <x:c r="G3"/>
      <x:c r="H3"/>
      <x:c r="I3"/>
      <x:c r="J3"/>
      <x:c r="K3"/>
      <x:c r="L3"/>
      <x:c r="M3"/>
      <x:c r="N3"/>
      <x:c r="O3"/>
      <x:c r="P3"/>
      <x:c r="Q3"/>
      <x:c r="R3"/>
    </x:row>
    <x:row r="4" ht="28" customHeight="1">
      <x:c r="A4" s="89" t="inlineStr">
        <x:is>
          <x:t xml:space="preserve">DCA State</x:t>
        </x:is>
      </x:c>
      <x:c r="B4" s="89" t="inlineStr">
        <x:is>
          <x:t xml:space="preserve">Start Line Character</x:t>
        </x:is>
      </x:c>
      <x:c r="C4" s="89" t="inlineStr">
        <x:is>
          <x:t xml:space="preserve">Start Line Text</x:t>
        </x:is>
      </x:c>
      <x:c r="D4" s="89" t="inlineStr">
        <x:is>
          <x:t xml:space="preserve">State Start Position</x:t>
        </x:is>
      </x:c>
      <x:c r="E4" s="89" t="inlineStr">
        <x:is>
          <x:t xml:space="preserve">Page Hint</x:t>
        </x:is>
      </x:c>
      <x:c r="F4" s="89" t="inlineStr">
        <x:is>
          <x:t xml:space="preserve">DCA 1</x:t>
        </x:is>
      </x:c>
      <x:c r="G4" s="89" t="inlineStr">
        <x:is>
          <x:t xml:space="preserve">DCA 2</x:t>
        </x:is>
      </x:c>
      <x:c r="H4" s="89" t="inlineStr">
        <x:is>
          <x:t xml:space="preserve">DCA 3</x:t>
        </x:is>
      </x:c>
      <x:c r="I4" s="89" t="inlineStr">
        <x:is>
          <x:t xml:space="preserve">DCA 4</x:t>
        </x:is>
      </x:c>
      <x:c r="J4" s="89" t="inlineStr">
        <x:is>
          <x:t xml:space="preserve">DCA 5</x:t>
        </x:is>
      </x:c>
      <x:c r="K4" s="89" t="inlineStr">
        <x:is>
          <x:t xml:space="preserve">DCA 6</x:t>
        </x:is>
      </x:c>
      <x:c r="L4" s="89" t="inlineStr">
        <x:is>
          <x:t xml:space="preserve">DCA 7</x:t>
        </x:is>
      </x:c>
      <x:c r="M4" s="89" t="inlineStr">
        <x:is>
          <x:t xml:space="preserve">DCA 8</x:t>
        </x:is>
      </x:c>
      <x:c r="N4" s="89" t="inlineStr">
        <x:is>
          <x:t xml:space="preserve">DCA 9</x:t>
        </x:is>
      </x:c>
      <x:c r="O4" s="89" t="inlineStr">
        <x:is>
          <x:t xml:space="preserve">DCA 10</x:t>
        </x:is>
      </x:c>
      <x:c r="P4" s="89" t="inlineStr">
        <x:is>
          <x:t xml:space="preserve">DCA 11</x:t>
        </x:is>
      </x:c>
      <x:c r="Q4" s="89" t="inlineStr">
        <x:is>
          <x:t xml:space="preserve">DCA 12</x:t>
        </x:is>
      </x:c>
      <x:c r="R4" s="89" t="inlineStr">
        <x:is>
          <x:t xml:space="preserve">Notes</x:t>
        </x:is>
      </x:c>
    </x:row>
    <x:row r="5" ht="15" customHeight="1">
      <x:c r="A5" s="94"/>
      <x:c r="B5" s="99"/>
      <x:c r="C5" s="99"/>
      <x:c r="D5" s="99"/>
      <x:c r="E5" s="101"/>
      <x:c r="F5" s="106"/>
      <x:c r="G5" s="106"/>
      <x:c r="H5" s="106"/>
      <x:c r="I5" s="106"/>
      <x:c r="J5" s="106"/>
      <x:c r="K5" s="106"/>
      <x:c r="L5" s="106"/>
      <x:c r="M5" s="106"/>
      <x:c r="N5" s="106"/>
      <x:c r="O5" s="106"/>
      <x:c r="P5" s="106"/>
      <x:c r="Q5" s="106"/>
      <x:c r="R5" s="99"/>
    </x:row>
    <x:row r="6" ht="15" customHeight="1">
      <x:c r="A6" s="94"/>
      <x:c r="B6" s="99"/>
      <x:c r="C6" s="99"/>
      <x:c r="D6" s="99"/>
      <x:c r="E6" s="101"/>
      <x:c r="F6" s="106"/>
      <x:c r="G6" s="106"/>
      <x:c r="H6" s="106"/>
      <x:c r="I6" s="106"/>
      <x:c r="J6" s="106"/>
      <x:c r="K6" s="106"/>
      <x:c r="L6" s="106"/>
      <x:c r="M6" s="106"/>
      <x:c r="N6" s="106"/>
      <x:c r="O6" s="106"/>
      <x:c r="P6" s="106"/>
      <x:c r="Q6" s="106"/>
      <x:c r="R6" s="99"/>
    </x:row>
    <x:row r="7" ht="15" customHeight="1">
      <x:c r="A7" s="94"/>
      <x:c r="B7" s="99"/>
      <x:c r="C7" s="99"/>
      <x:c r="D7" s="99"/>
      <x:c r="E7" s="101"/>
      <x:c r="F7" s="106"/>
      <x:c r="G7" s="106"/>
      <x:c r="H7" s="106"/>
      <x:c r="I7" s="106"/>
      <x:c r="J7" s="106"/>
      <x:c r="K7" s="106"/>
      <x:c r="L7" s="106"/>
      <x:c r="M7" s="106"/>
      <x:c r="N7" s="106"/>
      <x:c r="O7" s="106"/>
      <x:c r="P7" s="106"/>
      <x:c r="Q7" s="106"/>
      <x:c r="R7" s="99"/>
    </x:row>
    <x:row r="8" ht="15" customHeight="1">
      <x:c r="A8" s="94"/>
      <x:c r="B8" s="99"/>
      <x:c r="C8" s="99"/>
      <x:c r="D8" s="99"/>
      <x:c r="E8" s="101"/>
      <x:c r="F8" s="106"/>
      <x:c r="G8" s="106"/>
      <x:c r="H8" s="106"/>
      <x:c r="I8" s="106"/>
      <x:c r="J8" s="106"/>
      <x:c r="K8" s="106"/>
      <x:c r="L8" s="106"/>
      <x:c r="M8" s="106"/>
      <x:c r="N8" s="106"/>
      <x:c r="O8" s="106"/>
      <x:c r="P8" s="106"/>
      <x:c r="Q8" s="106"/>
      <x:c r="R8" s="99"/>
    </x:row>
    <x:row r="9" ht="15" customHeight="1">
      <x:c r="A9" s="94"/>
      <x:c r="B9" s="99"/>
      <x:c r="C9" s="99"/>
      <x:c r="D9" s="99"/>
      <x:c r="E9" s="101"/>
      <x:c r="F9" s="106"/>
      <x:c r="G9" s="106"/>
      <x:c r="H9" s="106"/>
      <x:c r="I9" s="106"/>
      <x:c r="J9" s="106"/>
      <x:c r="K9" s="106"/>
      <x:c r="L9" s="106"/>
      <x:c r="M9" s="106"/>
      <x:c r="N9" s="106"/>
      <x:c r="O9" s="106"/>
      <x:c r="P9" s="106"/>
      <x:c r="Q9" s="106"/>
      <x:c r="R9" s="99"/>
    </x:row>
    <x:row r="10" ht="15" customHeight="1">
      <x:c r="A10" s="94"/>
      <x:c r="B10" s="99"/>
      <x:c r="C10" s="99"/>
      <x:c r="D10" s="99"/>
      <x:c r="E10" s="101"/>
      <x:c r="F10" s="106"/>
      <x:c r="G10" s="106"/>
      <x:c r="H10" s="106"/>
      <x:c r="I10" s="106"/>
      <x:c r="J10" s="106"/>
      <x:c r="K10" s="106"/>
      <x:c r="L10" s="106"/>
      <x:c r="M10" s="106"/>
      <x:c r="N10" s="106"/>
      <x:c r="O10" s="106"/>
      <x:c r="P10" s="106"/>
      <x:c r="Q10" s="106"/>
      <x:c r="R10" s="99"/>
    </x:row>
    <x:row r="11" ht="15" customHeight="1">
      <x:c r="A11" s="94"/>
      <x:c r="B11" s="99"/>
      <x:c r="C11" s="99"/>
      <x:c r="D11" s="99"/>
      <x:c r="E11" s="101"/>
      <x:c r="F11" s="106"/>
      <x:c r="G11" s="106"/>
      <x:c r="H11" s="106"/>
      <x:c r="I11" s="106"/>
      <x:c r="J11" s="106"/>
      <x:c r="K11" s="106"/>
      <x:c r="L11" s="106"/>
      <x:c r="M11" s="106"/>
      <x:c r="N11" s="106"/>
      <x:c r="O11" s="106"/>
      <x:c r="P11" s="106"/>
      <x:c r="Q11" s="106"/>
      <x:c r="R11" s="99"/>
    </x:row>
    <x:row r="12" ht="15" customHeight="1">
      <x:c r="A12" s="94"/>
      <x:c r="B12" s="99"/>
      <x:c r="C12" s="99"/>
      <x:c r="D12" s="99"/>
      <x:c r="E12" s="101"/>
      <x:c r="F12" s="106"/>
      <x:c r="G12" s="106"/>
      <x:c r="H12" s="106"/>
      <x:c r="I12" s="106"/>
      <x:c r="J12" s="106"/>
      <x:c r="K12" s="106"/>
      <x:c r="L12" s="106"/>
      <x:c r="M12" s="106"/>
      <x:c r="N12" s="106"/>
      <x:c r="O12" s="106"/>
      <x:c r="P12" s="106"/>
      <x:c r="Q12" s="106"/>
      <x:c r="R12" s="99"/>
    </x:row>
    <x:row r="13" ht="15" customHeight="1">
      <x:c r="A13" s="94"/>
      <x:c r="B13" s="99"/>
      <x:c r="C13" s="99"/>
      <x:c r="D13" s="99"/>
      <x:c r="E13" s="101"/>
      <x:c r="F13" s="106"/>
      <x:c r="G13" s="106"/>
      <x:c r="H13" s="106"/>
      <x:c r="I13" s="106"/>
      <x:c r="J13" s="106"/>
      <x:c r="K13" s="106"/>
      <x:c r="L13" s="106"/>
      <x:c r="M13" s="106"/>
      <x:c r="N13" s="106"/>
      <x:c r="O13" s="106"/>
      <x:c r="P13" s="106"/>
      <x:c r="Q13" s="106"/>
      <x:c r="R13" s="99"/>
    </x:row>
    <x:row r="14" ht="15" customHeight="1">
      <x:c r="A14" s="94"/>
      <x:c r="B14" s="99"/>
      <x:c r="C14" s="99"/>
      <x:c r="D14" s="99"/>
      <x:c r="E14" s="101"/>
      <x:c r="F14" s="106"/>
      <x:c r="G14" s="106"/>
      <x:c r="H14" s="106"/>
      <x:c r="I14" s="106"/>
      <x:c r="J14" s="106"/>
      <x:c r="K14" s="106"/>
      <x:c r="L14" s="106"/>
      <x:c r="M14" s="106"/>
      <x:c r="N14" s="106"/>
      <x:c r="O14" s="106"/>
      <x:c r="P14" s="106"/>
      <x:c r="Q14" s="106"/>
      <x:c r="R14" s="99"/>
    </x:row>
    <x:row r="15" ht="15" customHeight="1">
      <x:c r="A15" s="94"/>
      <x:c r="B15" s="99"/>
      <x:c r="C15" s="99"/>
      <x:c r="D15" s="99"/>
      <x:c r="E15" s="101"/>
      <x:c r="F15" s="106"/>
      <x:c r="G15" s="106"/>
      <x:c r="H15" s="106"/>
      <x:c r="I15" s="106"/>
      <x:c r="J15" s="106"/>
      <x:c r="K15" s="106"/>
      <x:c r="L15" s="106"/>
      <x:c r="M15" s="106"/>
      <x:c r="N15" s="106"/>
      <x:c r="O15" s="106"/>
      <x:c r="P15" s="106"/>
      <x:c r="Q15" s="106"/>
      <x:c r="R15" s="99"/>
    </x:row>
    <x:row r="16" ht="15" customHeight="1">
      <x:c r="A16" s="94"/>
      <x:c r="B16" s="99"/>
      <x:c r="C16" s="99"/>
      <x:c r="D16" s="99"/>
      <x:c r="E16" s="101"/>
      <x:c r="F16" s="106"/>
      <x:c r="G16" s="106"/>
      <x:c r="H16" s="106"/>
      <x:c r="I16" s="106"/>
      <x:c r="J16" s="106"/>
      <x:c r="K16" s="106"/>
      <x:c r="L16" s="106"/>
      <x:c r="M16" s="106"/>
      <x:c r="N16" s="106"/>
      <x:c r="O16" s="106"/>
      <x:c r="P16" s="106"/>
      <x:c r="Q16" s="106"/>
      <x:c r="R16" s="99"/>
    </x:row>
    <x:row r="17" ht="15" customHeight="1">
      <x:c r="A17" s="94"/>
      <x:c r="B17" s="99"/>
      <x:c r="C17" s="99"/>
      <x:c r="D17" s="99"/>
      <x:c r="E17" s="101"/>
      <x:c r="F17" s="106"/>
      <x:c r="G17" s="106"/>
      <x:c r="H17" s="106"/>
      <x:c r="I17" s="106"/>
      <x:c r="J17" s="106"/>
      <x:c r="K17" s="106"/>
      <x:c r="L17" s="106"/>
      <x:c r="M17" s="106"/>
      <x:c r="N17" s="106"/>
      <x:c r="O17" s="106"/>
      <x:c r="P17" s="106"/>
      <x:c r="Q17" s="106"/>
      <x:c r="R17" s="99"/>
    </x:row>
    <x:row r="18" ht="15" customHeight="1">
      <x:c r="A18" s="94"/>
      <x:c r="B18" s="99"/>
      <x:c r="C18" s="99"/>
      <x:c r="D18" s="99"/>
      <x:c r="E18" s="101"/>
      <x:c r="F18" s="106"/>
      <x:c r="G18" s="106"/>
      <x:c r="H18" s="106"/>
      <x:c r="I18" s="106"/>
      <x:c r="J18" s="106"/>
      <x:c r="K18" s="106"/>
      <x:c r="L18" s="106"/>
      <x:c r="M18" s="106"/>
      <x:c r="N18" s="106"/>
      <x:c r="O18" s="106"/>
      <x:c r="P18" s="106"/>
      <x:c r="Q18" s="106"/>
      <x:c r="R18" s="99"/>
    </x:row>
    <x:row r="19" ht="15" customHeight="1">
      <x:c r="A19" s="94"/>
      <x:c r="B19" s="99"/>
      <x:c r="C19" s="99"/>
      <x:c r="D19" s="99"/>
      <x:c r="E19" s="101"/>
      <x:c r="F19" s="106"/>
      <x:c r="G19" s="106"/>
      <x:c r="H19" s="106"/>
      <x:c r="I19" s="106"/>
      <x:c r="J19" s="106"/>
      <x:c r="K19" s="106"/>
      <x:c r="L19" s="106"/>
      <x:c r="M19" s="106"/>
      <x:c r="N19" s="106"/>
      <x:c r="O19" s="106"/>
      <x:c r="P19" s="106"/>
      <x:c r="Q19" s="106"/>
      <x:c r="R19" s="99"/>
    </x:row>
    <x:row r="20" ht="15" customHeight="1">
      <x:c r="A20" s="94"/>
      <x:c r="B20" s="99"/>
      <x:c r="C20" s="99"/>
      <x:c r="D20" s="99"/>
      <x:c r="E20" s="101"/>
      <x:c r="F20" s="106"/>
      <x:c r="G20" s="106"/>
      <x:c r="H20" s="106"/>
      <x:c r="I20" s="106"/>
      <x:c r="J20" s="106"/>
      <x:c r="K20" s="106"/>
      <x:c r="L20" s="106"/>
      <x:c r="M20" s="106"/>
      <x:c r="N20" s="106"/>
      <x:c r="O20" s="106"/>
      <x:c r="P20" s="106"/>
      <x:c r="Q20" s="106"/>
      <x:c r="R20" s="99"/>
    </x:row>
    <x:row r="21" ht="15" customHeight="1">
      <x:c r="A21" s="94"/>
      <x:c r="B21" s="99"/>
      <x:c r="C21" s="99"/>
      <x:c r="D21" s="99"/>
      <x:c r="E21" s="101"/>
      <x:c r="F21" s="106"/>
      <x:c r="G21" s="106"/>
      <x:c r="H21" s="106"/>
      <x:c r="I21" s="106"/>
      <x:c r="J21" s="106"/>
      <x:c r="K21" s="106"/>
      <x:c r="L21" s="106"/>
      <x:c r="M21" s="106"/>
      <x:c r="N21" s="106"/>
      <x:c r="O21" s="106"/>
      <x:c r="P21" s="106"/>
      <x:c r="Q21" s="106"/>
      <x:c r="R21" s="99"/>
    </x:row>
    <x:row r="22" ht="15" customHeight="1">
      <x:c r="A22" s="94"/>
      <x:c r="B22" s="99"/>
      <x:c r="C22" s="99"/>
      <x:c r="D22" s="99"/>
      <x:c r="E22" s="101"/>
      <x:c r="F22" s="106"/>
      <x:c r="G22" s="106"/>
      <x:c r="H22" s="106"/>
      <x:c r="I22" s="106"/>
      <x:c r="J22" s="106"/>
      <x:c r="K22" s="106"/>
      <x:c r="L22" s="106"/>
      <x:c r="M22" s="106"/>
      <x:c r="N22" s="106"/>
      <x:c r="O22" s="106"/>
      <x:c r="P22" s="106"/>
      <x:c r="Q22" s="106"/>
      <x:c r="R22" s="99"/>
    </x:row>
    <x:row r="23" ht="15" customHeight="1">
      <x:c r="A23" s="94"/>
      <x:c r="B23" s="99"/>
      <x:c r="C23" s="99"/>
      <x:c r="D23" s="99"/>
      <x:c r="E23" s="101"/>
      <x:c r="F23" s="106"/>
      <x:c r="G23" s="106"/>
      <x:c r="H23" s="106"/>
      <x:c r="I23" s="106"/>
      <x:c r="J23" s="106"/>
      <x:c r="K23" s="106"/>
      <x:c r="L23" s="106"/>
      <x:c r="M23" s="106"/>
      <x:c r="N23" s="106"/>
      <x:c r="O23" s="106"/>
      <x:c r="P23" s="106"/>
      <x:c r="Q23" s="106"/>
      <x:c r="R23" s="99"/>
    </x:row>
    <x:row r="24" ht="15" customHeight="1">
      <x:c r="A24" s="94"/>
      <x:c r="B24" s="99"/>
      <x:c r="C24" s="99"/>
      <x:c r="D24" s="99"/>
      <x:c r="E24" s="101"/>
      <x:c r="F24" s="106"/>
      <x:c r="G24" s="106"/>
      <x:c r="H24" s="106"/>
      <x:c r="I24" s="106"/>
      <x:c r="J24" s="106"/>
      <x:c r="K24" s="106"/>
      <x:c r="L24" s="106"/>
      <x:c r="M24" s="106"/>
      <x:c r="N24" s="106"/>
      <x:c r="O24" s="106"/>
      <x:c r="P24" s="106"/>
      <x:c r="Q24" s="106"/>
      <x:c r="R24" s="99"/>
    </x:row>
    <x:row r="25" ht="15" customHeight="1">
      <x:c r="A25" s="94"/>
      <x:c r="B25" s="99"/>
      <x:c r="C25" s="99"/>
      <x:c r="D25" s="99"/>
      <x:c r="E25" s="101"/>
      <x:c r="F25" s="106"/>
      <x:c r="G25" s="106"/>
      <x:c r="H25" s="106"/>
      <x:c r="I25" s="106"/>
      <x:c r="J25" s="106"/>
      <x:c r="K25" s="106"/>
      <x:c r="L25" s="106"/>
      <x:c r="M25" s="106"/>
      <x:c r="N25" s="106"/>
      <x:c r="O25" s="106"/>
      <x:c r="P25" s="106"/>
      <x:c r="Q25" s="106"/>
      <x:c r="R25" s="99"/>
    </x:row>
    <x:row r="26" ht="15" customHeight="1">
      <x:c r="A26" s="94"/>
      <x:c r="B26" s="99"/>
      <x:c r="C26" s="99"/>
      <x:c r="D26" s="99"/>
      <x:c r="E26" s="101"/>
      <x:c r="F26" s="106"/>
      <x:c r="G26" s="106"/>
      <x:c r="H26" s="106"/>
      <x:c r="I26" s="106"/>
      <x:c r="J26" s="106"/>
      <x:c r="K26" s="106"/>
      <x:c r="L26" s="106"/>
      <x:c r="M26" s="106"/>
      <x:c r="N26" s="106"/>
      <x:c r="O26" s="106"/>
      <x:c r="P26" s="106"/>
      <x:c r="Q26" s="106"/>
      <x:c r="R26" s="99"/>
    </x:row>
    <x:row r="27" ht="15" customHeight="1">
      <x:c r="A27" s="94"/>
      <x:c r="B27" s="99"/>
      <x:c r="C27" s="99"/>
      <x:c r="D27" s="99"/>
      <x:c r="E27" s="101"/>
      <x:c r="F27" s="106"/>
      <x:c r="G27" s="106"/>
      <x:c r="H27" s="106"/>
      <x:c r="I27" s="106"/>
      <x:c r="J27" s="106"/>
      <x:c r="K27" s="106"/>
      <x:c r="L27" s="106"/>
      <x:c r="M27" s="106"/>
      <x:c r="N27" s="106"/>
      <x:c r="O27" s="106"/>
      <x:c r="P27" s="106"/>
      <x:c r="Q27" s="106"/>
      <x:c r="R27" s="99"/>
    </x:row>
    <x:row r="28" ht="15" customHeight="1">
      <x:c r="A28" s="94"/>
      <x:c r="B28" s="99"/>
      <x:c r="C28" s="99"/>
      <x:c r="D28" s="99"/>
      <x:c r="E28" s="101"/>
      <x:c r="F28" s="106"/>
      <x:c r="G28" s="106"/>
      <x:c r="H28" s="106"/>
      <x:c r="I28" s="106"/>
      <x:c r="J28" s="106"/>
      <x:c r="K28" s="106"/>
      <x:c r="L28" s="106"/>
      <x:c r="M28" s="106"/>
      <x:c r="N28" s="106"/>
      <x:c r="O28" s="106"/>
      <x:c r="P28" s="106"/>
      <x:c r="Q28" s="106"/>
      <x:c r="R28" s="99"/>
    </x:row>
    <x:row r="29" ht="15" customHeight="1">
      <x:c r="A29" s="94"/>
      <x:c r="B29" s="99"/>
      <x:c r="C29" s="99"/>
      <x:c r="D29" s="99"/>
      <x:c r="E29" s="101"/>
      <x:c r="F29" s="106"/>
      <x:c r="G29" s="106"/>
      <x:c r="H29" s="106"/>
      <x:c r="I29" s="106"/>
      <x:c r="J29" s="106"/>
      <x:c r="K29" s="106"/>
      <x:c r="L29" s="106"/>
      <x:c r="M29" s="106"/>
      <x:c r="N29" s="106"/>
      <x:c r="O29" s="106"/>
      <x:c r="P29" s="106"/>
      <x:c r="Q29" s="106"/>
      <x:c r="R29" s="99"/>
    </x:row>
    <x:row r="30" ht="15" customHeight="1">
      <x:c r="A30" s="94"/>
      <x:c r="B30" s="99"/>
      <x:c r="C30" s="99"/>
      <x:c r="D30" s="99"/>
      <x:c r="E30" s="101"/>
      <x:c r="F30" s="106"/>
      <x:c r="G30" s="106"/>
      <x:c r="H30" s="106"/>
      <x:c r="I30" s="106"/>
      <x:c r="J30" s="106"/>
      <x:c r="K30" s="106"/>
      <x:c r="L30" s="106"/>
      <x:c r="M30" s="106"/>
      <x:c r="N30" s="106"/>
      <x:c r="O30" s="106"/>
      <x:c r="P30" s="106"/>
      <x:c r="Q30" s="106"/>
      <x:c r="R30" s="99"/>
    </x:row>
    <x:row r="31" ht="15" customHeight="1">
      <x:c r="A31" s="94"/>
      <x:c r="B31" s="99"/>
      <x:c r="C31" s="99"/>
      <x:c r="D31" s="99"/>
      <x:c r="E31" s="101"/>
      <x:c r="F31" s="106"/>
      <x:c r="G31" s="106"/>
      <x:c r="H31" s="106"/>
      <x:c r="I31" s="106"/>
      <x:c r="J31" s="106"/>
      <x:c r="K31" s="106"/>
      <x:c r="L31" s="106"/>
      <x:c r="M31" s="106"/>
      <x:c r="N31" s="106"/>
      <x:c r="O31" s="106"/>
      <x:c r="P31" s="106"/>
      <x:c r="Q31" s="106"/>
      <x:c r="R31" s="99"/>
    </x:row>
    <x:row r="32" ht="15" customHeight="1">
      <x:c r="A32" s="94"/>
      <x:c r="B32" s="99"/>
      <x:c r="C32" s="99"/>
      <x:c r="D32" s="99"/>
      <x:c r="E32" s="101"/>
      <x:c r="F32" s="106"/>
      <x:c r="G32" s="106"/>
      <x:c r="H32" s="106"/>
      <x:c r="I32" s="106"/>
      <x:c r="J32" s="106"/>
      <x:c r="K32" s="106"/>
      <x:c r="L32" s="106"/>
      <x:c r="M32" s="106"/>
      <x:c r="N32" s="106"/>
      <x:c r="O32" s="106"/>
      <x:c r="P32" s="106"/>
      <x:c r="Q32" s="106"/>
      <x:c r="R32" s="99"/>
    </x:row>
    <x:row r="33" ht="15" customHeight="1">
      <x:c r="A33" s="94"/>
      <x:c r="B33" s="99"/>
      <x:c r="C33" s="99"/>
      <x:c r="D33" s="99"/>
      <x:c r="E33" s="101"/>
      <x:c r="F33" s="106"/>
      <x:c r="G33" s="106"/>
      <x:c r="H33" s="106"/>
      <x:c r="I33" s="106"/>
      <x:c r="J33" s="106"/>
      <x:c r="K33" s="106"/>
      <x:c r="L33" s="106"/>
      <x:c r="M33" s="106"/>
      <x:c r="N33" s="106"/>
      <x:c r="O33" s="106"/>
      <x:c r="P33" s="106"/>
      <x:c r="Q33" s="106"/>
      <x:c r="R33" s="99"/>
    </x:row>
    <x:row r="34" ht="15" customHeight="1">
      <x:c r="A34" s="94"/>
      <x:c r="B34" s="99"/>
      <x:c r="C34" s="99"/>
      <x:c r="D34" s="99"/>
      <x:c r="E34" s="101"/>
      <x:c r="F34" s="106"/>
      <x:c r="G34" s="106"/>
      <x:c r="H34" s="106"/>
      <x:c r="I34" s="106"/>
      <x:c r="J34" s="106"/>
      <x:c r="K34" s="106"/>
      <x:c r="L34" s="106"/>
      <x:c r="M34" s="106"/>
      <x:c r="N34" s="106"/>
      <x:c r="O34" s="106"/>
      <x:c r="P34" s="106"/>
      <x:c r="Q34" s="106"/>
      <x:c r="R34" s="99"/>
    </x:row>
    <x:row r="35" ht="15" customHeight="1">
      <x:c r="A35" s="94"/>
      <x:c r="B35" s="99"/>
      <x:c r="C35" s="99"/>
      <x:c r="D35" s="99"/>
      <x:c r="E35" s="101"/>
      <x:c r="F35" s="106"/>
      <x:c r="G35" s="106"/>
      <x:c r="H35" s="106"/>
      <x:c r="I35" s="106"/>
      <x:c r="J35" s="106"/>
      <x:c r="K35" s="106"/>
      <x:c r="L35" s="106"/>
      <x:c r="M35" s="106"/>
      <x:c r="N35" s="106"/>
      <x:c r="O35" s="106"/>
      <x:c r="P35" s="106"/>
      <x:c r="Q35" s="106"/>
      <x:c r="R35" s="99"/>
    </x:row>
    <x:row r="36" ht="15" customHeight="1">
      <x:c r="A36" s="94"/>
      <x:c r="B36" s="99"/>
      <x:c r="C36" s="99"/>
      <x:c r="D36" s="99"/>
      <x:c r="E36" s="101"/>
      <x:c r="F36" s="106"/>
      <x:c r="G36" s="106"/>
      <x:c r="H36" s="106"/>
      <x:c r="I36" s="106"/>
      <x:c r="J36" s="106"/>
      <x:c r="K36" s="106"/>
      <x:c r="L36" s="106"/>
      <x:c r="M36" s="106"/>
      <x:c r="N36" s="106"/>
      <x:c r="O36" s="106"/>
      <x:c r="P36" s="106"/>
      <x:c r="Q36" s="106"/>
      <x:c r="R36" s="99"/>
    </x:row>
    <x:row r="37" ht="15" customHeight="1">
      <x:c r="A37" s="94"/>
      <x:c r="B37" s="99"/>
      <x:c r="C37" s="99"/>
      <x:c r="D37" s="99"/>
      <x:c r="E37" s="101"/>
      <x:c r="F37" s="106"/>
      <x:c r="G37" s="106"/>
      <x:c r="H37" s="106"/>
      <x:c r="I37" s="106"/>
      <x:c r="J37" s="106"/>
      <x:c r="K37" s="106"/>
      <x:c r="L37" s="106"/>
      <x:c r="M37" s="106"/>
      <x:c r="N37" s="106"/>
      <x:c r="O37" s="106"/>
      <x:c r="P37" s="106"/>
      <x:c r="Q37" s="106"/>
      <x:c r="R37" s="99"/>
    </x:row>
    <x:row r="38" ht="15" customHeight="1">
      <x:c r="A38" s="94"/>
      <x:c r="B38" s="99"/>
      <x:c r="C38" s="99"/>
      <x:c r="D38" s="99"/>
      <x:c r="E38" s="101"/>
      <x:c r="F38" s="106"/>
      <x:c r="G38" s="106"/>
      <x:c r="H38" s="106"/>
      <x:c r="I38" s="106"/>
      <x:c r="J38" s="106"/>
      <x:c r="K38" s="106"/>
      <x:c r="L38" s="106"/>
      <x:c r="M38" s="106"/>
      <x:c r="N38" s="106"/>
      <x:c r="O38" s="106"/>
      <x:c r="P38" s="106"/>
      <x:c r="Q38" s="106"/>
      <x:c r="R38" s="99"/>
    </x:row>
    <x:row r="39" ht="15" customHeight="1">
      <x:c r="A39" s="94"/>
      <x:c r="B39" s="99"/>
      <x:c r="C39" s="99"/>
      <x:c r="D39" s="99"/>
      <x:c r="E39" s="101"/>
      <x:c r="F39" s="106"/>
      <x:c r="G39" s="106"/>
      <x:c r="H39" s="106"/>
      <x:c r="I39" s="106"/>
      <x:c r="J39" s="106"/>
      <x:c r="K39" s="106"/>
      <x:c r="L39" s="106"/>
      <x:c r="M39" s="106"/>
      <x:c r="N39" s="106"/>
      <x:c r="O39" s="106"/>
      <x:c r="P39" s="106"/>
      <x:c r="Q39" s="106"/>
      <x:c r="R39" s="99"/>
    </x:row>
    <x:row r="40" ht="15" customHeight="1">
      <x:c r="A40" s="94"/>
      <x:c r="B40" s="99"/>
      <x:c r="C40" s="99"/>
      <x:c r="D40" s="99"/>
      <x:c r="E40" s="101"/>
      <x:c r="F40" s="106"/>
      <x:c r="G40" s="106"/>
      <x:c r="H40" s="106"/>
      <x:c r="I40" s="106"/>
      <x:c r="J40" s="106"/>
      <x:c r="K40" s="106"/>
      <x:c r="L40" s="106"/>
      <x:c r="M40" s="106"/>
      <x:c r="N40" s="106"/>
      <x:c r="O40" s="106"/>
      <x:c r="P40" s="106"/>
      <x:c r="Q40" s="106"/>
      <x:c r="R40" s="99"/>
    </x:row>
    <x:row r="41" ht="15" customHeight="1">
      <x:c r="A41" s="94"/>
      <x:c r="B41" s="99"/>
      <x:c r="C41" s="99"/>
      <x:c r="D41" s="99"/>
      <x:c r="E41" s="101"/>
      <x:c r="F41" s="106"/>
      <x:c r="G41" s="106"/>
      <x:c r="H41" s="106"/>
      <x:c r="I41" s="106"/>
      <x:c r="J41" s="106"/>
      <x:c r="K41" s="106"/>
      <x:c r="L41" s="106"/>
      <x:c r="M41" s="106"/>
      <x:c r="N41" s="106"/>
      <x:c r="O41" s="106"/>
      <x:c r="P41" s="106"/>
      <x:c r="Q41" s="106"/>
      <x:c r="R41" s="99"/>
    </x:row>
    <x:row r="42" ht="15" customHeight="1">
      <x:c r="A42" s="94"/>
      <x:c r="B42" s="99"/>
      <x:c r="C42" s="99"/>
      <x:c r="D42" s="99"/>
      <x:c r="E42" s="101"/>
      <x:c r="F42" s="106"/>
      <x:c r="G42" s="106"/>
      <x:c r="H42" s="106"/>
      <x:c r="I42" s="106"/>
      <x:c r="J42" s="106"/>
      <x:c r="K42" s="106"/>
      <x:c r="L42" s="106"/>
      <x:c r="M42" s="106"/>
      <x:c r="N42" s="106"/>
      <x:c r="O42" s="106"/>
      <x:c r="P42" s="106"/>
      <x:c r="Q42" s="106"/>
      <x:c r="R42" s="99"/>
    </x:row>
    <x:row r="43" ht="15" customHeight="1">
      <x:c r="A43" s="94"/>
      <x:c r="B43" s="99"/>
      <x:c r="C43" s="99"/>
      <x:c r="D43" s="99"/>
      <x:c r="E43" s="101"/>
      <x:c r="F43" s="106"/>
      <x:c r="G43" s="106"/>
      <x:c r="H43" s="106"/>
      <x:c r="I43" s="106"/>
      <x:c r="J43" s="106"/>
      <x:c r="K43" s="106"/>
      <x:c r="L43" s="106"/>
      <x:c r="M43" s="106"/>
      <x:c r="N43" s="106"/>
      <x:c r="O43" s="106"/>
      <x:c r="P43" s="106"/>
      <x:c r="Q43" s="106"/>
      <x:c r="R43" s="99"/>
    </x:row>
    <x:row r="44" ht="15" customHeight="1">
      <x:c r="A44" s="94"/>
      <x:c r="B44" s="99"/>
      <x:c r="C44" s="99"/>
      <x:c r="D44" s="99"/>
      <x:c r="E44" s="101"/>
      <x:c r="F44" s="106"/>
      <x:c r="G44" s="106"/>
      <x:c r="H44" s="106"/>
      <x:c r="I44" s="106"/>
      <x:c r="J44" s="106"/>
      <x:c r="K44" s="106"/>
      <x:c r="L44" s="106"/>
      <x:c r="M44" s="106"/>
      <x:c r="N44" s="106"/>
      <x:c r="O44" s="106"/>
      <x:c r="P44" s="106"/>
      <x:c r="Q44" s="106"/>
      <x:c r="R44" s="99"/>
    </x:row>
    <x:row r="45" ht="15" customHeight="1">
      <x:c r="A45" s="94"/>
      <x:c r="B45" s="99"/>
      <x:c r="C45" s="99"/>
      <x:c r="D45" s="99"/>
      <x:c r="E45" s="101"/>
      <x:c r="F45" s="106"/>
      <x:c r="G45" s="106"/>
      <x:c r="H45" s="106"/>
      <x:c r="I45" s="106"/>
      <x:c r="J45" s="106"/>
      <x:c r="K45" s="106"/>
      <x:c r="L45" s="106"/>
      <x:c r="M45" s="106"/>
      <x:c r="N45" s="106"/>
      <x:c r="O45" s="106"/>
      <x:c r="P45" s="106"/>
      <x:c r="Q45" s="106"/>
      <x:c r="R45" s="99"/>
    </x:row>
    <x:row r="46" ht="15" customHeight="1">
      <x:c r="A46" s="94"/>
      <x:c r="B46" s="99"/>
      <x:c r="C46" s="99"/>
      <x:c r="D46" s="99"/>
      <x:c r="E46" s="101"/>
      <x:c r="F46" s="106"/>
      <x:c r="G46" s="106"/>
      <x:c r="H46" s="106"/>
      <x:c r="I46" s="106"/>
      <x:c r="J46" s="106"/>
      <x:c r="K46" s="106"/>
      <x:c r="L46" s="106"/>
      <x:c r="M46" s="106"/>
      <x:c r="N46" s="106"/>
      <x:c r="O46" s="106"/>
      <x:c r="P46" s="106"/>
      <x:c r="Q46" s="106"/>
      <x:c r="R46" s="99"/>
    </x:row>
    <x:row r="47" ht="15" customHeight="1">
      <x:c r="A47" s="94"/>
      <x:c r="B47" s="99"/>
      <x:c r="C47" s="99"/>
      <x:c r="D47" s="99"/>
      <x:c r="E47" s="101"/>
      <x:c r="F47" s="106"/>
      <x:c r="G47" s="106"/>
      <x:c r="H47" s="106"/>
      <x:c r="I47" s="106"/>
      <x:c r="J47" s="106"/>
      <x:c r="K47" s="106"/>
      <x:c r="L47" s="106"/>
      <x:c r="M47" s="106"/>
      <x:c r="N47" s="106"/>
      <x:c r="O47" s="106"/>
      <x:c r="P47" s="106"/>
      <x:c r="Q47" s="106"/>
      <x:c r="R47" s="99"/>
    </x:row>
    <x:row r="48" ht="15" customHeight="1">
      <x:c r="A48" s="94"/>
      <x:c r="B48" s="99"/>
      <x:c r="C48" s="99"/>
      <x:c r="D48" s="99"/>
      <x:c r="E48" s="101"/>
      <x:c r="F48" s="106"/>
      <x:c r="G48" s="106"/>
      <x:c r="H48" s="106"/>
      <x:c r="I48" s="106"/>
      <x:c r="J48" s="106"/>
      <x:c r="K48" s="106"/>
      <x:c r="L48" s="106"/>
      <x:c r="M48" s="106"/>
      <x:c r="N48" s="106"/>
      <x:c r="O48" s="106"/>
      <x:c r="P48" s="106"/>
      <x:c r="Q48" s="106"/>
      <x:c r="R48" s="99"/>
    </x:row>
    <x:row r="49" ht="15" customHeight="1">
      <x:c r="A49" s="94"/>
      <x:c r="B49" s="99"/>
      <x:c r="C49" s="99"/>
      <x:c r="D49" s="99"/>
      <x:c r="E49" s="101"/>
      <x:c r="F49" s="106"/>
      <x:c r="G49" s="106"/>
      <x:c r="H49" s="106"/>
      <x:c r="I49" s="106"/>
      <x:c r="J49" s="106"/>
      <x:c r="K49" s="106"/>
      <x:c r="L49" s="106"/>
      <x:c r="M49" s="106"/>
      <x:c r="N49" s="106"/>
      <x:c r="O49" s="106"/>
      <x:c r="P49" s="106"/>
      <x:c r="Q49" s="106"/>
      <x:c r="R49" s="99"/>
    </x:row>
    <x:row r="50" ht="15" customHeight="1">
      <x:c r="A50" s="94"/>
      <x:c r="B50" s="99"/>
      <x:c r="C50" s="99"/>
      <x:c r="D50" s="99"/>
      <x:c r="E50" s="101"/>
      <x:c r="F50" s="106"/>
      <x:c r="G50" s="106"/>
      <x:c r="H50" s="106"/>
      <x:c r="I50" s="106"/>
      <x:c r="J50" s="106"/>
      <x:c r="K50" s="106"/>
      <x:c r="L50" s="106"/>
      <x:c r="M50" s="106"/>
      <x:c r="N50" s="106"/>
      <x:c r="O50" s="106"/>
      <x:c r="P50" s="106"/>
      <x:c r="Q50" s="106"/>
      <x:c r="R50" s="99"/>
    </x:row>
    <x:row r="51" ht="15" customHeight="1">
      <x:c r="A51" s="94"/>
      <x:c r="B51" s="99"/>
      <x:c r="C51" s="99"/>
      <x:c r="D51" s="99"/>
      <x:c r="E51" s="101"/>
      <x:c r="F51" s="106"/>
      <x:c r="G51" s="106"/>
      <x:c r="H51" s="106"/>
      <x:c r="I51" s="106"/>
      <x:c r="J51" s="106"/>
      <x:c r="K51" s="106"/>
      <x:c r="L51" s="106"/>
      <x:c r="M51" s="106"/>
      <x:c r="N51" s="106"/>
      <x:c r="O51" s="106"/>
      <x:c r="P51" s="106"/>
      <x:c r="Q51" s="106"/>
      <x:c r="R51" s="99"/>
    </x:row>
    <x:row r="52" ht="15" customHeight="1">
      <x:c r="A52" s="94"/>
      <x:c r="B52" s="99"/>
      <x:c r="C52" s="99"/>
      <x:c r="D52" s="99"/>
      <x:c r="E52" s="101"/>
      <x:c r="F52" s="106"/>
      <x:c r="G52" s="106"/>
      <x:c r="H52" s="106"/>
      <x:c r="I52" s="106"/>
      <x:c r="J52" s="106"/>
      <x:c r="K52" s="106"/>
      <x:c r="L52" s="106"/>
      <x:c r="M52" s="106"/>
      <x:c r="N52" s="106"/>
      <x:c r="O52" s="106"/>
      <x:c r="P52" s="106"/>
      <x:c r="Q52" s="106"/>
      <x:c r="R52" s="99"/>
    </x:row>
    <x:row r="53" ht="15" customHeight="1">
      <x:c r="A53" s="94"/>
      <x:c r="B53" s="99"/>
      <x:c r="C53" s="99"/>
      <x:c r="D53" s="99"/>
      <x:c r="E53" s="101"/>
      <x:c r="F53" s="106"/>
      <x:c r="G53" s="106"/>
      <x:c r="H53" s="106"/>
      <x:c r="I53" s="106"/>
      <x:c r="J53" s="106"/>
      <x:c r="K53" s="106"/>
      <x:c r="L53" s="106"/>
      <x:c r="M53" s="106"/>
      <x:c r="N53" s="106"/>
      <x:c r="O53" s="106"/>
      <x:c r="P53" s="106"/>
      <x:c r="Q53" s="106"/>
      <x:c r="R53" s="99"/>
    </x:row>
    <x:row r="54" ht="15" customHeight="1">
      <x:c r="A54" s="94"/>
      <x:c r="B54" s="99"/>
      <x:c r="C54" s="99"/>
      <x:c r="D54" s="99"/>
      <x:c r="E54" s="101"/>
      <x:c r="F54" s="106"/>
      <x:c r="G54" s="106"/>
      <x:c r="H54" s="106"/>
      <x:c r="I54" s="106"/>
      <x:c r="J54" s="106"/>
      <x:c r="K54" s="106"/>
      <x:c r="L54" s="106"/>
      <x:c r="M54" s="106"/>
      <x:c r="N54" s="106"/>
      <x:c r="O54" s="106"/>
      <x:c r="P54" s="106"/>
      <x:c r="Q54" s="106"/>
      <x:c r="R54" s="99"/>
    </x:row>
    <x:row r="55" ht="15" customHeight="1">
      <x:c r="A55" s="94"/>
      <x:c r="B55" s="99"/>
      <x:c r="C55" s="99"/>
      <x:c r="D55" s="99"/>
      <x:c r="E55" s="101"/>
      <x:c r="F55" s="106"/>
      <x:c r="G55" s="106"/>
      <x:c r="H55" s="106"/>
      <x:c r="I55" s="106"/>
      <x:c r="J55" s="106"/>
      <x:c r="K55" s="106"/>
      <x:c r="L55" s="106"/>
      <x:c r="M55" s="106"/>
      <x:c r="N55" s="106"/>
      <x:c r="O55" s="106"/>
      <x:c r="P55" s="106"/>
      <x:c r="Q55" s="106"/>
      <x:c r="R55" s="99"/>
    </x:row>
    <x:row r="56" ht="15" customHeight="1">
      <x:c r="A56" s="94"/>
      <x:c r="B56" s="99"/>
      <x:c r="C56" s="99"/>
      <x:c r="D56" s="99"/>
      <x:c r="E56" s="101"/>
      <x:c r="F56" s="106"/>
      <x:c r="G56" s="106"/>
      <x:c r="H56" s="106"/>
      <x:c r="I56" s="106"/>
      <x:c r="J56" s="106"/>
      <x:c r="K56" s="106"/>
      <x:c r="L56" s="106"/>
      <x:c r="M56" s="106"/>
      <x:c r="N56" s="106"/>
      <x:c r="O56" s="106"/>
      <x:c r="P56" s="106"/>
      <x:c r="Q56" s="106"/>
      <x:c r="R56" s="99"/>
    </x:row>
    <x:row r="57" ht="15" customHeight="1">
      <x:c r="A57" s="94"/>
      <x:c r="B57" s="99"/>
      <x:c r="C57" s="99"/>
      <x:c r="D57" s="99"/>
      <x:c r="E57" s="101"/>
      <x:c r="F57" s="106"/>
      <x:c r="G57" s="106"/>
      <x:c r="H57" s="106"/>
      <x:c r="I57" s="106"/>
      <x:c r="J57" s="106"/>
      <x:c r="K57" s="106"/>
      <x:c r="L57" s="106"/>
      <x:c r="M57" s="106"/>
      <x:c r="N57" s="106"/>
      <x:c r="O57" s="106"/>
      <x:c r="P57" s="106"/>
      <x:c r="Q57" s="106"/>
      <x:c r="R57" s="99"/>
    </x:row>
    <x:row r="58" ht="15" customHeight="1">
      <x:c r="A58" s="94"/>
      <x:c r="B58" s="99"/>
      <x:c r="C58" s="99"/>
      <x:c r="D58" s="99"/>
      <x:c r="E58" s="101"/>
      <x:c r="F58" s="106"/>
      <x:c r="G58" s="106"/>
      <x:c r="H58" s="106"/>
      <x:c r="I58" s="106"/>
      <x:c r="J58" s="106"/>
      <x:c r="K58" s="106"/>
      <x:c r="L58" s="106"/>
      <x:c r="M58" s="106"/>
      <x:c r="N58" s="106"/>
      <x:c r="O58" s="106"/>
      <x:c r="P58" s="106"/>
      <x:c r="Q58" s="106"/>
      <x:c r="R58" s="99"/>
    </x:row>
    <x:row r="59" ht="15" customHeight="1">
      <x:c r="A59" s="94"/>
      <x:c r="B59" s="99"/>
      <x:c r="C59" s="99"/>
      <x:c r="D59" s="99"/>
      <x:c r="E59" s="101"/>
      <x:c r="F59" s="106"/>
      <x:c r="G59" s="106"/>
      <x:c r="H59" s="106"/>
      <x:c r="I59" s="106"/>
      <x:c r="J59" s="106"/>
      <x:c r="K59" s="106"/>
      <x:c r="L59" s="106"/>
      <x:c r="M59" s="106"/>
      <x:c r="N59" s="106"/>
      <x:c r="O59" s="106"/>
      <x:c r="P59" s="106"/>
      <x:c r="Q59" s="106"/>
      <x:c r="R59" s="99"/>
    </x:row>
    <x:row r="60" ht="15" customHeight="1">
      <x:c r="A60" s="94"/>
      <x:c r="B60" s="99"/>
      <x:c r="C60" s="99"/>
      <x:c r="D60" s="99"/>
      <x:c r="E60" s="101"/>
      <x:c r="F60" s="106"/>
      <x:c r="G60" s="106"/>
      <x:c r="H60" s="106"/>
      <x:c r="I60" s="106"/>
      <x:c r="J60" s="106"/>
      <x:c r="K60" s="106"/>
      <x:c r="L60" s="106"/>
      <x:c r="M60" s="106"/>
      <x:c r="N60" s="106"/>
      <x:c r="O60" s="106"/>
      <x:c r="P60" s="106"/>
      <x:c r="Q60" s="106"/>
      <x:c r="R60" s="99"/>
    </x:row>
    <x:row r="61" ht="15" customHeight="1">
      <x:c r="A61" s="94"/>
      <x:c r="B61" s="99"/>
      <x:c r="C61" s="99"/>
      <x:c r="D61" s="99"/>
      <x:c r="E61" s="101"/>
      <x:c r="F61" s="106"/>
      <x:c r="G61" s="106"/>
      <x:c r="H61" s="106"/>
      <x:c r="I61" s="106"/>
      <x:c r="J61" s="106"/>
      <x:c r="K61" s="106"/>
      <x:c r="L61" s="106"/>
      <x:c r="M61" s="106"/>
      <x:c r="N61" s="106"/>
      <x:c r="O61" s="106"/>
      <x:c r="P61" s="106"/>
      <x:c r="Q61" s="106"/>
      <x:c r="R61" s="99"/>
    </x:row>
    <x:row r="62" ht="15" customHeight="1">
      <x:c r="A62" s="94"/>
      <x:c r="B62" s="99"/>
      <x:c r="C62" s="99"/>
      <x:c r="D62" s="99"/>
      <x:c r="E62" s="101"/>
      <x:c r="F62" s="106"/>
      <x:c r="G62" s="106"/>
      <x:c r="H62" s="106"/>
      <x:c r="I62" s="106"/>
      <x:c r="J62" s="106"/>
      <x:c r="K62" s="106"/>
      <x:c r="L62" s="106"/>
      <x:c r="M62" s="106"/>
      <x:c r="N62" s="106"/>
      <x:c r="O62" s="106"/>
      <x:c r="P62" s="106"/>
      <x:c r="Q62" s="106"/>
      <x:c r="R62" s="99"/>
    </x:row>
    <x:row r="63" ht="15" customHeight="1">
      <x:c r="A63" s="94"/>
      <x:c r="B63" s="99"/>
      <x:c r="C63" s="99"/>
      <x:c r="D63" s="99"/>
      <x:c r="E63" s="101"/>
      <x:c r="F63" s="106"/>
      <x:c r="G63" s="106"/>
      <x:c r="H63" s="106"/>
      <x:c r="I63" s="106"/>
      <x:c r="J63" s="106"/>
      <x:c r="K63" s="106"/>
      <x:c r="L63" s="106"/>
      <x:c r="M63" s="106"/>
      <x:c r="N63" s="106"/>
      <x:c r="O63" s="106"/>
      <x:c r="P63" s="106"/>
      <x:c r="Q63" s="106"/>
      <x:c r="R63" s="99"/>
    </x:row>
    <x:row r="64" ht="15" customHeight="1">
      <x:c r="A64" s="94"/>
      <x:c r="B64" s="99"/>
      <x:c r="C64" s="99"/>
      <x:c r="D64" s="99"/>
      <x:c r="E64" s="101"/>
      <x:c r="F64" s="106"/>
      <x:c r="G64" s="106"/>
      <x:c r="H64" s="106"/>
      <x:c r="I64" s="106"/>
      <x:c r="J64" s="106"/>
      <x:c r="K64" s="106"/>
      <x:c r="L64" s="106"/>
      <x:c r="M64" s="106"/>
      <x:c r="N64" s="106"/>
      <x:c r="O64" s="106"/>
      <x:c r="P64" s="106"/>
      <x:c r="Q64" s="106"/>
      <x:c r="R64" s="99"/>
    </x:row>
    <x:row r="65" ht="15" customHeight="1">
      <x:c r="A65" s="94"/>
      <x:c r="B65" s="99"/>
      <x:c r="C65" s="99"/>
      <x:c r="D65" s="99"/>
      <x:c r="E65" s="101"/>
      <x:c r="F65" s="106"/>
      <x:c r="G65" s="106"/>
      <x:c r="H65" s="106"/>
      <x:c r="I65" s="106"/>
      <x:c r="J65" s="106"/>
      <x:c r="K65" s="106"/>
      <x:c r="L65" s="106"/>
      <x:c r="M65" s="106"/>
      <x:c r="N65" s="106"/>
      <x:c r="O65" s="106"/>
      <x:c r="P65" s="106"/>
      <x:c r="Q65" s="106"/>
      <x:c r="R65" s="99"/>
    </x:row>
    <x:row r="66" ht="15" customHeight="1">
      <x:c r="A66" s="94"/>
      <x:c r="B66" s="99"/>
      <x:c r="C66" s="99"/>
      <x:c r="D66" s="99"/>
      <x:c r="E66" s="101"/>
      <x:c r="F66" s="106"/>
      <x:c r="G66" s="106"/>
      <x:c r="H66" s="106"/>
      <x:c r="I66" s="106"/>
      <x:c r="J66" s="106"/>
      <x:c r="K66" s="106"/>
      <x:c r="L66" s="106"/>
      <x:c r="M66" s="106"/>
      <x:c r="N66" s="106"/>
      <x:c r="O66" s="106"/>
      <x:c r="P66" s="106"/>
      <x:c r="Q66" s="106"/>
      <x:c r="R66" s="99"/>
    </x:row>
    <x:row r="67" ht="15" customHeight="1">
      <x:c r="A67" s="94"/>
      <x:c r="B67" s="99"/>
      <x:c r="C67" s="99"/>
      <x:c r="D67" s="99"/>
      <x:c r="E67" s="101"/>
      <x:c r="F67" s="106"/>
      <x:c r="G67" s="106"/>
      <x:c r="H67" s="106"/>
      <x:c r="I67" s="106"/>
      <x:c r="J67" s="106"/>
      <x:c r="K67" s="106"/>
      <x:c r="L67" s="106"/>
      <x:c r="M67" s="106"/>
      <x:c r="N67" s="106"/>
      <x:c r="O67" s="106"/>
      <x:c r="P67" s="106"/>
      <x:c r="Q67" s="106"/>
      <x:c r="R67" s="99"/>
    </x:row>
    <x:row r="68" ht="15" customHeight="1">
      <x:c r="A68" s="94"/>
      <x:c r="B68" s="99"/>
      <x:c r="C68" s="99"/>
      <x:c r="D68" s="99"/>
      <x:c r="E68" s="101"/>
      <x:c r="F68" s="106"/>
      <x:c r="G68" s="106"/>
      <x:c r="H68" s="106"/>
      <x:c r="I68" s="106"/>
      <x:c r="J68" s="106"/>
      <x:c r="K68" s="106"/>
      <x:c r="L68" s="106"/>
      <x:c r="M68" s="106"/>
      <x:c r="N68" s="106"/>
      <x:c r="O68" s="106"/>
      <x:c r="P68" s="106"/>
      <x:c r="Q68" s="106"/>
      <x:c r="R68" s="99"/>
    </x:row>
    <x:row r="69" ht="15" customHeight="1">
      <x:c r="A69" s="94"/>
      <x:c r="B69" s="99"/>
      <x:c r="C69" s="99"/>
      <x:c r="D69" s="99"/>
      <x:c r="E69" s="101"/>
      <x:c r="F69" s="106"/>
      <x:c r="G69" s="106"/>
      <x:c r="H69" s="106"/>
      <x:c r="I69" s="106"/>
      <x:c r="J69" s="106"/>
      <x:c r="K69" s="106"/>
      <x:c r="L69" s="106"/>
      <x:c r="M69" s="106"/>
      <x:c r="N69" s="106"/>
      <x:c r="O69" s="106"/>
      <x:c r="P69" s="106"/>
      <x:c r="Q69" s="106"/>
      <x:c r="R69" s="99"/>
    </x:row>
    <x:row r="70" ht="15" customHeight="1">
      <x:c r="A70" s="94"/>
      <x:c r="B70" s="99"/>
      <x:c r="C70" s="99"/>
      <x:c r="D70" s="99"/>
      <x:c r="E70" s="101"/>
      <x:c r="F70" s="106"/>
      <x:c r="G70" s="106"/>
      <x:c r="H70" s="106"/>
      <x:c r="I70" s="106"/>
      <x:c r="J70" s="106"/>
      <x:c r="K70" s="106"/>
      <x:c r="L70" s="106"/>
      <x:c r="M70" s="106"/>
      <x:c r="N70" s="106"/>
      <x:c r="O70" s="106"/>
      <x:c r="P70" s="106"/>
      <x:c r="Q70" s="106"/>
      <x:c r="R70" s="99"/>
    </x:row>
    <x:row r="71" ht="15" customHeight="1">
      <x:c r="A71" s="94"/>
      <x:c r="B71" s="99"/>
      <x:c r="C71" s="99"/>
      <x:c r="D71" s="99"/>
      <x:c r="E71" s="101"/>
      <x:c r="F71" s="106"/>
      <x:c r="G71" s="106"/>
      <x:c r="H71" s="106"/>
      <x:c r="I71" s="106"/>
      <x:c r="J71" s="106"/>
      <x:c r="K71" s="106"/>
      <x:c r="L71" s="106"/>
      <x:c r="M71" s="106"/>
      <x:c r="N71" s="106"/>
      <x:c r="O71" s="106"/>
      <x:c r="P71" s="106"/>
      <x:c r="Q71" s="106"/>
      <x:c r="R71" s="99"/>
    </x:row>
    <x:row r="72" ht="15" customHeight="1">
      <x:c r="A72" s="94"/>
      <x:c r="B72" s="99"/>
      <x:c r="C72" s="99"/>
      <x:c r="D72" s="99"/>
      <x:c r="E72" s="101"/>
      <x:c r="F72" s="106"/>
      <x:c r="G72" s="106"/>
      <x:c r="H72" s="106"/>
      <x:c r="I72" s="106"/>
      <x:c r="J72" s="106"/>
      <x:c r="K72" s="106"/>
      <x:c r="L72" s="106"/>
      <x:c r="M72" s="106"/>
      <x:c r="N72" s="106"/>
      <x:c r="O72" s="106"/>
      <x:c r="P72" s="106"/>
      <x:c r="Q72" s="106"/>
      <x:c r="R72" s="99"/>
    </x:row>
    <x:row r="73" ht="15" customHeight="1">
      <x:c r="A73" s="94"/>
      <x:c r="B73" s="99"/>
      <x:c r="C73" s="99"/>
      <x:c r="D73" s="99"/>
      <x:c r="E73" s="101"/>
      <x:c r="F73" s="106"/>
      <x:c r="G73" s="106"/>
      <x:c r="H73" s="106"/>
      <x:c r="I73" s="106"/>
      <x:c r="J73" s="106"/>
      <x:c r="K73" s="106"/>
      <x:c r="L73" s="106"/>
      <x:c r="M73" s="106"/>
      <x:c r="N73" s="106"/>
      <x:c r="O73" s="106"/>
      <x:c r="P73" s="106"/>
      <x:c r="Q73" s="106"/>
      <x:c r="R73" s="99"/>
    </x:row>
    <x:row r="74" ht="15" customHeight="1">
      <x:c r="A74" s="94"/>
      <x:c r="B74" s="99"/>
      <x:c r="C74" s="99"/>
      <x:c r="D74" s="99"/>
      <x:c r="E74" s="101"/>
      <x:c r="F74" s="106"/>
      <x:c r="G74" s="106"/>
      <x:c r="H74" s="106"/>
      <x:c r="I74" s="106"/>
      <x:c r="J74" s="106"/>
      <x:c r="K74" s="106"/>
      <x:c r="L74" s="106"/>
      <x:c r="M74" s="106"/>
      <x:c r="N74" s="106"/>
      <x:c r="O74" s="106"/>
      <x:c r="P74" s="106"/>
      <x:c r="Q74" s="106"/>
      <x:c r="R74" s="99"/>
    </x:row>
    <x:row r="75" ht="15" customHeight="1">
      <x:c r="A75" s="94"/>
      <x:c r="B75" s="99"/>
      <x:c r="C75" s="99"/>
      <x:c r="D75" s="99"/>
      <x:c r="E75" s="101"/>
      <x:c r="F75" s="106"/>
      <x:c r="G75" s="106"/>
      <x:c r="H75" s="106"/>
      <x:c r="I75" s="106"/>
      <x:c r="J75" s="106"/>
      <x:c r="K75" s="106"/>
      <x:c r="L75" s="106"/>
      <x:c r="M75" s="106"/>
      <x:c r="N75" s="106"/>
      <x:c r="O75" s="106"/>
      <x:c r="P75" s="106"/>
      <x:c r="Q75" s="106"/>
      <x:c r="R75" s="99"/>
    </x:row>
    <x:row r="76" ht="15" customHeight="1">
      <x:c r="A76" s="94"/>
      <x:c r="B76" s="99"/>
      <x:c r="C76" s="99"/>
      <x:c r="D76" s="99"/>
      <x:c r="E76" s="101"/>
      <x:c r="F76" s="106"/>
      <x:c r="G76" s="106"/>
      <x:c r="H76" s="106"/>
      <x:c r="I76" s="106"/>
      <x:c r="J76" s="106"/>
      <x:c r="K76" s="106"/>
      <x:c r="L76" s="106"/>
      <x:c r="M76" s="106"/>
      <x:c r="N76" s="106"/>
      <x:c r="O76" s="106"/>
      <x:c r="P76" s="106"/>
      <x:c r="Q76" s="106"/>
      <x:c r="R76" s="99"/>
    </x:row>
    <x:row r="77" ht="15" customHeight="1">
      <x:c r="A77" s="94"/>
      <x:c r="B77" s="99"/>
      <x:c r="C77" s="99"/>
      <x:c r="D77" s="99"/>
      <x:c r="E77" s="101"/>
      <x:c r="F77" s="106"/>
      <x:c r="G77" s="106"/>
      <x:c r="H77" s="106"/>
      <x:c r="I77" s="106"/>
      <x:c r="J77" s="106"/>
      <x:c r="K77" s="106"/>
      <x:c r="L77" s="106"/>
      <x:c r="M77" s="106"/>
      <x:c r="N77" s="106"/>
      <x:c r="O77" s="106"/>
      <x:c r="P77" s="106"/>
      <x:c r="Q77" s="106"/>
      <x:c r="R77" s="99"/>
    </x:row>
    <x:row r="78" ht="15" customHeight="1">
      <x:c r="A78" s="94"/>
      <x:c r="B78" s="99"/>
      <x:c r="C78" s="99"/>
      <x:c r="D78" s="99"/>
      <x:c r="E78" s="101"/>
      <x:c r="F78" s="106"/>
      <x:c r="G78" s="106"/>
      <x:c r="H78" s="106"/>
      <x:c r="I78" s="106"/>
      <x:c r="J78" s="106"/>
      <x:c r="K78" s="106"/>
      <x:c r="L78" s="106"/>
      <x:c r="M78" s="106"/>
      <x:c r="N78" s="106"/>
      <x:c r="O78" s="106"/>
      <x:c r="P78" s="106"/>
      <x:c r="Q78" s="106"/>
      <x:c r="R78" s="99"/>
    </x:row>
    <x:row r="79" ht="15" customHeight="1">
      <x:c r="A79" s="94"/>
      <x:c r="B79" s="99"/>
      <x:c r="C79" s="99"/>
      <x:c r="D79" s="99"/>
      <x:c r="E79" s="101"/>
      <x:c r="F79" s="106"/>
      <x:c r="G79" s="106"/>
      <x:c r="H79" s="106"/>
      <x:c r="I79" s="106"/>
      <x:c r="J79" s="106"/>
      <x:c r="K79" s="106"/>
      <x:c r="L79" s="106"/>
      <x:c r="M79" s="106"/>
      <x:c r="N79" s="106"/>
      <x:c r="O79" s="106"/>
      <x:c r="P79" s="106"/>
      <x:c r="Q79" s="106"/>
      <x:c r="R79" s="99"/>
    </x:row>
    <x:row r="80" ht="15" customHeight="1">
      <x:c r="A80" s="94"/>
      <x:c r="B80" s="99"/>
      <x:c r="C80" s="99"/>
      <x:c r="D80" s="99"/>
      <x:c r="E80" s="101"/>
      <x:c r="F80" s="106"/>
      <x:c r="G80" s="106"/>
      <x:c r="H80" s="106"/>
      <x:c r="I80" s="106"/>
      <x:c r="J80" s="106"/>
      <x:c r="K80" s="106"/>
      <x:c r="L80" s="106"/>
      <x:c r="M80" s="106"/>
      <x:c r="N80" s="106"/>
      <x:c r="O80" s="106"/>
      <x:c r="P80" s="106"/>
      <x:c r="Q80" s="106"/>
      <x:c r="R80" s="99"/>
    </x:row>
    <x:row r="81" ht="15" customHeight="1">
      <x:c r="A81" s="94"/>
      <x:c r="B81" s="99"/>
      <x:c r="C81" s="99"/>
      <x:c r="D81" s="99"/>
      <x:c r="E81" s="101"/>
      <x:c r="F81" s="106"/>
      <x:c r="G81" s="106"/>
      <x:c r="H81" s="106"/>
      <x:c r="I81" s="106"/>
      <x:c r="J81" s="106"/>
      <x:c r="K81" s="106"/>
      <x:c r="L81" s="106"/>
      <x:c r="M81" s="106"/>
      <x:c r="N81" s="106"/>
      <x:c r="O81" s="106"/>
      <x:c r="P81" s="106"/>
      <x:c r="Q81" s="106"/>
      <x:c r="R81" s="99"/>
    </x:row>
    <x:row r="82" ht="15" customHeight="1">
      <x:c r="A82" s="94"/>
      <x:c r="B82" s="99"/>
      <x:c r="C82" s="99"/>
      <x:c r="D82" s="99"/>
      <x:c r="E82" s="101"/>
      <x:c r="F82" s="106"/>
      <x:c r="G82" s="106"/>
      <x:c r="H82" s="106"/>
      <x:c r="I82" s="106"/>
      <x:c r="J82" s="106"/>
      <x:c r="K82" s="106"/>
      <x:c r="L82" s="106"/>
      <x:c r="M82" s="106"/>
      <x:c r="N82" s="106"/>
      <x:c r="O82" s="106"/>
      <x:c r="P82" s="106"/>
      <x:c r="Q82" s="106"/>
      <x:c r="R82" s="99"/>
    </x:row>
    <x:row r="83" ht="15" customHeight="1">
      <x:c r="A83" s="94"/>
      <x:c r="B83" s="99"/>
      <x:c r="C83" s="99"/>
      <x:c r="D83" s="99"/>
      <x:c r="E83" s="101"/>
      <x:c r="F83" s="106"/>
      <x:c r="G83" s="106"/>
      <x:c r="H83" s="106"/>
      <x:c r="I83" s="106"/>
      <x:c r="J83" s="106"/>
      <x:c r="K83" s="106"/>
      <x:c r="L83" s="106"/>
      <x:c r="M83" s="106"/>
      <x:c r="N83" s="106"/>
      <x:c r="O83" s="106"/>
      <x:c r="P83" s="106"/>
      <x:c r="Q83" s="106"/>
      <x:c r="R83" s="99"/>
    </x:row>
    <x:row r="84" ht="15" customHeight="1">
      <x:c r="A84" s="94"/>
      <x:c r="B84" s="99"/>
      <x:c r="C84" s="99"/>
      <x:c r="D84" s="99"/>
      <x:c r="E84" s="101"/>
      <x:c r="F84" s="106"/>
      <x:c r="G84" s="106"/>
      <x:c r="H84" s="106"/>
      <x:c r="I84" s="106"/>
      <x:c r="J84" s="106"/>
      <x:c r="K84" s="106"/>
      <x:c r="L84" s="106"/>
      <x:c r="M84" s="106"/>
      <x:c r="N84" s="106"/>
      <x:c r="O84" s="106"/>
      <x:c r="P84" s="106"/>
      <x:c r="Q84" s="106"/>
      <x:c r="R84" s="99"/>
    </x:row>
    <x:row r="85" ht="15" customHeight="1">
      <x:c r="A85" s="94"/>
      <x:c r="B85" s="99"/>
      <x:c r="C85" s="99"/>
      <x:c r="D85" s="99"/>
      <x:c r="E85" s="101"/>
      <x:c r="F85" s="106"/>
      <x:c r="G85" s="106"/>
      <x:c r="H85" s="106"/>
      <x:c r="I85" s="106"/>
      <x:c r="J85" s="106"/>
      <x:c r="K85" s="106"/>
      <x:c r="L85" s="106"/>
      <x:c r="M85" s="106"/>
      <x:c r="N85" s="106"/>
      <x:c r="O85" s="106"/>
      <x:c r="P85" s="106"/>
      <x:c r="Q85" s="106"/>
      <x:c r="R85" s="99"/>
    </x:row>
    <x:row r="86" ht="15" customHeight="1">
      <x:c r="A86" s="94"/>
      <x:c r="B86" s="99"/>
      <x:c r="C86" s="99"/>
      <x:c r="D86" s="99"/>
      <x:c r="E86" s="101"/>
      <x:c r="F86" s="106"/>
      <x:c r="G86" s="106"/>
      <x:c r="H86" s="106"/>
      <x:c r="I86" s="106"/>
      <x:c r="J86" s="106"/>
      <x:c r="K86" s="106"/>
      <x:c r="L86" s="106"/>
      <x:c r="M86" s="106"/>
      <x:c r="N86" s="106"/>
      <x:c r="O86" s="106"/>
      <x:c r="P86" s="106"/>
      <x:c r="Q86" s="106"/>
      <x:c r="R86" s="99"/>
    </x:row>
    <x:row r="87" ht="15" customHeight="1">
      <x:c r="A87" s="94"/>
      <x:c r="B87" s="99"/>
      <x:c r="C87" s="99"/>
      <x:c r="D87" s="99"/>
      <x:c r="E87" s="101"/>
      <x:c r="F87" s="106"/>
      <x:c r="G87" s="106"/>
      <x:c r="H87" s="106"/>
      <x:c r="I87" s="106"/>
      <x:c r="J87" s="106"/>
      <x:c r="K87" s="106"/>
      <x:c r="L87" s="106"/>
      <x:c r="M87" s="106"/>
      <x:c r="N87" s="106"/>
      <x:c r="O87" s="106"/>
      <x:c r="P87" s="106"/>
      <x:c r="Q87" s="106"/>
      <x:c r="R87" s="99"/>
    </x:row>
    <x:row r="88" ht="15" customHeight="1">
      <x:c r="A88" s="94"/>
      <x:c r="B88" s="99"/>
      <x:c r="C88" s="99"/>
      <x:c r="D88" s="99"/>
      <x:c r="E88" s="101"/>
      <x:c r="F88" s="106"/>
      <x:c r="G88" s="106"/>
      <x:c r="H88" s="106"/>
      <x:c r="I88" s="106"/>
      <x:c r="J88" s="106"/>
      <x:c r="K88" s="106"/>
      <x:c r="L88" s="106"/>
      <x:c r="M88" s="106"/>
      <x:c r="N88" s="106"/>
      <x:c r="O88" s="106"/>
      <x:c r="P88" s="106"/>
      <x:c r="Q88" s="106"/>
      <x:c r="R88" s="99"/>
    </x:row>
    <x:row r="89" ht="15" customHeight="1">
      <x:c r="A89" s="94"/>
      <x:c r="B89" s="99"/>
      <x:c r="C89" s="99"/>
      <x:c r="D89" s="99"/>
      <x:c r="E89" s="101"/>
      <x:c r="F89" s="106"/>
      <x:c r="G89" s="106"/>
      <x:c r="H89" s="106"/>
      <x:c r="I89" s="106"/>
      <x:c r="J89" s="106"/>
      <x:c r="K89" s="106"/>
      <x:c r="L89" s="106"/>
      <x:c r="M89" s="106"/>
      <x:c r="N89" s="106"/>
      <x:c r="O89" s="106"/>
      <x:c r="P89" s="106"/>
      <x:c r="Q89" s="106"/>
      <x:c r="R89" s="99"/>
    </x:row>
    <x:row r="90" ht="15" customHeight="1">
      <x:c r="A90" s="94"/>
      <x:c r="B90" s="99"/>
      <x:c r="C90" s="99"/>
      <x:c r="D90" s="99"/>
      <x:c r="E90" s="101"/>
      <x:c r="F90" s="106"/>
      <x:c r="G90" s="106"/>
      <x:c r="H90" s="106"/>
      <x:c r="I90" s="106"/>
      <x:c r="J90" s="106"/>
      <x:c r="K90" s="106"/>
      <x:c r="L90" s="106"/>
      <x:c r="M90" s="106"/>
      <x:c r="N90" s="106"/>
      <x:c r="O90" s="106"/>
      <x:c r="P90" s="106"/>
      <x:c r="Q90" s="106"/>
      <x:c r="R90" s="99"/>
    </x:row>
    <x:row r="91" ht="15" customHeight="1">
      <x:c r="A91" s="94"/>
      <x:c r="B91" s="99"/>
      <x:c r="C91" s="99"/>
      <x:c r="D91" s="99"/>
      <x:c r="E91" s="101"/>
      <x:c r="F91" s="106"/>
      <x:c r="G91" s="106"/>
      <x:c r="H91" s="106"/>
      <x:c r="I91" s="106"/>
      <x:c r="J91" s="106"/>
      <x:c r="K91" s="106"/>
      <x:c r="L91" s="106"/>
      <x:c r="M91" s="106"/>
      <x:c r="N91" s="106"/>
      <x:c r="O91" s="106"/>
      <x:c r="P91" s="106"/>
      <x:c r="Q91" s="106"/>
      <x:c r="R91" s="99"/>
    </x:row>
    <x:row r="92" ht="15" customHeight="1">
      <x:c r="A92" s="94"/>
      <x:c r="B92" s="99"/>
      <x:c r="C92" s="99"/>
      <x:c r="D92" s="99"/>
      <x:c r="E92" s="101"/>
      <x:c r="F92" s="106"/>
      <x:c r="G92" s="106"/>
      <x:c r="H92" s="106"/>
      <x:c r="I92" s="106"/>
      <x:c r="J92" s="106"/>
      <x:c r="K92" s="106"/>
      <x:c r="L92" s="106"/>
      <x:c r="M92" s="106"/>
      <x:c r="N92" s="106"/>
      <x:c r="O92" s="106"/>
      <x:c r="P92" s="106"/>
      <x:c r="Q92" s="106"/>
      <x:c r="R92" s="99"/>
    </x:row>
    <x:row r="93" ht="15" customHeight="1">
      <x:c r="A93" s="94"/>
      <x:c r="B93" s="99"/>
      <x:c r="C93" s="99"/>
      <x:c r="D93" s="99"/>
      <x:c r="E93" s="101"/>
      <x:c r="F93" s="106"/>
      <x:c r="G93" s="106"/>
      <x:c r="H93" s="106"/>
      <x:c r="I93" s="106"/>
      <x:c r="J93" s="106"/>
      <x:c r="K93" s="106"/>
      <x:c r="L93" s="106"/>
      <x:c r="M93" s="106"/>
      <x:c r="N93" s="106"/>
      <x:c r="O93" s="106"/>
      <x:c r="P93" s="106"/>
      <x:c r="Q93" s="106"/>
      <x:c r="R93" s="99"/>
    </x:row>
    <x:row r="94" ht="15" customHeight="1">
      <x:c r="A94" s="94"/>
      <x:c r="B94" s="99"/>
      <x:c r="C94" s="99"/>
      <x:c r="D94" s="99"/>
      <x:c r="E94" s="101"/>
      <x:c r="F94" s="106"/>
      <x:c r="G94" s="106"/>
      <x:c r="H94" s="106"/>
      <x:c r="I94" s="106"/>
      <x:c r="J94" s="106"/>
      <x:c r="K94" s="106"/>
      <x:c r="L94" s="106"/>
      <x:c r="M94" s="106"/>
      <x:c r="N94" s="106"/>
      <x:c r="O94" s="106"/>
      <x:c r="P94" s="106"/>
      <x:c r="Q94" s="106"/>
      <x:c r="R94" s="99"/>
    </x:row>
    <x:row r="95" ht="15" customHeight="1">
      <x:c r="A95" s="94"/>
      <x:c r="B95" s="99"/>
      <x:c r="C95" s="99"/>
      <x:c r="D95" s="99"/>
      <x:c r="E95" s="101"/>
      <x:c r="F95" s="106"/>
      <x:c r="G95" s="106"/>
      <x:c r="H95" s="106"/>
      <x:c r="I95" s="106"/>
      <x:c r="J95" s="106"/>
      <x:c r="K95" s="106"/>
      <x:c r="L95" s="106"/>
      <x:c r="M95" s="106"/>
      <x:c r="N95" s="106"/>
      <x:c r="O95" s="106"/>
      <x:c r="P95" s="106"/>
      <x:c r="Q95" s="106"/>
      <x:c r="R95" s="99"/>
    </x:row>
    <x:row r="96" ht="15" customHeight="1">
      <x:c r="A96" s="94"/>
      <x:c r="B96" s="99"/>
      <x:c r="C96" s="99"/>
      <x:c r="D96" s="99"/>
      <x:c r="E96" s="101"/>
      <x:c r="F96" s="106"/>
      <x:c r="G96" s="106"/>
      <x:c r="H96" s="106"/>
      <x:c r="I96" s="106"/>
      <x:c r="J96" s="106"/>
      <x:c r="K96" s="106"/>
      <x:c r="L96" s="106"/>
      <x:c r="M96" s="106"/>
      <x:c r="N96" s="106"/>
      <x:c r="O96" s="106"/>
      <x:c r="P96" s="106"/>
      <x:c r="Q96" s="106"/>
      <x:c r="R96" s="99"/>
    </x:row>
    <x:row r="97" ht="15" customHeight="1">
      <x:c r="A97" s="94"/>
      <x:c r="B97" s="99"/>
      <x:c r="C97" s="99"/>
      <x:c r="D97" s="99"/>
      <x:c r="E97" s="101"/>
      <x:c r="F97" s="106"/>
      <x:c r="G97" s="106"/>
      <x:c r="H97" s="106"/>
      <x:c r="I97" s="106"/>
      <x:c r="J97" s="106"/>
      <x:c r="K97" s="106"/>
      <x:c r="L97" s="106"/>
      <x:c r="M97" s="106"/>
      <x:c r="N97" s="106"/>
      <x:c r="O97" s="106"/>
      <x:c r="P97" s="106"/>
      <x:c r="Q97" s="106"/>
      <x:c r="R97" s="99"/>
    </x:row>
    <x:row r="98" ht="15" customHeight="1">
      <x:c r="A98" s="94"/>
      <x:c r="B98" s="99"/>
      <x:c r="C98" s="99"/>
      <x:c r="D98" s="99"/>
      <x:c r="E98" s="101"/>
      <x:c r="F98" s="106"/>
      <x:c r="G98" s="106"/>
      <x:c r="H98" s="106"/>
      <x:c r="I98" s="106"/>
      <x:c r="J98" s="106"/>
      <x:c r="K98" s="106"/>
      <x:c r="L98" s="106"/>
      <x:c r="M98" s="106"/>
      <x:c r="N98" s="106"/>
      <x:c r="O98" s="106"/>
      <x:c r="P98" s="106"/>
      <x:c r="Q98" s="106"/>
      <x:c r="R98" s="99"/>
    </x:row>
    <x:row r="99" ht="15" customHeight="1">
      <x:c r="A99" s="94"/>
      <x:c r="B99" s="99"/>
      <x:c r="C99" s="99"/>
      <x:c r="D99" s="99"/>
      <x:c r="E99" s="101"/>
      <x:c r="F99" s="106"/>
      <x:c r="G99" s="106"/>
      <x:c r="H99" s="106"/>
      <x:c r="I99" s="106"/>
      <x:c r="J99" s="106"/>
      <x:c r="K99" s="106"/>
      <x:c r="L99" s="106"/>
      <x:c r="M99" s="106"/>
      <x:c r="N99" s="106"/>
      <x:c r="O99" s="106"/>
      <x:c r="P99" s="106"/>
      <x:c r="Q99" s="106"/>
      <x:c r="R99" s="99"/>
    </x:row>
    <x:row r="100" ht="15" customHeight="1">
      <x:c r="A100" s="94"/>
      <x:c r="B100" s="99"/>
      <x:c r="C100" s="99"/>
      <x:c r="D100" s="99"/>
      <x:c r="E100" s="101"/>
      <x:c r="F100" s="106"/>
      <x:c r="G100" s="106"/>
      <x:c r="H100" s="106"/>
      <x:c r="I100" s="106"/>
      <x:c r="J100" s="106"/>
      <x:c r="K100" s="106"/>
      <x:c r="L100" s="106"/>
      <x:c r="M100" s="106"/>
      <x:c r="N100" s="106"/>
      <x:c r="O100" s="106"/>
      <x:c r="P100" s="106"/>
      <x:c r="Q100" s="106"/>
      <x:c r="R100" s="99"/>
    </x:row>
    <x:row r="101" ht="15" customHeight="1">
      <x:c r="A101" s="94"/>
      <x:c r="B101" s="99"/>
      <x:c r="C101" s="99"/>
      <x:c r="D101" s="99"/>
      <x:c r="E101" s="101"/>
      <x:c r="F101" s="106"/>
      <x:c r="G101" s="106"/>
      <x:c r="H101" s="106"/>
      <x:c r="I101" s="106"/>
      <x:c r="J101" s="106"/>
      <x:c r="K101" s="106"/>
      <x:c r="L101" s="106"/>
      <x:c r="M101" s="106"/>
      <x:c r="N101" s="106"/>
      <x:c r="O101" s="106"/>
      <x:c r="P101" s="106"/>
      <x:c r="Q101" s="106"/>
      <x:c r="R101" s="99"/>
    </x:row>
    <x:row r="102" ht="15" customHeight="1">
      <x:c r="A102" s="94"/>
      <x:c r="B102" s="99"/>
      <x:c r="C102" s="99"/>
      <x:c r="D102" s="99"/>
      <x:c r="E102" s="101"/>
      <x:c r="F102" s="106"/>
      <x:c r="G102" s="106"/>
      <x:c r="H102" s="106"/>
      <x:c r="I102" s="106"/>
      <x:c r="J102" s="106"/>
      <x:c r="K102" s="106"/>
      <x:c r="L102" s="106"/>
      <x:c r="M102" s="106"/>
      <x:c r="N102" s="106"/>
      <x:c r="O102" s="106"/>
      <x:c r="P102" s="106"/>
      <x:c r="Q102" s="106"/>
      <x:c r="R102" s="99"/>
    </x:row>
    <x:row r="103" ht="15" customHeight="1">
      <x:c r="A103" s="94"/>
      <x:c r="B103" s="99"/>
      <x:c r="C103" s="99"/>
      <x:c r="D103" s="99"/>
      <x:c r="E103" s="101"/>
      <x:c r="F103" s="106"/>
      <x:c r="G103" s="106"/>
      <x:c r="H103" s="106"/>
      <x:c r="I103" s="106"/>
      <x:c r="J103" s="106"/>
      <x:c r="K103" s="106"/>
      <x:c r="L103" s="106"/>
      <x:c r="M103" s="106"/>
      <x:c r="N103" s="106"/>
      <x:c r="O103" s="106"/>
      <x:c r="P103" s="106"/>
      <x:c r="Q103" s="106"/>
      <x:c r="R103" s="99"/>
    </x:row>
    <x:row r="104" ht="15" customHeight="1">
      <x:c r="A104" s="94"/>
      <x:c r="B104" s="99"/>
      <x:c r="C104" s="99"/>
      <x:c r="D104" s="99"/>
      <x:c r="E104" s="101"/>
      <x:c r="F104" s="106"/>
      <x:c r="G104" s="106"/>
      <x:c r="H104" s="106"/>
      <x:c r="I104" s="106"/>
      <x:c r="J104" s="106"/>
      <x:c r="K104" s="106"/>
      <x:c r="L104" s="106"/>
      <x:c r="M104" s="106"/>
      <x:c r="N104" s="106"/>
      <x:c r="O104" s="106"/>
      <x:c r="P104" s="106"/>
      <x:c r="Q104" s="106"/>
      <x:c r="R104" s="99"/>
    </x:row>
    <x:row r="105" ht="15" customHeight="1">
      <x:c r="A105" s="94"/>
      <x:c r="B105" s="99"/>
      <x:c r="C105" s="99"/>
      <x:c r="D105" s="99"/>
      <x:c r="E105" s="101"/>
      <x:c r="F105" s="106"/>
      <x:c r="G105" s="106"/>
      <x:c r="H105" s="106"/>
      <x:c r="I105" s="106"/>
      <x:c r="J105" s="106"/>
      <x:c r="K105" s="106"/>
      <x:c r="L105" s="106"/>
      <x:c r="M105" s="106"/>
      <x:c r="N105" s="106"/>
      <x:c r="O105" s="106"/>
      <x:c r="P105" s="106"/>
      <x:c r="Q105" s="106"/>
      <x:c r="R105" s="99"/>
    </x:row>
    <x:row r="106" ht="15" customHeight="1">
      <x:c r="A106" s="94"/>
      <x:c r="B106" s="99"/>
      <x:c r="C106" s="99"/>
      <x:c r="D106" s="99"/>
      <x:c r="E106" s="101"/>
      <x:c r="F106" s="106"/>
      <x:c r="G106" s="106"/>
      <x:c r="H106" s="106"/>
      <x:c r="I106" s="106"/>
      <x:c r="J106" s="106"/>
      <x:c r="K106" s="106"/>
      <x:c r="L106" s="106"/>
      <x:c r="M106" s="106"/>
      <x:c r="N106" s="106"/>
      <x:c r="O106" s="106"/>
      <x:c r="P106" s="106"/>
      <x:c r="Q106" s="106"/>
      <x:c r="R106" s="99"/>
    </x:row>
    <x:row r="107" ht="15" customHeight="1">
      <x:c r="A107" s="94"/>
      <x:c r="B107" s="99"/>
      <x:c r="C107" s="99"/>
      <x:c r="D107" s="99"/>
      <x:c r="E107" s="101"/>
      <x:c r="F107" s="106"/>
      <x:c r="G107" s="106"/>
      <x:c r="H107" s="106"/>
      <x:c r="I107" s="106"/>
      <x:c r="J107" s="106"/>
      <x:c r="K107" s="106"/>
      <x:c r="L107" s="106"/>
      <x:c r="M107" s="106"/>
      <x:c r="N107" s="106"/>
      <x:c r="O107" s="106"/>
      <x:c r="P107" s="106"/>
      <x:c r="Q107" s="106"/>
      <x:c r="R107" s="99"/>
    </x:row>
    <x:row r="108" ht="15" customHeight="1">
      <x:c r="A108" s="94"/>
      <x:c r="B108" s="99"/>
      <x:c r="C108" s="99"/>
      <x:c r="D108" s="99"/>
      <x:c r="E108" s="101"/>
      <x:c r="F108" s="106"/>
      <x:c r="G108" s="106"/>
      <x:c r="H108" s="106"/>
      <x:c r="I108" s="106"/>
      <x:c r="J108" s="106"/>
      <x:c r="K108" s="106"/>
      <x:c r="L108" s="106"/>
      <x:c r="M108" s="106"/>
      <x:c r="N108" s="106"/>
      <x:c r="O108" s="106"/>
      <x:c r="P108" s="106"/>
      <x:c r="Q108" s="106"/>
      <x:c r="R108" s="99"/>
    </x:row>
    <x:row r="109" ht="15" customHeight="1">
      <x:c r="A109" s="94"/>
      <x:c r="B109" s="99"/>
      <x:c r="C109" s="99"/>
      <x:c r="D109" s="99"/>
      <x:c r="E109" s="101"/>
      <x:c r="F109" s="106"/>
      <x:c r="G109" s="106"/>
      <x:c r="H109" s="106"/>
      <x:c r="I109" s="106"/>
      <x:c r="J109" s="106"/>
      <x:c r="K109" s="106"/>
      <x:c r="L109" s="106"/>
      <x:c r="M109" s="106"/>
      <x:c r="N109" s="106"/>
      <x:c r="O109" s="106"/>
      <x:c r="P109" s="106"/>
      <x:c r="Q109" s="106"/>
      <x:c r="R109" s="99"/>
    </x:row>
    <x:row r="110" ht="15" customHeight="1">
      <x:c r="A110" s="94"/>
      <x:c r="B110" s="99"/>
      <x:c r="C110" s="99"/>
      <x:c r="D110" s="99"/>
      <x:c r="E110" s="101"/>
      <x:c r="F110" s="106"/>
      <x:c r="G110" s="106"/>
      <x:c r="H110" s="106"/>
      <x:c r="I110" s="106"/>
      <x:c r="J110" s="106"/>
      <x:c r="K110" s="106"/>
      <x:c r="L110" s="106"/>
      <x:c r="M110" s="106"/>
      <x:c r="N110" s="106"/>
      <x:c r="O110" s="106"/>
      <x:c r="P110" s="106"/>
      <x:c r="Q110" s="106"/>
      <x:c r="R110" s="99"/>
    </x:row>
    <x:row r="111" ht="15" customHeight="1">
      <x:c r="A111" s="94"/>
      <x:c r="B111" s="99"/>
      <x:c r="C111" s="99"/>
      <x:c r="D111" s="99"/>
      <x:c r="E111" s="101"/>
      <x:c r="F111" s="106"/>
      <x:c r="G111" s="106"/>
      <x:c r="H111" s="106"/>
      <x:c r="I111" s="106"/>
      <x:c r="J111" s="106"/>
      <x:c r="K111" s="106"/>
      <x:c r="L111" s="106"/>
      <x:c r="M111" s="106"/>
      <x:c r="N111" s="106"/>
      <x:c r="O111" s="106"/>
      <x:c r="P111" s="106"/>
      <x:c r="Q111" s="106"/>
      <x:c r="R111" s="99"/>
    </x:row>
    <x:row r="112" ht="15" customHeight="1">
      <x:c r="A112" s="94"/>
      <x:c r="B112" s="99"/>
      <x:c r="C112" s="99"/>
      <x:c r="D112" s="99"/>
      <x:c r="E112" s="101"/>
      <x:c r="F112" s="106"/>
      <x:c r="G112" s="106"/>
      <x:c r="H112" s="106"/>
      <x:c r="I112" s="106"/>
      <x:c r="J112" s="106"/>
      <x:c r="K112" s="106"/>
      <x:c r="L112" s="106"/>
      <x:c r="M112" s="106"/>
      <x:c r="N112" s="106"/>
      <x:c r="O112" s="106"/>
      <x:c r="P112" s="106"/>
      <x:c r="Q112" s="106"/>
      <x:c r="R112" s="99"/>
    </x:row>
    <x:row r="113" ht="15" customHeight="1">
      <x:c r="A113" s="94"/>
      <x:c r="B113" s="99"/>
      <x:c r="C113" s="99"/>
      <x:c r="D113" s="99"/>
      <x:c r="E113" s="101"/>
      <x:c r="F113" s="106"/>
      <x:c r="G113" s="106"/>
      <x:c r="H113" s="106"/>
      <x:c r="I113" s="106"/>
      <x:c r="J113" s="106"/>
      <x:c r="K113" s="106"/>
      <x:c r="L113" s="106"/>
      <x:c r="M113" s="106"/>
      <x:c r="N113" s="106"/>
      <x:c r="O113" s="106"/>
      <x:c r="P113" s="106"/>
      <x:c r="Q113" s="106"/>
      <x:c r="R113" s="99"/>
    </x:row>
    <x:row r="114" ht="15" customHeight="1">
      <x:c r="A114" s="94"/>
      <x:c r="B114" s="99"/>
      <x:c r="C114" s="99"/>
      <x:c r="D114" s="99"/>
      <x:c r="E114" s="101"/>
      <x:c r="F114" s="106"/>
      <x:c r="G114" s="106"/>
      <x:c r="H114" s="106"/>
      <x:c r="I114" s="106"/>
      <x:c r="J114" s="106"/>
      <x:c r="K114" s="106"/>
      <x:c r="L114" s="106"/>
      <x:c r="M114" s="106"/>
      <x:c r="N114" s="106"/>
      <x:c r="O114" s="106"/>
      <x:c r="P114" s="106"/>
      <x:c r="Q114" s="106"/>
      <x:c r="R114" s="99"/>
    </x:row>
    <x:row r="115" ht="15" customHeight="1">
      <x:c r="A115" s="94"/>
      <x:c r="B115" s="99"/>
      <x:c r="C115" s="99"/>
      <x:c r="D115" s="99"/>
      <x:c r="E115" s="101"/>
      <x:c r="F115" s="106"/>
      <x:c r="G115" s="106"/>
      <x:c r="H115" s="106"/>
      <x:c r="I115" s="106"/>
      <x:c r="J115" s="106"/>
      <x:c r="K115" s="106"/>
      <x:c r="L115" s="106"/>
      <x:c r="M115" s="106"/>
      <x:c r="N115" s="106"/>
      <x:c r="O115" s="106"/>
      <x:c r="P115" s="106"/>
      <x:c r="Q115" s="106"/>
      <x:c r="R115" s="99"/>
    </x:row>
    <x:row r="116" ht="15" customHeight="1">
      <x:c r="A116" s="94"/>
      <x:c r="B116" s="99"/>
      <x:c r="C116" s="99"/>
      <x:c r="D116" s="99"/>
      <x:c r="E116" s="101"/>
      <x:c r="F116" s="106"/>
      <x:c r="G116" s="106"/>
      <x:c r="H116" s="106"/>
      <x:c r="I116" s="106"/>
      <x:c r="J116" s="106"/>
      <x:c r="K116" s="106"/>
      <x:c r="L116" s="106"/>
      <x:c r="M116" s="106"/>
      <x:c r="N116" s="106"/>
      <x:c r="O116" s="106"/>
      <x:c r="P116" s="106"/>
      <x:c r="Q116" s="106"/>
      <x:c r="R116" s="99"/>
    </x:row>
    <x:row r="117" ht="15" customHeight="1">
      <x:c r="A117" s="94"/>
      <x:c r="B117" s="99"/>
      <x:c r="C117" s="99"/>
      <x:c r="D117" s="99"/>
      <x:c r="E117" s="101"/>
      <x:c r="F117" s="106"/>
      <x:c r="G117" s="106"/>
      <x:c r="H117" s="106"/>
      <x:c r="I117" s="106"/>
      <x:c r="J117" s="106"/>
      <x:c r="K117" s="106"/>
      <x:c r="L117" s="106"/>
      <x:c r="M117" s="106"/>
      <x:c r="N117" s="106"/>
      <x:c r="O117" s="106"/>
      <x:c r="P117" s="106"/>
      <x:c r="Q117" s="106"/>
      <x:c r="R117" s="99"/>
    </x:row>
    <x:row r="118" ht="15" customHeight="1">
      <x:c r="A118" s="94"/>
      <x:c r="B118" s="99"/>
      <x:c r="C118" s="99"/>
      <x:c r="D118" s="99"/>
      <x:c r="E118" s="101"/>
      <x:c r="F118" s="106"/>
      <x:c r="G118" s="106"/>
      <x:c r="H118" s="106"/>
      <x:c r="I118" s="106"/>
      <x:c r="J118" s="106"/>
      <x:c r="K118" s="106"/>
      <x:c r="L118" s="106"/>
      <x:c r="M118" s="106"/>
      <x:c r="N118" s="106"/>
      <x:c r="O118" s="106"/>
      <x:c r="P118" s="106"/>
      <x:c r="Q118" s="106"/>
      <x:c r="R118" s="99"/>
    </x:row>
    <x:row r="119" ht="15" customHeight="1">
      <x:c r="A119" s="94"/>
      <x:c r="B119" s="99"/>
      <x:c r="C119" s="99"/>
      <x:c r="D119" s="99"/>
      <x:c r="E119" s="101"/>
      <x:c r="F119" s="106"/>
      <x:c r="G119" s="106"/>
      <x:c r="H119" s="106"/>
      <x:c r="I119" s="106"/>
      <x:c r="J119" s="106"/>
      <x:c r="K119" s="106"/>
      <x:c r="L119" s="106"/>
      <x:c r="M119" s="106"/>
      <x:c r="N119" s="106"/>
      <x:c r="O119" s="106"/>
      <x:c r="P119" s="106"/>
      <x:c r="Q119" s="106"/>
      <x:c r="R119" s="99"/>
    </x:row>
    <x:row r="120" ht="15" customHeight="1">
      <x:c r="A120" s="94"/>
      <x:c r="B120" s="99"/>
      <x:c r="C120" s="99"/>
      <x:c r="D120" s="99"/>
      <x:c r="E120" s="101"/>
      <x:c r="F120" s="106"/>
      <x:c r="G120" s="106"/>
      <x:c r="H120" s="106"/>
      <x:c r="I120" s="106"/>
      <x:c r="J120" s="106"/>
      <x:c r="K120" s="106"/>
      <x:c r="L120" s="106"/>
      <x:c r="M120" s="106"/>
      <x:c r="N120" s="106"/>
      <x:c r="O120" s="106"/>
      <x:c r="P120" s="106"/>
      <x:c r="Q120" s="106"/>
      <x:c r="R120" s="99"/>
    </x:row>
    <x:row r="121" ht="15" customHeight="1">
      <x:c r="A121" s="94"/>
      <x:c r="B121" s="99"/>
      <x:c r="C121" s="99"/>
      <x:c r="D121" s="99"/>
      <x:c r="E121" s="101"/>
      <x:c r="F121" s="106"/>
      <x:c r="G121" s="106"/>
      <x:c r="H121" s="106"/>
      <x:c r="I121" s="106"/>
      <x:c r="J121" s="106"/>
      <x:c r="K121" s="106"/>
      <x:c r="L121" s="106"/>
      <x:c r="M121" s="106"/>
      <x:c r="N121" s="106"/>
      <x:c r="O121" s="106"/>
      <x:c r="P121" s="106"/>
      <x:c r="Q121" s="106"/>
      <x:c r="R121" s="99"/>
    </x:row>
    <x:row r="122" ht="15" customHeight="1">
      <x:c r="A122" s="94"/>
      <x:c r="B122" s="99"/>
      <x:c r="C122" s="99"/>
      <x:c r="D122" s="99"/>
      <x:c r="E122" s="101"/>
      <x:c r="F122" s="106"/>
      <x:c r="G122" s="106"/>
      <x:c r="H122" s="106"/>
      <x:c r="I122" s="106"/>
      <x:c r="J122" s="106"/>
      <x:c r="K122" s="106"/>
      <x:c r="L122" s="106"/>
      <x:c r="M122" s="106"/>
      <x:c r="N122" s="106"/>
      <x:c r="O122" s="106"/>
      <x:c r="P122" s="106"/>
      <x:c r="Q122" s="106"/>
      <x:c r="R122" s="99"/>
    </x:row>
    <x:row r="123" ht="15" customHeight="1">
      <x:c r="A123" s="94"/>
      <x:c r="B123" s="99"/>
      <x:c r="C123" s="99"/>
      <x:c r="D123" s="99"/>
      <x:c r="E123" s="101"/>
      <x:c r="F123" s="106"/>
      <x:c r="G123" s="106"/>
      <x:c r="H123" s="106"/>
      <x:c r="I123" s="106"/>
      <x:c r="J123" s="106"/>
      <x:c r="K123" s="106"/>
      <x:c r="L123" s="106"/>
      <x:c r="M123" s="106"/>
      <x:c r="N123" s="106"/>
      <x:c r="O123" s="106"/>
      <x:c r="P123" s="106"/>
      <x:c r="Q123" s="106"/>
      <x:c r="R123" s="99"/>
    </x:row>
    <x:row r="124" ht="15" customHeight="1">
      <x:c r="A124" s="94"/>
      <x:c r="B124" s="99"/>
      <x:c r="C124" s="99"/>
      <x:c r="D124" s="99"/>
      <x:c r="E124" s="101"/>
      <x:c r="F124" s="106"/>
      <x:c r="G124" s="106"/>
      <x:c r="H124" s="106"/>
      <x:c r="I124" s="106"/>
      <x:c r="J124" s="106"/>
      <x:c r="K124" s="106"/>
      <x:c r="L124" s="106"/>
      <x:c r="M124" s="106"/>
      <x:c r="N124" s="106"/>
      <x:c r="O124" s="106"/>
      <x:c r="P124" s="106"/>
      <x:c r="Q124" s="106"/>
      <x:c r="R124" s="99"/>
    </x:row>
    <x:row r="125" ht="15" customHeight="1">
      <x:c r="A125" s="94"/>
      <x:c r="B125" s="99"/>
      <x:c r="C125" s="99"/>
      <x:c r="D125" s="99"/>
      <x:c r="E125" s="101"/>
      <x:c r="F125" s="106"/>
      <x:c r="G125" s="106"/>
      <x:c r="H125" s="106"/>
      <x:c r="I125" s="106"/>
      <x:c r="J125" s="106"/>
      <x:c r="K125" s="106"/>
      <x:c r="L125" s="106"/>
      <x:c r="M125" s="106"/>
      <x:c r="N125" s="106"/>
      <x:c r="O125" s="106"/>
      <x:c r="P125" s="106"/>
      <x:c r="Q125" s="106"/>
      <x:c r="R125" s="99"/>
    </x:row>
    <x:row r="126" ht="15" customHeight="1">
      <x:c r="A126" s="94"/>
      <x:c r="B126" s="99"/>
      <x:c r="C126" s="99"/>
      <x:c r="D126" s="99"/>
      <x:c r="E126" s="101"/>
      <x:c r="F126" s="106"/>
      <x:c r="G126" s="106"/>
      <x:c r="H126" s="106"/>
      <x:c r="I126" s="106"/>
      <x:c r="J126" s="106"/>
      <x:c r="K126" s="106"/>
      <x:c r="L126" s="106"/>
      <x:c r="M126" s="106"/>
      <x:c r="N126" s="106"/>
      <x:c r="O126" s="106"/>
      <x:c r="P126" s="106"/>
      <x:c r="Q126" s="106"/>
      <x:c r="R126" s="99"/>
    </x:row>
    <x:row r="127" ht="15" customHeight="1">
      <x:c r="A127" s="94"/>
      <x:c r="B127" s="99"/>
      <x:c r="C127" s="99"/>
      <x:c r="D127" s="99"/>
      <x:c r="E127" s="101"/>
      <x:c r="F127" s="106"/>
      <x:c r="G127" s="106"/>
      <x:c r="H127" s="106"/>
      <x:c r="I127" s="106"/>
      <x:c r="J127" s="106"/>
      <x:c r="K127" s="106"/>
      <x:c r="L127" s="106"/>
      <x:c r="M127" s="106"/>
      <x:c r="N127" s="106"/>
      <x:c r="O127" s="106"/>
      <x:c r="P127" s="106"/>
      <x:c r="Q127" s="106"/>
      <x:c r="R127" s="99"/>
    </x:row>
    <x:row r="128" ht="15" customHeight="1">
      <x:c r="A128" s="94"/>
      <x:c r="B128" s="99"/>
      <x:c r="C128" s="99"/>
      <x:c r="D128" s="99"/>
      <x:c r="E128" s="101"/>
      <x:c r="F128" s="106"/>
      <x:c r="G128" s="106"/>
      <x:c r="H128" s="106"/>
      <x:c r="I128" s="106"/>
      <x:c r="J128" s="106"/>
      <x:c r="K128" s="106"/>
      <x:c r="L128" s="106"/>
      <x:c r="M128" s="106"/>
      <x:c r="N128" s="106"/>
      <x:c r="O128" s="106"/>
      <x:c r="P128" s="106"/>
      <x:c r="Q128" s="106"/>
      <x:c r="R128" s="99"/>
    </x:row>
    <x:row r="129" ht="15" customHeight="1">
      <x:c r="A129" s="94"/>
      <x:c r="B129" s="99"/>
      <x:c r="C129" s="99"/>
      <x:c r="D129" s="99"/>
      <x:c r="E129" s="101"/>
      <x:c r="F129" s="106"/>
      <x:c r="G129" s="106"/>
      <x:c r="H129" s="106"/>
      <x:c r="I129" s="106"/>
      <x:c r="J129" s="106"/>
      <x:c r="K129" s="106"/>
      <x:c r="L129" s="106"/>
      <x:c r="M129" s="106"/>
      <x:c r="N129" s="106"/>
      <x:c r="O129" s="106"/>
      <x:c r="P129" s="106"/>
      <x:c r="Q129" s="106"/>
      <x:c r="R129" s="99"/>
    </x:row>
    <x:row r="130" ht="15" customHeight="1">
      <x:c r="A130" s="94"/>
      <x:c r="B130" s="99"/>
      <x:c r="C130" s="99"/>
      <x:c r="D130" s="99"/>
      <x:c r="E130" s="101"/>
      <x:c r="F130" s="106"/>
      <x:c r="G130" s="106"/>
      <x:c r="H130" s="106"/>
      <x:c r="I130" s="106"/>
      <x:c r="J130" s="106"/>
      <x:c r="K130" s="106"/>
      <x:c r="L130" s="106"/>
      <x:c r="M130" s="106"/>
      <x:c r="N130" s="106"/>
      <x:c r="O130" s="106"/>
      <x:c r="P130" s="106"/>
      <x:c r="Q130" s="106"/>
      <x:c r="R130" s="99"/>
    </x:row>
    <x:row r="131" ht="15" customHeight="1">
      <x:c r="A131" s="94"/>
      <x:c r="B131" s="99"/>
      <x:c r="C131" s="99"/>
      <x:c r="D131" s="99"/>
      <x:c r="E131" s="101"/>
      <x:c r="F131" s="106"/>
      <x:c r="G131" s="106"/>
      <x:c r="H131" s="106"/>
      <x:c r="I131" s="106"/>
      <x:c r="J131" s="106"/>
      <x:c r="K131" s="106"/>
      <x:c r="L131" s="106"/>
      <x:c r="M131" s="106"/>
      <x:c r="N131" s="106"/>
      <x:c r="O131" s="106"/>
      <x:c r="P131" s="106"/>
      <x:c r="Q131" s="106"/>
      <x:c r="R131" s="99"/>
    </x:row>
    <x:row r="132" ht="15" customHeight="1">
      <x:c r="A132" s="94"/>
      <x:c r="B132" s="99"/>
      <x:c r="C132" s="99"/>
      <x:c r="D132" s="99"/>
      <x:c r="E132" s="101"/>
      <x:c r="F132" s="106"/>
      <x:c r="G132" s="106"/>
      <x:c r="H132" s="106"/>
      <x:c r="I132" s="106"/>
      <x:c r="J132" s="106"/>
      <x:c r="K132" s="106"/>
      <x:c r="L132" s="106"/>
      <x:c r="M132" s="106"/>
      <x:c r="N132" s="106"/>
      <x:c r="O132" s="106"/>
      <x:c r="P132" s="106"/>
      <x:c r="Q132" s="106"/>
      <x:c r="R132" s="99"/>
    </x:row>
    <x:row r="133" ht="15" customHeight="1">
      <x:c r="A133" s="94"/>
      <x:c r="B133" s="99"/>
      <x:c r="C133" s="99"/>
      <x:c r="D133" s="99"/>
      <x:c r="E133" s="101"/>
      <x:c r="F133" s="106"/>
      <x:c r="G133" s="106"/>
      <x:c r="H133" s="106"/>
      <x:c r="I133" s="106"/>
      <x:c r="J133" s="106"/>
      <x:c r="K133" s="106"/>
      <x:c r="L133" s="106"/>
      <x:c r="M133" s="106"/>
      <x:c r="N133" s="106"/>
      <x:c r="O133" s="106"/>
      <x:c r="P133" s="106"/>
      <x:c r="Q133" s="106"/>
      <x:c r="R133" s="99"/>
    </x:row>
    <x:row r="134" ht="15" customHeight="1">
      <x:c r="A134" s="94"/>
      <x:c r="B134" s="99"/>
      <x:c r="C134" s="99"/>
      <x:c r="D134" s="99"/>
      <x:c r="E134" s="101"/>
      <x:c r="F134" s="106"/>
      <x:c r="G134" s="106"/>
      <x:c r="H134" s="106"/>
      <x:c r="I134" s="106"/>
      <x:c r="J134" s="106"/>
      <x:c r="K134" s="106"/>
      <x:c r="L134" s="106"/>
      <x:c r="M134" s="106"/>
      <x:c r="N134" s="106"/>
      <x:c r="O134" s="106"/>
      <x:c r="P134" s="106"/>
      <x:c r="Q134" s="106"/>
      <x:c r="R134" s="99"/>
    </x:row>
    <x:row r="135" ht="15" customHeight="1">
      <x:c r="A135" s="94"/>
      <x:c r="B135" s="99"/>
      <x:c r="C135" s="99"/>
      <x:c r="D135" s="99"/>
      <x:c r="E135" s="101"/>
      <x:c r="F135" s="106"/>
      <x:c r="G135" s="106"/>
      <x:c r="H135" s="106"/>
      <x:c r="I135" s="106"/>
      <x:c r="J135" s="106"/>
      <x:c r="K135" s="106"/>
      <x:c r="L135" s="106"/>
      <x:c r="M135" s="106"/>
      <x:c r="N135" s="106"/>
      <x:c r="O135" s="106"/>
      <x:c r="P135" s="106"/>
      <x:c r="Q135" s="106"/>
      <x:c r="R135" s="99"/>
    </x:row>
    <x:row r="136" ht="15" customHeight="1">
      <x:c r="A136" s="94"/>
      <x:c r="B136" s="99"/>
      <x:c r="C136" s="99"/>
      <x:c r="D136" s="99"/>
      <x:c r="E136" s="101"/>
      <x:c r="F136" s="106"/>
      <x:c r="G136" s="106"/>
      <x:c r="H136" s="106"/>
      <x:c r="I136" s="106"/>
      <x:c r="J136" s="106"/>
      <x:c r="K136" s="106"/>
      <x:c r="L136" s="106"/>
      <x:c r="M136" s="106"/>
      <x:c r="N136" s="106"/>
      <x:c r="O136" s="106"/>
      <x:c r="P136" s="106"/>
      <x:c r="Q136" s="106"/>
      <x:c r="R136" s="99"/>
    </x:row>
    <x:row r="137" ht="15" customHeight="1">
      <x:c r="A137" s="94"/>
      <x:c r="B137" s="99"/>
      <x:c r="C137" s="99"/>
      <x:c r="D137" s="99"/>
      <x:c r="E137" s="101"/>
      <x:c r="F137" s="106"/>
      <x:c r="G137" s="106"/>
      <x:c r="H137" s="106"/>
      <x:c r="I137" s="106"/>
      <x:c r="J137" s="106"/>
      <x:c r="K137" s="106"/>
      <x:c r="L137" s="106"/>
      <x:c r="M137" s="106"/>
      <x:c r="N137" s="106"/>
      <x:c r="O137" s="106"/>
      <x:c r="P137" s="106"/>
      <x:c r="Q137" s="106"/>
      <x:c r="R137" s="99"/>
    </x:row>
    <x:row r="138" ht="15" customHeight="1">
      <x:c r="A138" s="94"/>
      <x:c r="B138" s="99"/>
      <x:c r="C138" s="99"/>
      <x:c r="D138" s="99"/>
      <x:c r="E138" s="101"/>
      <x:c r="F138" s="106"/>
      <x:c r="G138" s="106"/>
      <x:c r="H138" s="106"/>
      <x:c r="I138" s="106"/>
      <x:c r="J138" s="106"/>
      <x:c r="K138" s="106"/>
      <x:c r="L138" s="106"/>
      <x:c r="M138" s="106"/>
      <x:c r="N138" s="106"/>
      <x:c r="O138" s="106"/>
      <x:c r="P138" s="106"/>
      <x:c r="Q138" s="106"/>
      <x:c r="R138" s="99"/>
    </x:row>
    <x:row r="139" ht="15" customHeight="1">
      <x:c r="A139" s="94"/>
      <x:c r="B139" s="99"/>
      <x:c r="C139" s="99"/>
      <x:c r="D139" s="99"/>
      <x:c r="E139" s="101"/>
      <x:c r="F139" s="106"/>
      <x:c r="G139" s="106"/>
      <x:c r="H139" s="106"/>
      <x:c r="I139" s="106"/>
      <x:c r="J139" s="106"/>
      <x:c r="K139" s="106"/>
      <x:c r="L139" s="106"/>
      <x:c r="M139" s="106"/>
      <x:c r="N139" s="106"/>
      <x:c r="O139" s="106"/>
      <x:c r="P139" s="106"/>
      <x:c r="Q139" s="106"/>
      <x:c r="R139" s="99"/>
    </x:row>
    <x:row r="140" ht="15" customHeight="1">
      <x:c r="A140" s="94"/>
      <x:c r="B140" s="99"/>
      <x:c r="C140" s="99"/>
      <x:c r="D140" s="99"/>
      <x:c r="E140" s="101"/>
      <x:c r="F140" s="106"/>
      <x:c r="G140" s="106"/>
      <x:c r="H140" s="106"/>
      <x:c r="I140" s="106"/>
      <x:c r="J140" s="106"/>
      <x:c r="K140" s="106"/>
      <x:c r="L140" s="106"/>
      <x:c r="M140" s="106"/>
      <x:c r="N140" s="106"/>
      <x:c r="O140" s="106"/>
      <x:c r="P140" s="106"/>
      <x:c r="Q140" s="106"/>
      <x:c r="R140" s="99"/>
    </x:row>
    <x:row r="141" ht="15" customHeight="1">
      <x:c r="A141" s="94"/>
      <x:c r="B141" s="99"/>
      <x:c r="C141" s="99"/>
      <x:c r="D141" s="99"/>
      <x:c r="E141" s="101"/>
      <x:c r="F141" s="106"/>
      <x:c r="G141" s="106"/>
      <x:c r="H141" s="106"/>
      <x:c r="I141" s="106"/>
      <x:c r="J141" s="106"/>
      <x:c r="K141" s="106"/>
      <x:c r="L141" s="106"/>
      <x:c r="M141" s="106"/>
      <x:c r="N141" s="106"/>
      <x:c r="O141" s="106"/>
      <x:c r="P141" s="106"/>
      <x:c r="Q141" s="106"/>
      <x:c r="R141" s="99"/>
    </x:row>
    <x:row r="142" ht="15" customHeight="1">
      <x:c r="A142" s="94"/>
      <x:c r="B142" s="99"/>
      <x:c r="C142" s="99"/>
      <x:c r="D142" s="99"/>
      <x:c r="E142" s="101"/>
      <x:c r="F142" s="106"/>
      <x:c r="G142" s="106"/>
      <x:c r="H142" s="106"/>
      <x:c r="I142" s="106"/>
      <x:c r="J142" s="106"/>
      <x:c r="K142" s="106"/>
      <x:c r="L142" s="106"/>
      <x:c r="M142" s="106"/>
      <x:c r="N142" s="106"/>
      <x:c r="O142" s="106"/>
      <x:c r="P142" s="106"/>
      <x:c r="Q142" s="106"/>
      <x:c r="R142" s="99"/>
    </x:row>
    <x:row r="143" ht="15" customHeight="1">
      <x:c r="A143" s="94"/>
      <x:c r="B143" s="99"/>
      <x:c r="C143" s="99"/>
      <x:c r="D143" s="99"/>
      <x:c r="E143" s="101"/>
      <x:c r="F143" s="106"/>
      <x:c r="G143" s="106"/>
      <x:c r="H143" s="106"/>
      <x:c r="I143" s="106"/>
      <x:c r="J143" s="106"/>
      <x:c r="K143" s="106"/>
      <x:c r="L143" s="106"/>
      <x:c r="M143" s="106"/>
      <x:c r="N143" s="106"/>
      <x:c r="O143" s="106"/>
      <x:c r="P143" s="106"/>
      <x:c r="Q143" s="106"/>
      <x:c r="R143" s="99"/>
    </x:row>
    <x:row r="144" ht="15" customHeight="1">
      <x:c r="A144" s="94"/>
      <x:c r="B144" s="99"/>
      <x:c r="C144" s="99"/>
      <x:c r="D144" s="99"/>
      <x:c r="E144" s="101"/>
      <x:c r="F144" s="106"/>
      <x:c r="G144" s="106"/>
      <x:c r="H144" s="106"/>
      <x:c r="I144" s="106"/>
      <x:c r="J144" s="106"/>
      <x:c r="K144" s="106"/>
      <x:c r="L144" s="106"/>
      <x:c r="M144" s="106"/>
      <x:c r="N144" s="106"/>
      <x:c r="O144" s="106"/>
      <x:c r="P144" s="106"/>
      <x:c r="Q144" s="106"/>
      <x:c r="R144" s="99"/>
    </x:row>
    <x:row r="145" ht="15" customHeight="1">
      <x:c r="A145" s="94"/>
      <x:c r="B145" s="99"/>
      <x:c r="C145" s="99"/>
      <x:c r="D145" s="99"/>
      <x:c r="E145" s="101"/>
      <x:c r="F145" s="106"/>
      <x:c r="G145" s="106"/>
      <x:c r="H145" s="106"/>
      <x:c r="I145" s="106"/>
      <x:c r="J145" s="106"/>
      <x:c r="K145" s="106"/>
      <x:c r="L145" s="106"/>
      <x:c r="M145" s="106"/>
      <x:c r="N145" s="106"/>
      <x:c r="O145" s="106"/>
      <x:c r="P145" s="106"/>
      <x:c r="Q145" s="106"/>
      <x:c r="R145" s="99"/>
    </x:row>
    <x:row r="146" ht="15" customHeight="1">
      <x:c r="A146" s="94"/>
      <x:c r="B146" s="99"/>
      <x:c r="C146" s="99"/>
      <x:c r="D146" s="99"/>
      <x:c r="E146" s="101"/>
      <x:c r="F146" s="106"/>
      <x:c r="G146" s="106"/>
      <x:c r="H146" s="106"/>
      <x:c r="I146" s="106"/>
      <x:c r="J146" s="106"/>
      <x:c r="K146" s="106"/>
      <x:c r="L146" s="106"/>
      <x:c r="M146" s="106"/>
      <x:c r="N146" s="106"/>
      <x:c r="O146" s="106"/>
      <x:c r="P146" s="106"/>
      <x:c r="Q146" s="106"/>
      <x:c r="R146" s="99"/>
    </x:row>
    <x:row r="147" ht="15" customHeight="1">
      <x:c r="A147" s="94"/>
      <x:c r="B147" s="99"/>
      <x:c r="C147" s="99"/>
      <x:c r="D147" s="99"/>
      <x:c r="E147" s="101"/>
      <x:c r="F147" s="106"/>
      <x:c r="G147" s="106"/>
      <x:c r="H147" s="106"/>
      <x:c r="I147" s="106"/>
      <x:c r="J147" s="106"/>
      <x:c r="K147" s="106"/>
      <x:c r="L147" s="106"/>
      <x:c r="M147" s="106"/>
      <x:c r="N147" s="106"/>
      <x:c r="O147" s="106"/>
      <x:c r="P147" s="106"/>
      <x:c r="Q147" s="106"/>
      <x:c r="R147" s="99"/>
    </x:row>
    <x:row r="148" ht="15" customHeight="1">
      <x:c r="A148" s="94"/>
      <x:c r="B148" s="99"/>
      <x:c r="C148" s="99"/>
      <x:c r="D148" s="99"/>
      <x:c r="E148" s="101"/>
      <x:c r="F148" s="106"/>
      <x:c r="G148" s="106"/>
      <x:c r="H148" s="106"/>
      <x:c r="I148" s="106"/>
      <x:c r="J148" s="106"/>
      <x:c r="K148" s="106"/>
      <x:c r="L148" s="106"/>
      <x:c r="M148" s="106"/>
      <x:c r="N148" s="106"/>
      <x:c r="O148" s="106"/>
      <x:c r="P148" s="106"/>
      <x:c r="Q148" s="106"/>
      <x:c r="R148" s="99"/>
    </x:row>
    <x:row r="149" ht="15" customHeight="1">
      <x:c r="A149" s="94"/>
      <x:c r="B149" s="99"/>
      <x:c r="C149" s="99"/>
      <x:c r="D149" s="99"/>
      <x:c r="E149" s="101"/>
      <x:c r="F149" s="106"/>
      <x:c r="G149" s="106"/>
      <x:c r="H149" s="106"/>
      <x:c r="I149" s="106"/>
      <x:c r="J149" s="106"/>
      <x:c r="K149" s="106"/>
      <x:c r="L149" s="106"/>
      <x:c r="M149" s="106"/>
      <x:c r="N149" s="106"/>
      <x:c r="O149" s="106"/>
      <x:c r="P149" s="106"/>
      <x:c r="Q149" s="106"/>
      <x:c r="R149" s="99"/>
    </x:row>
    <x:row r="150" ht="15" customHeight="1">
      <x:c r="A150" s="94"/>
      <x:c r="B150" s="99"/>
      <x:c r="C150" s="99"/>
      <x:c r="D150" s="99"/>
      <x:c r="E150" s="101"/>
      <x:c r="F150" s="106"/>
      <x:c r="G150" s="106"/>
      <x:c r="H150" s="106"/>
      <x:c r="I150" s="106"/>
      <x:c r="J150" s="106"/>
      <x:c r="K150" s="106"/>
      <x:c r="L150" s="106"/>
      <x:c r="M150" s="106"/>
      <x:c r="N150" s="106"/>
      <x:c r="O150" s="106"/>
      <x:c r="P150" s="106"/>
      <x:c r="Q150" s="106"/>
      <x:c r="R150" s="99"/>
    </x:row>
    <x:row r="151" ht="15" customHeight="1">
      <x:c r="A151" s="94"/>
      <x:c r="B151" s="99"/>
      <x:c r="C151" s="99"/>
      <x:c r="D151" s="99"/>
      <x:c r="E151" s="101"/>
      <x:c r="F151" s="106"/>
      <x:c r="G151" s="106"/>
      <x:c r="H151" s="106"/>
      <x:c r="I151" s="106"/>
      <x:c r="J151" s="106"/>
      <x:c r="K151" s="106"/>
      <x:c r="L151" s="106"/>
      <x:c r="M151" s="106"/>
      <x:c r="N151" s="106"/>
      <x:c r="O151" s="106"/>
      <x:c r="P151" s="106"/>
      <x:c r="Q151" s="106"/>
      <x:c r="R151" s="99"/>
    </x:row>
    <x:row r="152" ht="15" customHeight="1">
      <x:c r="A152" s="94"/>
      <x:c r="B152" s="99"/>
      <x:c r="C152" s="99"/>
      <x:c r="D152" s="99"/>
      <x:c r="E152" s="101"/>
      <x:c r="F152" s="106"/>
      <x:c r="G152" s="106"/>
      <x:c r="H152" s="106"/>
      <x:c r="I152" s="106"/>
      <x:c r="J152" s="106"/>
      <x:c r="K152" s="106"/>
      <x:c r="L152" s="106"/>
      <x:c r="M152" s="106"/>
      <x:c r="N152" s="106"/>
      <x:c r="O152" s="106"/>
      <x:c r="P152" s="106"/>
      <x:c r="Q152" s="106"/>
      <x:c r="R152" s="99"/>
    </x:row>
    <x:row r="153" ht="15" customHeight="1">
      <x:c r="A153" s="94"/>
      <x:c r="B153" s="99"/>
      <x:c r="C153" s="99"/>
      <x:c r="D153" s="99"/>
      <x:c r="E153" s="101"/>
      <x:c r="F153" s="106"/>
      <x:c r="G153" s="106"/>
      <x:c r="H153" s="106"/>
      <x:c r="I153" s="106"/>
      <x:c r="J153" s="106"/>
      <x:c r="K153" s="106"/>
      <x:c r="L153" s="106"/>
      <x:c r="M153" s="106"/>
      <x:c r="N153" s="106"/>
      <x:c r="O153" s="106"/>
      <x:c r="P153" s="106"/>
      <x:c r="Q153" s="106"/>
      <x:c r="R153" s="99"/>
    </x:row>
    <x:row r="154" ht="15" customHeight="1">
      <x:c r="A154" s="94"/>
      <x:c r="B154" s="99"/>
      <x:c r="C154" s="99"/>
      <x:c r="D154" s="99"/>
      <x:c r="E154" s="101"/>
      <x:c r="F154" s="106"/>
      <x:c r="G154" s="106"/>
      <x:c r="H154" s="106"/>
      <x:c r="I154" s="106"/>
      <x:c r="J154" s="106"/>
      <x:c r="K154" s="106"/>
      <x:c r="L154" s="106"/>
      <x:c r="M154" s="106"/>
      <x:c r="N154" s="106"/>
      <x:c r="O154" s="106"/>
      <x:c r="P154" s="106"/>
      <x:c r="Q154" s="106"/>
      <x:c r="R154" s="99"/>
    </x:row>
    <x:row r="155" ht="15" customHeight="1">
      <x:c r="A155" s="94"/>
      <x:c r="B155" s="99"/>
      <x:c r="C155" s="99"/>
      <x:c r="D155" s="99"/>
      <x:c r="E155" s="101"/>
      <x:c r="F155" s="106"/>
      <x:c r="G155" s="106"/>
      <x:c r="H155" s="106"/>
      <x:c r="I155" s="106"/>
      <x:c r="J155" s="106"/>
      <x:c r="K155" s="106"/>
      <x:c r="L155" s="106"/>
      <x:c r="M155" s="106"/>
      <x:c r="N155" s="106"/>
      <x:c r="O155" s="106"/>
      <x:c r="P155" s="106"/>
      <x:c r="Q155" s="106"/>
      <x:c r="R155" s="99"/>
    </x:row>
    <x:row r="156" ht="15" customHeight="1">
      <x:c r="A156" s="94"/>
      <x:c r="B156" s="99"/>
      <x:c r="C156" s="99"/>
      <x:c r="D156" s="99"/>
      <x:c r="E156" s="101"/>
      <x:c r="F156" s="106"/>
      <x:c r="G156" s="106"/>
      <x:c r="H156" s="106"/>
      <x:c r="I156" s="106"/>
      <x:c r="J156" s="106"/>
      <x:c r="K156" s="106"/>
      <x:c r="L156" s="106"/>
      <x:c r="M156" s="106"/>
      <x:c r="N156" s="106"/>
      <x:c r="O156" s="106"/>
      <x:c r="P156" s="106"/>
      <x:c r="Q156" s="106"/>
      <x:c r="R156" s="99"/>
    </x:row>
    <x:row r="157" ht="15" customHeight="1">
      <x:c r="A157" s="94"/>
      <x:c r="B157" s="99"/>
      <x:c r="C157" s="99"/>
      <x:c r="D157" s="99"/>
      <x:c r="E157" s="101"/>
      <x:c r="F157" s="106"/>
      <x:c r="G157" s="106"/>
      <x:c r="H157" s="106"/>
      <x:c r="I157" s="106"/>
      <x:c r="J157" s="106"/>
      <x:c r="K157" s="106"/>
      <x:c r="L157" s="106"/>
      <x:c r="M157" s="106"/>
      <x:c r="N157" s="106"/>
      <x:c r="O157" s="106"/>
      <x:c r="P157" s="106"/>
      <x:c r="Q157" s="106"/>
      <x:c r="R157" s="99"/>
    </x:row>
    <x:row r="158" ht="15" customHeight="1">
      <x:c r="A158" s="94"/>
      <x:c r="B158" s="99"/>
      <x:c r="C158" s="99"/>
      <x:c r="D158" s="99"/>
      <x:c r="E158" s="101"/>
      <x:c r="F158" s="106"/>
      <x:c r="G158" s="106"/>
      <x:c r="H158" s="106"/>
      <x:c r="I158" s="106"/>
      <x:c r="J158" s="106"/>
      <x:c r="K158" s="106"/>
      <x:c r="L158" s="106"/>
      <x:c r="M158" s="106"/>
      <x:c r="N158" s="106"/>
      <x:c r="O158" s="106"/>
      <x:c r="P158" s="106"/>
      <x:c r="Q158" s="106"/>
      <x:c r="R158" s="99"/>
    </x:row>
    <x:row r="159" ht="15" customHeight="1">
      <x:c r="A159" s="94"/>
      <x:c r="B159" s="99"/>
      <x:c r="C159" s="99"/>
      <x:c r="D159" s="99"/>
      <x:c r="E159" s="101"/>
      <x:c r="F159" s="106"/>
      <x:c r="G159" s="106"/>
      <x:c r="H159" s="106"/>
      <x:c r="I159" s="106"/>
      <x:c r="J159" s="106"/>
      <x:c r="K159" s="106"/>
      <x:c r="L159" s="106"/>
      <x:c r="M159" s="106"/>
      <x:c r="N159" s="106"/>
      <x:c r="O159" s="106"/>
      <x:c r="P159" s="106"/>
      <x:c r="Q159" s="106"/>
      <x:c r="R159" s="99"/>
    </x:row>
    <x:row r="160" ht="15" customHeight="1">
      <x:c r="A160" s="94"/>
      <x:c r="B160" s="99"/>
      <x:c r="C160" s="99"/>
      <x:c r="D160" s="99"/>
      <x:c r="E160" s="101"/>
      <x:c r="F160" s="106"/>
      <x:c r="G160" s="106"/>
      <x:c r="H160" s="106"/>
      <x:c r="I160" s="106"/>
      <x:c r="J160" s="106"/>
      <x:c r="K160" s="106"/>
      <x:c r="L160" s="106"/>
      <x:c r="M160" s="106"/>
      <x:c r="N160" s="106"/>
      <x:c r="O160" s="106"/>
      <x:c r="P160" s="106"/>
      <x:c r="Q160" s="106"/>
      <x:c r="R160" s="99"/>
    </x:row>
    <x:row r="161" ht="15" customHeight="1">
      <x:c r="A161" s="94"/>
      <x:c r="B161" s="99"/>
      <x:c r="C161" s="99"/>
      <x:c r="D161" s="99"/>
      <x:c r="E161" s="101"/>
      <x:c r="F161" s="106"/>
      <x:c r="G161" s="106"/>
      <x:c r="H161" s="106"/>
      <x:c r="I161" s="106"/>
      <x:c r="J161" s="106"/>
      <x:c r="K161" s="106"/>
      <x:c r="L161" s="106"/>
      <x:c r="M161" s="106"/>
      <x:c r="N161" s="106"/>
      <x:c r="O161" s="106"/>
      <x:c r="P161" s="106"/>
      <x:c r="Q161" s="106"/>
      <x:c r="R161" s="99"/>
    </x:row>
    <x:row r="162" ht="15" customHeight="1">
      <x:c r="A162" s="94"/>
      <x:c r="B162" s="99"/>
      <x:c r="C162" s="99"/>
      <x:c r="D162" s="99"/>
      <x:c r="E162" s="101"/>
      <x:c r="F162" s="106"/>
      <x:c r="G162" s="106"/>
      <x:c r="H162" s="106"/>
      <x:c r="I162" s="106"/>
      <x:c r="J162" s="106"/>
      <x:c r="K162" s="106"/>
      <x:c r="L162" s="106"/>
      <x:c r="M162" s="106"/>
      <x:c r="N162" s="106"/>
      <x:c r="O162" s="106"/>
      <x:c r="P162" s="106"/>
      <x:c r="Q162" s="106"/>
      <x:c r="R162" s="99"/>
    </x:row>
    <x:row r="163" ht="15" customHeight="1">
      <x:c r="A163" s="94"/>
      <x:c r="B163" s="99"/>
      <x:c r="C163" s="99"/>
      <x:c r="D163" s="99"/>
      <x:c r="E163" s="101"/>
      <x:c r="F163" s="106"/>
      <x:c r="G163" s="106"/>
      <x:c r="H163" s="106"/>
      <x:c r="I163" s="106"/>
      <x:c r="J163" s="106"/>
      <x:c r="K163" s="106"/>
      <x:c r="L163" s="106"/>
      <x:c r="M163" s="106"/>
      <x:c r="N163" s="106"/>
      <x:c r="O163" s="106"/>
      <x:c r="P163" s="106"/>
      <x:c r="Q163" s="106"/>
      <x:c r="R163" s="99"/>
    </x:row>
    <x:row r="164" ht="15" customHeight="1">
      <x:c r="A164" s="94"/>
      <x:c r="B164" s="99"/>
      <x:c r="C164" s="99"/>
      <x:c r="D164" s="99"/>
      <x:c r="E164" s="101"/>
      <x:c r="F164" s="106"/>
      <x:c r="G164" s="106"/>
      <x:c r="H164" s="106"/>
      <x:c r="I164" s="106"/>
      <x:c r="J164" s="106"/>
      <x:c r="K164" s="106"/>
      <x:c r="L164" s="106"/>
      <x:c r="M164" s="106"/>
      <x:c r="N164" s="106"/>
      <x:c r="O164" s="106"/>
      <x:c r="P164" s="106"/>
      <x:c r="Q164" s="106"/>
      <x:c r="R164" s="99"/>
    </x:row>
    <x:row r="165" ht="15" customHeight="1">
      <x:c r="A165" s="94"/>
      <x:c r="B165" s="99"/>
      <x:c r="C165" s="99"/>
      <x:c r="D165" s="99"/>
      <x:c r="E165" s="101"/>
      <x:c r="F165" s="106"/>
      <x:c r="G165" s="106"/>
      <x:c r="H165" s="106"/>
      <x:c r="I165" s="106"/>
      <x:c r="J165" s="106"/>
      <x:c r="K165" s="106"/>
      <x:c r="L165" s="106"/>
      <x:c r="M165" s="106"/>
      <x:c r="N165" s="106"/>
      <x:c r="O165" s="106"/>
      <x:c r="P165" s="106"/>
      <x:c r="Q165" s="106"/>
      <x:c r="R165" s="99"/>
    </x:row>
    <x:row r="166" ht="15" customHeight="1">
      <x:c r="A166" s="94"/>
      <x:c r="B166" s="99"/>
      <x:c r="C166" s="99"/>
      <x:c r="D166" s="99"/>
      <x:c r="E166" s="101"/>
      <x:c r="F166" s="106"/>
      <x:c r="G166" s="106"/>
      <x:c r="H166" s="106"/>
      <x:c r="I166" s="106"/>
      <x:c r="J166" s="106"/>
      <x:c r="K166" s="106"/>
      <x:c r="L166" s="106"/>
      <x:c r="M166" s="106"/>
      <x:c r="N166" s="106"/>
      <x:c r="O166" s="106"/>
      <x:c r="P166" s="106"/>
      <x:c r="Q166" s="106"/>
      <x:c r="R166" s="99"/>
    </x:row>
    <x:row r="167" ht="15" customHeight="1">
      <x:c r="A167" s="94"/>
      <x:c r="B167" s="99"/>
      <x:c r="C167" s="99"/>
      <x:c r="D167" s="99"/>
      <x:c r="E167" s="101"/>
      <x:c r="F167" s="106"/>
      <x:c r="G167" s="106"/>
      <x:c r="H167" s="106"/>
      <x:c r="I167" s="106"/>
      <x:c r="J167" s="106"/>
      <x:c r="K167" s="106"/>
      <x:c r="L167" s="106"/>
      <x:c r="M167" s="106"/>
      <x:c r="N167" s="106"/>
      <x:c r="O167" s="106"/>
      <x:c r="P167" s="106"/>
      <x:c r="Q167" s="106"/>
      <x:c r="R167" s="99"/>
    </x:row>
    <x:row r="168" ht="15" customHeight="1">
      <x:c r="A168" s="94"/>
      <x:c r="B168" s="99"/>
      <x:c r="C168" s="99"/>
      <x:c r="D168" s="99"/>
      <x:c r="E168" s="101"/>
      <x:c r="F168" s="106"/>
      <x:c r="G168" s="106"/>
      <x:c r="H168" s="106"/>
      <x:c r="I168" s="106"/>
      <x:c r="J168" s="106"/>
      <x:c r="K168" s="106"/>
      <x:c r="L168" s="106"/>
      <x:c r="M168" s="106"/>
      <x:c r="N168" s="106"/>
      <x:c r="O168" s="106"/>
      <x:c r="P168" s="106"/>
      <x:c r="Q168" s="106"/>
      <x:c r="R168" s="99"/>
    </x:row>
    <x:row r="169" ht="15" customHeight="1">
      <x:c r="A169" s="94"/>
      <x:c r="B169" s="99"/>
      <x:c r="C169" s="99"/>
      <x:c r="D169" s="99"/>
      <x:c r="E169" s="101"/>
      <x:c r="F169" s="106"/>
      <x:c r="G169" s="106"/>
      <x:c r="H169" s="106"/>
      <x:c r="I169" s="106"/>
      <x:c r="J169" s="106"/>
      <x:c r="K169" s="106"/>
      <x:c r="L169" s="106"/>
      <x:c r="M169" s="106"/>
      <x:c r="N169" s="106"/>
      <x:c r="O169" s="106"/>
      <x:c r="P169" s="106"/>
      <x:c r="Q169" s="106"/>
      <x:c r="R169" s="99"/>
    </x:row>
    <x:row r="170" ht="15" customHeight="1">
      <x:c r="A170" s="94"/>
      <x:c r="B170" s="99"/>
      <x:c r="C170" s="99"/>
      <x:c r="D170" s="99"/>
      <x:c r="E170" s="101"/>
      <x:c r="F170" s="106"/>
      <x:c r="G170" s="106"/>
      <x:c r="H170" s="106"/>
      <x:c r="I170" s="106"/>
      <x:c r="J170" s="106"/>
      <x:c r="K170" s="106"/>
      <x:c r="L170" s="106"/>
      <x:c r="M170" s="106"/>
      <x:c r="N170" s="106"/>
      <x:c r="O170" s="106"/>
      <x:c r="P170" s="106"/>
      <x:c r="Q170" s="106"/>
      <x:c r="R170" s="99"/>
    </x:row>
    <x:row r="171" ht="15" customHeight="1">
      <x:c r="A171" s="94"/>
      <x:c r="B171" s="99"/>
      <x:c r="C171" s="99"/>
      <x:c r="D171" s="99"/>
      <x:c r="E171" s="101"/>
      <x:c r="F171" s="106"/>
      <x:c r="G171" s="106"/>
      <x:c r="H171" s="106"/>
      <x:c r="I171" s="106"/>
      <x:c r="J171" s="106"/>
      <x:c r="K171" s="106"/>
      <x:c r="L171" s="106"/>
      <x:c r="M171" s="106"/>
      <x:c r="N171" s="106"/>
      <x:c r="O171" s="106"/>
      <x:c r="P171" s="106"/>
      <x:c r="Q171" s="106"/>
      <x:c r="R171" s="99"/>
    </x:row>
    <x:row r="172" ht="15" customHeight="1">
      <x:c r="A172" s="94"/>
      <x:c r="B172" s="99"/>
      <x:c r="C172" s="99"/>
      <x:c r="D172" s="99"/>
      <x:c r="E172" s="101"/>
      <x:c r="F172" s="106"/>
      <x:c r="G172" s="106"/>
      <x:c r="H172" s="106"/>
      <x:c r="I172" s="106"/>
      <x:c r="J172" s="106"/>
      <x:c r="K172" s="106"/>
      <x:c r="L172" s="106"/>
      <x:c r="M172" s="106"/>
      <x:c r="N172" s="106"/>
      <x:c r="O172" s="106"/>
      <x:c r="P172" s="106"/>
      <x:c r="Q172" s="106"/>
      <x:c r="R172" s="99"/>
    </x:row>
    <x:row r="173" ht="15" customHeight="1">
      <x:c r="A173" s="94"/>
      <x:c r="B173" s="99"/>
      <x:c r="C173" s="99"/>
      <x:c r="D173" s="99"/>
      <x:c r="E173" s="101"/>
      <x:c r="F173" s="106"/>
      <x:c r="G173" s="106"/>
      <x:c r="H173" s="106"/>
      <x:c r="I173" s="106"/>
      <x:c r="J173" s="106"/>
      <x:c r="K173" s="106"/>
      <x:c r="L173" s="106"/>
      <x:c r="M173" s="106"/>
      <x:c r="N173" s="106"/>
      <x:c r="O173" s="106"/>
      <x:c r="P173" s="106"/>
      <x:c r="Q173" s="106"/>
      <x:c r="R173" s="99"/>
    </x:row>
    <x:row r="174" ht="15" customHeight="1">
      <x:c r="A174" s="94"/>
      <x:c r="B174" s="99"/>
      <x:c r="C174" s="99"/>
      <x:c r="D174" s="99"/>
      <x:c r="E174" s="101"/>
      <x:c r="F174" s="106"/>
      <x:c r="G174" s="106"/>
      <x:c r="H174" s="106"/>
      <x:c r="I174" s="106"/>
      <x:c r="J174" s="106"/>
      <x:c r="K174" s="106"/>
      <x:c r="L174" s="106"/>
      <x:c r="M174" s="106"/>
      <x:c r="N174" s="106"/>
      <x:c r="O174" s="106"/>
      <x:c r="P174" s="106"/>
      <x:c r="Q174" s="106"/>
      <x:c r="R174" s="99"/>
    </x:row>
    <x:row r="175" ht="15" customHeight="1">
      <x:c r="A175" s="94"/>
      <x:c r="B175" s="99"/>
      <x:c r="C175" s="99"/>
      <x:c r="D175" s="99"/>
      <x:c r="E175" s="101"/>
      <x:c r="F175" s="106"/>
      <x:c r="G175" s="106"/>
      <x:c r="H175" s="106"/>
      <x:c r="I175" s="106"/>
      <x:c r="J175" s="106"/>
      <x:c r="K175" s="106"/>
      <x:c r="L175" s="106"/>
      <x:c r="M175" s="106"/>
      <x:c r="N175" s="106"/>
      <x:c r="O175" s="106"/>
      <x:c r="P175" s="106"/>
      <x:c r="Q175" s="106"/>
      <x:c r="R175" s="99"/>
    </x:row>
    <x:row r="176" ht="15" customHeight="1">
      <x:c r="A176" s="94"/>
      <x:c r="B176" s="99"/>
      <x:c r="C176" s="99"/>
      <x:c r="D176" s="99"/>
      <x:c r="E176" s="101"/>
      <x:c r="F176" s="106"/>
      <x:c r="G176" s="106"/>
      <x:c r="H176" s="106"/>
      <x:c r="I176" s="106"/>
      <x:c r="J176" s="106"/>
      <x:c r="K176" s="106"/>
      <x:c r="L176" s="106"/>
      <x:c r="M176" s="106"/>
      <x:c r="N176" s="106"/>
      <x:c r="O176" s="106"/>
      <x:c r="P176" s="106"/>
      <x:c r="Q176" s="106"/>
      <x:c r="R176" s="99"/>
    </x:row>
    <x:row r="177" ht="15" customHeight="1">
      <x:c r="A177" s="94"/>
      <x:c r="B177" s="99"/>
      <x:c r="C177" s="99"/>
      <x:c r="D177" s="99"/>
      <x:c r="E177" s="101"/>
      <x:c r="F177" s="106"/>
      <x:c r="G177" s="106"/>
      <x:c r="H177" s="106"/>
      <x:c r="I177" s="106"/>
      <x:c r="J177" s="106"/>
      <x:c r="K177" s="106"/>
      <x:c r="L177" s="106"/>
      <x:c r="M177" s="106"/>
      <x:c r="N177" s="106"/>
      <x:c r="O177" s="106"/>
      <x:c r="P177" s="106"/>
      <x:c r="Q177" s="106"/>
      <x:c r="R177" s="99"/>
    </x:row>
    <x:row r="178" ht="15" customHeight="1">
      <x:c r="A178" s="94"/>
      <x:c r="B178" s="99"/>
      <x:c r="C178" s="99"/>
      <x:c r="D178" s="99"/>
      <x:c r="E178" s="101"/>
      <x:c r="F178" s="106"/>
      <x:c r="G178" s="106"/>
      <x:c r="H178" s="106"/>
      <x:c r="I178" s="106"/>
      <x:c r="J178" s="106"/>
      <x:c r="K178" s="106"/>
      <x:c r="L178" s="106"/>
      <x:c r="M178" s="106"/>
      <x:c r="N178" s="106"/>
      <x:c r="O178" s="106"/>
      <x:c r="P178" s="106"/>
      <x:c r="Q178" s="106"/>
      <x:c r="R178" s="99"/>
    </x:row>
    <x:row r="179" ht="15" customHeight="1">
      <x:c r="A179" s="94"/>
      <x:c r="B179" s="99"/>
      <x:c r="C179" s="99"/>
      <x:c r="D179" s="99"/>
      <x:c r="E179" s="101"/>
      <x:c r="F179" s="106"/>
      <x:c r="G179" s="106"/>
      <x:c r="H179" s="106"/>
      <x:c r="I179" s="106"/>
      <x:c r="J179" s="106"/>
      <x:c r="K179" s="106"/>
      <x:c r="L179" s="106"/>
      <x:c r="M179" s="106"/>
      <x:c r="N179" s="106"/>
      <x:c r="O179" s="106"/>
      <x:c r="P179" s="106"/>
      <x:c r="Q179" s="106"/>
      <x:c r="R179" s="99"/>
    </x:row>
    <x:row r="180" ht="15" customHeight="1">
      <x:c r="A180" s="94"/>
      <x:c r="B180" s="99"/>
      <x:c r="C180" s="99"/>
      <x:c r="D180" s="99"/>
      <x:c r="E180" s="101"/>
      <x:c r="F180" s="106"/>
      <x:c r="G180" s="106"/>
      <x:c r="H180" s="106"/>
      <x:c r="I180" s="106"/>
      <x:c r="J180" s="106"/>
      <x:c r="K180" s="106"/>
      <x:c r="L180" s="106"/>
      <x:c r="M180" s="106"/>
      <x:c r="N180" s="106"/>
      <x:c r="O180" s="106"/>
      <x:c r="P180" s="106"/>
      <x:c r="Q180" s="106"/>
      <x:c r="R180" s="99"/>
    </x:row>
    <x:row r="181" ht="15" customHeight="1">
      <x:c r="A181" s="94"/>
      <x:c r="B181" s="99"/>
      <x:c r="C181" s="99"/>
      <x:c r="D181" s="99"/>
      <x:c r="E181" s="101"/>
      <x:c r="F181" s="106"/>
      <x:c r="G181" s="106"/>
      <x:c r="H181" s="106"/>
      <x:c r="I181" s="106"/>
      <x:c r="J181" s="106"/>
      <x:c r="K181" s="106"/>
      <x:c r="L181" s="106"/>
      <x:c r="M181" s="106"/>
      <x:c r="N181" s="106"/>
      <x:c r="O181" s="106"/>
      <x:c r="P181" s="106"/>
      <x:c r="Q181" s="106"/>
      <x:c r="R181" s="99"/>
    </x:row>
    <x:row r="182" ht="15" customHeight="1">
      <x:c r="A182" s="94"/>
      <x:c r="B182" s="99"/>
      <x:c r="C182" s="99"/>
      <x:c r="D182" s="99"/>
      <x:c r="E182" s="101"/>
      <x:c r="F182" s="106"/>
      <x:c r="G182" s="106"/>
      <x:c r="H182" s="106"/>
      <x:c r="I182" s="106"/>
      <x:c r="J182" s="106"/>
      <x:c r="K182" s="106"/>
      <x:c r="L182" s="106"/>
      <x:c r="M182" s="106"/>
      <x:c r="N182" s="106"/>
      <x:c r="O182" s="106"/>
      <x:c r="P182" s="106"/>
      <x:c r="Q182" s="106"/>
      <x:c r="R182" s="99"/>
    </x:row>
    <x:row r="183" ht="15" customHeight="1">
      <x:c r="A183" s="94"/>
      <x:c r="B183" s="99"/>
      <x:c r="C183" s="99"/>
      <x:c r="D183" s="99"/>
      <x:c r="E183" s="101"/>
      <x:c r="F183" s="106"/>
      <x:c r="G183" s="106"/>
      <x:c r="H183" s="106"/>
      <x:c r="I183" s="106"/>
      <x:c r="J183" s="106"/>
      <x:c r="K183" s="106"/>
      <x:c r="L183" s="106"/>
      <x:c r="M183" s="106"/>
      <x:c r="N183" s="106"/>
      <x:c r="O183" s="106"/>
      <x:c r="P183" s="106"/>
      <x:c r="Q183" s="106"/>
      <x:c r="R183" s="99"/>
    </x:row>
    <x:row r="184" ht="15" customHeight="1">
      <x:c r="A184" s="94"/>
      <x:c r="B184" s="99"/>
      <x:c r="C184" s="99"/>
      <x:c r="D184" s="99"/>
      <x:c r="E184" s="101"/>
      <x:c r="F184" s="106"/>
      <x:c r="G184" s="106"/>
      <x:c r="H184" s="106"/>
      <x:c r="I184" s="106"/>
      <x:c r="J184" s="106"/>
      <x:c r="K184" s="106"/>
      <x:c r="L184" s="106"/>
      <x:c r="M184" s="106"/>
      <x:c r="N184" s="106"/>
      <x:c r="O184" s="106"/>
      <x:c r="P184" s="106"/>
      <x:c r="Q184" s="106"/>
      <x:c r="R184" s="99"/>
    </x:row>
    <x:row r="185" ht="15" customHeight="1">
      <x:c r="A185" s="94"/>
      <x:c r="B185" s="99"/>
      <x:c r="C185" s="99"/>
      <x:c r="D185" s="99"/>
      <x:c r="E185" s="101"/>
      <x:c r="F185" s="106"/>
      <x:c r="G185" s="106"/>
      <x:c r="H185" s="106"/>
      <x:c r="I185" s="106"/>
      <x:c r="J185" s="106"/>
      <x:c r="K185" s="106"/>
      <x:c r="L185" s="106"/>
      <x:c r="M185" s="106"/>
      <x:c r="N185" s="106"/>
      <x:c r="O185" s="106"/>
      <x:c r="P185" s="106"/>
      <x:c r="Q185" s="106"/>
      <x:c r="R185" s="99"/>
    </x:row>
    <x:row r="186" ht="15" customHeight="1">
      <x:c r="A186" s="94"/>
      <x:c r="B186" s="99"/>
      <x:c r="C186" s="99"/>
      <x:c r="D186" s="99"/>
      <x:c r="E186" s="101"/>
      <x:c r="F186" s="106"/>
      <x:c r="G186" s="106"/>
      <x:c r="H186" s="106"/>
      <x:c r="I186" s="106"/>
      <x:c r="J186" s="106"/>
      <x:c r="K186" s="106"/>
      <x:c r="L186" s="106"/>
      <x:c r="M186" s="106"/>
      <x:c r="N186" s="106"/>
      <x:c r="O186" s="106"/>
      <x:c r="P186" s="106"/>
      <x:c r="Q186" s="106"/>
      <x:c r="R186" s="99"/>
    </x:row>
    <x:row r="187" ht="15" customHeight="1">
      <x:c r="A187" s="94"/>
      <x:c r="B187" s="99"/>
      <x:c r="C187" s="99"/>
      <x:c r="D187" s="99"/>
      <x:c r="E187" s="101"/>
      <x:c r="F187" s="106"/>
      <x:c r="G187" s="106"/>
      <x:c r="H187" s="106"/>
      <x:c r="I187" s="106"/>
      <x:c r="J187" s="106"/>
      <x:c r="K187" s="106"/>
      <x:c r="L187" s="106"/>
      <x:c r="M187" s="106"/>
      <x:c r="N187" s="106"/>
      <x:c r="O187" s="106"/>
      <x:c r="P187" s="106"/>
      <x:c r="Q187" s="106"/>
      <x:c r="R187" s="99"/>
    </x:row>
    <x:row r="188" ht="15" customHeight="1">
      <x:c r="A188" s="94"/>
      <x:c r="B188" s="99"/>
      <x:c r="C188" s="99"/>
      <x:c r="D188" s="99"/>
      <x:c r="E188" s="101"/>
      <x:c r="F188" s="106"/>
      <x:c r="G188" s="106"/>
      <x:c r="H188" s="106"/>
      <x:c r="I188" s="106"/>
      <x:c r="J188" s="106"/>
      <x:c r="K188" s="106"/>
      <x:c r="L188" s="106"/>
      <x:c r="M188" s="106"/>
      <x:c r="N188" s="106"/>
      <x:c r="O188" s="106"/>
      <x:c r="P188" s="106"/>
      <x:c r="Q188" s="106"/>
      <x:c r="R188" s="99"/>
    </x:row>
    <x:row r="189" ht="15" customHeight="1">
      <x:c r="A189" s="94"/>
      <x:c r="B189" s="99"/>
      <x:c r="C189" s="99"/>
      <x:c r="D189" s="99"/>
      <x:c r="E189" s="101"/>
      <x:c r="F189" s="106"/>
      <x:c r="G189" s="106"/>
      <x:c r="H189" s="106"/>
      <x:c r="I189" s="106"/>
      <x:c r="J189" s="106"/>
      <x:c r="K189" s="106"/>
      <x:c r="L189" s="106"/>
      <x:c r="M189" s="106"/>
      <x:c r="N189" s="106"/>
      <x:c r="O189" s="106"/>
      <x:c r="P189" s="106"/>
      <x:c r="Q189" s="106"/>
      <x:c r="R189" s="99"/>
    </x:row>
    <x:row r="190" ht="15" customHeight="1">
      <x:c r="A190" s="94"/>
      <x:c r="B190" s="99"/>
      <x:c r="C190" s="99"/>
      <x:c r="D190" s="99"/>
      <x:c r="E190" s="101"/>
      <x:c r="F190" s="106"/>
      <x:c r="G190" s="106"/>
      <x:c r="H190" s="106"/>
      <x:c r="I190" s="106"/>
      <x:c r="J190" s="106"/>
      <x:c r="K190" s="106"/>
      <x:c r="L190" s="106"/>
      <x:c r="M190" s="106"/>
      <x:c r="N190" s="106"/>
      <x:c r="O190" s="106"/>
      <x:c r="P190" s="106"/>
      <x:c r="Q190" s="106"/>
      <x:c r="R190" s="99"/>
    </x:row>
    <x:row r="191" ht="15" customHeight="1">
      <x:c r="A191" s="94"/>
      <x:c r="B191" s="99"/>
      <x:c r="C191" s="99"/>
      <x:c r="D191" s="99"/>
      <x:c r="E191" s="101"/>
      <x:c r="F191" s="106"/>
      <x:c r="G191" s="106"/>
      <x:c r="H191" s="106"/>
      <x:c r="I191" s="106"/>
      <x:c r="J191" s="106"/>
      <x:c r="K191" s="106"/>
      <x:c r="L191" s="106"/>
      <x:c r="M191" s="106"/>
      <x:c r="N191" s="106"/>
      <x:c r="O191" s="106"/>
      <x:c r="P191" s="106"/>
      <x:c r="Q191" s="106"/>
      <x:c r="R191" s="99"/>
    </x:row>
    <x:row r="192" ht="15" customHeight="1">
      <x:c r="A192" s="94"/>
      <x:c r="B192" s="99"/>
      <x:c r="C192" s="99"/>
      <x:c r="D192" s="99"/>
      <x:c r="E192" s="101"/>
      <x:c r="F192" s="106"/>
      <x:c r="G192" s="106"/>
      <x:c r="H192" s="106"/>
      <x:c r="I192" s="106"/>
      <x:c r="J192" s="106"/>
      <x:c r="K192" s="106"/>
      <x:c r="L192" s="106"/>
      <x:c r="M192" s="106"/>
      <x:c r="N192" s="106"/>
      <x:c r="O192" s="106"/>
      <x:c r="P192" s="106"/>
      <x:c r="Q192" s="106"/>
      <x:c r="R192" s="99"/>
    </x:row>
    <x:row r="193" ht="15" customHeight="1">
      <x:c r="A193" s="94"/>
      <x:c r="B193" s="99"/>
      <x:c r="C193" s="99"/>
      <x:c r="D193" s="99"/>
      <x:c r="E193" s="101"/>
      <x:c r="F193" s="106"/>
      <x:c r="G193" s="106"/>
      <x:c r="H193" s="106"/>
      <x:c r="I193" s="106"/>
      <x:c r="J193" s="106"/>
      <x:c r="K193" s="106"/>
      <x:c r="L193" s="106"/>
      <x:c r="M193" s="106"/>
      <x:c r="N193" s="106"/>
      <x:c r="O193" s="106"/>
      <x:c r="P193" s="106"/>
      <x:c r="Q193" s="106"/>
      <x:c r="R193" s="99"/>
    </x:row>
    <x:row r="194" ht="15" customHeight="1">
      <x:c r="A194" s="94"/>
      <x:c r="B194" s="99"/>
      <x:c r="C194" s="99"/>
      <x:c r="D194" s="99"/>
      <x:c r="E194" s="101"/>
      <x:c r="F194" s="106"/>
      <x:c r="G194" s="106"/>
      <x:c r="H194" s="106"/>
      <x:c r="I194" s="106"/>
      <x:c r="J194" s="106"/>
      <x:c r="K194" s="106"/>
      <x:c r="L194" s="106"/>
      <x:c r="M194" s="106"/>
      <x:c r="N194" s="106"/>
      <x:c r="O194" s="106"/>
      <x:c r="P194" s="106"/>
      <x:c r="Q194" s="106"/>
      <x:c r="R194" s="99"/>
    </x:row>
    <x:row r="195" ht="15" customHeight="1">
      <x:c r="A195" s="94"/>
      <x:c r="B195" s="99"/>
      <x:c r="C195" s="99"/>
      <x:c r="D195" s="99"/>
      <x:c r="E195" s="101"/>
      <x:c r="F195" s="106"/>
      <x:c r="G195" s="106"/>
      <x:c r="H195" s="106"/>
      <x:c r="I195" s="106"/>
      <x:c r="J195" s="106"/>
      <x:c r="K195" s="106"/>
      <x:c r="L195" s="106"/>
      <x:c r="M195" s="106"/>
      <x:c r="N195" s="106"/>
      <x:c r="O195" s="106"/>
      <x:c r="P195" s="106"/>
      <x:c r="Q195" s="106"/>
      <x:c r="R195" s="99"/>
    </x:row>
    <x:row r="196" ht="15" customHeight="1">
      <x:c r="A196" s="94"/>
      <x:c r="B196" s="99"/>
      <x:c r="C196" s="99"/>
      <x:c r="D196" s="99"/>
      <x:c r="E196" s="101"/>
      <x:c r="F196" s="106"/>
      <x:c r="G196" s="106"/>
      <x:c r="H196" s="106"/>
      <x:c r="I196" s="106"/>
      <x:c r="J196" s="106"/>
      <x:c r="K196" s="106"/>
      <x:c r="L196" s="106"/>
      <x:c r="M196" s="106"/>
      <x:c r="N196" s="106"/>
      <x:c r="O196" s="106"/>
      <x:c r="P196" s="106"/>
      <x:c r="Q196" s="106"/>
      <x:c r="R196" s="99"/>
    </x:row>
    <x:row r="197" ht="15" customHeight="1">
      <x:c r="A197" s="94"/>
      <x:c r="B197" s="99"/>
      <x:c r="C197" s="99"/>
      <x:c r="D197" s="99"/>
      <x:c r="E197" s="101"/>
      <x:c r="F197" s="106"/>
      <x:c r="G197" s="106"/>
      <x:c r="H197" s="106"/>
      <x:c r="I197" s="106"/>
      <x:c r="J197" s="106"/>
      <x:c r="K197" s="106"/>
      <x:c r="L197" s="106"/>
      <x:c r="M197" s="106"/>
      <x:c r="N197" s="106"/>
      <x:c r="O197" s="106"/>
      <x:c r="P197" s="106"/>
      <x:c r="Q197" s="106"/>
      <x:c r="R197" s="99"/>
    </x:row>
    <x:row r="198" ht="15" customHeight="1">
      <x:c r="A198" s="94"/>
      <x:c r="B198" s="99"/>
      <x:c r="C198" s="99"/>
      <x:c r="D198" s="99"/>
      <x:c r="E198" s="101"/>
      <x:c r="F198" s="106"/>
      <x:c r="G198" s="106"/>
      <x:c r="H198" s="106"/>
      <x:c r="I198" s="106"/>
      <x:c r="J198" s="106"/>
      <x:c r="K198" s="106"/>
      <x:c r="L198" s="106"/>
      <x:c r="M198" s="106"/>
      <x:c r="N198" s="106"/>
      <x:c r="O198" s="106"/>
      <x:c r="P198" s="106"/>
      <x:c r="Q198" s="106"/>
      <x:c r="R198" s="99"/>
    </x:row>
    <x:row r="199" ht="15" customHeight="1">
      <x:c r="A199" s="94"/>
      <x:c r="B199" s="99"/>
      <x:c r="C199" s="99"/>
      <x:c r="D199" s="99"/>
      <x:c r="E199" s="101"/>
      <x:c r="F199" s="106"/>
      <x:c r="G199" s="106"/>
      <x:c r="H199" s="106"/>
      <x:c r="I199" s="106"/>
      <x:c r="J199" s="106"/>
      <x:c r="K199" s="106"/>
      <x:c r="L199" s="106"/>
      <x:c r="M199" s="106"/>
      <x:c r="N199" s="106"/>
      <x:c r="O199" s="106"/>
      <x:c r="P199" s="106"/>
      <x:c r="Q199" s="106"/>
      <x:c r="R199" s="99"/>
    </x:row>
    <x:row r="200" ht="15" customHeight="1">
      <x:c r="A200" s="94"/>
      <x:c r="B200" s="99"/>
      <x:c r="C200" s="99"/>
      <x:c r="D200" s="99"/>
      <x:c r="E200" s="101"/>
      <x:c r="F200" s="106"/>
      <x:c r="G200" s="106"/>
      <x:c r="H200" s="106"/>
      <x:c r="I200" s="106"/>
      <x:c r="J200" s="106"/>
      <x:c r="K200" s="106"/>
      <x:c r="L200" s="106"/>
      <x:c r="M200" s="106"/>
      <x:c r="N200" s="106"/>
      <x:c r="O200" s="106"/>
      <x:c r="P200" s="106"/>
      <x:c r="Q200" s="106"/>
      <x:c r="R200" s="99"/>
    </x:row>
    <x:row r="201" ht="15" customHeight="1">
      <x:c r="A201" s="94"/>
      <x:c r="B201" s="99"/>
      <x:c r="C201" s="99"/>
      <x:c r="D201" s="99"/>
      <x:c r="E201" s="101"/>
      <x:c r="F201" s="106"/>
      <x:c r="G201" s="106"/>
      <x:c r="H201" s="106"/>
      <x:c r="I201" s="106"/>
      <x:c r="J201" s="106"/>
      <x:c r="K201" s="106"/>
      <x:c r="L201" s="106"/>
      <x:c r="M201" s="106"/>
      <x:c r="N201" s="106"/>
      <x:c r="O201" s="106"/>
      <x:c r="P201" s="106"/>
      <x:c r="Q201" s="106"/>
      <x:c r="R201" s="99"/>
    </x:row>
    <x:row r="202" ht="15" customHeight="1">
      <x:c r="A202" s="94"/>
      <x:c r="B202" s="99"/>
      <x:c r="C202" s="99"/>
      <x:c r="D202" s="99"/>
      <x:c r="E202" s="101"/>
      <x:c r="F202" s="106"/>
      <x:c r="G202" s="106"/>
      <x:c r="H202" s="106"/>
      <x:c r="I202" s="106"/>
      <x:c r="J202" s="106"/>
      <x:c r="K202" s="106"/>
      <x:c r="L202" s="106"/>
      <x:c r="M202" s="106"/>
      <x:c r="N202" s="106"/>
      <x:c r="O202" s="106"/>
      <x:c r="P202" s="106"/>
      <x:c r="Q202" s="106"/>
      <x:c r="R202" s="99"/>
    </x:row>
    <x:row r="203" ht="15" customHeight="1">
      <x:c r="A203" s="94"/>
      <x:c r="B203" s="99"/>
      <x:c r="C203" s="99"/>
      <x:c r="D203" s="99"/>
      <x:c r="E203" s="101"/>
      <x:c r="F203" s="106"/>
      <x:c r="G203" s="106"/>
      <x:c r="H203" s="106"/>
      <x:c r="I203" s="106"/>
      <x:c r="J203" s="106"/>
      <x:c r="K203" s="106"/>
      <x:c r="L203" s="106"/>
      <x:c r="M203" s="106"/>
      <x:c r="N203" s="106"/>
      <x:c r="O203" s="106"/>
      <x:c r="P203" s="106"/>
      <x:c r="Q203" s="106"/>
      <x:c r="R203" s="99"/>
    </x:row>
    <x:row r="204" ht="15" customHeight="1">
      <x:c r="A204" s="94"/>
      <x:c r="B204" s="99"/>
      <x:c r="C204" s="99"/>
      <x:c r="D204" s="99"/>
      <x:c r="E204" s="101"/>
      <x:c r="F204" s="106"/>
      <x:c r="G204" s="106"/>
      <x:c r="H204" s="106"/>
      <x:c r="I204" s="106"/>
      <x:c r="J204" s="106"/>
      <x:c r="K204" s="106"/>
      <x:c r="L204" s="106"/>
      <x:c r="M204" s="106"/>
      <x:c r="N204" s="106"/>
      <x:c r="O204" s="106"/>
      <x:c r="P204" s="106"/>
      <x:c r="Q204" s="106"/>
      <x:c r="R204" s="99"/>
    </x:row>
    <x:row r="205" ht="15" customHeight="1">
      <x:c r="A205" s="94"/>
      <x:c r="B205" s="99"/>
      <x:c r="C205" s="99"/>
      <x:c r="D205" s="99"/>
      <x:c r="E205" s="101"/>
      <x:c r="F205" s="106"/>
      <x:c r="G205" s="106"/>
      <x:c r="H205" s="106"/>
      <x:c r="I205" s="106"/>
      <x:c r="J205" s="106"/>
      <x:c r="K205" s="106"/>
      <x:c r="L205" s="106"/>
      <x:c r="M205" s="106"/>
      <x:c r="N205" s="106"/>
      <x:c r="O205" s="106"/>
      <x:c r="P205" s="106"/>
      <x:c r="Q205" s="106"/>
      <x:c r="R205" s="99"/>
    </x:row>
    <x:row r="206" ht="15" customHeight="1">
      <x:c r="A206" s="94"/>
      <x:c r="B206" s="99"/>
      <x:c r="C206" s="99"/>
      <x:c r="D206" s="99"/>
      <x:c r="E206" s="101"/>
      <x:c r="F206" s="106"/>
      <x:c r="G206" s="106"/>
      <x:c r="H206" s="106"/>
      <x:c r="I206" s="106"/>
      <x:c r="J206" s="106"/>
      <x:c r="K206" s="106"/>
      <x:c r="L206" s="106"/>
      <x:c r="M206" s="106"/>
      <x:c r="N206" s="106"/>
      <x:c r="O206" s="106"/>
      <x:c r="P206" s="106"/>
      <x:c r="Q206" s="106"/>
      <x:c r="R206" s="99"/>
    </x:row>
    <x:row r="207" ht="15" customHeight="1">
      <x:c r="A207" s="94"/>
      <x:c r="B207" s="99"/>
      <x:c r="C207" s="99"/>
      <x:c r="D207" s="99"/>
      <x:c r="E207" s="101"/>
      <x:c r="F207" s="106"/>
      <x:c r="G207" s="106"/>
      <x:c r="H207" s="106"/>
      <x:c r="I207" s="106"/>
      <x:c r="J207" s="106"/>
      <x:c r="K207" s="106"/>
      <x:c r="L207" s="106"/>
      <x:c r="M207" s="106"/>
      <x:c r="N207" s="106"/>
      <x:c r="O207" s="106"/>
      <x:c r="P207" s="106"/>
      <x:c r="Q207" s="106"/>
      <x:c r="R207" s="99"/>
    </x:row>
    <x:row r="208" ht="15" customHeight="1">
      <x:c r="A208" s="94"/>
      <x:c r="B208" s="99"/>
      <x:c r="C208" s="99"/>
      <x:c r="D208" s="99"/>
      <x:c r="E208" s="101"/>
      <x:c r="F208" s="106"/>
      <x:c r="G208" s="106"/>
      <x:c r="H208" s="106"/>
      <x:c r="I208" s="106"/>
      <x:c r="J208" s="106"/>
      <x:c r="K208" s="106"/>
      <x:c r="L208" s="106"/>
      <x:c r="M208" s="106"/>
      <x:c r="N208" s="106"/>
      <x:c r="O208" s="106"/>
      <x:c r="P208" s="106"/>
      <x:c r="Q208" s="106"/>
      <x:c r="R208" s="99"/>
    </x:row>
    <x:row r="209" ht="15" customHeight="1">
      <x:c r="A209" s="94"/>
      <x:c r="B209" s="99"/>
      <x:c r="C209" s="99"/>
      <x:c r="D209" s="99"/>
      <x:c r="E209" s="101"/>
      <x:c r="F209" s="106"/>
      <x:c r="G209" s="106"/>
      <x:c r="H209" s="106"/>
      <x:c r="I209" s="106"/>
      <x:c r="J209" s="106"/>
      <x:c r="K209" s="106"/>
      <x:c r="L209" s="106"/>
      <x:c r="M209" s="106"/>
      <x:c r="N209" s="106"/>
      <x:c r="O209" s="106"/>
      <x:c r="P209" s="106"/>
      <x:c r="Q209" s="106"/>
      <x:c r="R209" s="99"/>
    </x:row>
    <x:row r="210" ht="15" customHeight="1">
      <x:c r="A210" s="94"/>
      <x:c r="B210" s="99"/>
      <x:c r="C210" s="99"/>
      <x:c r="D210" s="99"/>
      <x:c r="E210" s="101"/>
      <x:c r="F210" s="106"/>
      <x:c r="G210" s="106"/>
      <x:c r="H210" s="106"/>
      <x:c r="I210" s="106"/>
      <x:c r="J210" s="106"/>
      <x:c r="K210" s="106"/>
      <x:c r="L210" s="106"/>
      <x:c r="M210" s="106"/>
      <x:c r="N210" s="106"/>
      <x:c r="O210" s="106"/>
      <x:c r="P210" s="106"/>
      <x:c r="Q210" s="106"/>
      <x:c r="R210" s="99"/>
    </x:row>
    <x:row r="211" ht="15" customHeight="1">
      <x:c r="A211" s="94"/>
      <x:c r="B211" s="99"/>
      <x:c r="C211" s="99"/>
      <x:c r="D211" s="99"/>
      <x:c r="E211" s="101"/>
      <x:c r="F211" s="106"/>
      <x:c r="G211" s="106"/>
      <x:c r="H211" s="106"/>
      <x:c r="I211" s="106"/>
      <x:c r="J211" s="106"/>
      <x:c r="K211" s="106"/>
      <x:c r="L211" s="106"/>
      <x:c r="M211" s="106"/>
      <x:c r="N211" s="106"/>
      <x:c r="O211" s="106"/>
      <x:c r="P211" s="106"/>
      <x:c r="Q211" s="106"/>
      <x:c r="R211" s="99"/>
    </x:row>
    <x:row r="212" ht="15" customHeight="1">
      <x:c r="A212" s="94"/>
      <x:c r="B212" s="99"/>
      <x:c r="C212" s="99"/>
      <x:c r="D212" s="99"/>
      <x:c r="E212" s="101"/>
      <x:c r="F212" s="106"/>
      <x:c r="G212" s="106"/>
      <x:c r="H212" s="106"/>
      <x:c r="I212" s="106"/>
      <x:c r="J212" s="106"/>
      <x:c r="K212" s="106"/>
      <x:c r="L212" s="106"/>
      <x:c r="M212" s="106"/>
      <x:c r="N212" s="106"/>
      <x:c r="O212" s="106"/>
      <x:c r="P212" s="106"/>
      <x:c r="Q212" s="106"/>
      <x:c r="R212" s="99"/>
    </x:row>
    <x:row r="213" ht="15" customHeight="1">
      <x:c r="A213" s="94"/>
      <x:c r="B213" s="99"/>
      <x:c r="C213" s="99"/>
      <x:c r="D213" s="99"/>
      <x:c r="E213" s="101"/>
      <x:c r="F213" s="106"/>
      <x:c r="G213" s="106"/>
      <x:c r="H213" s="106"/>
      <x:c r="I213" s="106"/>
      <x:c r="J213" s="106"/>
      <x:c r="K213" s="106"/>
      <x:c r="L213" s="106"/>
      <x:c r="M213" s="106"/>
      <x:c r="N213" s="106"/>
      <x:c r="O213" s="106"/>
      <x:c r="P213" s="106"/>
      <x:c r="Q213" s="106"/>
      <x:c r="R213" s="99"/>
    </x:row>
    <x:row r="214" ht="15" customHeight="1">
      <x:c r="A214" s="94"/>
      <x:c r="B214" s="99"/>
      <x:c r="C214" s="99"/>
      <x:c r="D214" s="99"/>
      <x:c r="E214" s="101"/>
      <x:c r="F214" s="106"/>
      <x:c r="G214" s="106"/>
      <x:c r="H214" s="106"/>
      <x:c r="I214" s="106"/>
      <x:c r="J214" s="106"/>
      <x:c r="K214" s="106"/>
      <x:c r="L214" s="106"/>
      <x:c r="M214" s="106"/>
      <x:c r="N214" s="106"/>
      <x:c r="O214" s="106"/>
      <x:c r="P214" s="106"/>
      <x:c r="Q214" s="106"/>
      <x:c r="R214" s="99"/>
    </x:row>
    <x:row r="215" ht="15" customHeight="1">
      <x:c r="A215" s="94"/>
      <x:c r="B215" s="99"/>
      <x:c r="C215" s="99"/>
      <x:c r="D215" s="99"/>
      <x:c r="E215" s="101"/>
      <x:c r="F215" s="106"/>
      <x:c r="G215" s="106"/>
      <x:c r="H215" s="106"/>
      <x:c r="I215" s="106"/>
      <x:c r="J215" s="106"/>
      <x:c r="K215" s="106"/>
      <x:c r="L215" s="106"/>
      <x:c r="M215" s="106"/>
      <x:c r="N215" s="106"/>
      <x:c r="O215" s="106"/>
      <x:c r="P215" s="106"/>
      <x:c r="Q215" s="106"/>
      <x:c r="R215" s="99"/>
    </x:row>
    <x:row r="216" ht="15" customHeight="1">
      <x:c r="A216" s="94"/>
      <x:c r="B216" s="99"/>
      <x:c r="C216" s="99"/>
      <x:c r="D216" s="99"/>
      <x:c r="E216" s="101"/>
      <x:c r="F216" s="106"/>
      <x:c r="G216" s="106"/>
      <x:c r="H216" s="106"/>
      <x:c r="I216" s="106"/>
      <x:c r="J216" s="106"/>
      <x:c r="K216" s="106"/>
      <x:c r="L216" s="106"/>
      <x:c r="M216" s="106"/>
      <x:c r="N216" s="106"/>
      <x:c r="O216" s="106"/>
      <x:c r="P216" s="106"/>
      <x:c r="Q216" s="106"/>
      <x:c r="R216" s="99"/>
    </x:row>
    <x:row r="217" ht="15" customHeight="1">
      <x:c r="A217" s="94"/>
      <x:c r="B217" s="99"/>
      <x:c r="C217" s="99"/>
      <x:c r="D217" s="99"/>
      <x:c r="E217" s="101"/>
      <x:c r="F217" s="106"/>
      <x:c r="G217" s="106"/>
      <x:c r="H217" s="106"/>
      <x:c r="I217" s="106"/>
      <x:c r="J217" s="106"/>
      <x:c r="K217" s="106"/>
      <x:c r="L217" s="106"/>
      <x:c r="M217" s="106"/>
      <x:c r="N217" s="106"/>
      <x:c r="O217" s="106"/>
      <x:c r="P217" s="106"/>
      <x:c r="Q217" s="106"/>
      <x:c r="R217" s="99"/>
    </x:row>
    <x:row r="218" ht="15" customHeight="1">
      <x:c r="A218" s="94"/>
      <x:c r="B218" s="99"/>
      <x:c r="C218" s="99"/>
      <x:c r="D218" s="99"/>
      <x:c r="E218" s="101"/>
      <x:c r="F218" s="106"/>
      <x:c r="G218" s="106"/>
      <x:c r="H218" s="106"/>
      <x:c r="I218" s="106"/>
      <x:c r="J218" s="106"/>
      <x:c r="K218" s="106"/>
      <x:c r="L218" s="106"/>
      <x:c r="M218" s="106"/>
      <x:c r="N218" s="106"/>
      <x:c r="O218" s="106"/>
      <x:c r="P218" s="106"/>
      <x:c r="Q218" s="106"/>
      <x:c r="R218" s="99"/>
    </x:row>
    <x:row r="219" ht="15" customHeight="1">
      <x:c r="A219" s="94"/>
      <x:c r="B219" s="99"/>
      <x:c r="C219" s="99"/>
      <x:c r="D219" s="99"/>
      <x:c r="E219" s="101"/>
      <x:c r="F219" s="106"/>
      <x:c r="G219" s="106"/>
      <x:c r="H219" s="106"/>
      <x:c r="I219" s="106"/>
      <x:c r="J219" s="106"/>
      <x:c r="K219" s="106"/>
      <x:c r="L219" s="106"/>
      <x:c r="M219" s="106"/>
      <x:c r="N219" s="106"/>
      <x:c r="O219" s="106"/>
      <x:c r="P219" s="106"/>
      <x:c r="Q219" s="106"/>
      <x:c r="R219" s="99"/>
    </x:row>
    <x:row r="220" ht="15" customHeight="1">
      <x:c r="A220" s="94"/>
      <x:c r="B220" s="99"/>
      <x:c r="C220" s="99"/>
      <x:c r="D220" s="99"/>
      <x:c r="E220" s="101"/>
      <x:c r="F220" s="106"/>
      <x:c r="G220" s="106"/>
      <x:c r="H220" s="106"/>
      <x:c r="I220" s="106"/>
      <x:c r="J220" s="106"/>
      <x:c r="K220" s="106"/>
      <x:c r="L220" s="106"/>
      <x:c r="M220" s="106"/>
      <x:c r="N220" s="106"/>
      <x:c r="O220" s="106"/>
      <x:c r="P220" s="106"/>
      <x:c r="Q220" s="106"/>
      <x:c r="R220" s="99"/>
    </x:row>
    <x:row r="221" ht="15" customHeight="1">
      <x:c r="A221" s="94"/>
      <x:c r="B221" s="99"/>
      <x:c r="C221" s="99"/>
      <x:c r="D221" s="99"/>
      <x:c r="E221" s="101"/>
      <x:c r="F221" s="106"/>
      <x:c r="G221" s="106"/>
      <x:c r="H221" s="106"/>
      <x:c r="I221" s="106"/>
      <x:c r="J221" s="106"/>
      <x:c r="K221" s="106"/>
      <x:c r="L221" s="106"/>
      <x:c r="M221" s="106"/>
      <x:c r="N221" s="106"/>
      <x:c r="O221" s="106"/>
      <x:c r="P221" s="106"/>
      <x:c r="Q221" s="106"/>
      <x:c r="R221" s="99"/>
    </x:row>
    <x:row r="222" ht="15" customHeight="1">
      <x:c r="A222" s="94"/>
      <x:c r="B222" s="99"/>
      <x:c r="C222" s="99"/>
      <x:c r="D222" s="99"/>
      <x:c r="E222" s="101"/>
      <x:c r="F222" s="106"/>
      <x:c r="G222" s="106"/>
      <x:c r="H222" s="106"/>
      <x:c r="I222" s="106"/>
      <x:c r="J222" s="106"/>
      <x:c r="K222" s="106"/>
      <x:c r="L222" s="106"/>
      <x:c r="M222" s="106"/>
      <x:c r="N222" s="106"/>
      <x:c r="O222" s="106"/>
      <x:c r="P222" s="106"/>
      <x:c r="Q222" s="106"/>
      <x:c r="R222" s="99"/>
    </x:row>
    <x:row r="223" ht="15" customHeight="1">
      <x:c r="A223" s="94"/>
      <x:c r="B223" s="99"/>
      <x:c r="C223" s="99"/>
      <x:c r="D223" s="99"/>
      <x:c r="E223" s="101"/>
      <x:c r="F223" s="106"/>
      <x:c r="G223" s="106"/>
      <x:c r="H223" s="106"/>
      <x:c r="I223" s="106"/>
      <x:c r="J223" s="106"/>
      <x:c r="K223" s="106"/>
      <x:c r="L223" s="106"/>
      <x:c r="M223" s="106"/>
      <x:c r="N223" s="106"/>
      <x:c r="O223" s="106"/>
      <x:c r="P223" s="106"/>
      <x:c r="Q223" s="106"/>
      <x:c r="R223" s="99"/>
    </x:row>
    <x:row r="224" ht="15" customHeight="1">
      <x:c r="A224" s="94"/>
      <x:c r="B224" s="99"/>
      <x:c r="C224" s="99"/>
      <x:c r="D224" s="99"/>
      <x:c r="E224" s="101"/>
      <x:c r="F224" s="106"/>
      <x:c r="G224" s="106"/>
      <x:c r="H224" s="106"/>
      <x:c r="I224" s="106"/>
      <x:c r="J224" s="106"/>
      <x:c r="K224" s="106"/>
      <x:c r="L224" s="106"/>
      <x:c r="M224" s="106"/>
      <x:c r="N224" s="106"/>
      <x:c r="O224" s="106"/>
      <x:c r="P224" s="106"/>
      <x:c r="Q224" s="106"/>
      <x:c r="R224" s="99"/>
    </x:row>
    <x:row r="225" ht="15" customHeight="1">
      <x:c r="A225" s="94"/>
      <x:c r="B225" s="99"/>
      <x:c r="C225" s="99"/>
      <x:c r="D225" s="99"/>
      <x:c r="E225" s="101"/>
      <x:c r="F225" s="106"/>
      <x:c r="G225" s="106"/>
      <x:c r="H225" s="106"/>
      <x:c r="I225" s="106"/>
      <x:c r="J225" s="106"/>
      <x:c r="K225" s="106"/>
      <x:c r="L225" s="106"/>
      <x:c r="M225" s="106"/>
      <x:c r="N225" s="106"/>
      <x:c r="O225" s="106"/>
      <x:c r="P225" s="106"/>
      <x:c r="Q225" s="106"/>
      <x:c r="R225" s="99"/>
    </x:row>
    <x:row r="226" ht="15" customHeight="1">
      <x:c r="A226" s="94"/>
      <x:c r="B226" s="99"/>
      <x:c r="C226" s="99"/>
      <x:c r="D226" s="99"/>
      <x:c r="E226" s="101"/>
      <x:c r="F226" s="106"/>
      <x:c r="G226" s="106"/>
      <x:c r="H226" s="106"/>
      <x:c r="I226" s="106"/>
      <x:c r="J226" s="106"/>
      <x:c r="K226" s="106"/>
      <x:c r="L226" s="106"/>
      <x:c r="M226" s="106"/>
      <x:c r="N226" s="106"/>
      <x:c r="O226" s="106"/>
      <x:c r="P226" s="106"/>
      <x:c r="Q226" s="106"/>
      <x:c r="R226" s="99"/>
    </x:row>
    <x:row r="227" ht="15" customHeight="1">
      <x:c r="A227" s="94"/>
      <x:c r="B227" s="99"/>
      <x:c r="C227" s="99"/>
      <x:c r="D227" s="99"/>
      <x:c r="E227" s="101"/>
      <x:c r="F227" s="106"/>
      <x:c r="G227" s="106"/>
      <x:c r="H227" s="106"/>
      <x:c r="I227" s="106"/>
      <x:c r="J227" s="106"/>
      <x:c r="K227" s="106"/>
      <x:c r="L227" s="106"/>
      <x:c r="M227" s="106"/>
      <x:c r="N227" s="106"/>
      <x:c r="O227" s="106"/>
      <x:c r="P227" s="106"/>
      <x:c r="Q227" s="106"/>
      <x:c r="R227" s="99"/>
    </x:row>
    <x:row r="228" ht="15" customHeight="1">
      <x:c r="A228" s="94"/>
      <x:c r="B228" s="99"/>
      <x:c r="C228" s="99"/>
      <x:c r="D228" s="99"/>
      <x:c r="E228" s="101"/>
      <x:c r="F228" s="106"/>
      <x:c r="G228" s="106"/>
      <x:c r="H228" s="106"/>
      <x:c r="I228" s="106"/>
      <x:c r="J228" s="106"/>
      <x:c r="K228" s="106"/>
      <x:c r="L228" s="106"/>
      <x:c r="M228" s="106"/>
      <x:c r="N228" s="106"/>
      <x:c r="O228" s="106"/>
      <x:c r="P228" s="106"/>
      <x:c r="Q228" s="106"/>
      <x:c r="R228" s="99"/>
    </x:row>
    <x:row r="229" ht="15" customHeight="1">
      <x:c r="A229" s="94"/>
      <x:c r="B229" s="99"/>
      <x:c r="C229" s="99"/>
      <x:c r="D229" s="99"/>
      <x:c r="E229" s="101"/>
      <x:c r="F229" s="106"/>
      <x:c r="G229" s="106"/>
      <x:c r="H229" s="106"/>
      <x:c r="I229" s="106"/>
      <x:c r="J229" s="106"/>
      <x:c r="K229" s="106"/>
      <x:c r="L229" s="106"/>
      <x:c r="M229" s="106"/>
      <x:c r="N229" s="106"/>
      <x:c r="O229" s="106"/>
      <x:c r="P229" s="106"/>
      <x:c r="Q229" s="106"/>
      <x:c r="R229" s="99"/>
    </x:row>
    <x:row r="230" ht="15" customHeight="1">
      <x:c r="A230" s="94"/>
      <x:c r="B230" s="99"/>
      <x:c r="C230" s="99"/>
      <x:c r="D230" s="99"/>
      <x:c r="E230" s="101"/>
      <x:c r="F230" s="106"/>
      <x:c r="G230" s="106"/>
      <x:c r="H230" s="106"/>
      <x:c r="I230" s="106"/>
      <x:c r="J230" s="106"/>
      <x:c r="K230" s="106"/>
      <x:c r="L230" s="106"/>
      <x:c r="M230" s="106"/>
      <x:c r="N230" s="106"/>
      <x:c r="O230" s="106"/>
      <x:c r="P230" s="106"/>
      <x:c r="Q230" s="106"/>
      <x:c r="R230" s="99"/>
    </x:row>
    <x:row r="231" ht="15" customHeight="1">
      <x:c r="A231" s="94"/>
      <x:c r="B231" s="99"/>
      <x:c r="C231" s="99"/>
      <x:c r="D231" s="99"/>
      <x:c r="E231" s="101"/>
      <x:c r="F231" s="106"/>
      <x:c r="G231" s="106"/>
      <x:c r="H231" s="106"/>
      <x:c r="I231" s="106"/>
      <x:c r="J231" s="106"/>
      <x:c r="K231" s="106"/>
      <x:c r="L231" s="106"/>
      <x:c r="M231" s="106"/>
      <x:c r="N231" s="106"/>
      <x:c r="O231" s="106"/>
      <x:c r="P231" s="106"/>
      <x:c r="Q231" s="106"/>
      <x:c r="R231" s="99"/>
    </x:row>
    <x:row r="232" ht="15" customHeight="1">
      <x:c r="A232" s="94"/>
      <x:c r="B232" s="99"/>
      <x:c r="C232" s="99"/>
      <x:c r="D232" s="99"/>
      <x:c r="E232" s="101"/>
      <x:c r="F232" s="106"/>
      <x:c r="G232" s="106"/>
      <x:c r="H232" s="106"/>
      <x:c r="I232" s="106"/>
      <x:c r="J232" s="106"/>
      <x:c r="K232" s="106"/>
      <x:c r="L232" s="106"/>
      <x:c r="M232" s="106"/>
      <x:c r="N232" s="106"/>
      <x:c r="O232" s="106"/>
      <x:c r="P232" s="106"/>
      <x:c r="Q232" s="106"/>
      <x:c r="R232" s="99"/>
    </x:row>
    <x:row r="233" ht="15" customHeight="1">
      <x:c r="A233" s="94"/>
      <x:c r="B233" s="99"/>
      <x:c r="C233" s="99"/>
      <x:c r="D233" s="99"/>
      <x:c r="E233" s="101"/>
      <x:c r="F233" s="106"/>
      <x:c r="G233" s="106"/>
      <x:c r="H233" s="106"/>
      <x:c r="I233" s="106"/>
      <x:c r="J233" s="106"/>
      <x:c r="K233" s="106"/>
      <x:c r="L233" s="106"/>
      <x:c r="M233" s="106"/>
      <x:c r="N233" s="106"/>
      <x:c r="O233" s="106"/>
      <x:c r="P233" s="106"/>
      <x:c r="Q233" s="106"/>
      <x:c r="R233" s="99"/>
    </x:row>
    <x:row r="234" ht="15" customHeight="1">
      <x:c r="A234" s="94"/>
      <x:c r="B234" s="99"/>
      <x:c r="C234" s="99"/>
      <x:c r="D234" s="99"/>
      <x:c r="E234" s="101"/>
      <x:c r="F234" s="106"/>
      <x:c r="G234" s="106"/>
      <x:c r="H234" s="106"/>
      <x:c r="I234" s="106"/>
      <x:c r="J234" s="106"/>
      <x:c r="K234" s="106"/>
      <x:c r="L234" s="106"/>
      <x:c r="M234" s="106"/>
      <x:c r="N234" s="106"/>
      <x:c r="O234" s="106"/>
      <x:c r="P234" s="106"/>
      <x:c r="Q234" s="106"/>
      <x:c r="R234" s="99"/>
    </x:row>
    <x:row r="235" ht="15" customHeight="1">
      <x:c r="A235" s="94"/>
      <x:c r="B235" s="99"/>
      <x:c r="C235" s="99"/>
      <x:c r="D235" s="99"/>
      <x:c r="E235" s="101"/>
      <x:c r="F235" s="106"/>
      <x:c r="G235" s="106"/>
      <x:c r="H235" s="106"/>
      <x:c r="I235" s="106"/>
      <x:c r="J235" s="106"/>
      <x:c r="K235" s="106"/>
      <x:c r="L235" s="106"/>
      <x:c r="M235" s="106"/>
      <x:c r="N235" s="106"/>
      <x:c r="O235" s="106"/>
      <x:c r="P235" s="106"/>
      <x:c r="Q235" s="106"/>
      <x:c r="R235" s="99"/>
    </x:row>
    <x:row r="236" ht="15" customHeight="1">
      <x:c r="A236" s="94"/>
      <x:c r="B236" s="99"/>
      <x:c r="C236" s="99"/>
      <x:c r="D236" s="99"/>
      <x:c r="E236" s="101"/>
      <x:c r="F236" s="106"/>
      <x:c r="G236" s="106"/>
      <x:c r="H236" s="106"/>
      <x:c r="I236" s="106"/>
      <x:c r="J236" s="106"/>
      <x:c r="K236" s="106"/>
      <x:c r="L236" s="106"/>
      <x:c r="M236" s="106"/>
      <x:c r="N236" s="106"/>
      <x:c r="O236" s="106"/>
      <x:c r="P236" s="106"/>
      <x:c r="Q236" s="106"/>
      <x:c r="R236" s="99"/>
    </x:row>
    <x:row r="237" ht="15" customHeight="1">
      <x:c r="A237" s="94"/>
      <x:c r="B237" s="99"/>
      <x:c r="C237" s="99"/>
      <x:c r="D237" s="99"/>
      <x:c r="E237" s="101"/>
      <x:c r="F237" s="106"/>
      <x:c r="G237" s="106"/>
      <x:c r="H237" s="106"/>
      <x:c r="I237" s="106"/>
      <x:c r="J237" s="106"/>
      <x:c r="K237" s="106"/>
      <x:c r="L237" s="106"/>
      <x:c r="M237" s="106"/>
      <x:c r="N237" s="106"/>
      <x:c r="O237" s="106"/>
      <x:c r="P237" s="106"/>
      <x:c r="Q237" s="106"/>
      <x:c r="R237" s="99"/>
    </x:row>
    <x:row r="238" ht="15" customHeight="1">
      <x:c r="A238" s="94"/>
      <x:c r="B238" s="99"/>
      <x:c r="C238" s="99"/>
      <x:c r="D238" s="99"/>
      <x:c r="E238" s="101"/>
      <x:c r="F238" s="106"/>
      <x:c r="G238" s="106"/>
      <x:c r="H238" s="106"/>
      <x:c r="I238" s="106"/>
      <x:c r="J238" s="106"/>
      <x:c r="K238" s="106"/>
      <x:c r="L238" s="106"/>
      <x:c r="M238" s="106"/>
      <x:c r="N238" s="106"/>
      <x:c r="O238" s="106"/>
      <x:c r="P238" s="106"/>
      <x:c r="Q238" s="106"/>
      <x:c r="R238" s="99"/>
    </x:row>
    <x:row r="239" ht="15" customHeight="1">
      <x:c r="A239" s="94"/>
      <x:c r="B239" s="99"/>
      <x:c r="C239" s="99"/>
      <x:c r="D239" s="99"/>
      <x:c r="E239" s="101"/>
      <x:c r="F239" s="106"/>
      <x:c r="G239" s="106"/>
      <x:c r="H239" s="106"/>
      <x:c r="I239" s="106"/>
      <x:c r="J239" s="106"/>
      <x:c r="K239" s="106"/>
      <x:c r="L239" s="106"/>
      <x:c r="M239" s="106"/>
      <x:c r="N239" s="106"/>
      <x:c r="O239" s="106"/>
      <x:c r="P239" s="106"/>
      <x:c r="Q239" s="106"/>
      <x:c r="R239" s="99"/>
    </x:row>
    <x:row r="240" ht="15" customHeight="1">
      <x:c r="A240" s="94"/>
      <x:c r="B240" s="99"/>
      <x:c r="C240" s="99"/>
      <x:c r="D240" s="99"/>
      <x:c r="E240" s="101"/>
      <x:c r="F240" s="106"/>
      <x:c r="G240" s="106"/>
      <x:c r="H240" s="106"/>
      <x:c r="I240" s="106"/>
      <x:c r="J240" s="106"/>
      <x:c r="K240" s="106"/>
      <x:c r="L240" s="106"/>
      <x:c r="M240" s="106"/>
      <x:c r="N240" s="106"/>
      <x:c r="O240" s="106"/>
      <x:c r="P240" s="106"/>
      <x:c r="Q240" s="106"/>
      <x:c r="R240" s="99"/>
    </x:row>
    <x:row r="241" ht="15" customHeight="1">
      <x:c r="A241" s="94"/>
      <x:c r="B241" s="99"/>
      <x:c r="C241" s="99"/>
      <x:c r="D241" s="99"/>
      <x:c r="E241" s="101"/>
      <x:c r="F241" s="106"/>
      <x:c r="G241" s="106"/>
      <x:c r="H241" s="106"/>
      <x:c r="I241" s="106"/>
      <x:c r="J241" s="106"/>
      <x:c r="K241" s="106"/>
      <x:c r="L241" s="106"/>
      <x:c r="M241" s="106"/>
      <x:c r="N241" s="106"/>
      <x:c r="O241" s="106"/>
      <x:c r="P241" s="106"/>
      <x:c r="Q241" s="106"/>
      <x:c r="R241" s="99"/>
    </x:row>
    <x:row r="242" ht="15" customHeight="1">
      <x:c r="A242" s="94"/>
      <x:c r="B242" s="99"/>
      <x:c r="C242" s="99"/>
      <x:c r="D242" s="99"/>
      <x:c r="E242" s="101"/>
      <x:c r="F242" s="106"/>
      <x:c r="G242" s="106"/>
      <x:c r="H242" s="106"/>
      <x:c r="I242" s="106"/>
      <x:c r="J242" s="106"/>
      <x:c r="K242" s="106"/>
      <x:c r="L242" s="106"/>
      <x:c r="M242" s="106"/>
      <x:c r="N242" s="106"/>
      <x:c r="O242" s="106"/>
      <x:c r="P242" s="106"/>
      <x:c r="Q242" s="106"/>
      <x:c r="R242" s="99"/>
    </x:row>
    <x:row r="243" ht="15" customHeight="1">
      <x:c r="A243" s="94"/>
      <x:c r="B243" s="99"/>
      <x:c r="C243" s="99"/>
      <x:c r="D243" s="99"/>
      <x:c r="E243" s="101"/>
      <x:c r="F243" s="106"/>
      <x:c r="G243" s="106"/>
      <x:c r="H243" s="106"/>
      <x:c r="I243" s="106"/>
      <x:c r="J243" s="106"/>
      <x:c r="K243" s="106"/>
      <x:c r="L243" s="106"/>
      <x:c r="M243" s="106"/>
      <x:c r="N243" s="106"/>
      <x:c r="O243" s="106"/>
      <x:c r="P243" s="106"/>
      <x:c r="Q243" s="106"/>
      <x:c r="R243" s="99"/>
    </x:row>
    <x:row r="244" ht="15" customHeight="1">
      <x:c r="A244" s="94"/>
      <x:c r="B244" s="99"/>
      <x:c r="C244" s="99"/>
      <x:c r="D244" s="99"/>
      <x:c r="E244" s="101"/>
      <x:c r="F244" s="106"/>
      <x:c r="G244" s="106"/>
      <x:c r="H244" s="106"/>
      <x:c r="I244" s="106"/>
      <x:c r="J244" s="106"/>
      <x:c r="K244" s="106"/>
      <x:c r="L244" s="106"/>
      <x:c r="M244" s="106"/>
      <x:c r="N244" s="106"/>
      <x:c r="O244" s="106"/>
      <x:c r="P244" s="106"/>
      <x:c r="Q244" s="106"/>
      <x:c r="R244" s="99"/>
    </x:row>
    <x:row r="245" ht="15" customHeight="1">
      <x:c r="A245" s="94"/>
      <x:c r="B245" s="99"/>
      <x:c r="C245" s="99"/>
      <x:c r="D245" s="99"/>
      <x:c r="E245" s="101"/>
      <x:c r="F245" s="106"/>
      <x:c r="G245" s="106"/>
      <x:c r="H245" s="106"/>
      <x:c r="I245" s="106"/>
      <x:c r="J245" s="106"/>
      <x:c r="K245" s="106"/>
      <x:c r="L245" s="106"/>
      <x:c r="M245" s="106"/>
      <x:c r="N245" s="106"/>
      <x:c r="O245" s="106"/>
      <x:c r="P245" s="106"/>
      <x:c r="Q245" s="106"/>
      <x:c r="R245" s="99"/>
    </x:row>
    <x:row r="246" ht="15" customHeight="1">
      <x:c r="A246" s="94"/>
      <x:c r="B246" s="99"/>
      <x:c r="C246" s="99"/>
      <x:c r="D246" s="99"/>
      <x:c r="E246" s="101"/>
      <x:c r="F246" s="106"/>
      <x:c r="G246" s="106"/>
      <x:c r="H246" s="106"/>
      <x:c r="I246" s="106"/>
      <x:c r="J246" s="106"/>
      <x:c r="K246" s="106"/>
      <x:c r="L246" s="106"/>
      <x:c r="M246" s="106"/>
      <x:c r="N246" s="106"/>
      <x:c r="O246" s="106"/>
      <x:c r="P246" s="106"/>
      <x:c r="Q246" s="106"/>
      <x:c r="R246" s="99"/>
    </x:row>
    <x:row r="247" ht="15" customHeight="1">
      <x:c r="A247" s="94"/>
      <x:c r="B247" s="99"/>
      <x:c r="C247" s="99"/>
      <x:c r="D247" s="99"/>
      <x:c r="E247" s="101"/>
      <x:c r="F247" s="106"/>
      <x:c r="G247" s="106"/>
      <x:c r="H247" s="106"/>
      <x:c r="I247" s="106"/>
      <x:c r="J247" s="106"/>
      <x:c r="K247" s="106"/>
      <x:c r="L247" s="106"/>
      <x:c r="M247" s="106"/>
      <x:c r="N247" s="106"/>
      <x:c r="O247" s="106"/>
      <x:c r="P247" s="106"/>
      <x:c r="Q247" s="106"/>
      <x:c r="R247" s="99"/>
    </x:row>
    <x:row r="248" ht="15" customHeight="1">
      <x:c r="A248" s="94"/>
      <x:c r="B248" s="99"/>
      <x:c r="C248" s="99"/>
      <x:c r="D248" s="99"/>
      <x:c r="E248" s="101"/>
      <x:c r="F248" s="106"/>
      <x:c r="G248" s="106"/>
      <x:c r="H248" s="106"/>
      <x:c r="I248" s="106"/>
      <x:c r="J248" s="106"/>
      <x:c r="K248" s="106"/>
      <x:c r="L248" s="106"/>
      <x:c r="M248" s="106"/>
      <x:c r="N248" s="106"/>
      <x:c r="O248" s="106"/>
      <x:c r="P248" s="106"/>
      <x:c r="Q248" s="106"/>
      <x:c r="R248" s="99"/>
    </x:row>
    <x:row r="249" ht="15" customHeight="1">
      <x:c r="A249" s="94"/>
      <x:c r="B249" s="99"/>
      <x:c r="C249" s="99"/>
      <x:c r="D249" s="99"/>
      <x:c r="E249" s="101"/>
      <x:c r="F249" s="106"/>
      <x:c r="G249" s="106"/>
      <x:c r="H249" s="106"/>
      <x:c r="I249" s="106"/>
      <x:c r="J249" s="106"/>
      <x:c r="K249" s="106"/>
      <x:c r="L249" s="106"/>
      <x:c r="M249" s="106"/>
      <x:c r="N249" s="106"/>
      <x:c r="O249" s="106"/>
      <x:c r="P249" s="106"/>
      <x:c r="Q249" s="106"/>
      <x:c r="R249" s="99"/>
    </x:row>
    <x:row r="250" ht="15" customHeight="1">
      <x:c r="A250" s="94"/>
      <x:c r="B250" s="99"/>
      <x:c r="C250" s="99"/>
      <x:c r="D250" s="99"/>
      <x:c r="E250" s="101"/>
      <x:c r="F250" s="106"/>
      <x:c r="G250" s="106"/>
      <x:c r="H250" s="106"/>
      <x:c r="I250" s="106"/>
      <x:c r="J250" s="106"/>
      <x:c r="K250" s="106"/>
      <x:c r="L250" s="106"/>
      <x:c r="M250" s="106"/>
      <x:c r="N250" s="106"/>
      <x:c r="O250" s="106"/>
      <x:c r="P250" s="106"/>
      <x:c r="Q250" s="106"/>
      <x:c r="R250" s="99"/>
    </x:row>
    <x:row r="251" ht="15" customHeight="1">
      <x:c r="A251" s="94"/>
      <x:c r="B251" s="99"/>
      <x:c r="C251" s="99"/>
      <x:c r="D251" s="99"/>
      <x:c r="E251" s="101"/>
      <x:c r="F251" s="106"/>
      <x:c r="G251" s="106"/>
      <x:c r="H251" s="106"/>
      <x:c r="I251" s="106"/>
      <x:c r="J251" s="106"/>
      <x:c r="K251" s="106"/>
      <x:c r="L251" s="106"/>
      <x:c r="M251" s="106"/>
      <x:c r="N251" s="106"/>
      <x:c r="O251" s="106"/>
      <x:c r="P251" s="106"/>
      <x:c r="Q251" s="106"/>
      <x:c r="R251" s="99"/>
    </x:row>
    <x:row r="252" ht="15" customHeight="1">
      <x:c r="A252" s="94"/>
      <x:c r="B252" s="99"/>
      <x:c r="C252" s="99"/>
      <x:c r="D252" s="99"/>
      <x:c r="E252" s="101"/>
      <x:c r="F252" s="106"/>
      <x:c r="G252" s="106"/>
      <x:c r="H252" s="106"/>
      <x:c r="I252" s="106"/>
      <x:c r="J252" s="106"/>
      <x:c r="K252" s="106"/>
      <x:c r="L252" s="106"/>
      <x:c r="M252" s="106"/>
      <x:c r="N252" s="106"/>
      <x:c r="O252" s="106"/>
      <x:c r="P252" s="106"/>
      <x:c r="Q252" s="106"/>
      <x:c r="R252" s="99"/>
    </x:row>
    <x:row r="253" ht="15" customHeight="1">
      <x:c r="A253" s="94"/>
      <x:c r="B253" s="99"/>
      <x:c r="C253" s="99"/>
      <x:c r="D253" s="99"/>
      <x:c r="E253" s="101"/>
      <x:c r="F253" s="106"/>
      <x:c r="G253" s="106"/>
      <x:c r="H253" s="106"/>
      <x:c r="I253" s="106"/>
      <x:c r="J253" s="106"/>
      <x:c r="K253" s="106"/>
      <x:c r="L253" s="106"/>
      <x:c r="M253" s="106"/>
      <x:c r="N253" s="106"/>
      <x:c r="O253" s="106"/>
      <x:c r="P253" s="106"/>
      <x:c r="Q253" s="106"/>
      <x:c r="R253" s="99"/>
    </x:row>
    <x:row r="254" ht="15" customHeight="1">
      <x:c r="A254" s="94"/>
      <x:c r="B254" s="99"/>
      <x:c r="C254" s="99"/>
      <x:c r="D254" s="99"/>
      <x:c r="E254" s="101"/>
      <x:c r="F254" s="106"/>
      <x:c r="G254" s="106"/>
      <x:c r="H254" s="106"/>
      <x:c r="I254" s="106"/>
      <x:c r="J254" s="106"/>
      <x:c r="K254" s="106"/>
      <x:c r="L254" s="106"/>
      <x:c r="M254" s="106"/>
      <x:c r="N254" s="106"/>
      <x:c r="O254" s="106"/>
      <x:c r="P254" s="106"/>
      <x:c r="Q254" s="106"/>
      <x:c r="R254" s="99"/>
    </x:row>
    <x:row r="255" ht="15" customHeight="1">
      <x:c r="A255" s="94"/>
      <x:c r="B255" s="99"/>
      <x:c r="C255" s="99"/>
      <x:c r="D255" s="99"/>
      <x:c r="E255" s="101"/>
      <x:c r="F255" s="106"/>
      <x:c r="G255" s="106"/>
      <x:c r="H255" s="106"/>
      <x:c r="I255" s="106"/>
      <x:c r="J255" s="106"/>
      <x:c r="K255" s="106"/>
      <x:c r="L255" s="106"/>
      <x:c r="M255" s="106"/>
      <x:c r="N255" s="106"/>
      <x:c r="O255" s="106"/>
      <x:c r="P255" s="106"/>
      <x:c r="Q255" s="106"/>
      <x:c r="R255" s="99"/>
    </x:row>
    <x:row r="256" ht="15" customHeight="1">
      <x:c r="A256" s="94"/>
      <x:c r="B256" s="99"/>
      <x:c r="C256" s="99"/>
      <x:c r="D256" s="99"/>
      <x:c r="E256" s="101"/>
      <x:c r="F256" s="106"/>
      <x:c r="G256" s="106"/>
      <x:c r="H256" s="106"/>
      <x:c r="I256" s="106"/>
      <x:c r="J256" s="106"/>
      <x:c r="K256" s="106"/>
      <x:c r="L256" s="106"/>
      <x:c r="M256" s="106"/>
      <x:c r="N256" s="106"/>
      <x:c r="O256" s="106"/>
      <x:c r="P256" s="106"/>
      <x:c r="Q256" s="106"/>
      <x:c r="R256" s="99"/>
    </x:row>
    <x:row r="257" ht="15" customHeight="1">
      <x:c r="A257" s="94"/>
      <x:c r="B257" s="99"/>
      <x:c r="C257" s="99"/>
      <x:c r="D257" s="99"/>
      <x:c r="E257" s="101"/>
      <x:c r="F257" s="106"/>
      <x:c r="G257" s="106"/>
      <x:c r="H257" s="106"/>
      <x:c r="I257" s="106"/>
      <x:c r="J257" s="106"/>
      <x:c r="K257" s="106"/>
      <x:c r="L257" s="106"/>
      <x:c r="M257" s="106"/>
      <x:c r="N257" s="106"/>
      <x:c r="O257" s="106"/>
      <x:c r="P257" s="106"/>
      <x:c r="Q257" s="106"/>
      <x:c r="R257" s="99"/>
    </x:row>
    <x:row r="258" ht="15" customHeight="1">
      <x:c r="A258" s="94"/>
      <x:c r="B258" s="99"/>
      <x:c r="C258" s="99"/>
      <x:c r="D258" s="99"/>
      <x:c r="E258" s="101"/>
      <x:c r="F258" s="106"/>
      <x:c r="G258" s="106"/>
      <x:c r="H258" s="106"/>
      <x:c r="I258" s="106"/>
      <x:c r="J258" s="106"/>
      <x:c r="K258" s="106"/>
      <x:c r="L258" s="106"/>
      <x:c r="M258" s="106"/>
      <x:c r="N258" s="106"/>
      <x:c r="O258" s="106"/>
      <x:c r="P258" s="106"/>
      <x:c r="Q258" s="106"/>
      <x:c r="R258" s="99"/>
    </x:row>
    <x:row r="259" ht="15" customHeight="1">
      <x:c r="A259" s="94"/>
      <x:c r="B259" s="99"/>
      <x:c r="C259" s="99"/>
      <x:c r="D259" s="99"/>
      <x:c r="E259" s="101"/>
      <x:c r="F259" s="106"/>
      <x:c r="G259" s="106"/>
      <x:c r="H259" s="106"/>
      <x:c r="I259" s="106"/>
      <x:c r="J259" s="106"/>
      <x:c r="K259" s="106"/>
      <x:c r="L259" s="106"/>
      <x:c r="M259" s="106"/>
      <x:c r="N259" s="106"/>
      <x:c r="O259" s="106"/>
      <x:c r="P259" s="106"/>
      <x:c r="Q259" s="106"/>
      <x:c r="R259" s="99"/>
    </x:row>
    <x:row r="260" ht="15" customHeight="1">
      <x:c r="A260" s="94"/>
      <x:c r="B260" s="99"/>
      <x:c r="C260" s="99"/>
      <x:c r="D260" s="99"/>
      <x:c r="E260" s="101"/>
      <x:c r="F260" s="106"/>
      <x:c r="G260" s="106"/>
      <x:c r="H260" s="106"/>
      <x:c r="I260" s="106"/>
      <x:c r="J260" s="106"/>
      <x:c r="K260" s="106"/>
      <x:c r="L260" s="106"/>
      <x:c r="M260" s="106"/>
      <x:c r="N260" s="106"/>
      <x:c r="O260" s="106"/>
      <x:c r="P260" s="106"/>
      <x:c r="Q260" s="106"/>
      <x:c r="R260" s="99"/>
    </x:row>
    <x:row r="261" ht="15" customHeight="1">
      <x:c r="A261" s="94"/>
      <x:c r="B261" s="99"/>
      <x:c r="C261" s="99"/>
      <x:c r="D261" s="99"/>
      <x:c r="E261" s="101"/>
      <x:c r="F261" s="106"/>
      <x:c r="G261" s="106"/>
      <x:c r="H261" s="106"/>
      <x:c r="I261" s="106"/>
      <x:c r="J261" s="106"/>
      <x:c r="K261" s="106"/>
      <x:c r="L261" s="106"/>
      <x:c r="M261" s="106"/>
      <x:c r="N261" s="106"/>
      <x:c r="O261" s="106"/>
      <x:c r="P261" s="106"/>
      <x:c r="Q261" s="106"/>
      <x:c r="R261" s="99"/>
    </x:row>
    <x:row r="262" ht="15" customHeight="1">
      <x:c r="A262" s="94"/>
      <x:c r="B262" s="99"/>
      <x:c r="C262" s="99"/>
      <x:c r="D262" s="99"/>
      <x:c r="E262" s="101"/>
      <x:c r="F262" s="106"/>
      <x:c r="G262" s="106"/>
      <x:c r="H262" s="106"/>
      <x:c r="I262" s="106"/>
      <x:c r="J262" s="106"/>
      <x:c r="K262" s="106"/>
      <x:c r="L262" s="106"/>
      <x:c r="M262" s="106"/>
      <x:c r="N262" s="106"/>
      <x:c r="O262" s="106"/>
      <x:c r="P262" s="106"/>
      <x:c r="Q262" s="106"/>
      <x:c r="R262" s="99"/>
    </x:row>
    <x:row r="263" ht="15" customHeight="1">
      <x:c r="A263" s="94"/>
      <x:c r="B263" s="99"/>
      <x:c r="C263" s="99"/>
      <x:c r="D263" s="99"/>
      <x:c r="E263" s="101"/>
      <x:c r="F263" s="106"/>
      <x:c r="G263" s="106"/>
      <x:c r="H263" s="106"/>
      <x:c r="I263" s="106"/>
      <x:c r="J263" s="106"/>
      <x:c r="K263" s="106"/>
      <x:c r="L263" s="106"/>
      <x:c r="M263" s="106"/>
      <x:c r="N263" s="106"/>
      <x:c r="O263" s="106"/>
      <x:c r="P263" s="106"/>
      <x:c r="Q263" s="106"/>
      <x:c r="R263" s="99"/>
    </x:row>
    <x:row r="264" ht="15" customHeight="1">
      <x:c r="A264" s="94"/>
      <x:c r="B264" s="99"/>
      <x:c r="C264" s="99"/>
      <x:c r="D264" s="99"/>
      <x:c r="E264" s="101"/>
      <x:c r="F264" s="106"/>
      <x:c r="G264" s="106"/>
      <x:c r="H264" s="106"/>
      <x:c r="I264" s="106"/>
      <x:c r="J264" s="106"/>
      <x:c r="K264" s="106"/>
      <x:c r="L264" s="106"/>
      <x:c r="M264" s="106"/>
      <x:c r="N264" s="106"/>
      <x:c r="O264" s="106"/>
      <x:c r="P264" s="106"/>
      <x:c r="Q264" s="106"/>
      <x:c r="R264" s="99"/>
    </x:row>
    <x:row r="265" ht="15" customHeight="1">
      <x:c r="A265" s="94"/>
      <x:c r="B265" s="99"/>
      <x:c r="C265" s="99"/>
      <x:c r="D265" s="99"/>
      <x:c r="E265" s="101"/>
      <x:c r="F265" s="106"/>
      <x:c r="G265" s="106"/>
      <x:c r="H265" s="106"/>
      <x:c r="I265" s="106"/>
      <x:c r="J265" s="106"/>
      <x:c r="K265" s="106"/>
      <x:c r="L265" s="106"/>
      <x:c r="M265" s="106"/>
      <x:c r="N265" s="106"/>
      <x:c r="O265" s="106"/>
      <x:c r="P265" s="106"/>
      <x:c r="Q265" s="106"/>
      <x:c r="R265" s="99"/>
    </x:row>
    <x:row r="266" ht="15" customHeight="1">
      <x:c r="A266" s="94"/>
      <x:c r="B266" s="99"/>
      <x:c r="C266" s="99"/>
      <x:c r="D266" s="99"/>
      <x:c r="E266" s="101"/>
      <x:c r="F266" s="106"/>
      <x:c r="G266" s="106"/>
      <x:c r="H266" s="106"/>
      <x:c r="I266" s="106"/>
      <x:c r="J266" s="106"/>
      <x:c r="K266" s="106"/>
      <x:c r="L266" s="106"/>
      <x:c r="M266" s="106"/>
      <x:c r="N266" s="106"/>
      <x:c r="O266" s="106"/>
      <x:c r="P266" s="106"/>
      <x:c r="Q266" s="106"/>
      <x:c r="R266" s="99"/>
    </x:row>
    <x:row r="267" ht="15" customHeight="1">
      <x:c r="A267" s="94"/>
      <x:c r="B267" s="99"/>
      <x:c r="C267" s="99"/>
      <x:c r="D267" s="99"/>
      <x:c r="E267" s="101"/>
      <x:c r="F267" s="106"/>
      <x:c r="G267" s="106"/>
      <x:c r="H267" s="106"/>
      <x:c r="I267" s="106"/>
      <x:c r="J267" s="106"/>
      <x:c r="K267" s="106"/>
      <x:c r="L267" s="106"/>
      <x:c r="M267" s="106"/>
      <x:c r="N267" s="106"/>
      <x:c r="O267" s="106"/>
      <x:c r="P267" s="106"/>
      <x:c r="Q267" s="106"/>
      <x:c r="R267" s="99"/>
    </x:row>
    <x:row r="268" ht="15" customHeight="1">
      <x:c r="A268" s="94"/>
      <x:c r="B268" s="99"/>
      <x:c r="C268" s="99"/>
      <x:c r="D268" s="99"/>
      <x:c r="E268" s="101"/>
      <x:c r="F268" s="106"/>
      <x:c r="G268" s="106"/>
      <x:c r="H268" s="106"/>
      <x:c r="I268" s="106"/>
      <x:c r="J268" s="106"/>
      <x:c r="K268" s="106"/>
      <x:c r="L268" s="106"/>
      <x:c r="M268" s="106"/>
      <x:c r="N268" s="106"/>
      <x:c r="O268" s="106"/>
      <x:c r="P268" s="106"/>
      <x:c r="Q268" s="106"/>
      <x:c r="R268" s="99"/>
    </x:row>
    <x:row r="269" ht="15" customHeight="1">
      <x:c r="A269" s="94"/>
      <x:c r="B269" s="99"/>
      <x:c r="C269" s="99"/>
      <x:c r="D269" s="99"/>
      <x:c r="E269" s="101"/>
      <x:c r="F269" s="106"/>
      <x:c r="G269" s="106"/>
      <x:c r="H269" s="106"/>
      <x:c r="I269" s="106"/>
      <x:c r="J269" s="106"/>
      <x:c r="K269" s="106"/>
      <x:c r="L269" s="106"/>
      <x:c r="M269" s="106"/>
      <x:c r="N269" s="106"/>
      <x:c r="O269" s="106"/>
      <x:c r="P269" s="106"/>
      <x:c r="Q269" s="106"/>
      <x:c r="R269" s="99"/>
    </x:row>
    <x:row r="270" ht="15" customHeight="1">
      <x:c r="A270" s="94"/>
      <x:c r="B270" s="99"/>
      <x:c r="C270" s="99"/>
      <x:c r="D270" s="99"/>
      <x:c r="E270" s="101"/>
      <x:c r="F270" s="106"/>
      <x:c r="G270" s="106"/>
      <x:c r="H270" s="106"/>
      <x:c r="I270" s="106"/>
      <x:c r="J270" s="106"/>
      <x:c r="K270" s="106"/>
      <x:c r="L270" s="106"/>
      <x:c r="M270" s="106"/>
      <x:c r="N270" s="106"/>
      <x:c r="O270" s="106"/>
      <x:c r="P270" s="106"/>
      <x:c r="Q270" s="106"/>
      <x:c r="R270" s="99"/>
    </x:row>
    <x:row r="271" ht="15" customHeight="1">
      <x:c r="A271" s="94"/>
      <x:c r="B271" s="99"/>
      <x:c r="C271" s="99"/>
      <x:c r="D271" s="99"/>
      <x:c r="E271" s="101"/>
      <x:c r="F271" s="106"/>
      <x:c r="G271" s="106"/>
      <x:c r="H271" s="106"/>
      <x:c r="I271" s="106"/>
      <x:c r="J271" s="106"/>
      <x:c r="K271" s="106"/>
      <x:c r="L271" s="106"/>
      <x:c r="M271" s="106"/>
      <x:c r="N271" s="106"/>
      <x:c r="O271" s="106"/>
      <x:c r="P271" s="106"/>
      <x:c r="Q271" s="106"/>
      <x:c r="R271" s="99"/>
    </x:row>
    <x:row r="272" ht="15" customHeight="1">
      <x:c r="A272" s="94"/>
      <x:c r="B272" s="99"/>
      <x:c r="C272" s="99"/>
      <x:c r="D272" s="99"/>
      <x:c r="E272" s="101"/>
      <x:c r="F272" s="106"/>
      <x:c r="G272" s="106"/>
      <x:c r="H272" s="106"/>
      <x:c r="I272" s="106"/>
      <x:c r="J272" s="106"/>
      <x:c r="K272" s="106"/>
      <x:c r="L272" s="106"/>
      <x:c r="M272" s="106"/>
      <x:c r="N272" s="106"/>
      <x:c r="O272" s="106"/>
      <x:c r="P272" s="106"/>
      <x:c r="Q272" s="106"/>
      <x:c r="R272" s="99"/>
    </x:row>
    <x:row r="273" ht="15" customHeight="1">
      <x:c r="A273" s="94"/>
      <x:c r="B273" s="99"/>
      <x:c r="C273" s="99"/>
      <x:c r="D273" s="99"/>
      <x:c r="E273" s="101"/>
      <x:c r="F273" s="106"/>
      <x:c r="G273" s="106"/>
      <x:c r="H273" s="106"/>
      <x:c r="I273" s="106"/>
      <x:c r="J273" s="106"/>
      <x:c r="K273" s="106"/>
      <x:c r="L273" s="106"/>
      <x:c r="M273" s="106"/>
      <x:c r="N273" s="106"/>
      <x:c r="O273" s="106"/>
      <x:c r="P273" s="106"/>
      <x:c r="Q273" s="106"/>
      <x:c r="R273" s="99"/>
    </x:row>
    <x:row r="274" ht="15" customHeight="1">
      <x:c r="A274" s="94"/>
      <x:c r="B274" s="99"/>
      <x:c r="C274" s="99"/>
      <x:c r="D274" s="99"/>
      <x:c r="E274" s="101"/>
      <x:c r="F274" s="106"/>
      <x:c r="G274" s="106"/>
      <x:c r="H274" s="106"/>
      <x:c r="I274" s="106"/>
      <x:c r="J274" s="106"/>
      <x:c r="K274" s="106"/>
      <x:c r="L274" s="106"/>
      <x:c r="M274" s="106"/>
      <x:c r="N274" s="106"/>
      <x:c r="O274" s="106"/>
      <x:c r="P274" s="106"/>
      <x:c r="Q274" s="106"/>
      <x:c r="R274" s="99"/>
    </x:row>
    <x:row r="275" ht="15" customHeight="1">
      <x:c r="A275" s="94"/>
      <x:c r="B275" s="99"/>
      <x:c r="C275" s="99"/>
      <x:c r="D275" s="99"/>
      <x:c r="E275" s="101"/>
      <x:c r="F275" s="106"/>
      <x:c r="G275" s="106"/>
      <x:c r="H275" s="106"/>
      <x:c r="I275" s="106"/>
      <x:c r="J275" s="106"/>
      <x:c r="K275" s="106"/>
      <x:c r="L275" s="106"/>
      <x:c r="M275" s="106"/>
      <x:c r="N275" s="106"/>
      <x:c r="O275" s="106"/>
      <x:c r="P275" s="106"/>
      <x:c r="Q275" s="106"/>
      <x:c r="R275" s="99"/>
    </x:row>
    <x:row r="276" ht="15" customHeight="1">
      <x:c r="A276" s="94"/>
      <x:c r="B276" s="99"/>
      <x:c r="C276" s="99"/>
      <x:c r="D276" s="99"/>
      <x:c r="E276" s="101"/>
      <x:c r="F276" s="106"/>
      <x:c r="G276" s="106"/>
      <x:c r="H276" s="106"/>
      <x:c r="I276" s="106"/>
      <x:c r="J276" s="106"/>
      <x:c r="K276" s="106"/>
      <x:c r="L276" s="106"/>
      <x:c r="M276" s="106"/>
      <x:c r="N276" s="106"/>
      <x:c r="O276" s="106"/>
      <x:c r="P276" s="106"/>
      <x:c r="Q276" s="106"/>
      <x:c r="R276" s="99"/>
    </x:row>
    <x:row r="277" ht="15" customHeight="1">
      <x:c r="A277" s="94"/>
      <x:c r="B277" s="99"/>
      <x:c r="C277" s="99"/>
      <x:c r="D277" s="99"/>
      <x:c r="E277" s="101"/>
      <x:c r="F277" s="106"/>
      <x:c r="G277" s="106"/>
      <x:c r="H277" s="106"/>
      <x:c r="I277" s="106"/>
      <x:c r="J277" s="106"/>
      <x:c r="K277" s="106"/>
      <x:c r="L277" s="106"/>
      <x:c r="M277" s="106"/>
      <x:c r="N277" s="106"/>
      <x:c r="O277" s="106"/>
      <x:c r="P277" s="106"/>
      <x:c r="Q277" s="106"/>
      <x:c r="R277" s="99"/>
    </x:row>
    <x:row r="278" ht="15" customHeight="1">
      <x:c r="A278" s="94"/>
      <x:c r="B278" s="99"/>
      <x:c r="C278" s="99"/>
      <x:c r="D278" s="99"/>
      <x:c r="E278" s="101"/>
      <x:c r="F278" s="106"/>
      <x:c r="G278" s="106"/>
      <x:c r="H278" s="106"/>
      <x:c r="I278" s="106"/>
      <x:c r="J278" s="106"/>
      <x:c r="K278" s="106"/>
      <x:c r="L278" s="106"/>
      <x:c r="M278" s="106"/>
      <x:c r="N278" s="106"/>
      <x:c r="O278" s="106"/>
      <x:c r="P278" s="106"/>
      <x:c r="Q278" s="106"/>
      <x:c r="R278" s="99"/>
    </x:row>
    <x:row r="279" ht="15" customHeight="1">
      <x:c r="A279" s="94"/>
      <x:c r="B279" s="99"/>
      <x:c r="C279" s="99"/>
      <x:c r="D279" s="99"/>
      <x:c r="E279" s="101"/>
      <x:c r="F279" s="106"/>
      <x:c r="G279" s="106"/>
      <x:c r="H279" s="106"/>
      <x:c r="I279" s="106"/>
      <x:c r="J279" s="106"/>
      <x:c r="K279" s="106"/>
      <x:c r="L279" s="106"/>
      <x:c r="M279" s="106"/>
      <x:c r="N279" s="106"/>
      <x:c r="O279" s="106"/>
      <x:c r="P279" s="106"/>
      <x:c r="Q279" s="106"/>
      <x:c r="R279" s="99"/>
    </x:row>
    <x:row r="280" ht="15" customHeight="1">
      <x:c r="A280" s="94"/>
      <x:c r="B280" s="99"/>
      <x:c r="C280" s="99"/>
      <x:c r="D280" s="99"/>
      <x:c r="E280" s="101"/>
      <x:c r="F280" s="106"/>
      <x:c r="G280" s="106"/>
      <x:c r="H280" s="106"/>
      <x:c r="I280" s="106"/>
      <x:c r="J280" s="106"/>
      <x:c r="K280" s="106"/>
      <x:c r="L280" s="106"/>
      <x:c r="M280" s="106"/>
      <x:c r="N280" s="106"/>
      <x:c r="O280" s="106"/>
      <x:c r="P280" s="106"/>
      <x:c r="Q280" s="106"/>
      <x:c r="R280" s="99"/>
    </x:row>
    <x:row r="281" ht="15" customHeight="1">
      <x:c r="A281" s="94"/>
      <x:c r="B281" s="99"/>
      <x:c r="C281" s="99"/>
      <x:c r="D281" s="99"/>
      <x:c r="E281" s="101"/>
      <x:c r="F281" s="106"/>
      <x:c r="G281" s="106"/>
      <x:c r="H281" s="106"/>
      <x:c r="I281" s="106"/>
      <x:c r="J281" s="106"/>
      <x:c r="K281" s="106"/>
      <x:c r="L281" s="106"/>
      <x:c r="M281" s="106"/>
      <x:c r="N281" s="106"/>
      <x:c r="O281" s="106"/>
      <x:c r="P281" s="106"/>
      <x:c r="Q281" s="106"/>
      <x:c r="R281" s="99"/>
    </x:row>
    <x:row r="282" ht="15" customHeight="1">
      <x:c r="A282" s="94"/>
      <x:c r="B282" s="99"/>
      <x:c r="C282" s="99"/>
      <x:c r="D282" s="99"/>
      <x:c r="E282" s="101"/>
      <x:c r="F282" s="106"/>
      <x:c r="G282" s="106"/>
      <x:c r="H282" s="106"/>
      <x:c r="I282" s="106"/>
      <x:c r="J282" s="106"/>
      <x:c r="K282" s="106"/>
      <x:c r="L282" s="106"/>
      <x:c r="M282" s="106"/>
      <x:c r="N282" s="106"/>
      <x:c r="O282" s="106"/>
      <x:c r="P282" s="106"/>
      <x:c r="Q282" s="106"/>
      <x:c r="R282" s="99"/>
    </x:row>
    <x:row r="283" ht="15" customHeight="1">
      <x:c r="A283" s="94"/>
      <x:c r="B283" s="99"/>
      <x:c r="C283" s="99"/>
      <x:c r="D283" s="99"/>
      <x:c r="E283" s="101"/>
      <x:c r="F283" s="106"/>
      <x:c r="G283" s="106"/>
      <x:c r="H283" s="106"/>
      <x:c r="I283" s="106"/>
      <x:c r="J283" s="106"/>
      <x:c r="K283" s="106"/>
      <x:c r="L283" s="106"/>
      <x:c r="M283" s="106"/>
      <x:c r="N283" s="106"/>
      <x:c r="O283" s="106"/>
      <x:c r="P283" s="106"/>
      <x:c r="Q283" s="106"/>
      <x:c r="R283" s="99"/>
    </x:row>
    <x:row r="284" ht="15" customHeight="1">
      <x:c r="A284" s="94"/>
      <x:c r="B284" s="99"/>
      <x:c r="C284" s="99"/>
      <x:c r="D284" s="99"/>
      <x:c r="E284" s="101"/>
      <x:c r="F284" s="106"/>
      <x:c r="G284" s="106"/>
      <x:c r="H284" s="106"/>
      <x:c r="I284" s="106"/>
      <x:c r="J284" s="106"/>
      <x:c r="K284" s="106"/>
      <x:c r="L284" s="106"/>
      <x:c r="M284" s="106"/>
      <x:c r="N284" s="106"/>
      <x:c r="O284" s="106"/>
      <x:c r="P284" s="106"/>
      <x:c r="Q284" s="106"/>
      <x:c r="R284" s="99"/>
    </x:row>
    <x:row r="285" ht="15" customHeight="1">
      <x:c r="A285" s="94"/>
      <x:c r="B285" s="99"/>
      <x:c r="C285" s="99"/>
      <x:c r="D285" s="99"/>
      <x:c r="E285" s="101"/>
      <x:c r="F285" s="106"/>
      <x:c r="G285" s="106"/>
      <x:c r="H285" s="106"/>
      <x:c r="I285" s="106"/>
      <x:c r="J285" s="106"/>
      <x:c r="K285" s="106"/>
      <x:c r="L285" s="106"/>
      <x:c r="M285" s="106"/>
      <x:c r="N285" s="106"/>
      <x:c r="O285" s="106"/>
      <x:c r="P285" s="106"/>
      <x:c r="Q285" s="106"/>
      <x:c r="R285" s="99"/>
    </x:row>
    <x:row r="286" ht="15" customHeight="1">
      <x:c r="A286" s="94"/>
      <x:c r="B286" s="99"/>
      <x:c r="C286" s="99"/>
      <x:c r="D286" s="99"/>
      <x:c r="E286" s="101"/>
      <x:c r="F286" s="106"/>
      <x:c r="G286" s="106"/>
      <x:c r="H286" s="106"/>
      <x:c r="I286" s="106"/>
      <x:c r="J286" s="106"/>
      <x:c r="K286" s="106"/>
      <x:c r="L286" s="106"/>
      <x:c r="M286" s="106"/>
      <x:c r="N286" s="106"/>
      <x:c r="O286" s="106"/>
      <x:c r="P286" s="106"/>
      <x:c r="Q286" s="106"/>
      <x:c r="R286" s="99"/>
    </x:row>
    <x:row r="287" ht="15" customHeight="1">
      <x:c r="A287" s="94"/>
      <x:c r="B287" s="99"/>
      <x:c r="C287" s="99"/>
      <x:c r="D287" s="99"/>
      <x:c r="E287" s="101"/>
      <x:c r="F287" s="106"/>
      <x:c r="G287" s="106"/>
      <x:c r="H287" s="106"/>
      <x:c r="I287" s="106"/>
      <x:c r="J287" s="106"/>
      <x:c r="K287" s="106"/>
      <x:c r="L287" s="106"/>
      <x:c r="M287" s="106"/>
      <x:c r="N287" s="106"/>
      <x:c r="O287" s="106"/>
      <x:c r="P287" s="106"/>
      <x:c r="Q287" s="106"/>
      <x:c r="R287" s="99"/>
    </x:row>
    <x:row r="288" ht="15" customHeight="1">
      <x:c r="A288" s="94"/>
      <x:c r="B288" s="99"/>
      <x:c r="C288" s="99"/>
      <x:c r="D288" s="99"/>
      <x:c r="E288" s="101"/>
      <x:c r="F288" s="106"/>
      <x:c r="G288" s="106"/>
      <x:c r="H288" s="106"/>
      <x:c r="I288" s="106"/>
      <x:c r="J288" s="106"/>
      <x:c r="K288" s="106"/>
      <x:c r="L288" s="106"/>
      <x:c r="M288" s="106"/>
      <x:c r="N288" s="106"/>
      <x:c r="O288" s="106"/>
      <x:c r="P288" s="106"/>
      <x:c r="Q288" s="106"/>
      <x:c r="R288" s="99"/>
    </x:row>
    <x:row r="289" ht="15" customHeight="1">
      <x:c r="A289" s="94"/>
      <x:c r="B289" s="99"/>
      <x:c r="C289" s="99"/>
      <x:c r="D289" s="99"/>
      <x:c r="E289" s="101"/>
      <x:c r="F289" s="106"/>
      <x:c r="G289" s="106"/>
      <x:c r="H289" s="106"/>
      <x:c r="I289" s="106"/>
      <x:c r="J289" s="106"/>
      <x:c r="K289" s="106"/>
      <x:c r="L289" s="106"/>
      <x:c r="M289" s="106"/>
      <x:c r="N289" s="106"/>
      <x:c r="O289" s="106"/>
      <x:c r="P289" s="106"/>
      <x:c r="Q289" s="106"/>
      <x:c r="R289" s="99"/>
    </x:row>
    <x:row r="290" ht="15" customHeight="1">
      <x:c r="A290" s="94"/>
      <x:c r="B290" s="99"/>
      <x:c r="C290" s="99"/>
      <x:c r="D290" s="99"/>
      <x:c r="E290" s="101"/>
      <x:c r="F290" s="106"/>
      <x:c r="G290" s="106"/>
      <x:c r="H290" s="106"/>
      <x:c r="I290" s="106"/>
      <x:c r="J290" s="106"/>
      <x:c r="K290" s="106"/>
      <x:c r="L290" s="106"/>
      <x:c r="M290" s="106"/>
      <x:c r="N290" s="106"/>
      <x:c r="O290" s="106"/>
      <x:c r="P290" s="106"/>
      <x:c r="Q290" s="106"/>
      <x:c r="R290" s="99"/>
    </x:row>
    <x:row r="291" ht="15" customHeight="1">
      <x:c r="A291" s="94"/>
      <x:c r="B291" s="99"/>
      <x:c r="C291" s="99"/>
      <x:c r="D291" s="99"/>
      <x:c r="E291" s="101"/>
      <x:c r="F291" s="106"/>
      <x:c r="G291" s="106"/>
      <x:c r="H291" s="106"/>
      <x:c r="I291" s="106"/>
      <x:c r="J291" s="106"/>
      <x:c r="K291" s="106"/>
      <x:c r="L291" s="106"/>
      <x:c r="M291" s="106"/>
      <x:c r="N291" s="106"/>
      <x:c r="O291" s="106"/>
      <x:c r="P291" s="106"/>
      <x:c r="Q291" s="106"/>
      <x:c r="R291" s="99"/>
    </x:row>
    <x:row r="292" ht="15" customHeight="1">
      <x:c r="A292" s="94"/>
      <x:c r="B292" s="99"/>
      <x:c r="C292" s="99"/>
      <x:c r="D292" s="99"/>
      <x:c r="E292" s="101"/>
      <x:c r="F292" s="106"/>
      <x:c r="G292" s="106"/>
      <x:c r="H292" s="106"/>
      <x:c r="I292" s="106"/>
      <x:c r="J292" s="106"/>
      <x:c r="K292" s="106"/>
      <x:c r="L292" s="106"/>
      <x:c r="M292" s="106"/>
      <x:c r="N292" s="106"/>
      <x:c r="O292" s="106"/>
      <x:c r="P292" s="106"/>
      <x:c r="Q292" s="106"/>
      <x:c r="R292" s="99"/>
    </x:row>
    <x:row r="293" ht="15" customHeight="1">
      <x:c r="A293" s="94"/>
      <x:c r="B293" s="99"/>
      <x:c r="C293" s="99"/>
      <x:c r="D293" s="99"/>
      <x:c r="E293" s="101"/>
      <x:c r="F293" s="106"/>
      <x:c r="G293" s="106"/>
      <x:c r="H293" s="106"/>
      <x:c r="I293" s="106"/>
      <x:c r="J293" s="106"/>
      <x:c r="K293" s="106"/>
      <x:c r="L293" s="106"/>
      <x:c r="M293" s="106"/>
      <x:c r="N293" s="106"/>
      <x:c r="O293" s="106"/>
      <x:c r="P293" s="106"/>
      <x:c r="Q293" s="106"/>
      <x:c r="R293" s="99"/>
    </x:row>
    <x:row r="294" ht="15" customHeight="1">
      <x:c r="A294" s="94"/>
      <x:c r="B294" s="99"/>
      <x:c r="C294" s="99"/>
      <x:c r="D294" s="99"/>
      <x:c r="E294" s="101"/>
      <x:c r="F294" s="106"/>
      <x:c r="G294" s="106"/>
      <x:c r="H294" s="106"/>
      <x:c r="I294" s="106"/>
      <x:c r="J294" s="106"/>
      <x:c r="K294" s="106"/>
      <x:c r="L294" s="106"/>
      <x:c r="M294" s="106"/>
      <x:c r="N294" s="106"/>
      <x:c r="O294" s="106"/>
      <x:c r="P294" s="106"/>
      <x:c r="Q294" s="106"/>
      <x:c r="R294" s="99"/>
    </x:row>
    <x:row r="295" ht="15" customHeight="1">
      <x:c r="A295" s="94"/>
      <x:c r="B295" s="99"/>
      <x:c r="C295" s="99"/>
      <x:c r="D295" s="99"/>
      <x:c r="E295" s="101"/>
      <x:c r="F295" s="106"/>
      <x:c r="G295" s="106"/>
      <x:c r="H295" s="106"/>
      <x:c r="I295" s="106"/>
      <x:c r="J295" s="106"/>
      <x:c r="K295" s="106"/>
      <x:c r="L295" s="106"/>
      <x:c r="M295" s="106"/>
      <x:c r="N295" s="106"/>
      <x:c r="O295" s="106"/>
      <x:c r="P295" s="106"/>
      <x:c r="Q295" s="106"/>
      <x:c r="R295" s="99"/>
    </x:row>
    <x:row r="296" ht="15" customHeight="1">
      <x:c r="A296" s="94"/>
      <x:c r="B296" s="99"/>
      <x:c r="C296" s="99"/>
      <x:c r="D296" s="99"/>
      <x:c r="E296" s="101"/>
      <x:c r="F296" s="106"/>
      <x:c r="G296" s="106"/>
      <x:c r="H296" s="106"/>
      <x:c r="I296" s="106"/>
      <x:c r="J296" s="106"/>
      <x:c r="K296" s="106"/>
      <x:c r="L296" s="106"/>
      <x:c r="M296" s="106"/>
      <x:c r="N296" s="106"/>
      <x:c r="O296" s="106"/>
      <x:c r="P296" s="106"/>
      <x:c r="Q296" s="106"/>
      <x:c r="R296" s="99"/>
    </x:row>
    <x:row r="297" ht="15" customHeight="1">
      <x:c r="A297" s="94"/>
      <x:c r="B297" s="99"/>
      <x:c r="C297" s="99"/>
      <x:c r="D297" s="99"/>
      <x:c r="E297" s="101"/>
      <x:c r="F297" s="106"/>
      <x:c r="G297" s="106"/>
      <x:c r="H297" s="106"/>
      <x:c r="I297" s="106"/>
      <x:c r="J297" s="106"/>
      <x:c r="K297" s="106"/>
      <x:c r="L297" s="106"/>
      <x:c r="M297" s="106"/>
      <x:c r="N297" s="106"/>
      <x:c r="O297" s="106"/>
      <x:c r="P297" s="106"/>
      <x:c r="Q297" s="106"/>
      <x:c r="R297" s="99"/>
    </x:row>
    <x:row r="298" ht="15" customHeight="1">
      <x:c r="A298" s="94"/>
      <x:c r="B298" s="99"/>
      <x:c r="C298" s="99"/>
      <x:c r="D298" s="99"/>
      <x:c r="E298" s="101"/>
      <x:c r="F298" s="106"/>
      <x:c r="G298" s="106"/>
      <x:c r="H298" s="106"/>
      <x:c r="I298" s="106"/>
      <x:c r="J298" s="106"/>
      <x:c r="K298" s="106"/>
      <x:c r="L298" s="106"/>
      <x:c r="M298" s="106"/>
      <x:c r="N298" s="106"/>
      <x:c r="O298" s="106"/>
      <x:c r="P298" s="106"/>
      <x:c r="Q298" s="106"/>
      <x:c r="R298" s="99"/>
    </x:row>
    <x:row r="299" ht="15" customHeight="1">
      <x:c r="A299" s="94"/>
      <x:c r="B299" s="99"/>
      <x:c r="C299" s="99"/>
      <x:c r="D299" s="99"/>
      <x:c r="E299" s="101"/>
      <x:c r="F299" s="106"/>
      <x:c r="G299" s="106"/>
      <x:c r="H299" s="106"/>
      <x:c r="I299" s="106"/>
      <x:c r="J299" s="106"/>
      <x:c r="K299" s="106"/>
      <x:c r="L299" s="106"/>
      <x:c r="M299" s="106"/>
      <x:c r="N299" s="106"/>
      <x:c r="O299" s="106"/>
      <x:c r="P299" s="106"/>
      <x:c r="Q299" s="106"/>
      <x:c r="R299" s="99"/>
    </x:row>
    <x:row r="300" ht="15" customHeight="1">
      <x:c r="A300" s="22"/>
      <x:c r="B300" s="99"/>
      <x:c r="C300" s="99"/>
      <x:c r="D300" s="99"/>
      <x:c r="E300" s="101"/>
      <x:c r="F300" s="106"/>
      <x:c r="G300" s="106"/>
      <x:c r="H300" s="106"/>
      <x:c r="I300" s="106"/>
      <x:c r="J300" s="106"/>
      <x:c r="K300" s="106"/>
      <x:c r="L300" s="106"/>
      <x:c r="M300" s="106"/>
      <x:c r="N300" s="106"/>
      <x:c r="O300" s="106"/>
      <x:c r="P300" s="106"/>
      <x:c r="Q300" s="106"/>
      <x:c r="R300" s="99"/>
    </x:row>
    <x:row r="301" ht="15" customHeight="1">
      <x:c r="A301" s="94"/>
      <x:c r="B301" s="99"/>
      <x:c r="C301" s="99"/>
      <x:c r="D301" s="99"/>
      <x:c r="E301" s="101"/>
      <x:c r="F301" s="106"/>
      <x:c r="G301" s="106"/>
      <x:c r="H301" s="106"/>
      <x:c r="I301" s="106"/>
      <x:c r="J301" s="106"/>
      <x:c r="K301" s="106"/>
      <x:c r="L301" s="106"/>
      <x:c r="M301" s="111"/>
      <x:c r="N301" s="111"/>
      <x:c r="O301" s="111"/>
      <x:c r="P301" s="111"/>
      <x:c r="Q301" s="111"/>
      <x:c r="R301" s="99"/>
    </x:row>
    <x:row r="302" ht="15" customHeight="1">
      <x:c r="A302" s="22"/>
      <x:c r="B302" s="99"/>
      <x:c r="C302" s="99"/>
      <x:c r="D302" s="99"/>
      <x:c r="E302" s="101"/>
      <x:c r="F302" s="106"/>
      <x:c r="G302" s="106"/>
      <x:c r="H302" s="106"/>
      <x:c r="I302" s="106"/>
      <x:c r="J302" s="106"/>
      <x:c r="K302" s="106"/>
      <x:c r="L302" s="106"/>
      <x:c r="M302" s="106"/>
      <x:c r="N302" s="106"/>
      <x:c r="O302" s="106"/>
      <x:c r="P302" s="106"/>
      <x:c r="Q302" s="106"/>
      <x:c r="R302" s="99"/>
    </x:row>
    <x:row r="303" ht="15" customHeight="1">
      <x:c r="A303" s="22"/>
      <x:c r="B303" s="99"/>
      <x:c r="C303" s="99"/>
      <x:c r="D303" s="99"/>
      <x:c r="E303" s="101"/>
      <x:c r="F303" s="106"/>
      <x:c r="G303" s="106"/>
      <x:c r="H303" s="106"/>
      <x:c r="I303" s="106"/>
      <x:c r="J303" s="106"/>
      <x:c r="K303" s="106"/>
      <x:c r="L303" s="106"/>
      <x:c r="M303" s="106"/>
      <x:c r="N303" s="106"/>
      <x:c r="O303" s="106"/>
      <x:c r="P303" s="106"/>
      <x:c r="Q303" s="106"/>
      <x:c r="R303" s="99"/>
    </x:row>
    <x:row r="304" ht="15" customHeight="1">
      <x:c r="A304" s="22"/>
      <x:c r="B304" s="99"/>
      <x:c r="C304" s="99"/>
      <x:c r="D304" s="99"/>
      <x:c r="E304" s="101"/>
      <x:c r="F304" s="106"/>
      <x:c r="G304" s="106"/>
      <x:c r="H304" s="106"/>
      <x:c r="I304" s="106"/>
      <x:c r="J304" s="106"/>
      <x:c r="K304" s="106"/>
      <x:c r="L304" s="106"/>
      <x:c r="M304" s="106"/>
      <x:c r="N304" s="106"/>
      <x:c r="O304" s="106"/>
      <x:c r="P304" s="106"/>
      <x:c r="Q304" s="106"/>
      <x:c r="R304" s="99"/>
    </x:row>
    <x:row r="305" ht="15" customHeight="1">
      <x:c r="A305" s="94"/>
      <x:c r="B305" s="99"/>
      <x:c r="C305" s="99"/>
      <x:c r="D305" s="99"/>
      <x:c r="E305" s="101"/>
      <x:c r="F305" s="106"/>
      <x:c r="G305" s="106"/>
      <x:c r="H305" s="106"/>
      <x:c r="I305" s="106"/>
      <x:c r="J305" s="106"/>
      <x:c r="K305" s="106"/>
      <x:c r="L305" s="106"/>
      <x:c r="M305" s="111"/>
      <x:c r="N305" s="111"/>
      <x:c r="O305" s="111"/>
      <x:c r="P305" s="111"/>
      <x:c r="Q305" s="111"/>
      <x:c r="R305" s="99"/>
    </x:row>
    <x:row r="306" ht="15" customHeight="1">
      <x:c r="A306" s="22"/>
      <x:c r="B306" s="99"/>
      <x:c r="C306" s="99"/>
      <x:c r="D306" s="99"/>
      <x:c r="E306" s="101"/>
      <x:c r="F306" s="106"/>
      <x:c r="G306" s="106"/>
      <x:c r="H306" s="106"/>
      <x:c r="I306" s="106"/>
      <x:c r="J306" s="106"/>
      <x:c r="K306" s="106"/>
      <x:c r="L306" s="106"/>
      <x:c r="M306" s="106"/>
      <x:c r="N306" s="106"/>
      <x:c r="O306" s="106"/>
      <x:c r="P306" s="106"/>
      <x:c r="Q306" s="106"/>
      <x:c r="R306" s="99"/>
    </x:row>
    <x:row r="307" ht="15" customHeight="1">
      <x:c r="A307" s="22"/>
      <x:c r="B307" s="99"/>
      <x:c r="C307" s="99"/>
      <x:c r="D307" s="99"/>
      <x:c r="E307" s="101"/>
      <x:c r="F307" s="106"/>
      <x:c r="G307" s="106"/>
      <x:c r="H307" s="106"/>
      <x:c r="I307" s="106"/>
      <x:c r="J307" s="106"/>
      <x:c r="K307" s="106"/>
      <x:c r="L307" s="106"/>
      <x:c r="M307" s="106"/>
      <x:c r="N307" s="106"/>
      <x:c r="O307" s="106"/>
      <x:c r="P307" s="106"/>
      <x:c r="Q307" s="106"/>
      <x:c r="R307" s="99"/>
    </x:row>
    <x:row r="308" ht="15" customHeight="1">
      <x:c r="A308" s="22"/>
      <x:c r="B308" s="99"/>
      <x:c r="C308" s="99"/>
      <x:c r="D308" s="99"/>
      <x:c r="E308" s="101"/>
      <x:c r="F308" s="106"/>
      <x:c r="G308" s="106"/>
      <x:c r="H308" s="106"/>
      <x:c r="I308" s="106"/>
      <x:c r="J308" s="106"/>
      <x:c r="K308" s="106"/>
      <x:c r="L308" s="106"/>
      <x:c r="M308" s="106"/>
      <x:c r="N308" s="106"/>
      <x:c r="O308" s="106"/>
      <x:c r="P308" s="106"/>
      <x:c r="Q308" s="106"/>
      <x:c r="R308" s="99"/>
    </x:row>
    <x:row r="309" ht="15" customHeight="1">
      <x:c r="A309" s="94"/>
      <x:c r="B309" s="99"/>
      <x:c r="C309" s="99"/>
      <x:c r="D309" s="99"/>
      <x:c r="E309" s="101"/>
      <x:c r="F309" s="106"/>
      <x:c r="G309" s="106"/>
      <x:c r="H309" s="106"/>
      <x:c r="I309" s="106"/>
      <x:c r="J309" s="106"/>
      <x:c r="K309" s="106"/>
      <x:c r="L309" s="106"/>
      <x:c r="M309" s="111"/>
      <x:c r="N309" s="111"/>
      <x:c r="O309" s="111"/>
      <x:c r="P309" s="111"/>
      <x:c r="Q309" s="111"/>
      <x:c r="R309" s="99"/>
    </x:row>
    <x:row r="310" ht="15" customHeight="1">
      <x:c r="A310" s="22"/>
      <x:c r="B310" s="99"/>
      <x:c r="C310" s="99"/>
      <x:c r="D310" s="99"/>
      <x:c r="E310" s="101"/>
      <x:c r="F310" s="106"/>
      <x:c r="G310" s="106"/>
      <x:c r="H310" s="106"/>
      <x:c r="I310" s="106"/>
      <x:c r="J310" s="106"/>
      <x:c r="K310" s="106"/>
      <x:c r="L310" s="106"/>
      <x:c r="M310" s="106"/>
      <x:c r="N310" s="106"/>
      <x:c r="O310" s="106"/>
      <x:c r="P310" s="106"/>
      <x:c r="Q310" s="106"/>
      <x:c r="R310" s="99"/>
    </x:row>
    <x:row r="311" ht="15" customHeight="1">
      <x:c r="A311" s="22"/>
      <x:c r="B311" s="99"/>
      <x:c r="C311" s="99"/>
      <x:c r="D311" s="99"/>
      <x:c r="E311" s="101"/>
      <x:c r="F311" s="106"/>
      <x:c r="G311" s="106"/>
      <x:c r="H311" s="106"/>
      <x:c r="I311" s="106"/>
      <x:c r="J311" s="106"/>
      <x:c r="K311" s="106"/>
      <x:c r="L311" s="106"/>
      <x:c r="M311" s="106"/>
      <x:c r="N311" s="106"/>
      <x:c r="O311" s="106"/>
      <x:c r="P311" s="106"/>
      <x:c r="Q311" s="106"/>
      <x:c r="R311" s="99"/>
    </x:row>
    <x:row r="312" ht="15" customHeight="1">
      <x:c r="A312" s="22"/>
      <x:c r="B312" s="99"/>
      <x:c r="C312" s="99"/>
      <x:c r="D312" s="99"/>
      <x:c r="E312" s="101"/>
      <x:c r="F312" s="106"/>
      <x:c r="G312" s="106"/>
      <x:c r="H312" s="106"/>
      <x:c r="I312" s="106"/>
      <x:c r="J312" s="106"/>
      <x:c r="K312" s="106"/>
      <x:c r="L312" s="106"/>
      <x:c r="M312" s="106"/>
      <x:c r="N312" s="106"/>
      <x:c r="O312" s="106"/>
      <x:c r="P312" s="106"/>
      <x:c r="Q312" s="106"/>
      <x:c r="R312" s="99"/>
    </x:row>
    <x:row r="313" ht="15" customHeight="1">
      <x:c r="A313" s="94"/>
      <x:c r="B313" s="99"/>
      <x:c r="C313" s="99"/>
      <x:c r="D313" s="99"/>
      <x:c r="E313" s="101"/>
      <x:c r="F313" s="106"/>
      <x:c r="G313" s="106"/>
      <x:c r="H313" s="106"/>
      <x:c r="I313" s="106"/>
      <x:c r="J313" s="106"/>
      <x:c r="K313" s="106"/>
      <x:c r="L313" s="106"/>
      <x:c r="M313" s="111"/>
      <x:c r="N313" s="111"/>
      <x:c r="O313" s="111"/>
      <x:c r="P313" s="111"/>
      <x:c r="Q313" s="111"/>
      <x:c r="R313" s="99"/>
    </x:row>
    <x:row r="314" ht="15" customHeight="1">
      <x:c r="A314" s="22"/>
      <x:c r="B314" s="99"/>
      <x:c r="C314" s="99"/>
      <x:c r="D314" s="99"/>
      <x:c r="E314" s="101"/>
      <x:c r="F314" s="106"/>
      <x:c r="G314" s="106"/>
      <x:c r="H314" s="106"/>
      <x:c r="I314" s="106"/>
      <x:c r="J314" s="106"/>
      <x:c r="K314" s="106"/>
      <x:c r="L314" s="106"/>
      <x:c r="M314" s="106"/>
      <x:c r="N314" s="106"/>
      <x:c r="O314" s="106"/>
      <x:c r="P314" s="106"/>
      <x:c r="Q314" s="106"/>
      <x:c r="R314" s="99"/>
    </x:row>
    <x:row r="315" ht="15" customHeight="1">
      <x:c r="A315" s="22"/>
      <x:c r="B315" s="99"/>
      <x:c r="C315" s="99"/>
      <x:c r="D315" s="99"/>
      <x:c r="E315" s="101"/>
      <x:c r="F315" s="106"/>
      <x:c r="G315" s="106"/>
      <x:c r="H315" s="106"/>
      <x:c r="I315" s="106"/>
      <x:c r="J315" s="106"/>
      <x:c r="K315" s="106"/>
      <x:c r="L315" s="106"/>
      <x:c r="M315" s="106"/>
      <x:c r="N315" s="106"/>
      <x:c r="O315" s="106"/>
      <x:c r="P315" s="106"/>
      <x:c r="Q315" s="106"/>
      <x:c r="R315" s="99"/>
    </x:row>
    <x:row r="316" ht="15" customHeight="1">
      <x:c r="A316" s="22"/>
      <x:c r="B316" s="99"/>
      <x:c r="C316" s="99"/>
      <x:c r="D316" s="99"/>
      <x:c r="E316" s="101"/>
      <x:c r="F316" s="106"/>
      <x:c r="G316" s="106"/>
      <x:c r="H316" s="106"/>
      <x:c r="I316" s="106"/>
      <x:c r="J316" s="106"/>
      <x:c r="K316" s="106"/>
      <x:c r="L316" s="106"/>
      <x:c r="M316" s="106"/>
      <x:c r="N316" s="106"/>
      <x:c r="O316" s="106"/>
      <x:c r="P316" s="106"/>
      <x:c r="Q316" s="106"/>
      <x:c r="R316" s="99"/>
    </x:row>
    <x:row r="317" ht="15" customHeight="1">
      <x:c r="A317" s="94"/>
      <x:c r="B317" s="99"/>
      <x:c r="C317" s="99"/>
      <x:c r="D317" s="99"/>
      <x:c r="E317" s="101"/>
      <x:c r="F317" s="106"/>
      <x:c r="G317" s="106"/>
      <x:c r="H317" s="106"/>
      <x:c r="I317" s="106"/>
      <x:c r="J317" s="106"/>
      <x:c r="K317" s="106"/>
      <x:c r="L317" s="106"/>
      <x:c r="M317" s="111"/>
      <x:c r="N317" s="111"/>
      <x:c r="O317" s="111"/>
      <x:c r="P317" s="111"/>
      <x:c r="Q317" s="111"/>
      <x:c r="R317" s="99"/>
    </x:row>
    <x:row r="318" ht="15" customHeight="1">
      <x:c r="A318" s="22"/>
      <x:c r="B318" s="99"/>
      <x:c r="C318" s="99"/>
      <x:c r="D318" s="99"/>
      <x:c r="E318" s="101"/>
      <x:c r="F318" s="106"/>
      <x:c r="G318" s="106"/>
      <x:c r="H318" s="106"/>
      <x:c r="I318" s="106"/>
      <x:c r="J318" s="106"/>
      <x:c r="K318" s="106"/>
      <x:c r="L318" s="106"/>
      <x:c r="M318" s="106"/>
      <x:c r="N318" s="106"/>
      <x:c r="O318" s="106"/>
      <x:c r="P318" s="106"/>
      <x:c r="Q318" s="106"/>
      <x:c r="R318" s="99"/>
    </x:row>
    <x:row r="319" ht="15" customHeight="1">
      <x:c r="A319" s="22"/>
      <x:c r="B319" s="99"/>
      <x:c r="C319" s="99"/>
      <x:c r="D319" s="99"/>
      <x:c r="E319" s="101"/>
      <x:c r="F319" s="106"/>
      <x:c r="G319" s="106"/>
      <x:c r="H319" s="106"/>
      <x:c r="I319" s="106"/>
      <x:c r="J319" s="106"/>
      <x:c r="K319" s="106"/>
      <x:c r="L319" s="106"/>
      <x:c r="M319" s="106"/>
      <x:c r="N319" s="106"/>
      <x:c r="O319" s="106"/>
      <x:c r="P319" s="106"/>
      <x:c r="Q319" s="106"/>
      <x:c r="R319" s="99"/>
    </x:row>
    <x:row r="320" ht="15" customHeight="1">
      <x:c r="A320" s="22"/>
      <x:c r="B320" s="99"/>
      <x:c r="C320" s="99"/>
      <x:c r="D320" s="99"/>
      <x:c r="E320" s="101"/>
      <x:c r="F320" s="106"/>
      <x:c r="G320" s="106"/>
      <x:c r="H320" s="106"/>
      <x:c r="I320" s="106"/>
      <x:c r="J320" s="106"/>
      <x:c r="K320" s="106"/>
      <x:c r="L320" s="106"/>
      <x:c r="M320" s="106"/>
      <x:c r="N320" s="106"/>
      <x:c r="O320" s="106"/>
      <x:c r="P320" s="106"/>
      <x:c r="Q320" s="106"/>
      <x:c r="R320" s="99"/>
    </x:row>
    <x:row r="321" ht="15" customHeight="1">
      <x:c r="A321" s="94"/>
      <x:c r="B321" s="99"/>
      <x:c r="C321" s="99"/>
      <x:c r="D321" s="99"/>
      <x:c r="E321" s="101"/>
      <x:c r="F321" s="106"/>
      <x:c r="G321" s="106"/>
      <x:c r="H321" s="106"/>
      <x:c r="I321" s="106"/>
      <x:c r="J321" s="106"/>
      <x:c r="K321" s="106"/>
      <x:c r="L321" s="106"/>
      <x:c r="M321" s="111"/>
      <x:c r="N321" s="111"/>
      <x:c r="O321" s="111"/>
      <x:c r="P321" s="111"/>
      <x:c r="Q321" s="111"/>
      <x:c r="R321" s="99"/>
    </x:row>
    <x:row r="322" ht="15" customHeight="1">
      <x:c r="A322" s="22"/>
      <x:c r="B322" s="99"/>
      <x:c r="C322" s="99"/>
      <x:c r="D322" s="99"/>
      <x:c r="E322" s="101"/>
      <x:c r="F322" s="106"/>
      <x:c r="G322" s="106"/>
      <x:c r="H322" s="106"/>
      <x:c r="I322" s="106"/>
      <x:c r="J322" s="106"/>
      <x:c r="K322" s="106"/>
      <x:c r="L322" s="106"/>
      <x:c r="M322" s="106"/>
      <x:c r="N322" s="106"/>
      <x:c r="O322" s="106"/>
      <x:c r="P322" s="106"/>
      <x:c r="Q322" s="106"/>
      <x:c r="R322" s="99"/>
    </x:row>
    <x:row r="323" ht="15" customHeight="1">
      <x:c r="A323" s="22"/>
      <x:c r="B323" s="99"/>
      <x:c r="C323" s="99"/>
      <x:c r="D323" s="99"/>
      <x:c r="E323" s="101"/>
      <x:c r="F323" s="106"/>
      <x:c r="G323" s="106"/>
      <x:c r="H323" s="106"/>
      <x:c r="I323" s="106"/>
      <x:c r="J323" s="106"/>
      <x:c r="K323" s="106"/>
      <x:c r="L323" s="106"/>
      <x:c r="M323" s="106"/>
      <x:c r="N323" s="106"/>
      <x:c r="O323" s="106"/>
      <x:c r="P323" s="106"/>
      <x:c r="Q323" s="106"/>
      <x:c r="R323" s="99"/>
    </x:row>
    <x:row r="324" ht="15" customHeight="1">
      <x:c r="A324" s="22"/>
      <x:c r="B324" s="99"/>
      <x:c r="C324" s="99"/>
      <x:c r="D324" s="99"/>
      <x:c r="E324" s="101"/>
      <x:c r="F324" s="106"/>
      <x:c r="G324" s="106"/>
      <x:c r="H324" s="106"/>
      <x:c r="I324" s="106"/>
      <x:c r="J324" s="106"/>
      <x:c r="K324" s="106"/>
      <x:c r="L324" s="106"/>
      <x:c r="M324" s="106"/>
      <x:c r="N324" s="106"/>
      <x:c r="O324" s="106"/>
      <x:c r="P324" s="106"/>
      <x:c r="Q324" s="106"/>
      <x:c r="R324" s="99"/>
    </x:row>
    <x:row r="325" ht="15" customHeight="1">
      <x:c r="A325" s="94"/>
      <x:c r="B325" s="99"/>
      <x:c r="C325" s="99"/>
      <x:c r="D325" s="99"/>
      <x:c r="E325" s="101"/>
      <x:c r="F325" s="106"/>
      <x:c r="G325" s="106"/>
      <x:c r="H325" s="106"/>
      <x:c r="I325" s="106"/>
      <x:c r="J325" s="106"/>
      <x:c r="K325" s="106"/>
      <x:c r="L325" s="106"/>
      <x:c r="M325" s="111"/>
      <x:c r="N325" s="111"/>
      <x:c r="O325" s="111"/>
      <x:c r="P325" s="111"/>
      <x:c r="Q325" s="111"/>
      <x:c r="R325" s="99"/>
    </x:row>
    <x:row r="326" ht="15" customHeight="1">
      <x:c r="A326" s="22"/>
      <x:c r="B326" s="99"/>
      <x:c r="C326" s="99"/>
      <x:c r="D326" s="99"/>
      <x:c r="E326" s="101"/>
      <x:c r="F326" s="106"/>
      <x:c r="G326" s="106"/>
      <x:c r="H326" s="106"/>
      <x:c r="I326" s="106"/>
      <x:c r="J326" s="106"/>
      <x:c r="K326" s="106"/>
      <x:c r="L326" s="106"/>
      <x:c r="M326" s="106"/>
      <x:c r="N326" s="106"/>
      <x:c r="O326" s="106"/>
      <x:c r="P326" s="106"/>
      <x:c r="Q326" s="106"/>
      <x:c r="R326" s="99"/>
    </x:row>
    <x:row r="327" ht="15" customHeight="1">
      <x:c r="A327" s="22"/>
      <x:c r="B327" s="99"/>
      <x:c r="C327" s="99"/>
      <x:c r="D327" s="99"/>
      <x:c r="E327" s="101"/>
      <x:c r="F327" s="106"/>
      <x:c r="G327" s="106"/>
      <x:c r="H327" s="106"/>
      <x:c r="I327" s="106"/>
      <x:c r="J327" s="106"/>
      <x:c r="K327" s="106"/>
      <x:c r="L327" s="106"/>
      <x:c r="M327" s="106"/>
      <x:c r="N327" s="106"/>
      <x:c r="O327" s="106"/>
      <x:c r="P327" s="106"/>
      <x:c r="Q327" s="106"/>
      <x:c r="R327" s="99"/>
    </x:row>
    <x:row r="328" ht="15" customHeight="1">
      <x:c r="A328" s="22"/>
      <x:c r="B328" s="99"/>
      <x:c r="C328" s="99"/>
      <x:c r="D328" s="99"/>
      <x:c r="E328" s="101"/>
      <x:c r="F328" s="106"/>
      <x:c r="G328" s="106"/>
      <x:c r="H328" s="106"/>
      <x:c r="I328" s="106"/>
      <x:c r="J328" s="106"/>
      <x:c r="K328" s="106"/>
      <x:c r="L328" s="106"/>
      <x:c r="M328" s="106"/>
      <x:c r="N328" s="106"/>
      <x:c r="O328" s="106"/>
      <x:c r="P328" s="106"/>
      <x:c r="Q328" s="106"/>
      <x:c r="R328" s="99"/>
    </x:row>
    <x:row r="329" ht="15" customHeight="1">
      <x:c r="A329" s="94"/>
      <x:c r="B329" s="99"/>
      <x:c r="C329" s="99"/>
      <x:c r="D329" s="99"/>
      <x:c r="E329" s="101"/>
      <x:c r="F329" s="106"/>
      <x:c r="G329" s="106"/>
      <x:c r="H329" s="106"/>
      <x:c r="I329" s="106"/>
      <x:c r="J329" s="106"/>
      <x:c r="K329" s="106"/>
      <x:c r="L329" s="106"/>
      <x:c r="M329" s="111"/>
      <x:c r="N329" s="111"/>
      <x:c r="O329" s="111"/>
      <x:c r="P329" s="111"/>
      <x:c r="Q329" s="111"/>
      <x:c r="R329" s="99"/>
    </x:row>
    <x:row r="330" ht="15" customHeight="1">
      <x:c r="A330" s="22"/>
      <x:c r="B330" s="99"/>
      <x:c r="C330" s="99"/>
      <x:c r="D330" s="99"/>
      <x:c r="E330" s="101"/>
      <x:c r="F330" s="106"/>
      <x:c r="G330" s="106"/>
      <x:c r="H330" s="106"/>
      <x:c r="I330" s="106"/>
      <x:c r="J330" s="106"/>
      <x:c r="K330" s="106"/>
      <x:c r="L330" s="106"/>
      <x:c r="M330" s="106"/>
      <x:c r="N330" s="106"/>
      <x:c r="O330" s="106"/>
      <x:c r="P330" s="106"/>
      <x:c r="Q330" s="106"/>
      <x:c r="R330" s="99"/>
    </x:row>
    <x:row r="331" ht="15" customHeight="1">
      <x:c r="A331" s="22"/>
      <x:c r="B331" s="99"/>
      <x:c r="C331" s="99"/>
      <x:c r="D331" s="99"/>
      <x:c r="E331" s="101"/>
      <x:c r="F331" s="106"/>
      <x:c r="G331" s="106"/>
      <x:c r="H331" s="106"/>
      <x:c r="I331" s="106"/>
      <x:c r="J331" s="106"/>
      <x:c r="K331" s="106"/>
      <x:c r="L331" s="106"/>
      <x:c r="M331" s="106"/>
      <x:c r="N331" s="106"/>
      <x:c r="O331" s="106"/>
      <x:c r="P331" s="106"/>
      <x:c r="Q331" s="106"/>
      <x:c r="R331" s="99"/>
    </x:row>
    <x:row r="332" ht="15" customHeight="1">
      <x:c r="A332" s="22"/>
      <x:c r="B332" s="99"/>
      <x:c r="C332" s="99"/>
      <x:c r="D332" s="99"/>
      <x:c r="E332" s="101"/>
      <x:c r="F332" s="106"/>
      <x:c r="G332" s="106"/>
      <x:c r="H332" s="106"/>
      <x:c r="I332" s="106"/>
      <x:c r="J332" s="106"/>
      <x:c r="K332" s="106"/>
      <x:c r="L332" s="106"/>
      <x:c r="M332" s="106"/>
      <x:c r="N332" s="106"/>
      <x:c r="O332" s="106"/>
      <x:c r="P332" s="106"/>
      <x:c r="Q332" s="106"/>
      <x:c r="R332" s="99"/>
    </x:row>
    <x:row r="333" ht="15" customHeight="1">
      <x:c r="A333" s="94"/>
      <x:c r="B333" s="99"/>
      <x:c r="C333" s="99"/>
      <x:c r="D333" s="99"/>
      <x:c r="E333" s="101"/>
      <x:c r="F333" s="106"/>
      <x:c r="G333" s="106"/>
      <x:c r="H333" s="106"/>
      <x:c r="I333" s="106"/>
      <x:c r="J333" s="106"/>
      <x:c r="K333" s="106"/>
      <x:c r="L333" s="106"/>
      <x:c r="M333" s="111"/>
      <x:c r="N333" s="111"/>
      <x:c r="O333" s="111"/>
      <x:c r="P333" s="111"/>
      <x:c r="Q333" s="111"/>
      <x:c r="R333" s="99"/>
    </x:row>
    <x:row r="334" ht="15" customHeight="1">
      <x:c r="A334" s="22"/>
      <x:c r="B334" s="99"/>
      <x:c r="C334" s="99"/>
      <x:c r="D334" s="99"/>
      <x:c r="E334" s="101"/>
      <x:c r="F334" s="106"/>
      <x:c r="G334" s="106"/>
      <x:c r="H334" s="106"/>
      <x:c r="I334" s="106"/>
      <x:c r="J334" s="106"/>
      <x:c r="K334" s="106"/>
      <x:c r="L334" s="106"/>
      <x:c r="M334" s="106"/>
      <x:c r="N334" s="106"/>
      <x:c r="O334" s="106"/>
      <x:c r="P334" s="106"/>
      <x:c r="Q334" s="106"/>
      <x:c r="R334" s="99"/>
    </x:row>
    <x:row r="335" ht="15" customHeight="1">
      <x:c r="A335" s="22"/>
      <x:c r="B335" s="99"/>
      <x:c r="C335" s="99"/>
      <x:c r="D335" s="99"/>
      <x:c r="E335" s="101"/>
      <x:c r="F335" s="106"/>
      <x:c r="G335" s="106"/>
      <x:c r="H335" s="106"/>
      <x:c r="I335" s="106"/>
      <x:c r="J335" s="106"/>
      <x:c r="K335" s="106"/>
      <x:c r="L335" s="106"/>
      <x:c r="M335" s="106"/>
      <x:c r="N335" s="106"/>
      <x:c r="O335" s="106"/>
      <x:c r="P335" s="106"/>
      <x:c r="Q335" s="106"/>
      <x:c r="R335" s="99"/>
    </x:row>
    <x:row r="336" ht="15" customHeight="1">
      <x:c r="A336" s="22"/>
      <x:c r="B336" s="99"/>
      <x:c r="C336" s="99"/>
      <x:c r="D336" s="99"/>
      <x:c r="E336" s="101"/>
      <x:c r="F336" s="106"/>
      <x:c r="G336" s="106"/>
      <x:c r="H336" s="106"/>
      <x:c r="I336" s="106"/>
      <x:c r="J336" s="106"/>
      <x:c r="K336" s="106"/>
      <x:c r="L336" s="106"/>
      <x:c r="M336" s="106"/>
      <x:c r="N336" s="106"/>
      <x:c r="O336" s="106"/>
      <x:c r="P336" s="106"/>
      <x:c r="Q336" s="106"/>
      <x:c r="R336" s="99"/>
    </x:row>
    <x:row r="337" ht="15" customHeight="1">
      <x:c r="A337" s="94"/>
      <x:c r="B337" s="99"/>
      <x:c r="C337" s="99"/>
      <x:c r="D337" s="99"/>
      <x:c r="E337" s="101"/>
      <x:c r="F337" s="106"/>
      <x:c r="G337" s="106"/>
      <x:c r="H337" s="106"/>
      <x:c r="I337" s="106"/>
      <x:c r="J337" s="106"/>
      <x:c r="K337" s="106"/>
      <x:c r="L337" s="106"/>
      <x:c r="M337" s="111"/>
      <x:c r="N337" s="111"/>
      <x:c r="O337" s="111"/>
      <x:c r="P337" s="111"/>
      <x:c r="Q337" s="111"/>
      <x:c r="R337" s="99"/>
    </x:row>
    <x:row r="338" ht="15" customHeight="1">
      <x:c r="A338" s="22"/>
      <x:c r="B338" s="99"/>
      <x:c r="C338" s="99"/>
      <x:c r="D338" s="99"/>
      <x:c r="E338" s="101"/>
      <x:c r="F338" s="106"/>
      <x:c r="G338" s="106"/>
      <x:c r="H338" s="106"/>
      <x:c r="I338" s="106"/>
      <x:c r="J338" s="106"/>
      <x:c r="K338" s="106"/>
      <x:c r="L338" s="106"/>
      <x:c r="M338" s="106"/>
      <x:c r="N338" s="106"/>
      <x:c r="O338" s="106"/>
      <x:c r="P338" s="106"/>
      <x:c r="Q338" s="106"/>
      <x:c r="R338" s="99"/>
    </x:row>
    <x:row r="339" ht="15" customHeight="1">
      <x:c r="A339" s="22"/>
      <x:c r="B339" s="99"/>
      <x:c r="C339" s="99"/>
      <x:c r="D339" s="99"/>
      <x:c r="E339" s="101"/>
      <x:c r="F339" s="106"/>
      <x:c r="G339" s="106"/>
      <x:c r="H339" s="106"/>
      <x:c r="I339" s="106"/>
      <x:c r="J339" s="106"/>
      <x:c r="K339" s="106"/>
      <x:c r="L339" s="106"/>
      <x:c r="M339" s="106"/>
      <x:c r="N339" s="106"/>
      <x:c r="O339" s="106"/>
      <x:c r="P339" s="106"/>
      <x:c r="Q339" s="106"/>
      <x:c r="R339" s="99"/>
    </x:row>
    <x:row r="340" ht="15" customHeight="1">
      <x:c r="A340" s="22"/>
      <x:c r="B340" s="99"/>
      <x:c r="C340" s="99"/>
      <x:c r="D340" s="99"/>
      <x:c r="E340" s="101"/>
      <x:c r="F340" s="106"/>
      <x:c r="G340" s="106"/>
      <x:c r="H340" s="106"/>
      <x:c r="I340" s="106"/>
      <x:c r="J340" s="106"/>
      <x:c r="K340" s="106"/>
      <x:c r="L340" s="106"/>
      <x:c r="M340" s="106"/>
      <x:c r="N340" s="106"/>
      <x:c r="O340" s="106"/>
      <x:c r="P340" s="106"/>
      <x:c r="Q340" s="106"/>
      <x:c r="R340" s="99"/>
    </x:row>
    <x:row r="341" ht="15" customHeight="1">
      <x:c r="A341" s="94"/>
      <x:c r="B341" s="99"/>
      <x:c r="C341" s="99"/>
      <x:c r="D341" s="99"/>
      <x:c r="E341" s="101"/>
      <x:c r="F341" s="106"/>
      <x:c r="G341" s="106"/>
      <x:c r="H341" s="106"/>
      <x:c r="I341" s="106"/>
      <x:c r="J341" s="106"/>
      <x:c r="K341" s="106"/>
      <x:c r="L341" s="106"/>
      <x:c r="M341" s="111"/>
      <x:c r="N341" s="111"/>
      <x:c r="O341" s="111"/>
      <x:c r="P341" s="111"/>
      <x:c r="Q341" s="111"/>
      <x:c r="R341" s="99"/>
    </x:row>
    <x:row r="342" ht="15" customHeight="1">
      <x:c r="A342" s="22"/>
      <x:c r="B342" s="99"/>
      <x:c r="C342" s="99"/>
      <x:c r="D342" s="99"/>
      <x:c r="E342" s="101"/>
      <x:c r="F342" s="106"/>
      <x:c r="G342" s="106"/>
      <x:c r="H342" s="106"/>
      <x:c r="I342" s="106"/>
      <x:c r="J342" s="106"/>
      <x:c r="K342" s="106"/>
      <x:c r="L342" s="106"/>
      <x:c r="M342" s="106"/>
      <x:c r="N342" s="106"/>
      <x:c r="O342" s="106"/>
      <x:c r="P342" s="106"/>
      <x:c r="Q342" s="106"/>
      <x:c r="R342" s="99"/>
    </x:row>
    <x:row r="343" ht="15" customHeight="1">
      <x:c r="A343" s="22"/>
      <x:c r="B343" s="99"/>
      <x:c r="C343" s="99"/>
      <x:c r="D343" s="99"/>
      <x:c r="E343" s="101"/>
      <x:c r="F343" s="106"/>
      <x:c r="G343" s="106"/>
      <x:c r="H343" s="106"/>
      <x:c r="I343" s="106"/>
      <x:c r="J343" s="106"/>
      <x:c r="K343" s="106"/>
      <x:c r="L343" s="106"/>
      <x:c r="M343" s="106"/>
      <x:c r="N343" s="106"/>
      <x:c r="O343" s="106"/>
      <x:c r="P343" s="106"/>
      <x:c r="Q343" s="106"/>
      <x:c r="R343" s="99"/>
    </x:row>
    <x:row r="344" ht="15" customHeight="1">
      <x:c r="A344" s="22"/>
      <x:c r="B344" s="99"/>
      <x:c r="C344" s="99"/>
      <x:c r="D344" s="99"/>
      <x:c r="E344" s="101"/>
      <x:c r="F344" s="106"/>
      <x:c r="G344" s="106"/>
      <x:c r="H344" s="106"/>
      <x:c r="I344" s="106"/>
      <x:c r="J344" s="106"/>
      <x:c r="K344" s="106"/>
      <x:c r="L344" s="106"/>
      <x:c r="M344" s="106"/>
      <x:c r="N344" s="106"/>
      <x:c r="O344" s="106"/>
      <x:c r="P344" s="106"/>
      <x:c r="Q344" s="106"/>
      <x:c r="R344" s="99"/>
    </x:row>
    <x:row r="345" ht="15" customHeight="1">
      <x:c r="A345" s="94"/>
      <x:c r="B345" s="99"/>
      <x:c r="C345" s="99"/>
      <x:c r="D345" s="99"/>
      <x:c r="E345" s="101"/>
      <x:c r="F345" s="106"/>
      <x:c r="G345" s="106"/>
      <x:c r="H345" s="106"/>
      <x:c r="I345" s="106"/>
      <x:c r="J345" s="106"/>
      <x:c r="K345" s="106"/>
      <x:c r="L345" s="106"/>
      <x:c r="M345" s="111"/>
      <x:c r="N345" s="111"/>
      <x:c r="O345" s="111"/>
      <x:c r="P345" s="111"/>
      <x:c r="Q345" s="111"/>
      <x:c r="R345" s="99"/>
    </x:row>
    <x:row r="346" ht="15" customHeight="1">
      <x:c r="A346" s="22"/>
      <x:c r="B346" s="99"/>
      <x:c r="C346" s="99"/>
      <x:c r="D346" s="99"/>
      <x:c r="E346" s="101"/>
      <x:c r="F346" s="106"/>
      <x:c r="G346" s="106"/>
      <x:c r="H346" s="106"/>
      <x:c r="I346" s="106"/>
      <x:c r="J346" s="106"/>
      <x:c r="K346" s="106"/>
      <x:c r="L346" s="106"/>
      <x:c r="M346" s="106"/>
      <x:c r="N346" s="106"/>
      <x:c r="O346" s="106"/>
      <x:c r="P346" s="106"/>
      <x:c r="Q346" s="106"/>
      <x:c r="R346" s="99"/>
    </x:row>
    <x:row r="347" ht="15" customHeight="1">
      <x:c r="A347" s="22"/>
      <x:c r="B347" s="99"/>
      <x:c r="C347" s="99"/>
      <x:c r="D347" s="99"/>
      <x:c r="E347" s="101"/>
      <x:c r="F347" s="106"/>
      <x:c r="G347" s="106"/>
      <x:c r="H347" s="106"/>
      <x:c r="I347" s="106"/>
      <x:c r="J347" s="106"/>
      <x:c r="K347" s="106"/>
      <x:c r="L347" s="106"/>
      <x:c r="M347" s="106"/>
      <x:c r="N347" s="106"/>
      <x:c r="O347" s="106"/>
      <x:c r="P347" s="106"/>
      <x:c r="Q347" s="106"/>
      <x:c r="R347" s="99"/>
    </x:row>
    <x:row r="348" ht="15" customHeight="1">
      <x:c r="A348" s="22"/>
      <x:c r="B348" s="99"/>
      <x:c r="C348" s="99"/>
      <x:c r="D348" s="99"/>
      <x:c r="E348" s="101"/>
      <x:c r="F348" s="106"/>
      <x:c r="G348" s="106"/>
      <x:c r="H348" s="106"/>
      <x:c r="I348" s="106"/>
      <x:c r="J348" s="106"/>
      <x:c r="K348" s="106"/>
      <x:c r="L348" s="106"/>
      <x:c r="M348" s="106"/>
      <x:c r="N348" s="106"/>
      <x:c r="O348" s="106"/>
      <x:c r="P348" s="106"/>
      <x:c r="Q348" s="106"/>
      <x:c r="R348" s="99"/>
    </x:row>
    <x:row r="349" ht="15" customHeight="1">
      <x:c r="A349" s="94"/>
      <x:c r="B349" s="99"/>
      <x:c r="C349" s="99"/>
      <x:c r="D349" s="99"/>
      <x:c r="E349" s="101"/>
      <x:c r="F349" s="106"/>
      <x:c r="G349" s="106"/>
      <x:c r="H349" s="106"/>
      <x:c r="I349" s="106"/>
      <x:c r="J349" s="106"/>
      <x:c r="K349" s="106"/>
      <x:c r="L349" s="106"/>
      <x:c r="M349" s="111"/>
      <x:c r="N349" s="111"/>
      <x:c r="O349" s="111"/>
      <x:c r="P349" s="111"/>
      <x:c r="Q349" s="111"/>
      <x:c r="R349" s="99"/>
    </x:row>
    <x:row r="350" ht="15" customHeight="1">
      <x:c r="A350" s="22"/>
      <x:c r="B350" s="99"/>
      <x:c r="C350" s="99"/>
      <x:c r="D350" s="99"/>
      <x:c r="E350" s="101"/>
      <x:c r="F350" s="106"/>
      <x:c r="G350" s="106"/>
      <x:c r="H350" s="106"/>
      <x:c r="I350" s="106"/>
      <x:c r="J350" s="106"/>
      <x:c r="K350" s="106"/>
      <x:c r="L350" s="106"/>
      <x:c r="M350" s="106"/>
      <x:c r="N350" s="106"/>
      <x:c r="O350" s="106"/>
      <x:c r="P350" s="106"/>
      <x:c r="Q350" s="106"/>
      <x:c r="R350" s="99"/>
    </x:row>
    <x:row r="351" ht="15" customHeight="1">
      <x:c r="A351" s="22"/>
      <x:c r="B351" s="99"/>
      <x:c r="C351" s="99"/>
      <x:c r="D351" s="99"/>
      <x:c r="E351" s="101"/>
      <x:c r="F351" s="106"/>
      <x:c r="G351" s="106"/>
      <x:c r="H351" s="106"/>
      <x:c r="I351" s="106"/>
      <x:c r="J351" s="106"/>
      <x:c r="K351" s="106"/>
      <x:c r="L351" s="106"/>
      <x:c r="M351" s="106"/>
      <x:c r="N351" s="106"/>
      <x:c r="O351" s="106"/>
      <x:c r="P351" s="106"/>
      <x:c r="Q351" s="106"/>
      <x:c r="R351" s="99"/>
    </x:row>
    <x:row r="352" ht="15" customHeight="1">
      <x:c r="A352" s="22"/>
      <x:c r="B352" s="99"/>
      <x:c r="C352" s="99"/>
      <x:c r="D352" s="99"/>
      <x:c r="E352" s="101"/>
      <x:c r="F352" s="106"/>
      <x:c r="G352" s="106"/>
      <x:c r="H352" s="106"/>
      <x:c r="I352" s="106"/>
      <x:c r="J352" s="106"/>
      <x:c r="K352" s="106"/>
      <x:c r="L352" s="106"/>
      <x:c r="M352" s="106"/>
      <x:c r="N352" s="106"/>
      <x:c r="O352" s="106"/>
      <x:c r="P352" s="106"/>
      <x:c r="Q352" s="106"/>
      <x:c r="R352" s="99"/>
    </x:row>
    <x:row r="353" ht="15" customHeight="1">
      <x:c r="A353" s="94"/>
      <x:c r="B353" s="99"/>
      <x:c r="C353" s="99"/>
      <x:c r="D353" s="99"/>
      <x:c r="E353" s="101"/>
      <x:c r="F353" s="106"/>
      <x:c r="G353" s="106"/>
      <x:c r="H353" s="106"/>
      <x:c r="I353" s="106"/>
      <x:c r="J353" s="106"/>
      <x:c r="K353" s="106"/>
      <x:c r="L353" s="106"/>
      <x:c r="M353" s="111"/>
      <x:c r="N353" s="111"/>
      <x:c r="O353" s="111"/>
      <x:c r="P353" s="111"/>
      <x:c r="Q353" s="111"/>
      <x:c r="R353" s="99"/>
    </x:row>
    <x:row r="354" ht="15" customHeight="1">
      <x:c r="A354" s="22"/>
      <x:c r="B354" s="99"/>
      <x:c r="C354" s="99"/>
      <x:c r="D354" s="99"/>
      <x:c r="E354" s="101"/>
      <x:c r="F354" s="106"/>
      <x:c r="G354" s="106"/>
      <x:c r="H354" s="106"/>
      <x:c r="I354" s="106"/>
      <x:c r="J354" s="106"/>
      <x:c r="K354" s="106"/>
      <x:c r="L354" s="106"/>
      <x:c r="M354" s="106"/>
      <x:c r="N354" s="106"/>
      <x:c r="O354" s="106"/>
      <x:c r="P354" s="106"/>
      <x:c r="Q354" s="106"/>
      <x:c r="R354" s="99"/>
    </x:row>
    <x:row r="355" ht="15" customHeight="1">
      <x:c r="A355" s="22"/>
      <x:c r="B355" s="99"/>
      <x:c r="C355" s="99"/>
      <x:c r="D355" s="99"/>
      <x:c r="E355" s="101"/>
      <x:c r="F355" s="106"/>
      <x:c r="G355" s="106"/>
      <x:c r="H355" s="106"/>
      <x:c r="I355" s="106"/>
      <x:c r="J355" s="106"/>
      <x:c r="K355" s="106"/>
      <x:c r="L355" s="106"/>
      <x:c r="M355" s="106"/>
      <x:c r="N355" s="106"/>
      <x:c r="O355" s="106"/>
      <x:c r="P355" s="106"/>
      <x:c r="Q355" s="106"/>
      <x:c r="R355" s="99"/>
    </x:row>
    <x:row r="356" ht="15" customHeight="1">
      <x:c r="A356" s="22"/>
      <x:c r="B356" s="99"/>
      <x:c r="C356" s="99"/>
      <x:c r="D356" s="99"/>
      <x:c r="E356" s="101"/>
      <x:c r="F356" s="106"/>
      <x:c r="G356" s="106"/>
      <x:c r="H356" s="106"/>
      <x:c r="I356" s="106"/>
      <x:c r="J356" s="106"/>
      <x:c r="K356" s="106"/>
      <x:c r="L356" s="106"/>
      <x:c r="M356" s="106"/>
      <x:c r="N356" s="106"/>
      <x:c r="O356" s="106"/>
      <x:c r="P356" s="106"/>
      <x:c r="Q356" s="106"/>
      <x:c r="R356" s="99"/>
    </x:row>
    <x:row r="357" ht="15" customHeight="1">
      <x:c r="A357" s="94"/>
      <x:c r="B357" s="99"/>
      <x:c r="C357" s="99"/>
      <x:c r="D357" s="99"/>
      <x:c r="E357" s="101"/>
      <x:c r="F357" s="106"/>
      <x:c r="G357" s="106"/>
      <x:c r="H357" s="106"/>
      <x:c r="I357" s="106"/>
      <x:c r="J357" s="106"/>
      <x:c r="K357" s="106"/>
      <x:c r="L357" s="106"/>
      <x:c r="M357" s="111"/>
      <x:c r="N357" s="111"/>
      <x:c r="O357" s="111"/>
      <x:c r="P357" s="111"/>
      <x:c r="Q357" s="111"/>
      <x:c r="R357" s="99"/>
    </x:row>
    <x:row r="358" ht="15" customHeight="1">
      <x:c r="A358" s="22"/>
      <x:c r="B358" s="99"/>
      <x:c r="C358" s="99"/>
      <x:c r="D358" s="99"/>
      <x:c r="E358" s="101"/>
      <x:c r="F358" s="106"/>
      <x:c r="G358" s="106"/>
      <x:c r="H358" s="106"/>
      <x:c r="I358" s="106"/>
      <x:c r="J358" s="106"/>
      <x:c r="K358" s="106"/>
      <x:c r="L358" s="106"/>
      <x:c r="M358" s="106"/>
      <x:c r="N358" s="106"/>
      <x:c r="O358" s="106"/>
      <x:c r="P358" s="106"/>
      <x:c r="Q358" s="106"/>
      <x:c r="R358" s="99"/>
    </x:row>
    <x:row r="359" ht="15" customHeight="1">
      <x:c r="A359" s="22"/>
      <x:c r="B359" s="99"/>
      <x:c r="C359" s="99"/>
      <x:c r="D359" s="99"/>
      <x:c r="E359" s="101"/>
      <x:c r="F359" s="106"/>
      <x:c r="G359" s="106"/>
      <x:c r="H359" s="106"/>
      <x:c r="I359" s="106"/>
      <x:c r="J359" s="106"/>
      <x:c r="K359" s="106"/>
      <x:c r="L359" s="106"/>
      <x:c r="M359" s="106"/>
      <x:c r="N359" s="106"/>
      <x:c r="O359" s="106"/>
      <x:c r="P359" s="106"/>
      <x:c r="Q359" s="106"/>
      <x:c r="R359" s="99"/>
    </x:row>
    <x:row r="360" ht="15" customHeight="1">
      <x:c r="A360" s="22"/>
      <x:c r="B360" s="99"/>
      <x:c r="C360" s="99"/>
      <x:c r="D360" s="99"/>
      <x:c r="E360" s="101"/>
      <x:c r="F360" s="106"/>
      <x:c r="G360" s="106"/>
      <x:c r="H360" s="106"/>
      <x:c r="I360" s="106"/>
      <x:c r="J360" s="106"/>
      <x:c r="K360" s="106"/>
      <x:c r="L360" s="106"/>
      <x:c r="M360" s="106"/>
      <x:c r="N360" s="106"/>
      <x:c r="O360" s="106"/>
      <x:c r="P360" s="106"/>
      <x:c r="Q360" s="106"/>
      <x:c r="R360" s="99"/>
    </x:row>
    <x:row r="361" ht="15" customHeight="1">
      <x:c r="A361" s="94"/>
      <x:c r="B361" s="99"/>
      <x:c r="C361" s="99"/>
      <x:c r="D361" s="99"/>
      <x:c r="E361" s="101"/>
      <x:c r="F361" s="106"/>
      <x:c r="G361" s="106"/>
      <x:c r="H361" s="106"/>
      <x:c r="I361" s="106"/>
      <x:c r="J361" s="106"/>
      <x:c r="K361" s="106"/>
      <x:c r="L361" s="106"/>
      <x:c r="M361" s="111"/>
      <x:c r="N361" s="111"/>
      <x:c r="O361" s="111"/>
      <x:c r="P361" s="111"/>
      <x:c r="Q361" s="111"/>
      <x:c r="R361" s="99"/>
    </x:row>
    <x:row r="362" ht="15" customHeight="1">
      <x:c r="A362" s="22"/>
      <x:c r="B362" s="99"/>
      <x:c r="C362" s="99"/>
      <x:c r="D362" s="99"/>
      <x:c r="E362" s="101"/>
      <x:c r="F362" s="106"/>
      <x:c r="G362" s="106"/>
      <x:c r="H362" s="106"/>
      <x:c r="I362" s="106"/>
      <x:c r="J362" s="106"/>
      <x:c r="K362" s="106"/>
      <x:c r="L362" s="106"/>
      <x:c r="M362" s="106"/>
      <x:c r="N362" s="106"/>
      <x:c r="O362" s="106"/>
      <x:c r="P362" s="106"/>
      <x:c r="Q362" s="106"/>
      <x:c r="R362" s="99"/>
    </x:row>
    <x:row r="363" ht="15" customHeight="1">
      <x:c r="A363" s="22"/>
      <x:c r="B363" s="99"/>
      <x:c r="C363" s="99"/>
      <x:c r="D363" s="99"/>
      <x:c r="E363" s="101"/>
      <x:c r="F363" s="106"/>
      <x:c r="G363" s="106"/>
      <x:c r="H363" s="106"/>
      <x:c r="I363" s="106"/>
      <x:c r="J363" s="106"/>
      <x:c r="K363" s="106"/>
      <x:c r="L363" s="106"/>
      <x:c r="M363" s="106"/>
      <x:c r="N363" s="106"/>
      <x:c r="O363" s="106"/>
      <x:c r="P363" s="106"/>
      <x:c r="Q363" s="106"/>
      <x:c r="R363" s="99"/>
    </x:row>
    <x:row r="364" ht="15" customHeight="1">
      <x:c r="A364" s="22"/>
      <x:c r="B364" s="99"/>
      <x:c r="C364" s="99"/>
      <x:c r="D364" s="99"/>
      <x:c r="E364" s="101"/>
      <x:c r="F364" s="106"/>
      <x:c r="G364" s="106"/>
      <x:c r="H364" s="106"/>
      <x:c r="I364" s="106"/>
      <x:c r="J364" s="106"/>
      <x:c r="K364" s="106"/>
      <x:c r="L364" s="106"/>
      <x:c r="M364" s="106"/>
      <x:c r="N364" s="106"/>
      <x:c r="O364" s="106"/>
      <x:c r="P364" s="106"/>
      <x:c r="Q364" s="106"/>
      <x:c r="R364" s="99"/>
    </x:row>
    <x:row r="365" ht="15" customHeight="1">
      <x:c r="A365" s="94"/>
      <x:c r="B365" s="99"/>
      <x:c r="C365" s="99"/>
      <x:c r="D365" s="99"/>
      <x:c r="E365" s="101"/>
      <x:c r="F365" s="106"/>
      <x:c r="G365" s="106"/>
      <x:c r="H365" s="106"/>
      <x:c r="I365" s="106"/>
      <x:c r="J365" s="106"/>
      <x:c r="K365" s="106"/>
      <x:c r="L365" s="106"/>
      <x:c r="M365" s="111"/>
      <x:c r="N365" s="111"/>
      <x:c r="O365" s="111"/>
      <x:c r="P365" s="111"/>
      <x:c r="Q365" s="111"/>
      <x:c r="R365" s="99"/>
    </x:row>
    <x:row r="366" ht="15" customHeight="1">
      <x:c r="A366" s="22"/>
      <x:c r="B366" s="99"/>
      <x:c r="C366" s="99"/>
      <x:c r="D366" s="99"/>
      <x:c r="E366" s="101"/>
      <x:c r="F366" s="106"/>
      <x:c r="G366" s="106"/>
      <x:c r="H366" s="106"/>
      <x:c r="I366" s="106"/>
      <x:c r="J366" s="106"/>
      <x:c r="K366" s="106"/>
      <x:c r="L366" s="106"/>
      <x:c r="M366" s="106"/>
      <x:c r="N366" s="106"/>
      <x:c r="O366" s="106"/>
      <x:c r="P366" s="106"/>
      <x:c r="Q366" s="106"/>
      <x:c r="R366" s="99"/>
    </x:row>
    <x:row r="367" ht="15" customHeight="1">
      <x:c r="A367" s="22"/>
      <x:c r="B367" s="99"/>
      <x:c r="C367" s="99"/>
      <x:c r="D367" s="99"/>
      <x:c r="E367" s="101"/>
      <x:c r="F367" s="106"/>
      <x:c r="G367" s="106"/>
      <x:c r="H367" s="106"/>
      <x:c r="I367" s="106"/>
      <x:c r="J367" s="106"/>
      <x:c r="K367" s="106"/>
      <x:c r="L367" s="106"/>
      <x:c r="M367" s="106"/>
      <x:c r="N367" s="106"/>
      <x:c r="O367" s="106"/>
      <x:c r="P367" s="106"/>
      <x:c r="Q367" s="106"/>
      <x:c r="R367" s="99"/>
    </x:row>
    <x:row r="368" ht="15" customHeight="1">
      <x:c r="A368" s="22"/>
      <x:c r="B368" s="99"/>
      <x:c r="C368" s="99"/>
      <x:c r="D368" s="99"/>
      <x:c r="E368" s="101"/>
      <x:c r="F368" s="106"/>
      <x:c r="G368" s="106"/>
      <x:c r="H368" s="106"/>
      <x:c r="I368" s="106"/>
      <x:c r="J368" s="106"/>
      <x:c r="K368" s="106"/>
      <x:c r="L368" s="106"/>
      <x:c r="M368" s="106"/>
      <x:c r="N368" s="106"/>
      <x:c r="O368" s="106"/>
      <x:c r="P368" s="106"/>
      <x:c r="Q368" s="106"/>
      <x:c r="R368" s="99"/>
    </x:row>
    <x:row r="369" ht="15" customHeight="1">
      <x:c r="A369" s="94"/>
      <x:c r="B369" s="99"/>
      <x:c r="C369" s="99"/>
      <x:c r="D369" s="99"/>
      <x:c r="E369" s="101"/>
      <x:c r="F369" s="106"/>
      <x:c r="G369" s="106"/>
      <x:c r="H369" s="106"/>
      <x:c r="I369" s="106"/>
      <x:c r="J369" s="106"/>
      <x:c r="K369" s="106"/>
      <x:c r="L369" s="106"/>
      <x:c r="M369" s="111"/>
      <x:c r="N369" s="111"/>
      <x:c r="O369" s="111"/>
      <x:c r="P369" s="111"/>
      <x:c r="Q369" s="111"/>
      <x:c r="R369" s="99"/>
    </x:row>
    <x:row r="370" ht="15" customHeight="1">
      <x:c r="A370" s="22"/>
      <x:c r="B370" s="99"/>
      <x:c r="C370" s="99"/>
      <x:c r="D370" s="99"/>
      <x:c r="E370" s="101"/>
      <x:c r="F370" s="106"/>
      <x:c r="G370" s="106"/>
      <x:c r="H370" s="106"/>
      <x:c r="I370" s="106"/>
      <x:c r="J370" s="106"/>
      <x:c r="K370" s="106"/>
      <x:c r="L370" s="106"/>
      <x:c r="M370" s="106"/>
      <x:c r="N370" s="106"/>
      <x:c r="O370" s="106"/>
      <x:c r="P370" s="106"/>
      <x:c r="Q370" s="106"/>
      <x:c r="R370" s="99"/>
    </x:row>
    <x:row r="371" ht="15" customHeight="1">
      <x:c r="A371" s="22"/>
      <x:c r="B371" s="99"/>
      <x:c r="C371" s="99"/>
      <x:c r="D371" s="99"/>
      <x:c r="E371" s="101"/>
      <x:c r="F371" s="106"/>
      <x:c r="G371" s="106"/>
      <x:c r="H371" s="106"/>
      <x:c r="I371" s="106"/>
      <x:c r="J371" s="106"/>
      <x:c r="K371" s="106"/>
      <x:c r="L371" s="106"/>
      <x:c r="M371" s="106"/>
      <x:c r="N371" s="106"/>
      <x:c r="O371" s="106"/>
      <x:c r="P371" s="106"/>
      <x:c r="Q371" s="106"/>
      <x:c r="R371" s="99"/>
    </x:row>
    <x:row r="372" ht="15" customHeight="1">
      <x:c r="A372" s="22"/>
      <x:c r="B372" s="99"/>
      <x:c r="C372" s="99"/>
      <x:c r="D372" s="99"/>
      <x:c r="E372" s="101"/>
      <x:c r="F372" s="106"/>
      <x:c r="G372" s="106"/>
      <x:c r="H372" s="106"/>
      <x:c r="I372" s="106"/>
      <x:c r="J372" s="106"/>
      <x:c r="K372" s="106"/>
      <x:c r="L372" s="106"/>
      <x:c r="M372" s="106"/>
      <x:c r="N372" s="106"/>
      <x:c r="O372" s="106"/>
      <x:c r="P372" s="106"/>
      <x:c r="Q372" s="106"/>
      <x:c r="R372" s="99"/>
    </x:row>
    <x:row r="373" ht="15" customHeight="1">
      <x:c r="A373" s="94"/>
      <x:c r="B373" s="99"/>
      <x:c r="C373" s="99"/>
      <x:c r="D373" s="99"/>
      <x:c r="E373" s="101"/>
      <x:c r="F373" s="106"/>
      <x:c r="G373" s="106"/>
      <x:c r="H373" s="106"/>
      <x:c r="I373" s="106"/>
      <x:c r="J373" s="106"/>
      <x:c r="K373" s="106"/>
      <x:c r="L373" s="106"/>
      <x:c r="M373" s="111"/>
      <x:c r="N373" s="111"/>
      <x:c r="O373" s="111"/>
      <x:c r="P373" s="111"/>
      <x:c r="Q373" s="111"/>
      <x:c r="R373" s="99"/>
    </x:row>
    <x:row r="374" ht="15" customHeight="1">
      <x:c r="A374" s="22"/>
      <x:c r="B374" s="99"/>
      <x:c r="C374" s="99"/>
      <x:c r="D374" s="99"/>
      <x:c r="E374" s="101"/>
      <x:c r="F374" s="106"/>
      <x:c r="G374" s="106"/>
      <x:c r="H374" s="106"/>
      <x:c r="I374" s="106"/>
      <x:c r="J374" s="106"/>
      <x:c r="K374" s="106"/>
      <x:c r="L374" s="106"/>
      <x:c r="M374" s="106"/>
      <x:c r="N374" s="106"/>
      <x:c r="O374" s="106"/>
      <x:c r="P374" s="106"/>
      <x:c r="Q374" s="106"/>
      <x:c r="R374" s="99"/>
    </x:row>
    <x:row r="375" ht="15" customHeight="1">
      <x:c r="A375" s="22"/>
      <x:c r="B375" s="99"/>
      <x:c r="C375" s="99"/>
      <x:c r="D375" s="99"/>
      <x:c r="E375" s="101"/>
      <x:c r="F375" s="106"/>
      <x:c r="G375" s="106"/>
      <x:c r="H375" s="106"/>
      <x:c r="I375" s="106"/>
      <x:c r="J375" s="106"/>
      <x:c r="K375" s="106"/>
      <x:c r="L375" s="106"/>
      <x:c r="M375" s="106"/>
      <x:c r="N375" s="106"/>
      <x:c r="O375" s="106"/>
      <x:c r="P375" s="106"/>
      <x:c r="Q375" s="106"/>
      <x:c r="R375" s="99"/>
    </x:row>
    <x:row r="376" ht="15" customHeight="1">
      <x:c r="A376" s="22"/>
      <x:c r="B376" s="99"/>
      <x:c r="C376" s="99"/>
      <x:c r="D376" s="99"/>
      <x:c r="E376" s="101"/>
      <x:c r="F376" s="106"/>
      <x:c r="G376" s="106"/>
      <x:c r="H376" s="106"/>
      <x:c r="I376" s="106"/>
      <x:c r="J376" s="106"/>
      <x:c r="K376" s="106"/>
      <x:c r="L376" s="106"/>
      <x:c r="M376" s="106"/>
      <x:c r="N376" s="106"/>
      <x:c r="O376" s="106"/>
      <x:c r="P376" s="106"/>
      <x:c r="Q376" s="106"/>
      <x:c r="R376" s="99"/>
    </x:row>
    <x:row r="377" ht="15" customHeight="1">
      <x:c r="A377" s="94"/>
      <x:c r="B377" s="99"/>
      <x:c r="C377" s="99"/>
      <x:c r="D377" s="99"/>
      <x:c r="E377" s="101"/>
      <x:c r="F377" s="106"/>
      <x:c r="G377" s="106"/>
      <x:c r="H377" s="106"/>
      <x:c r="I377" s="106"/>
      <x:c r="J377" s="106"/>
      <x:c r="K377" s="106"/>
      <x:c r="L377" s="106"/>
      <x:c r="M377" s="111"/>
      <x:c r="N377" s="111"/>
      <x:c r="O377" s="111"/>
      <x:c r="P377" s="111"/>
      <x:c r="Q377" s="111"/>
      <x:c r="R377" s="99"/>
    </x:row>
    <x:row r="378" ht="15" customHeight="1">
      <x:c r="A378" s="22"/>
      <x:c r="B378" s="99"/>
      <x:c r="C378" s="99"/>
      <x:c r="D378" s="99"/>
      <x:c r="E378" s="101"/>
      <x:c r="F378" s="106"/>
      <x:c r="G378" s="106"/>
      <x:c r="H378" s="106"/>
      <x:c r="I378" s="106"/>
      <x:c r="J378" s="106"/>
      <x:c r="K378" s="106"/>
      <x:c r="L378" s="106"/>
      <x:c r="M378" s="106"/>
      <x:c r="N378" s="106"/>
      <x:c r="O378" s="106"/>
      <x:c r="P378" s="106"/>
      <x:c r="Q378" s="106"/>
      <x:c r="R378" s="99"/>
    </x:row>
    <x:row r="379" ht="15" customHeight="1">
      <x:c r="A379" s="22"/>
      <x:c r="B379" s="99"/>
      <x:c r="C379" s="99"/>
      <x:c r="D379" s="99"/>
      <x:c r="E379" s="101"/>
      <x:c r="F379" s="106"/>
      <x:c r="G379" s="106"/>
      <x:c r="H379" s="106"/>
      <x:c r="I379" s="106"/>
      <x:c r="J379" s="106"/>
      <x:c r="K379" s="106"/>
      <x:c r="L379" s="106"/>
      <x:c r="M379" s="106"/>
      <x:c r="N379" s="106"/>
      <x:c r="O379" s="106"/>
      <x:c r="P379" s="106"/>
      <x:c r="Q379" s="106"/>
      <x:c r="R379" s="99"/>
    </x:row>
    <x:row r="380" ht="15" customHeight="1">
      <x:c r="A380" s="22"/>
      <x:c r="B380" s="99"/>
      <x:c r="C380" s="99"/>
      <x:c r="D380" s="99"/>
      <x:c r="E380" s="101"/>
      <x:c r="F380" s="106"/>
      <x:c r="G380" s="106"/>
      <x:c r="H380" s="106"/>
      <x:c r="I380" s="106"/>
      <x:c r="J380" s="106"/>
      <x:c r="K380" s="106"/>
      <x:c r="L380" s="106"/>
      <x:c r="M380" s="106"/>
      <x:c r="N380" s="106"/>
      <x:c r="O380" s="106"/>
      <x:c r="P380" s="106"/>
      <x:c r="Q380" s="106"/>
      <x:c r="R380" s="99"/>
    </x:row>
    <x:row r="381" ht="15" customHeight="1">
      <x:c r="A381" s="94"/>
      <x:c r="B381" s="99"/>
      <x:c r="C381" s="99"/>
      <x:c r="D381" s="99"/>
      <x:c r="E381" s="101"/>
      <x:c r="F381" s="106"/>
      <x:c r="G381" s="106"/>
      <x:c r="H381" s="106"/>
      <x:c r="I381" s="106"/>
      <x:c r="J381" s="106"/>
      <x:c r="K381" s="106"/>
      <x:c r="L381" s="106"/>
      <x:c r="M381" s="111"/>
      <x:c r="N381" s="111"/>
      <x:c r="O381" s="111"/>
      <x:c r="P381" s="111"/>
      <x:c r="Q381" s="111"/>
      <x:c r="R381" s="99"/>
    </x:row>
    <x:row r="382" ht="15" customHeight="1">
      <x:c r="A382" s="22"/>
      <x:c r="B382" s="99"/>
      <x:c r="C382" s="99"/>
      <x:c r="D382" s="99"/>
      <x:c r="E382" s="101"/>
      <x:c r="F382" s="106"/>
      <x:c r="G382" s="106"/>
      <x:c r="H382" s="106"/>
      <x:c r="I382" s="106"/>
      <x:c r="J382" s="106"/>
      <x:c r="K382" s="106"/>
      <x:c r="L382" s="106"/>
      <x:c r="M382" s="106"/>
      <x:c r="N382" s="106"/>
      <x:c r="O382" s="106"/>
      <x:c r="P382" s="106"/>
      <x:c r="Q382" s="106"/>
      <x:c r="R382" s="99"/>
    </x:row>
    <x:row r="383" ht="15" customHeight="1">
      <x:c r="A383" s="22"/>
      <x:c r="B383" s="99"/>
      <x:c r="C383" s="99"/>
      <x:c r="D383" s="99"/>
      <x:c r="E383" s="101"/>
      <x:c r="F383" s="106"/>
      <x:c r="G383" s="106"/>
      <x:c r="H383" s="106"/>
      <x:c r="I383" s="106"/>
      <x:c r="J383" s="106"/>
      <x:c r="K383" s="106"/>
      <x:c r="L383" s="106"/>
      <x:c r="M383" s="106"/>
      <x:c r="N383" s="106"/>
      <x:c r="O383" s="106"/>
      <x:c r="P383" s="106"/>
      <x:c r="Q383" s="106"/>
      <x:c r="R383" s="99"/>
    </x:row>
    <x:row r="384" ht="15" customHeight="1">
      <x:c r="A384" s="22"/>
      <x:c r="B384" s="99"/>
      <x:c r="C384" s="99"/>
      <x:c r="D384" s="99"/>
      <x:c r="E384" s="101"/>
      <x:c r="F384" s="106"/>
      <x:c r="G384" s="106"/>
      <x:c r="H384" s="106"/>
      <x:c r="I384" s="106"/>
      <x:c r="J384" s="106"/>
      <x:c r="K384" s="106"/>
      <x:c r="L384" s="106"/>
      <x:c r="M384" s="106"/>
      <x:c r="N384" s="106"/>
      <x:c r="O384" s="106"/>
      <x:c r="P384" s="106"/>
      <x:c r="Q384" s="106"/>
      <x:c r="R384" s="99"/>
    </x:row>
    <x:row r="385" ht="15" customHeight="1">
      <x:c r="A385" s="94"/>
      <x:c r="B385" s="99"/>
      <x:c r="C385" s="99"/>
      <x:c r="D385" s="99"/>
      <x:c r="E385" s="101"/>
      <x:c r="F385" s="106"/>
      <x:c r="G385" s="106"/>
      <x:c r="H385" s="106"/>
      <x:c r="I385" s="106"/>
      <x:c r="J385" s="106"/>
      <x:c r="K385" s="106"/>
      <x:c r="L385" s="106"/>
      <x:c r="M385" s="111"/>
      <x:c r="N385" s="111"/>
      <x:c r="O385" s="111"/>
      <x:c r="P385" s="111"/>
      <x:c r="Q385" s="111"/>
      <x:c r="R385" s="99"/>
    </x:row>
    <x:row r="386" ht="15" customHeight="1">
      <x:c r="A386" s="22"/>
      <x:c r="B386" s="99"/>
      <x:c r="C386" s="99"/>
      <x:c r="D386" s="99"/>
      <x:c r="E386" s="101"/>
      <x:c r="F386" s="106"/>
      <x:c r="G386" s="106"/>
      <x:c r="H386" s="106"/>
      <x:c r="I386" s="106"/>
      <x:c r="J386" s="106"/>
      <x:c r="K386" s="106"/>
      <x:c r="L386" s="106"/>
      <x:c r="M386" s="106"/>
      <x:c r="N386" s="106"/>
      <x:c r="O386" s="106"/>
      <x:c r="P386" s="106"/>
      <x:c r="Q386" s="106"/>
      <x:c r="R386" s="99"/>
    </x:row>
    <x:row r="387" ht="15" customHeight="1">
      <x:c r="A387" s="22"/>
      <x:c r="B387" s="99"/>
      <x:c r="C387" s="99"/>
      <x:c r="D387" s="99"/>
      <x:c r="E387" s="101"/>
      <x:c r="F387" s="106"/>
      <x:c r="G387" s="106"/>
      <x:c r="H387" s="106"/>
      <x:c r="I387" s="106"/>
      <x:c r="J387" s="106"/>
      <x:c r="K387" s="106"/>
      <x:c r="L387" s="106"/>
      <x:c r="M387" s="106"/>
      <x:c r="N387" s="106"/>
      <x:c r="O387" s="106"/>
      <x:c r="P387" s="106"/>
      <x:c r="Q387" s="106"/>
      <x:c r="R387" s="99"/>
    </x:row>
    <x:row r="388" ht="15" customHeight="1">
      <x:c r="A388" s="22"/>
      <x:c r="B388" s="99"/>
      <x:c r="C388" s="99"/>
      <x:c r="D388" s="99"/>
      <x:c r="E388" s="101"/>
      <x:c r="F388" s="106"/>
      <x:c r="G388" s="106"/>
      <x:c r="H388" s="106"/>
      <x:c r="I388" s="106"/>
      <x:c r="J388" s="106"/>
      <x:c r="K388" s="106"/>
      <x:c r="L388" s="106"/>
      <x:c r="M388" s="106"/>
      <x:c r="N388" s="106"/>
      <x:c r="O388" s="106"/>
      <x:c r="P388" s="106"/>
      <x:c r="Q388" s="106"/>
      <x:c r="R388" s="99"/>
    </x:row>
    <x:row r="389" ht="15" customHeight="1">
      <x:c r="A389" s="94"/>
      <x:c r="B389" s="99"/>
      <x:c r="C389" s="99"/>
      <x:c r="D389" s="99"/>
      <x:c r="E389" s="101"/>
      <x:c r="F389" s="106"/>
      <x:c r="G389" s="106"/>
      <x:c r="H389" s="106"/>
      <x:c r="I389" s="106"/>
      <x:c r="J389" s="106"/>
      <x:c r="K389" s="106"/>
      <x:c r="L389" s="106"/>
      <x:c r="M389" s="111"/>
      <x:c r="N389" s="111"/>
      <x:c r="O389" s="111"/>
      <x:c r="P389" s="111"/>
      <x:c r="Q389" s="111"/>
      <x:c r="R389" s="99"/>
    </x:row>
    <x:row r="390" ht="15" customHeight="1">
      <x:c r="A390" s="22"/>
      <x:c r="B390" s="99"/>
      <x:c r="C390" s="99"/>
      <x:c r="D390" s="99"/>
      <x:c r="E390" s="101"/>
      <x:c r="F390" s="106"/>
      <x:c r="G390" s="106"/>
      <x:c r="H390" s="106"/>
      <x:c r="I390" s="106"/>
      <x:c r="J390" s="106"/>
      <x:c r="K390" s="106"/>
      <x:c r="L390" s="106"/>
      <x:c r="M390" s="106"/>
      <x:c r="N390" s="106"/>
      <x:c r="O390" s="106"/>
      <x:c r="P390" s="106"/>
      <x:c r="Q390" s="106"/>
      <x:c r="R390" s="99"/>
    </x:row>
    <x:row r="391" ht="15" customHeight="1">
      <x:c r="A391" s="22"/>
      <x:c r="B391" s="99"/>
      <x:c r="C391" s="99"/>
      <x:c r="D391" s="99"/>
      <x:c r="E391" s="101"/>
      <x:c r="F391" s="106"/>
      <x:c r="G391" s="106"/>
      <x:c r="H391" s="106"/>
      <x:c r="I391" s="106"/>
      <x:c r="J391" s="106"/>
      <x:c r="K391" s="106"/>
      <x:c r="L391" s="106"/>
      <x:c r="M391" s="106"/>
      <x:c r="N391" s="106"/>
      <x:c r="O391" s="106"/>
      <x:c r="P391" s="106"/>
      <x:c r="Q391" s="106"/>
      <x:c r="R391" s="99"/>
    </x:row>
    <x:row r="392" ht="15" customHeight="1">
      <x:c r="A392" s="22"/>
      <x:c r="B392" s="99"/>
      <x:c r="C392" s="99"/>
      <x:c r="D392" s="99"/>
      <x:c r="E392" s="101"/>
      <x:c r="F392" s="106"/>
      <x:c r="G392" s="106"/>
      <x:c r="H392" s="106"/>
      <x:c r="I392" s="106"/>
      <x:c r="J392" s="106"/>
      <x:c r="K392" s="106"/>
      <x:c r="L392" s="106"/>
      <x:c r="M392" s="106"/>
      <x:c r="N392" s="106"/>
      <x:c r="O392" s="106"/>
      <x:c r="P392" s="106"/>
      <x:c r="Q392" s="106"/>
      <x:c r="R392" s="99"/>
    </x:row>
    <x:row r="393" ht="15" customHeight="1">
      <x:c r="A393" s="94"/>
      <x:c r="B393" s="99"/>
      <x:c r="C393" s="99"/>
      <x:c r="D393" s="99"/>
      <x:c r="E393" s="101"/>
      <x:c r="F393" s="106"/>
      <x:c r="G393" s="106"/>
      <x:c r="H393" s="106"/>
      <x:c r="I393" s="106"/>
      <x:c r="J393" s="106"/>
      <x:c r="K393" s="106"/>
      <x:c r="L393" s="106"/>
      <x:c r="M393" s="111"/>
      <x:c r="N393" s="111"/>
      <x:c r="O393" s="111"/>
      <x:c r="P393" s="111"/>
      <x:c r="Q393" s="111"/>
      <x:c r="R393" s="99"/>
    </x:row>
    <x:row r="394" ht="15" customHeight="1">
      <x:c r="A394" s="22"/>
      <x:c r="B394" s="99"/>
      <x:c r="C394" s="99"/>
      <x:c r="D394" s="99"/>
      <x:c r="E394" s="101"/>
      <x:c r="F394" s="106"/>
      <x:c r="G394" s="106"/>
      <x:c r="H394" s="106"/>
      <x:c r="I394" s="106"/>
      <x:c r="J394" s="106"/>
      <x:c r="K394" s="106"/>
      <x:c r="L394" s="106"/>
      <x:c r="M394" s="106"/>
      <x:c r="N394" s="106"/>
      <x:c r="O394" s="106"/>
      <x:c r="P394" s="106"/>
      <x:c r="Q394" s="106"/>
      <x:c r="R394" s="99"/>
    </x:row>
    <x:row r="395" ht="15" customHeight="1">
      <x:c r="A395" s="22"/>
      <x:c r="B395" s="99"/>
      <x:c r="C395" s="99"/>
      <x:c r="D395" s="99"/>
      <x:c r="E395" s="101"/>
      <x:c r="F395" s="106"/>
      <x:c r="G395" s="106"/>
      <x:c r="H395" s="106"/>
      <x:c r="I395" s="106"/>
      <x:c r="J395" s="106"/>
      <x:c r="K395" s="106"/>
      <x:c r="L395" s="106"/>
      <x:c r="M395" s="106"/>
      <x:c r="N395" s="106"/>
      <x:c r="O395" s="106"/>
      <x:c r="P395" s="106"/>
      <x:c r="Q395" s="106"/>
      <x:c r="R395" s="99"/>
    </x:row>
    <x:row r="396" ht="15" customHeight="1">
      <x:c r="A396" s="22"/>
      <x:c r="B396" s="99"/>
      <x:c r="C396" s="99"/>
      <x:c r="D396" s="99"/>
      <x:c r="E396" s="101"/>
      <x:c r="F396" s="106"/>
      <x:c r="G396" s="106"/>
      <x:c r="H396" s="106"/>
      <x:c r="I396" s="106"/>
      <x:c r="J396" s="106"/>
      <x:c r="K396" s="106"/>
      <x:c r="L396" s="106"/>
      <x:c r="M396" s="106"/>
      <x:c r="N396" s="106"/>
      <x:c r="O396" s="106"/>
      <x:c r="P396" s="106"/>
      <x:c r="Q396" s="106"/>
      <x:c r="R396" s="99"/>
    </x:row>
    <x:row r="397" ht="15" customHeight="1">
      <x:c r="A397" s="94"/>
      <x:c r="B397" s="99"/>
      <x:c r="C397" s="99"/>
      <x:c r="D397" s="99"/>
      <x:c r="E397" s="101"/>
      <x:c r="F397" s="106"/>
      <x:c r="G397" s="106"/>
      <x:c r="H397" s="106"/>
      <x:c r="I397" s="106"/>
      <x:c r="J397" s="106"/>
      <x:c r="K397" s="106"/>
      <x:c r="L397" s="106"/>
      <x:c r="M397" s="111"/>
      <x:c r="N397" s="111"/>
      <x:c r="O397" s="111"/>
      <x:c r="P397" s="111"/>
      <x:c r="Q397" s="111"/>
      <x:c r="R397" s="99"/>
    </x:row>
    <x:row r="398" ht="15" customHeight="1">
      <x:c r="A398" s="22"/>
      <x:c r="B398" s="99"/>
      <x:c r="C398" s="99"/>
      <x:c r="D398" s="99"/>
      <x:c r="E398" s="101"/>
      <x:c r="F398" s="106"/>
      <x:c r="G398" s="106"/>
      <x:c r="H398" s="106"/>
      <x:c r="I398" s="106"/>
      <x:c r="J398" s="106"/>
      <x:c r="K398" s="106"/>
      <x:c r="L398" s="106"/>
      <x:c r="M398" s="106"/>
      <x:c r="N398" s="106"/>
      <x:c r="O398" s="106"/>
      <x:c r="P398" s="106"/>
      <x:c r="Q398" s="106"/>
      <x:c r="R398" s="99"/>
    </x:row>
    <x:row r="399" ht="15" customHeight="1">
      <x:c r="A399" s="22"/>
      <x:c r="B399" s="99"/>
      <x:c r="C399" s="99"/>
      <x:c r="D399" s="99"/>
      <x:c r="E399" s="101"/>
      <x:c r="F399" s="106"/>
      <x:c r="G399" s="106"/>
      <x:c r="H399" s="106"/>
      <x:c r="I399" s="106"/>
      <x:c r="J399" s="106"/>
      <x:c r="K399" s="106"/>
      <x:c r="L399" s="106"/>
      <x:c r="M399" s="106"/>
      <x:c r="N399" s="106"/>
      <x:c r="O399" s="106"/>
      <x:c r="P399" s="106"/>
      <x:c r="Q399" s="106"/>
      <x:c r="R399" s="99"/>
    </x:row>
    <x:row r="400" ht="15" customHeight="1">
      <x:c r="A400" s="22"/>
      <x:c r="B400" s="99"/>
      <x:c r="C400" s="99"/>
      <x:c r="D400" s="99"/>
      <x:c r="E400" s="101"/>
      <x:c r="F400" s="106"/>
      <x:c r="G400" s="106"/>
      <x:c r="H400" s="106"/>
      <x:c r="I400" s="106"/>
      <x:c r="J400" s="106"/>
      <x:c r="K400" s="106"/>
      <x:c r="L400" s="106"/>
      <x:c r="M400" s="106"/>
      <x:c r="N400" s="106"/>
      <x:c r="O400" s="106"/>
      <x:c r="P400" s="106"/>
      <x:c r="Q400" s="106"/>
      <x:c r="R400" s="99"/>
    </x:row>
    <x:row r="401" ht="15" customHeight="1">
      <x:c r="A401" s="94"/>
      <x:c r="B401" s="99"/>
      <x:c r="C401" s="99"/>
      <x:c r="D401" s="99"/>
      <x:c r="E401" s="101"/>
      <x:c r="F401" s="106"/>
      <x:c r="G401" s="106"/>
      <x:c r="H401" s="106"/>
      <x:c r="I401" s="106"/>
      <x:c r="J401" s="106"/>
      <x:c r="K401" s="106"/>
      <x:c r="L401" s="106"/>
      <x:c r="M401" s="111"/>
      <x:c r="N401" s="111"/>
      <x:c r="O401" s="111"/>
      <x:c r="P401" s="111"/>
      <x:c r="Q401" s="111"/>
      <x:c r="R401" s="99"/>
    </x:row>
    <x:row r="402" ht="15" customHeight="1">
      <x:c r="A402" s="22"/>
      <x:c r="B402" s="99"/>
      <x:c r="C402" s="99"/>
      <x:c r="D402" s="99"/>
      <x:c r="E402" s="101"/>
      <x:c r="F402" s="106"/>
      <x:c r="G402" s="106"/>
      <x:c r="H402" s="106"/>
      <x:c r="I402" s="106"/>
      <x:c r="J402" s="106"/>
      <x:c r="K402" s="106"/>
      <x:c r="L402" s="106"/>
      <x:c r="M402" s="106"/>
      <x:c r="N402" s="106"/>
      <x:c r="O402" s="106"/>
      <x:c r="P402" s="106"/>
      <x:c r="Q402" s="106"/>
      <x:c r="R402" s="99"/>
    </x:row>
    <x:row r="403" ht="15" customHeight="1">
      <x:c r="A403" s="22"/>
      <x:c r="B403" s="99"/>
      <x:c r="C403" s="99"/>
      <x:c r="D403" s="99"/>
      <x:c r="E403" s="101"/>
      <x:c r="F403" s="106"/>
      <x:c r="G403" s="106"/>
      <x:c r="H403" s="106"/>
      <x:c r="I403" s="106"/>
      <x:c r="J403" s="106"/>
      <x:c r="K403" s="106"/>
      <x:c r="L403" s="106"/>
      <x:c r="M403" s="106"/>
      <x:c r="N403" s="106"/>
      <x:c r="O403" s="106"/>
      <x:c r="P403" s="106"/>
      <x:c r="Q403" s="106"/>
      <x:c r="R403" s="99"/>
    </x:row>
    <x:row r="404" ht="15" customHeight="1">
      <x:c r="A404" s="22"/>
      <x:c r="B404" s="99"/>
      <x:c r="C404" s="99"/>
      <x:c r="D404" s="99"/>
      <x:c r="E404" s="101"/>
      <x:c r="F404" s="106"/>
      <x:c r="G404" s="106"/>
      <x:c r="H404" s="106"/>
      <x:c r="I404" s="106"/>
      <x:c r="J404" s="106"/>
      <x:c r="K404" s="106"/>
      <x:c r="L404" s="106"/>
      <x:c r="M404" s="106"/>
      <x:c r="N404" s="106"/>
      <x:c r="O404" s="106"/>
      <x:c r="P404" s="106"/>
      <x:c r="Q404" s="106"/>
      <x:c r="R404" s="99"/>
    </x:row>
    <x:row r="405" ht="15" customHeight="1">
      <x:c r="A405" s="94"/>
      <x:c r="B405" s="99"/>
      <x:c r="C405" s="99"/>
      <x:c r="D405" s="99"/>
      <x:c r="E405" s="101"/>
      <x:c r="F405" s="106"/>
      <x:c r="G405" s="106"/>
      <x:c r="H405" s="106"/>
      <x:c r="I405" s="106"/>
      <x:c r="J405" s="106"/>
      <x:c r="K405" s="106"/>
      <x:c r="L405" s="106"/>
      <x:c r="M405" s="111"/>
      <x:c r="N405" s="111"/>
      <x:c r="O405" s="111"/>
      <x:c r="P405" s="111"/>
      <x:c r="Q405" s="111"/>
      <x:c r="R405" s="99"/>
    </x:row>
    <x:row r="406" ht="15" customHeight="1">
      <x:c r="A406" s="22"/>
      <x:c r="B406" s="99"/>
      <x:c r="C406" s="99"/>
      <x:c r="D406" s="99"/>
      <x:c r="E406" s="101"/>
      <x:c r="F406" s="106"/>
      <x:c r="G406" s="106"/>
      <x:c r="H406" s="106"/>
      <x:c r="I406" s="106"/>
      <x:c r="J406" s="106"/>
      <x:c r="K406" s="106"/>
      <x:c r="L406" s="106"/>
      <x:c r="M406" s="106"/>
      <x:c r="N406" s="106"/>
      <x:c r="O406" s="106"/>
      <x:c r="P406" s="106"/>
      <x:c r="Q406" s="106"/>
      <x:c r="R406" s="99"/>
    </x:row>
    <x:row r="407" ht="15" customHeight="1">
      <x:c r="A407" s="22"/>
      <x:c r="B407" s="99"/>
      <x:c r="C407" s="99"/>
      <x:c r="D407" s="99"/>
      <x:c r="E407" s="101"/>
      <x:c r="F407" s="106"/>
      <x:c r="G407" s="106"/>
      <x:c r="H407" s="106"/>
      <x:c r="I407" s="106"/>
      <x:c r="J407" s="106"/>
      <x:c r="K407" s="106"/>
      <x:c r="L407" s="106"/>
      <x:c r="M407" s="106"/>
      <x:c r="N407" s="106"/>
      <x:c r="O407" s="106"/>
      <x:c r="P407" s="106"/>
      <x:c r="Q407" s="106"/>
      <x:c r="R407" s="99"/>
    </x:row>
    <x:row r="408" ht="15" customHeight="1">
      <x:c r="A408" s="22"/>
      <x:c r="B408" s="99"/>
      <x:c r="C408" s="99"/>
      <x:c r="D408" s="99"/>
      <x:c r="E408" s="101"/>
      <x:c r="F408" s="106"/>
      <x:c r="G408" s="106"/>
      <x:c r="H408" s="106"/>
      <x:c r="I408" s="106"/>
      <x:c r="J408" s="106"/>
      <x:c r="K408" s="106"/>
      <x:c r="L408" s="106"/>
      <x:c r="M408" s="106"/>
      <x:c r="N408" s="106"/>
      <x:c r="O408" s="106"/>
      <x:c r="P408" s="106"/>
      <x:c r="Q408" s="106"/>
      <x:c r="R408" s="99"/>
    </x:row>
    <x:row r="409" ht="15" customHeight="1">
      <x:c r="A409" s="94"/>
      <x:c r="B409" s="99"/>
      <x:c r="C409" s="99"/>
      <x:c r="D409" s="99"/>
      <x:c r="E409" s="101"/>
      <x:c r="F409" s="106"/>
      <x:c r="G409" s="106"/>
      <x:c r="H409" s="106"/>
      <x:c r="I409" s="106"/>
      <x:c r="J409" s="106"/>
      <x:c r="K409" s="106"/>
      <x:c r="L409" s="106"/>
      <x:c r="M409" s="111"/>
      <x:c r="N409" s="111"/>
      <x:c r="O409" s="111"/>
      <x:c r="P409" s="111"/>
      <x:c r="Q409" s="111"/>
      <x:c r="R409" s="99"/>
    </x:row>
    <x:row r="410" ht="15" customHeight="1">
      <x:c r="A410" s="22"/>
      <x:c r="B410" s="99"/>
      <x:c r="C410" s="99"/>
      <x:c r="D410" s="99"/>
      <x:c r="E410" s="101"/>
      <x:c r="F410" s="106"/>
      <x:c r="G410" s="106"/>
      <x:c r="H410" s="106"/>
      <x:c r="I410" s="106"/>
      <x:c r="J410" s="106"/>
      <x:c r="K410" s="106"/>
      <x:c r="L410" s="106"/>
      <x:c r="M410" s="106"/>
      <x:c r="N410" s="106"/>
      <x:c r="O410" s="106"/>
      <x:c r="P410" s="106"/>
      <x:c r="Q410" s="106"/>
      <x:c r="R410" s="99"/>
    </x:row>
    <x:row r="411" ht="15" customHeight="1">
      <x:c r="A411" s="22"/>
      <x:c r="B411" s="99"/>
      <x:c r="C411" s="99"/>
      <x:c r="D411" s="99"/>
      <x:c r="E411" s="101"/>
      <x:c r="F411" s="106"/>
      <x:c r="G411" s="106"/>
      <x:c r="H411" s="106"/>
      <x:c r="I411" s="106"/>
      <x:c r="J411" s="106"/>
      <x:c r="K411" s="106"/>
      <x:c r="L411" s="106"/>
      <x:c r="M411" s="106"/>
      <x:c r="N411" s="106"/>
      <x:c r="O411" s="106"/>
      <x:c r="P411" s="106"/>
      <x:c r="Q411" s="106"/>
      <x:c r="R411" s="99"/>
    </x:row>
    <x:row r="412" ht="15" customHeight="1">
      <x:c r="A412" s="22"/>
      <x:c r="B412" s="99"/>
      <x:c r="C412" s="99"/>
      <x:c r="D412" s="99"/>
      <x:c r="E412" s="101"/>
      <x:c r="F412" s="106"/>
      <x:c r="G412" s="106"/>
      <x:c r="H412" s="106"/>
      <x:c r="I412" s="106"/>
      <x:c r="J412" s="106"/>
      <x:c r="K412" s="106"/>
      <x:c r="L412" s="106"/>
      <x:c r="M412" s="106"/>
      <x:c r="N412" s="106"/>
      <x:c r="O412" s="106"/>
      <x:c r="P412" s="106"/>
      <x:c r="Q412" s="106"/>
      <x:c r="R412" s="99"/>
    </x:row>
    <x:row r="413" ht="15" customHeight="1">
      <x:c r="A413" s="94"/>
      <x:c r="B413" s="99"/>
      <x:c r="C413" s="99"/>
      <x:c r="D413" s="99"/>
      <x:c r="E413" s="101"/>
      <x:c r="F413" s="106"/>
      <x:c r="G413" s="106"/>
      <x:c r="H413" s="106"/>
      <x:c r="I413" s="106"/>
      <x:c r="J413" s="106"/>
      <x:c r="K413" s="106"/>
      <x:c r="L413" s="106"/>
      <x:c r="M413" s="111"/>
      <x:c r="N413" s="111"/>
      <x:c r="O413" s="111"/>
      <x:c r="P413" s="111"/>
      <x:c r="Q413" s="111"/>
      <x:c r="R413" s="99"/>
    </x:row>
    <x:row r="414" ht="15" customHeight="1">
      <x:c r="A414" s="22"/>
      <x:c r="B414" s="99"/>
      <x:c r="C414" s="99"/>
      <x:c r="D414" s="99"/>
      <x:c r="E414" s="101"/>
      <x:c r="F414" s="106"/>
      <x:c r="G414" s="106"/>
      <x:c r="H414" s="106"/>
      <x:c r="I414" s="106"/>
      <x:c r="J414" s="106"/>
      <x:c r="K414" s="106"/>
      <x:c r="L414" s="106"/>
      <x:c r="M414" s="106"/>
      <x:c r="N414" s="106"/>
      <x:c r="O414" s="106"/>
      <x:c r="P414" s="106"/>
      <x:c r="Q414" s="106"/>
      <x:c r="R414" s="99"/>
    </x:row>
    <x:row r="415" ht="15" customHeight="1">
      <x:c r="A415" s="22"/>
      <x:c r="B415" s="99"/>
      <x:c r="C415" s="99"/>
      <x:c r="D415" s="99"/>
      <x:c r="E415" s="101"/>
      <x:c r="F415" s="106"/>
      <x:c r="G415" s="106"/>
      <x:c r="H415" s="106"/>
      <x:c r="I415" s="106"/>
      <x:c r="J415" s="106"/>
      <x:c r="K415" s="106"/>
      <x:c r="L415" s="106"/>
      <x:c r="M415" s="106"/>
      <x:c r="N415" s="106"/>
      <x:c r="O415" s="106"/>
      <x:c r="P415" s="106"/>
      <x:c r="Q415" s="106"/>
      <x:c r="R415" s="99"/>
    </x:row>
    <x:row r="416" ht="15" customHeight="1">
      <x:c r="A416" s="22"/>
      <x:c r="B416" s="99"/>
      <x:c r="C416" s="99"/>
      <x:c r="D416" s="99"/>
      <x:c r="E416" s="101"/>
      <x:c r="F416" s="106"/>
      <x:c r="G416" s="106"/>
      <x:c r="H416" s="106"/>
      <x:c r="I416" s="106"/>
      <x:c r="J416" s="106"/>
      <x:c r="K416" s="106"/>
      <x:c r="L416" s="106"/>
      <x:c r="M416" s="106"/>
      <x:c r="N416" s="106"/>
      <x:c r="O416" s="106"/>
      <x:c r="P416" s="106"/>
      <x:c r="Q416" s="106"/>
      <x:c r="R416" s="99"/>
    </x:row>
    <x:row r="417" ht="15" customHeight="1">
      <x:c r="A417" s="94"/>
      <x:c r="B417" s="99"/>
      <x:c r="C417" s="99"/>
      <x:c r="D417" s="99"/>
      <x:c r="E417" s="101"/>
      <x:c r="F417" s="106"/>
      <x:c r="G417" s="106"/>
      <x:c r="H417" s="106"/>
      <x:c r="I417" s="106"/>
      <x:c r="J417" s="106"/>
      <x:c r="K417" s="106"/>
      <x:c r="L417" s="106"/>
      <x:c r="M417" s="111"/>
      <x:c r="N417" s="111"/>
      <x:c r="O417" s="111"/>
      <x:c r="P417" s="111"/>
      <x:c r="Q417" s="111"/>
      <x:c r="R417" s="99"/>
    </x:row>
    <x:row r="418" ht="15" customHeight="1">
      <x:c r="A418" s="22"/>
      <x:c r="B418" s="99"/>
      <x:c r="C418" s="99"/>
      <x:c r="D418" s="99"/>
      <x:c r="E418" s="101"/>
      <x:c r="F418" s="106"/>
      <x:c r="G418" s="106"/>
      <x:c r="H418" s="106"/>
      <x:c r="I418" s="106"/>
      <x:c r="J418" s="106"/>
      <x:c r="K418" s="106"/>
      <x:c r="L418" s="106"/>
      <x:c r="M418" s="106"/>
      <x:c r="N418" s="106"/>
      <x:c r="O418" s="106"/>
      <x:c r="P418" s="106"/>
      <x:c r="Q418" s="106"/>
      <x:c r="R418" s="99"/>
    </x:row>
    <x:row r="419" ht="15" customHeight="1">
      <x:c r="A419" s="22"/>
      <x:c r="B419" s="99"/>
      <x:c r="C419" s="99"/>
      <x:c r="D419" s="99"/>
      <x:c r="E419" s="101"/>
      <x:c r="F419" s="106"/>
      <x:c r="G419" s="106"/>
      <x:c r="H419" s="106"/>
      <x:c r="I419" s="106"/>
      <x:c r="J419" s="106"/>
      <x:c r="K419" s="106"/>
      <x:c r="L419" s="106"/>
      <x:c r="M419" s="106"/>
      <x:c r="N419" s="106"/>
      <x:c r="O419" s="106"/>
      <x:c r="P419" s="106"/>
      <x:c r="Q419" s="106"/>
      <x:c r="R419" s="99"/>
    </x:row>
    <x:row r="420" ht="15" customHeight="1">
      <x:c r="A420" s="22"/>
      <x:c r="B420" s="99"/>
      <x:c r="C420" s="99"/>
      <x:c r="D420" s="99"/>
      <x:c r="E420" s="101"/>
      <x:c r="F420" s="106"/>
      <x:c r="G420" s="106"/>
      <x:c r="H420" s="106"/>
      <x:c r="I420" s="106"/>
      <x:c r="J420" s="106"/>
      <x:c r="K420" s="106"/>
      <x:c r="L420" s="106"/>
      <x:c r="M420" s="106"/>
      <x:c r="N420" s="106"/>
      <x:c r="O420" s="106"/>
      <x:c r="P420" s="106"/>
      <x:c r="Q420" s="106"/>
      <x:c r="R420" s="99"/>
    </x:row>
    <x:row r="421" ht="15" customHeight="1">
      <x:c r="A421" s="94"/>
      <x:c r="B421" s="99"/>
      <x:c r="C421" s="99"/>
      <x:c r="D421" s="99"/>
      <x:c r="E421" s="101"/>
      <x:c r="F421" s="106"/>
      <x:c r="G421" s="106"/>
      <x:c r="H421" s="106"/>
      <x:c r="I421" s="106"/>
      <x:c r="J421" s="106"/>
      <x:c r="K421" s="106"/>
      <x:c r="L421" s="106"/>
      <x:c r="M421" s="111"/>
      <x:c r="N421" s="111"/>
      <x:c r="O421" s="111"/>
      <x:c r="P421" s="111"/>
      <x:c r="Q421" s="111"/>
      <x:c r="R421" s="99"/>
    </x:row>
    <x:row r="422" ht="15" customHeight="1">
      <x:c r="A422" s="22"/>
      <x:c r="B422" s="99"/>
      <x:c r="C422" s="99"/>
      <x:c r="D422" s="99"/>
      <x:c r="E422" s="101"/>
      <x:c r="F422" s="106"/>
      <x:c r="G422" s="106"/>
      <x:c r="H422" s="106"/>
      <x:c r="I422" s="106"/>
      <x:c r="J422" s="106"/>
      <x:c r="K422" s="106"/>
      <x:c r="L422" s="106"/>
      <x:c r="M422" s="106"/>
      <x:c r="N422" s="106"/>
      <x:c r="O422" s="106"/>
      <x:c r="P422" s="106"/>
      <x:c r="Q422" s="106"/>
      <x:c r="R422" s="99"/>
    </x:row>
    <x:row r="423" ht="15" customHeight="1">
      <x:c r="A423" s="22"/>
      <x:c r="B423" s="99"/>
      <x:c r="C423" s="99"/>
      <x:c r="D423" s="99"/>
      <x:c r="E423" s="101"/>
      <x:c r="F423" s="106"/>
      <x:c r="G423" s="106"/>
      <x:c r="H423" s="106"/>
      <x:c r="I423" s="106"/>
      <x:c r="J423" s="106"/>
      <x:c r="K423" s="106"/>
      <x:c r="L423" s="106"/>
      <x:c r="M423" s="106"/>
      <x:c r="N423" s="106"/>
      <x:c r="O423" s="106"/>
      <x:c r="P423" s="106"/>
      <x:c r="Q423" s="106"/>
      <x:c r="R423" s="99"/>
    </x:row>
    <x:row r="424" ht="15" customHeight="1">
      <x:c r="A424" s="22"/>
      <x:c r="B424" s="99"/>
      <x:c r="C424" s="99"/>
      <x:c r="D424" s="99"/>
      <x:c r="E424" s="101"/>
      <x:c r="F424" s="106"/>
      <x:c r="G424" s="106"/>
      <x:c r="H424" s="106"/>
      <x:c r="I424" s="106"/>
      <x:c r="J424" s="106"/>
      <x:c r="K424" s="106"/>
      <x:c r="L424" s="106"/>
      <x:c r="M424" s="106"/>
      <x:c r="N424" s="106"/>
      <x:c r="O424" s="106"/>
      <x:c r="P424" s="106"/>
      <x:c r="Q424" s="106"/>
      <x:c r="R424" s="99"/>
    </x:row>
    <x:row r="425" ht="15" customHeight="1">
      <x:c r="A425" s="94"/>
      <x:c r="B425" s="99"/>
      <x:c r="C425" s="99"/>
      <x:c r="D425" s="99"/>
      <x:c r="E425" s="101"/>
      <x:c r="F425" s="106"/>
      <x:c r="G425" s="106"/>
      <x:c r="H425" s="106"/>
      <x:c r="I425" s="106"/>
      <x:c r="J425" s="106"/>
      <x:c r="K425" s="106"/>
      <x:c r="L425" s="106"/>
      <x:c r="M425" s="111"/>
      <x:c r="N425" s="111"/>
      <x:c r="O425" s="111"/>
      <x:c r="P425" s="111"/>
      <x:c r="Q425" s="111"/>
      <x:c r="R425" s="99"/>
    </x:row>
    <x:row r="426" ht="15" customHeight="1">
      <x:c r="A426" s="22"/>
      <x:c r="B426" s="99"/>
      <x:c r="C426" s="99"/>
      <x:c r="D426" s="99"/>
      <x:c r="E426" s="101"/>
      <x:c r="F426" s="106"/>
      <x:c r="G426" s="106"/>
      <x:c r="H426" s="106"/>
      <x:c r="I426" s="106"/>
      <x:c r="J426" s="106"/>
      <x:c r="K426" s="106"/>
      <x:c r="L426" s="106"/>
      <x:c r="M426" s="106"/>
      <x:c r="N426" s="106"/>
      <x:c r="O426" s="106"/>
      <x:c r="P426" s="106"/>
      <x:c r="Q426" s="106"/>
      <x:c r="R426" s="99"/>
    </x:row>
    <x:row r="427" ht="15" customHeight="1">
      <x:c r="A427" s="22"/>
      <x:c r="B427" s="99"/>
      <x:c r="C427" s="99"/>
      <x:c r="D427" s="99"/>
      <x:c r="E427" s="101"/>
      <x:c r="F427" s="106"/>
      <x:c r="G427" s="106"/>
      <x:c r="H427" s="106"/>
      <x:c r="I427" s="106"/>
      <x:c r="J427" s="106"/>
      <x:c r="K427" s="106"/>
      <x:c r="L427" s="106"/>
      <x:c r="M427" s="106"/>
      <x:c r="N427" s="106"/>
      <x:c r="O427" s="106"/>
      <x:c r="P427" s="106"/>
      <x:c r="Q427" s="106"/>
      <x:c r="R427" s="99"/>
    </x:row>
    <x:row r="428" ht="15" customHeight="1">
      <x:c r="A428" s="22"/>
      <x:c r="B428" s="99"/>
      <x:c r="C428" s="99"/>
      <x:c r="D428" s="99"/>
      <x:c r="E428" s="101"/>
      <x:c r="F428" s="106"/>
      <x:c r="G428" s="106"/>
      <x:c r="H428" s="106"/>
      <x:c r="I428" s="106"/>
      <x:c r="J428" s="106"/>
      <x:c r="K428" s="106"/>
      <x:c r="L428" s="106"/>
      <x:c r="M428" s="106"/>
      <x:c r="N428" s="106"/>
      <x:c r="O428" s="106"/>
      <x:c r="P428" s="106"/>
      <x:c r="Q428" s="106"/>
      <x:c r="R428" s="99"/>
    </x:row>
    <x:row r="429" ht="15" customHeight="1">
      <x:c r="A429" s="94"/>
      <x:c r="B429" s="99"/>
      <x:c r="C429" s="99"/>
      <x:c r="D429" s="99"/>
      <x:c r="E429" s="101"/>
      <x:c r="F429" s="106"/>
      <x:c r="G429" s="106"/>
      <x:c r="H429" s="106"/>
      <x:c r="I429" s="106"/>
      <x:c r="J429" s="106"/>
      <x:c r="K429" s="106"/>
      <x:c r="L429" s="106"/>
      <x:c r="M429" s="111"/>
      <x:c r="N429" s="111"/>
      <x:c r="O429" s="111"/>
      <x:c r="P429" s="111"/>
      <x:c r="Q429" s="111"/>
      <x:c r="R429" s="99"/>
    </x:row>
    <x:row r="430" ht="15" customHeight="1">
      <x:c r="A430" s="22"/>
      <x:c r="B430" s="99"/>
      <x:c r="C430" s="99"/>
      <x:c r="D430" s="99"/>
      <x:c r="E430" s="101"/>
      <x:c r="F430" s="106"/>
      <x:c r="G430" s="106"/>
      <x:c r="H430" s="106"/>
      <x:c r="I430" s="106"/>
      <x:c r="J430" s="106"/>
      <x:c r="K430" s="106"/>
      <x:c r="L430" s="106"/>
      <x:c r="M430" s="106"/>
      <x:c r="N430" s="106"/>
      <x:c r="O430" s="106"/>
      <x:c r="P430" s="106"/>
      <x:c r="Q430" s="106"/>
      <x:c r="R430" s="99"/>
    </x:row>
    <x:row r="431" ht="15" customHeight="1">
      <x:c r="A431" s="22"/>
      <x:c r="B431" s="99"/>
      <x:c r="C431" s="99"/>
      <x:c r="D431" s="99"/>
      <x:c r="E431" s="101"/>
      <x:c r="F431" s="106"/>
      <x:c r="G431" s="106"/>
      <x:c r="H431" s="106"/>
      <x:c r="I431" s="106"/>
      <x:c r="J431" s="106"/>
      <x:c r="K431" s="106"/>
      <x:c r="L431" s="106"/>
      <x:c r="M431" s="106"/>
      <x:c r="N431" s="106"/>
      <x:c r="O431" s="106"/>
      <x:c r="P431" s="106"/>
      <x:c r="Q431" s="106"/>
      <x:c r="R431" s="99"/>
    </x:row>
    <x:row r="432" ht="15" customHeight="1">
      <x:c r="A432" s="22"/>
      <x:c r="B432" s="99"/>
      <x:c r="C432" s="99"/>
      <x:c r="D432" s="99"/>
      <x:c r="E432" s="101"/>
      <x:c r="F432" s="106"/>
      <x:c r="G432" s="106"/>
      <x:c r="H432" s="106"/>
      <x:c r="I432" s="106"/>
      <x:c r="J432" s="106"/>
      <x:c r="K432" s="106"/>
      <x:c r="L432" s="106"/>
      <x:c r="M432" s="106"/>
      <x:c r="N432" s="106"/>
      <x:c r="O432" s="106"/>
      <x:c r="P432" s="106"/>
      <x:c r="Q432" s="106"/>
      <x:c r="R432" s="99"/>
    </x:row>
    <x:row r="433" ht="15" customHeight="1">
      <x:c r="A433" s="94"/>
      <x:c r="B433" s="99"/>
      <x:c r="C433" s="99"/>
      <x:c r="D433" s="99"/>
      <x:c r="E433" s="101"/>
      <x:c r="F433" s="106"/>
      <x:c r="G433" s="106"/>
      <x:c r="H433" s="106"/>
      <x:c r="I433" s="106"/>
      <x:c r="J433" s="106"/>
      <x:c r="K433" s="106"/>
      <x:c r="L433" s="106"/>
      <x:c r="M433" s="111"/>
      <x:c r="N433" s="111"/>
      <x:c r="O433" s="111"/>
      <x:c r="P433" s="111"/>
      <x:c r="Q433" s="111"/>
      <x:c r="R433" s="99"/>
    </x:row>
    <x:row r="434" ht="15" customHeight="1">
      <x:c r="A434" s="22"/>
      <x:c r="B434" s="99"/>
      <x:c r="C434" s="99"/>
      <x:c r="D434" s="99"/>
      <x:c r="E434" s="101"/>
      <x:c r="F434" s="106"/>
      <x:c r="G434" s="106"/>
      <x:c r="H434" s="106"/>
      <x:c r="I434" s="106"/>
      <x:c r="J434" s="106"/>
      <x:c r="K434" s="106"/>
      <x:c r="L434" s="106"/>
      <x:c r="M434" s="106"/>
      <x:c r="N434" s="106"/>
      <x:c r="O434" s="106"/>
      <x:c r="P434" s="106"/>
      <x:c r="Q434" s="106"/>
      <x:c r="R434" s="99"/>
    </x:row>
    <x:row r="435" ht="15" customHeight="1">
      <x:c r="A435" s="22"/>
      <x:c r="B435" s="99"/>
      <x:c r="C435" s="99"/>
      <x:c r="D435" s="99"/>
      <x:c r="E435" s="101"/>
      <x:c r="F435" s="106"/>
      <x:c r="G435" s="106"/>
      <x:c r="H435" s="106"/>
      <x:c r="I435" s="106"/>
      <x:c r="J435" s="106"/>
      <x:c r="K435" s="106"/>
      <x:c r="L435" s="106"/>
      <x:c r="M435" s="106"/>
      <x:c r="N435" s="106"/>
      <x:c r="O435" s="106"/>
      <x:c r="P435" s="106"/>
      <x:c r="Q435" s="106"/>
      <x:c r="R435" s="99"/>
    </x:row>
    <x:row r="436" ht="15" customHeight="1">
      <x:c r="A436" s="22"/>
      <x:c r="B436" s="99"/>
      <x:c r="C436" s="99"/>
      <x:c r="D436" s="99"/>
      <x:c r="E436" s="101"/>
      <x:c r="F436" s="106"/>
      <x:c r="G436" s="106"/>
      <x:c r="H436" s="106"/>
      <x:c r="I436" s="106"/>
      <x:c r="J436" s="106"/>
      <x:c r="K436" s="106"/>
      <x:c r="L436" s="106"/>
      <x:c r="M436" s="106"/>
      <x:c r="N436" s="106"/>
      <x:c r="O436" s="106"/>
      <x:c r="P436" s="106"/>
      <x:c r="Q436" s="106"/>
      <x:c r="R436" s="99"/>
    </x:row>
    <x:row r="437" ht="15" customHeight="1">
      <x:c r="A437" s="94"/>
      <x:c r="B437" s="99"/>
      <x:c r="C437" s="99"/>
      <x:c r="D437" s="99"/>
      <x:c r="E437" s="101"/>
      <x:c r="F437" s="106"/>
      <x:c r="G437" s="106"/>
      <x:c r="H437" s="106"/>
      <x:c r="I437" s="106"/>
      <x:c r="J437" s="106"/>
      <x:c r="K437" s="106"/>
      <x:c r="L437" s="106"/>
      <x:c r="M437" s="111"/>
      <x:c r="N437" s="111"/>
      <x:c r="O437" s="111"/>
      <x:c r="P437" s="111"/>
      <x:c r="Q437" s="111"/>
      <x:c r="R437" s="99"/>
    </x:row>
    <x:row r="438" ht="15" customHeight="1">
      <x:c r="A438" s="22"/>
      <x:c r="B438" s="99"/>
      <x:c r="C438" s="99"/>
      <x:c r="D438" s="99"/>
      <x:c r="E438" s="101"/>
      <x:c r="F438" s="106"/>
      <x:c r="G438" s="106"/>
      <x:c r="H438" s="106"/>
      <x:c r="I438" s="106"/>
      <x:c r="J438" s="106"/>
      <x:c r="K438" s="106"/>
      <x:c r="L438" s="106"/>
      <x:c r="M438" s="106"/>
      <x:c r="N438" s="106"/>
      <x:c r="O438" s="106"/>
      <x:c r="P438" s="106"/>
      <x:c r="Q438" s="106"/>
      <x:c r="R438" s="99"/>
    </x:row>
    <x:row r="439" ht="15" customHeight="1">
      <x:c r="A439" s="22"/>
      <x:c r="B439" s="99"/>
      <x:c r="C439" s="99"/>
      <x:c r="D439" s="99"/>
      <x:c r="E439" s="101"/>
      <x:c r="F439" s="106"/>
      <x:c r="G439" s="106"/>
      <x:c r="H439" s="106"/>
      <x:c r="I439" s="106"/>
      <x:c r="J439" s="106"/>
      <x:c r="K439" s="106"/>
      <x:c r="L439" s="106"/>
      <x:c r="M439" s="106"/>
      <x:c r="N439" s="106"/>
      <x:c r="O439" s="106"/>
      <x:c r="P439" s="106"/>
      <x:c r="Q439" s="106"/>
      <x:c r="R439" s="99"/>
    </x:row>
    <x:row r="440" ht="15" customHeight="1">
      <x:c r="A440" s="22"/>
      <x:c r="B440" s="99"/>
      <x:c r="C440" s="99"/>
      <x:c r="D440" s="99"/>
      <x:c r="E440" s="101"/>
      <x:c r="F440" s="106"/>
      <x:c r="G440" s="106"/>
      <x:c r="H440" s="106"/>
      <x:c r="I440" s="106"/>
      <x:c r="J440" s="106"/>
      <x:c r="K440" s="106"/>
      <x:c r="L440" s="106"/>
      <x:c r="M440" s="106"/>
      <x:c r="N440" s="106"/>
      <x:c r="O440" s="106"/>
      <x:c r="P440" s="106"/>
      <x:c r="Q440" s="106"/>
      <x:c r="R440" s="99"/>
    </x:row>
    <x:row r="441" ht="15" customHeight="1">
      <x:c r="A441" s="94"/>
      <x:c r="B441" s="99"/>
      <x:c r="C441" s="99"/>
      <x:c r="D441" s="99"/>
      <x:c r="E441" s="101"/>
      <x:c r="F441" s="106"/>
      <x:c r="G441" s="106"/>
      <x:c r="H441" s="106"/>
      <x:c r="I441" s="106"/>
      <x:c r="J441" s="106"/>
      <x:c r="K441" s="106"/>
      <x:c r="L441" s="106"/>
      <x:c r="M441" s="111"/>
      <x:c r="N441" s="111"/>
      <x:c r="O441" s="111"/>
      <x:c r="P441" s="111"/>
      <x:c r="Q441" s="111"/>
      <x:c r="R441" s="99"/>
    </x:row>
    <x:row r="442" ht="15" customHeight="1">
      <x:c r="A442" s="22"/>
      <x:c r="B442" s="99"/>
      <x:c r="C442" s="99"/>
      <x:c r="D442" s="99"/>
      <x:c r="E442" s="101"/>
      <x:c r="F442" s="106"/>
      <x:c r="G442" s="106"/>
      <x:c r="H442" s="106"/>
      <x:c r="I442" s="106"/>
      <x:c r="J442" s="106"/>
      <x:c r="K442" s="106"/>
      <x:c r="L442" s="106"/>
      <x:c r="M442" s="106"/>
      <x:c r="N442" s="106"/>
      <x:c r="O442" s="106"/>
      <x:c r="P442" s="106"/>
      <x:c r="Q442" s="106"/>
      <x:c r="R442" s="99"/>
    </x:row>
    <x:row r="443" ht="15" customHeight="1">
      <x:c r="A443" s="22"/>
      <x:c r="B443" s="99"/>
      <x:c r="C443" s="99"/>
      <x:c r="D443" s="99"/>
      <x:c r="E443" s="101"/>
      <x:c r="F443" s="106"/>
      <x:c r="G443" s="106"/>
      <x:c r="H443" s="106"/>
      <x:c r="I443" s="106"/>
      <x:c r="J443" s="106"/>
      <x:c r="K443" s="106"/>
      <x:c r="L443" s="106"/>
      <x:c r="M443" s="106"/>
      <x:c r="N443" s="106"/>
      <x:c r="O443" s="106"/>
      <x:c r="P443" s="106"/>
      <x:c r="Q443" s="106"/>
      <x:c r="R443" s="99"/>
    </x:row>
    <x:row r="444" ht="15" customHeight="1">
      <x:c r="A444" s="22"/>
      <x:c r="B444" s="99"/>
      <x:c r="C444" s="99"/>
      <x:c r="D444" s="99"/>
      <x:c r="E444" s="101"/>
      <x:c r="F444" s="106"/>
      <x:c r="G444" s="106"/>
      <x:c r="H444" s="106"/>
      <x:c r="I444" s="106"/>
      <x:c r="J444" s="106"/>
      <x:c r="K444" s="106"/>
      <x:c r="L444" s="106"/>
      <x:c r="M444" s="106"/>
      <x:c r="N444" s="106"/>
      <x:c r="O444" s="106"/>
      <x:c r="P444" s="106"/>
      <x:c r="Q444" s="106"/>
      <x:c r="R444" s="99"/>
    </x:row>
    <x:row r="445" ht="15" customHeight="1">
      <x:c r="A445" s="94"/>
      <x:c r="B445" s="99"/>
      <x:c r="C445" s="99"/>
      <x:c r="D445" s="99"/>
      <x:c r="E445" s="101"/>
      <x:c r="F445" s="106"/>
      <x:c r="G445" s="106"/>
      <x:c r="H445" s="106"/>
      <x:c r="I445" s="106"/>
      <x:c r="J445" s="106"/>
      <x:c r="K445" s="106"/>
      <x:c r="L445" s="106"/>
      <x:c r="M445" s="111"/>
      <x:c r="N445" s="111"/>
      <x:c r="O445" s="111"/>
      <x:c r="P445" s="111"/>
      <x:c r="Q445" s="111"/>
      <x:c r="R445" s="99"/>
    </x:row>
    <x:row r="446" ht="15" customHeight="1">
      <x:c r="A446" s="22"/>
      <x:c r="B446" s="99"/>
      <x:c r="C446" s="99"/>
      <x:c r="D446" s="99"/>
      <x:c r="E446" s="101"/>
      <x:c r="F446" s="106"/>
      <x:c r="G446" s="106"/>
      <x:c r="H446" s="106"/>
      <x:c r="I446" s="106"/>
      <x:c r="J446" s="106"/>
      <x:c r="K446" s="106"/>
      <x:c r="L446" s="106"/>
      <x:c r="M446" s="106"/>
      <x:c r="N446" s="106"/>
      <x:c r="O446" s="106"/>
      <x:c r="P446" s="106"/>
      <x:c r="Q446" s="106"/>
      <x:c r="R446" s="99"/>
    </x:row>
    <x:row r="447" ht="15" customHeight="1">
      <x:c r="A447" s="22"/>
      <x:c r="B447" s="99"/>
      <x:c r="C447" s="99"/>
      <x:c r="D447" s="99"/>
      <x:c r="E447" s="101"/>
      <x:c r="F447" s="106"/>
      <x:c r="G447" s="106"/>
      <x:c r="H447" s="106"/>
      <x:c r="I447" s="106"/>
      <x:c r="J447" s="106"/>
      <x:c r="K447" s="106"/>
      <x:c r="L447" s="106"/>
      <x:c r="M447" s="106"/>
      <x:c r="N447" s="106"/>
      <x:c r="O447" s="106"/>
      <x:c r="P447" s="106"/>
      <x:c r="Q447" s="106"/>
      <x:c r="R447" s="99"/>
    </x:row>
    <x:row r="448" ht="15" customHeight="1">
      <x:c r="A448" s="22"/>
      <x:c r="B448" s="99"/>
      <x:c r="C448" s="99"/>
      <x:c r="D448" s="99"/>
      <x:c r="E448" s="101"/>
      <x:c r="F448" s="106"/>
      <x:c r="G448" s="106"/>
      <x:c r="H448" s="106"/>
      <x:c r="I448" s="106"/>
      <x:c r="J448" s="106"/>
      <x:c r="K448" s="106"/>
      <x:c r="L448" s="106"/>
      <x:c r="M448" s="106"/>
      <x:c r="N448" s="106"/>
      <x:c r="O448" s="106"/>
      <x:c r="P448" s="106"/>
      <x:c r="Q448" s="106"/>
      <x:c r="R448" s="99"/>
    </x:row>
    <x:row r="449" ht="15" customHeight="1">
      <x:c r="A449" s="94"/>
      <x:c r="B449" s="99"/>
      <x:c r="C449" s="99"/>
      <x:c r="D449" s="99"/>
      <x:c r="E449" s="101"/>
      <x:c r="F449" s="106"/>
      <x:c r="G449" s="106"/>
      <x:c r="H449" s="106"/>
      <x:c r="I449" s="106"/>
      <x:c r="J449" s="106"/>
      <x:c r="K449" s="106"/>
      <x:c r="L449" s="106"/>
      <x:c r="M449" s="111"/>
      <x:c r="N449" s="111"/>
      <x:c r="O449" s="111"/>
      <x:c r="P449" s="111"/>
      <x:c r="Q449" s="111"/>
      <x:c r="R449" s="99"/>
    </x:row>
    <x:row r="450" ht="15" customHeight="1">
      <x:c r="A450" s="22"/>
      <x:c r="B450" s="99"/>
      <x:c r="C450" s="99"/>
      <x:c r="D450" s="99"/>
      <x:c r="E450" s="101"/>
      <x:c r="F450" s="106"/>
      <x:c r="G450" s="106"/>
      <x:c r="H450" s="106"/>
      <x:c r="I450" s="106"/>
      <x:c r="J450" s="106"/>
      <x:c r="K450" s="106"/>
      <x:c r="L450" s="106"/>
      <x:c r="M450" s="106"/>
      <x:c r="N450" s="106"/>
      <x:c r="O450" s="106"/>
      <x:c r="P450" s="106"/>
      <x:c r="Q450" s="106"/>
      <x:c r="R450" s="99"/>
    </x:row>
    <x:row r="451" ht="15" customHeight="1">
      <x:c r="A451" s="22"/>
      <x:c r="B451" s="99"/>
      <x:c r="C451" s="99"/>
      <x:c r="D451" s="99"/>
      <x:c r="E451" s="101"/>
      <x:c r="F451" s="106"/>
      <x:c r="G451" s="106"/>
      <x:c r="H451" s="106"/>
      <x:c r="I451" s="106"/>
      <x:c r="J451" s="106"/>
      <x:c r="K451" s="106"/>
      <x:c r="L451" s="106"/>
      <x:c r="M451" s="106"/>
      <x:c r="N451" s="106"/>
      <x:c r="O451" s="106"/>
      <x:c r="P451" s="106"/>
      <x:c r="Q451" s="106"/>
      <x:c r="R451" s="99"/>
    </x:row>
    <x:row r="452" ht="15" customHeight="1">
      <x:c r="A452" s="22"/>
      <x:c r="B452" s="99"/>
      <x:c r="C452" s="99"/>
      <x:c r="D452" s="99"/>
      <x:c r="E452" s="101"/>
      <x:c r="F452" s="106"/>
      <x:c r="G452" s="106"/>
      <x:c r="H452" s="106"/>
      <x:c r="I452" s="106"/>
      <x:c r="J452" s="106"/>
      <x:c r="K452" s="106"/>
      <x:c r="L452" s="106"/>
      <x:c r="M452" s="106"/>
      <x:c r="N452" s="106"/>
      <x:c r="O452" s="106"/>
      <x:c r="P452" s="106"/>
      <x:c r="Q452" s="106"/>
      <x:c r="R452" s="99"/>
    </x:row>
    <x:row r="453" ht="15" customHeight="1">
      <x:c r="A453" s="94"/>
      <x:c r="B453" s="99"/>
      <x:c r="C453" s="99"/>
      <x:c r="D453" s="99"/>
      <x:c r="E453" s="101"/>
      <x:c r="F453" s="106"/>
      <x:c r="G453" s="106"/>
      <x:c r="H453" s="106"/>
      <x:c r="I453" s="106"/>
      <x:c r="J453" s="106"/>
      <x:c r="K453" s="106"/>
      <x:c r="L453" s="106"/>
      <x:c r="M453" s="111"/>
      <x:c r="N453" s="111"/>
      <x:c r="O453" s="111"/>
      <x:c r="P453" s="111"/>
      <x:c r="Q453" s="111"/>
      <x:c r="R453" s="99"/>
    </x:row>
    <x:row r="454" ht="15" customHeight="1">
      <x:c r="A454" s="22"/>
      <x:c r="B454" s="99"/>
      <x:c r="C454" s="99"/>
      <x:c r="D454" s="99"/>
      <x:c r="E454" s="101"/>
      <x:c r="F454" s="106"/>
      <x:c r="G454" s="106"/>
      <x:c r="H454" s="106"/>
      <x:c r="I454" s="106"/>
      <x:c r="J454" s="106"/>
      <x:c r="K454" s="106"/>
      <x:c r="L454" s="106"/>
      <x:c r="M454" s="106"/>
      <x:c r="N454" s="106"/>
      <x:c r="O454" s="106"/>
      <x:c r="P454" s="106"/>
      <x:c r="Q454" s="106"/>
      <x:c r="R454" s="99"/>
    </x:row>
    <x:row r="455" ht="15" customHeight="1">
      <x:c r="A455" s="22"/>
      <x:c r="B455" s="99"/>
      <x:c r="C455" s="99"/>
      <x:c r="D455" s="99"/>
      <x:c r="E455" s="101"/>
      <x:c r="F455" s="106"/>
      <x:c r="G455" s="106"/>
      <x:c r="H455" s="106"/>
      <x:c r="I455" s="106"/>
      <x:c r="J455" s="106"/>
      <x:c r="K455" s="106"/>
      <x:c r="L455" s="106"/>
      <x:c r="M455" s="106"/>
      <x:c r="N455" s="106"/>
      <x:c r="O455" s="106"/>
      <x:c r="P455" s="106"/>
      <x:c r="Q455" s="106"/>
      <x:c r="R455" s="99"/>
    </x:row>
    <x:row r="456" ht="15" customHeight="1">
      <x:c r="A456" s="22"/>
      <x:c r="B456" s="99"/>
      <x:c r="C456" s="99"/>
      <x:c r="D456" s="99"/>
      <x:c r="E456" s="101"/>
      <x:c r="F456" s="106"/>
      <x:c r="G456" s="106"/>
      <x:c r="H456" s="106"/>
      <x:c r="I456" s="106"/>
      <x:c r="J456" s="106"/>
      <x:c r="K456" s="106"/>
      <x:c r="L456" s="106"/>
      <x:c r="M456" s="106"/>
      <x:c r="N456" s="106"/>
      <x:c r="O456" s="106"/>
      <x:c r="P456" s="106"/>
      <x:c r="Q456" s="106"/>
      <x:c r="R456" s="99"/>
    </x:row>
    <x:row r="457" ht="15" customHeight="1">
      <x:c r="A457" s="94"/>
      <x:c r="B457" s="99"/>
      <x:c r="C457" s="99"/>
      <x:c r="D457" s="99"/>
      <x:c r="E457" s="101"/>
      <x:c r="F457" s="106"/>
      <x:c r="G457" s="106"/>
      <x:c r="H457" s="106"/>
      <x:c r="I457" s="106"/>
      <x:c r="J457" s="106"/>
      <x:c r="K457" s="106"/>
      <x:c r="L457" s="106"/>
      <x:c r="M457" s="111"/>
      <x:c r="N457" s="111"/>
      <x:c r="O457" s="111"/>
      <x:c r="P457" s="111"/>
      <x:c r="Q457" s="111"/>
      <x:c r="R457" s="99"/>
    </x:row>
    <x:row r="458" ht="15" customHeight="1">
      <x:c r="A458" s="22"/>
      <x:c r="B458" s="99"/>
      <x:c r="C458" s="99"/>
      <x:c r="D458" s="99"/>
      <x:c r="E458" s="101"/>
      <x:c r="F458" s="106"/>
      <x:c r="G458" s="106"/>
      <x:c r="H458" s="106"/>
      <x:c r="I458" s="106"/>
      <x:c r="J458" s="106"/>
      <x:c r="K458" s="106"/>
      <x:c r="L458" s="106"/>
      <x:c r="M458" s="106"/>
      <x:c r="N458" s="106"/>
      <x:c r="O458" s="106"/>
      <x:c r="P458" s="106"/>
      <x:c r="Q458" s="106"/>
      <x:c r="R458" s="99"/>
    </x:row>
    <x:row r="459" ht="15" customHeight="1">
      <x:c r="A459" s="22"/>
      <x:c r="B459" s="99"/>
      <x:c r="C459" s="99"/>
      <x:c r="D459" s="99"/>
      <x:c r="E459" s="101"/>
      <x:c r="F459" s="106"/>
      <x:c r="G459" s="106"/>
      <x:c r="H459" s="106"/>
      <x:c r="I459" s="106"/>
      <x:c r="J459" s="106"/>
      <x:c r="K459" s="106"/>
      <x:c r="L459" s="106"/>
      <x:c r="M459" s="106"/>
      <x:c r="N459" s="106"/>
      <x:c r="O459" s="106"/>
      <x:c r="P459" s="106"/>
      <x:c r="Q459" s="106"/>
      <x:c r="R459" s="99"/>
    </x:row>
    <x:row r="460" ht="15" customHeight="1">
      <x:c r="A460" s="22"/>
      <x:c r="B460" s="99"/>
      <x:c r="C460" s="99"/>
      <x:c r="D460" s="99"/>
      <x:c r="E460" s="101"/>
      <x:c r="F460" s="106"/>
      <x:c r="G460" s="106"/>
      <x:c r="H460" s="106"/>
      <x:c r="I460" s="106"/>
      <x:c r="J460" s="106"/>
      <x:c r="K460" s="106"/>
      <x:c r="L460" s="106"/>
      <x:c r="M460" s="106"/>
      <x:c r="N460" s="106"/>
      <x:c r="O460" s="106"/>
      <x:c r="P460" s="106"/>
      <x:c r="Q460" s="106"/>
      <x:c r="R460" s="99"/>
    </x:row>
    <x:row r="461" ht="15" customHeight="1">
      <x:c r="A461" s="94"/>
      <x:c r="B461" s="99"/>
      <x:c r="C461" s="99"/>
      <x:c r="D461" s="99"/>
      <x:c r="E461" s="101"/>
      <x:c r="F461" s="106"/>
      <x:c r="G461" s="106"/>
      <x:c r="H461" s="106"/>
      <x:c r="I461" s="106"/>
      <x:c r="J461" s="106"/>
      <x:c r="K461" s="106"/>
      <x:c r="L461" s="106"/>
      <x:c r="M461" s="111"/>
      <x:c r="N461" s="111"/>
      <x:c r="O461" s="111"/>
      <x:c r="P461" s="111"/>
      <x:c r="Q461" s="111"/>
      <x:c r="R461" s="99"/>
    </x:row>
    <x:row r="462" ht="15" customHeight="1">
      <x:c r="A462" s="22"/>
      <x:c r="B462" s="99"/>
      <x:c r="C462" s="99"/>
      <x:c r="D462" s="99"/>
      <x:c r="E462" s="101"/>
      <x:c r="F462" s="106"/>
      <x:c r="G462" s="106"/>
      <x:c r="H462" s="106"/>
      <x:c r="I462" s="106"/>
      <x:c r="J462" s="106"/>
      <x:c r="K462" s="106"/>
      <x:c r="L462" s="106"/>
      <x:c r="M462" s="106"/>
      <x:c r="N462" s="106"/>
      <x:c r="O462" s="106"/>
      <x:c r="P462" s="106"/>
      <x:c r="Q462" s="106"/>
      <x:c r="R462" s="99"/>
    </x:row>
    <x:row r="463" ht="15" customHeight="1">
      <x:c r="A463" s="22"/>
      <x:c r="B463" s="99"/>
      <x:c r="C463" s="99"/>
      <x:c r="D463" s="99"/>
      <x:c r="E463" s="101"/>
      <x:c r="F463" s="106"/>
      <x:c r="G463" s="106"/>
      <x:c r="H463" s="106"/>
      <x:c r="I463" s="106"/>
      <x:c r="J463" s="106"/>
      <x:c r="K463" s="106"/>
      <x:c r="L463" s="106"/>
      <x:c r="M463" s="106"/>
      <x:c r="N463" s="106"/>
      <x:c r="O463" s="106"/>
      <x:c r="P463" s="106"/>
      <x:c r="Q463" s="106"/>
      <x:c r="R463" s="99"/>
    </x:row>
    <x:row r="464" ht="15" customHeight="1">
      <x:c r="A464" s="22"/>
      <x:c r="B464" s="99"/>
      <x:c r="C464" s="99"/>
      <x:c r="D464" s="99"/>
      <x:c r="E464" s="101"/>
      <x:c r="F464" s="106"/>
      <x:c r="G464" s="106"/>
      <x:c r="H464" s="106"/>
      <x:c r="I464" s="106"/>
      <x:c r="J464" s="106"/>
      <x:c r="K464" s="106"/>
      <x:c r="L464" s="106"/>
      <x:c r="M464" s="106"/>
      <x:c r="N464" s="106"/>
      <x:c r="O464" s="106"/>
      <x:c r="P464" s="106"/>
      <x:c r="Q464" s="106"/>
      <x:c r="R464" s="99"/>
    </x:row>
    <x:row r="465" ht="15" customHeight="1">
      <x:c r="A465" s="94"/>
      <x:c r="B465" s="99"/>
      <x:c r="C465" s="99"/>
      <x:c r="D465" s="99"/>
      <x:c r="E465" s="101"/>
      <x:c r="F465" s="106"/>
      <x:c r="G465" s="106"/>
      <x:c r="H465" s="106"/>
      <x:c r="I465" s="106"/>
      <x:c r="J465" s="106"/>
      <x:c r="K465" s="106"/>
      <x:c r="L465" s="106"/>
      <x:c r="M465" s="111"/>
      <x:c r="N465" s="111"/>
      <x:c r="O465" s="111"/>
      <x:c r="P465" s="111"/>
      <x:c r="Q465" s="111"/>
      <x:c r="R465" s="99"/>
    </x:row>
    <x:row r="466" ht="15" customHeight="1">
      <x:c r="A466" s="22"/>
      <x:c r="B466" s="99"/>
      <x:c r="C466" s="99"/>
      <x:c r="D466" s="99"/>
      <x:c r="E466" s="101"/>
      <x:c r="F466" s="106"/>
      <x:c r="G466" s="106"/>
      <x:c r="H466" s="106"/>
      <x:c r="I466" s="106"/>
      <x:c r="J466" s="106"/>
      <x:c r="K466" s="106"/>
      <x:c r="L466" s="106"/>
      <x:c r="M466" s="106"/>
      <x:c r="N466" s="106"/>
      <x:c r="O466" s="106"/>
      <x:c r="P466" s="106"/>
      <x:c r="Q466" s="106"/>
      <x:c r="R466" s="99"/>
    </x:row>
    <x:row r="467" ht="15" customHeight="1">
      <x:c r="A467" s="22"/>
      <x:c r="B467" s="99"/>
      <x:c r="C467" s="99"/>
      <x:c r="D467" s="99"/>
      <x:c r="E467" s="101"/>
      <x:c r="F467" s="106"/>
      <x:c r="G467" s="106"/>
      <x:c r="H467" s="106"/>
      <x:c r="I467" s="106"/>
      <x:c r="J467" s="106"/>
      <x:c r="K467" s="106"/>
      <x:c r="L467" s="106"/>
      <x:c r="M467" s="106"/>
      <x:c r="N467" s="106"/>
      <x:c r="O467" s="106"/>
      <x:c r="P467" s="106"/>
      <x:c r="Q467" s="106"/>
      <x:c r="R467" s="99"/>
    </x:row>
    <x:row r="468" ht="15" customHeight="1">
      <x:c r="A468" s="22"/>
      <x:c r="B468" s="99"/>
      <x:c r="C468" s="99"/>
      <x:c r="D468" s="99"/>
      <x:c r="E468" s="101"/>
      <x:c r="F468" s="106"/>
      <x:c r="G468" s="106"/>
      <x:c r="H468" s="106"/>
      <x:c r="I468" s="106"/>
      <x:c r="J468" s="106"/>
      <x:c r="K468" s="106"/>
      <x:c r="L468" s="106"/>
      <x:c r="M468" s="106"/>
      <x:c r="N468" s="106"/>
      <x:c r="O468" s="106"/>
      <x:c r="P468" s="106"/>
      <x:c r="Q468" s="106"/>
      <x:c r="R468" s="99"/>
    </x:row>
    <x:row r="469" ht="15" customHeight="1">
      <x:c r="A469" s="94"/>
      <x:c r="B469" s="99"/>
      <x:c r="C469" s="99"/>
      <x:c r="D469" s="99"/>
      <x:c r="E469" s="101"/>
      <x:c r="F469" s="106"/>
      <x:c r="G469" s="106"/>
      <x:c r="H469" s="106"/>
      <x:c r="I469" s="106"/>
      <x:c r="J469" s="106"/>
      <x:c r="K469" s="106"/>
      <x:c r="L469" s="106"/>
      <x:c r="M469" s="111"/>
      <x:c r="N469" s="111"/>
      <x:c r="O469" s="111"/>
      <x:c r="P469" s="111"/>
      <x:c r="Q469" s="111"/>
      <x:c r="R469" s="99"/>
    </x:row>
    <x:row r="470" ht="15" customHeight="1">
      <x:c r="A470" s="22"/>
      <x:c r="B470" s="99"/>
      <x:c r="C470" s="99"/>
      <x:c r="D470" s="99"/>
      <x:c r="E470" s="101"/>
      <x:c r="F470" s="106"/>
      <x:c r="G470" s="106"/>
      <x:c r="H470" s="106"/>
      <x:c r="I470" s="106"/>
      <x:c r="J470" s="106"/>
      <x:c r="K470" s="106"/>
      <x:c r="L470" s="106"/>
      <x:c r="M470" s="106"/>
      <x:c r="N470" s="106"/>
      <x:c r="O470" s="106"/>
      <x:c r="P470" s="106"/>
      <x:c r="Q470" s="106"/>
      <x:c r="R470" s="99"/>
    </x:row>
    <x:row r="471" ht="15" customHeight="1">
      <x:c r="A471" s="22"/>
      <x:c r="B471" s="99"/>
      <x:c r="C471" s="99"/>
      <x:c r="D471" s="99"/>
      <x:c r="E471" s="101"/>
      <x:c r="F471" s="106"/>
      <x:c r="G471" s="106"/>
      <x:c r="H471" s="106"/>
      <x:c r="I471" s="106"/>
      <x:c r="J471" s="106"/>
      <x:c r="K471" s="106"/>
      <x:c r="L471" s="106"/>
      <x:c r="M471" s="106"/>
      <x:c r="N471" s="106"/>
      <x:c r="O471" s="106"/>
      <x:c r="P471" s="106"/>
      <x:c r="Q471" s="106"/>
      <x:c r="R471" s="99"/>
    </x:row>
    <x:row r="472" ht="15" customHeight="1">
      <x:c r="A472" s="22"/>
      <x:c r="B472" s="99"/>
      <x:c r="C472" s="99"/>
      <x:c r="D472" s="99"/>
      <x:c r="E472" s="101"/>
      <x:c r="F472" s="106"/>
      <x:c r="G472" s="106"/>
      <x:c r="H472" s="106"/>
      <x:c r="I472" s="106"/>
      <x:c r="J472" s="106"/>
      <x:c r="K472" s="106"/>
      <x:c r="L472" s="106"/>
      <x:c r="M472" s="106"/>
      <x:c r="N472" s="106"/>
      <x:c r="O472" s="106"/>
      <x:c r="P472" s="106"/>
      <x:c r="Q472" s="106"/>
      <x:c r="R472" s="99"/>
    </x:row>
    <x:row r="473" ht="15" customHeight="1">
      <x:c r="A473" s="94"/>
      <x:c r="B473" s="99"/>
      <x:c r="C473" s="99"/>
      <x:c r="D473" s="99"/>
      <x:c r="E473" s="101"/>
      <x:c r="F473" s="106"/>
      <x:c r="G473" s="106"/>
      <x:c r="H473" s="106"/>
      <x:c r="I473" s="106"/>
      <x:c r="J473" s="106"/>
      <x:c r="K473" s="106"/>
      <x:c r="L473" s="106"/>
      <x:c r="M473" s="111"/>
      <x:c r="N473" s="111"/>
      <x:c r="O473" s="111"/>
      <x:c r="P473" s="111"/>
      <x:c r="Q473" s="111"/>
      <x:c r="R473" s="99"/>
    </x:row>
    <x:row r="474" ht="15" customHeight="1">
      <x:c r="A474" s="22"/>
      <x:c r="B474" s="99"/>
      <x:c r="C474" s="99"/>
      <x:c r="D474" s="99"/>
      <x:c r="E474" s="101"/>
      <x:c r="F474" s="106"/>
      <x:c r="G474" s="106"/>
      <x:c r="H474" s="106"/>
      <x:c r="I474" s="106"/>
      <x:c r="J474" s="106"/>
      <x:c r="K474" s="106"/>
      <x:c r="L474" s="106"/>
      <x:c r="M474" s="106"/>
      <x:c r="N474" s="106"/>
      <x:c r="O474" s="106"/>
      <x:c r="P474" s="106"/>
      <x:c r="Q474" s="106"/>
      <x:c r="R474" s="99"/>
    </x:row>
    <x:row r="475" ht="15" customHeight="1">
      <x:c r="A475" s="22"/>
      <x:c r="B475" s="99"/>
      <x:c r="C475" s="99"/>
      <x:c r="D475" s="99"/>
      <x:c r="E475" s="101"/>
      <x:c r="F475" s="106"/>
      <x:c r="G475" s="106"/>
      <x:c r="H475" s="106"/>
      <x:c r="I475" s="106"/>
      <x:c r="J475" s="106"/>
      <x:c r="K475" s="106"/>
      <x:c r="L475" s="106"/>
      <x:c r="M475" s="106"/>
      <x:c r="N475" s="106"/>
      <x:c r="O475" s="106"/>
      <x:c r="P475" s="106"/>
      <x:c r="Q475" s="106"/>
      <x:c r="R475" s="99"/>
    </x:row>
    <x:row r="476" ht="15" customHeight="1">
      <x:c r="A476" s="22"/>
      <x:c r="B476" s="99"/>
      <x:c r="C476" s="99"/>
      <x:c r="D476" s="99"/>
      <x:c r="E476" s="101"/>
      <x:c r="F476" s="106"/>
      <x:c r="G476" s="106"/>
      <x:c r="H476" s="106"/>
      <x:c r="I476" s="106"/>
      <x:c r="J476" s="106"/>
      <x:c r="K476" s="106"/>
      <x:c r="L476" s="106"/>
      <x:c r="M476" s="106"/>
      <x:c r="N476" s="106"/>
      <x:c r="O476" s="106"/>
      <x:c r="P476" s="106"/>
      <x:c r="Q476" s="106"/>
      <x:c r="R476" s="99"/>
    </x:row>
    <x:row r="477" ht="15" customHeight="1">
      <x:c r="A477" s="94"/>
      <x:c r="B477" s="99"/>
      <x:c r="C477" s="99"/>
      <x:c r="D477" s="99"/>
      <x:c r="E477" s="101"/>
      <x:c r="F477" s="106"/>
      <x:c r="G477" s="106"/>
      <x:c r="H477" s="106"/>
      <x:c r="I477" s="106"/>
      <x:c r="J477" s="106"/>
      <x:c r="K477" s="106"/>
      <x:c r="L477" s="106"/>
      <x:c r="M477" s="111"/>
      <x:c r="N477" s="111"/>
      <x:c r="O477" s="111"/>
      <x:c r="P477" s="111"/>
      <x:c r="Q477" s="111"/>
      <x:c r="R477" s="99"/>
    </x:row>
    <x:row r="478" ht="15" customHeight="1">
      <x:c r="A478" s="22"/>
      <x:c r="B478" s="99"/>
      <x:c r="C478" s="99"/>
      <x:c r="D478" s="99"/>
      <x:c r="E478" s="101"/>
      <x:c r="F478" s="106"/>
      <x:c r="G478" s="106"/>
      <x:c r="H478" s="106"/>
      <x:c r="I478" s="106"/>
      <x:c r="J478" s="106"/>
      <x:c r="K478" s="106"/>
      <x:c r="L478" s="106"/>
      <x:c r="M478" s="106"/>
      <x:c r="N478" s="106"/>
      <x:c r="O478" s="106"/>
      <x:c r="P478" s="106"/>
      <x:c r="Q478" s="106"/>
      <x:c r="R478" s="99"/>
    </x:row>
    <x:row r="479" ht="15" customHeight="1">
      <x:c r="A479" s="22"/>
      <x:c r="B479" s="99"/>
      <x:c r="C479" s="99"/>
      <x:c r="D479" s="99"/>
      <x:c r="E479" s="101"/>
      <x:c r="F479" s="106"/>
      <x:c r="G479" s="106"/>
      <x:c r="H479" s="106"/>
      <x:c r="I479" s="106"/>
      <x:c r="J479" s="106"/>
      <x:c r="K479" s="106"/>
      <x:c r="L479" s="106"/>
      <x:c r="M479" s="106"/>
      <x:c r="N479" s="106"/>
      <x:c r="O479" s="106"/>
      <x:c r="P479" s="106"/>
      <x:c r="Q479" s="106"/>
      <x:c r="R479" s="99"/>
    </x:row>
    <x:row r="480" ht="15" customHeight="1">
      <x:c r="A480" s="22"/>
      <x:c r="B480" s="99"/>
      <x:c r="C480" s="99"/>
      <x:c r="D480" s="99"/>
      <x:c r="E480" s="101"/>
      <x:c r="F480" s="106"/>
      <x:c r="G480" s="106"/>
      <x:c r="H480" s="106"/>
      <x:c r="I480" s="106"/>
      <x:c r="J480" s="106"/>
      <x:c r="K480" s="106"/>
      <x:c r="L480" s="106"/>
      <x:c r="M480" s="106"/>
      <x:c r="N480" s="106"/>
      <x:c r="O480" s="106"/>
      <x:c r="P480" s="106"/>
      <x:c r="Q480" s="106"/>
      <x:c r="R480" s="99"/>
    </x:row>
    <x:row r="481" ht="15" customHeight="1">
      <x:c r="A481" s="94"/>
      <x:c r="B481" s="99"/>
      <x:c r="C481" s="99"/>
      <x:c r="D481" s="99"/>
      <x:c r="E481" s="101"/>
      <x:c r="F481" s="106"/>
      <x:c r="G481" s="106"/>
      <x:c r="H481" s="106"/>
      <x:c r="I481" s="106"/>
      <x:c r="J481" s="106"/>
      <x:c r="K481" s="106"/>
      <x:c r="L481" s="106"/>
      <x:c r="M481" s="111"/>
      <x:c r="N481" s="111"/>
      <x:c r="O481" s="111"/>
      <x:c r="P481" s="111"/>
      <x:c r="Q481" s="111"/>
      <x:c r="R481" s="99"/>
    </x:row>
    <x:row r="482" ht="15" customHeight="1">
      <x:c r="A482" s="22"/>
      <x:c r="B482" s="99"/>
      <x:c r="C482" s="99"/>
      <x:c r="D482" s="99"/>
      <x:c r="E482" s="101"/>
      <x:c r="F482" s="106"/>
      <x:c r="G482" s="106"/>
      <x:c r="H482" s="106"/>
      <x:c r="I482" s="106"/>
      <x:c r="J482" s="106"/>
      <x:c r="K482" s="106"/>
      <x:c r="L482" s="106"/>
      <x:c r="M482" s="106"/>
      <x:c r="N482" s="106"/>
      <x:c r="O482" s="106"/>
      <x:c r="P482" s="106"/>
      <x:c r="Q482" s="106"/>
      <x:c r="R482" s="99"/>
    </x:row>
    <x:row r="483" ht="15" customHeight="1">
      <x:c r="A483" s="22"/>
      <x:c r="B483" s="99"/>
      <x:c r="C483" s="99"/>
      <x:c r="D483" s="99"/>
      <x:c r="E483" s="101"/>
      <x:c r="F483" s="106"/>
      <x:c r="G483" s="106"/>
      <x:c r="H483" s="106"/>
      <x:c r="I483" s="106"/>
      <x:c r="J483" s="106"/>
      <x:c r="K483" s="106"/>
      <x:c r="L483" s="106"/>
      <x:c r="M483" s="106"/>
      <x:c r="N483" s="106"/>
      <x:c r="O483" s="106"/>
      <x:c r="P483" s="106"/>
      <x:c r="Q483" s="106"/>
      <x:c r="R483" s="99"/>
    </x:row>
    <x:row r="484" ht="15" customHeight="1">
      <x:c r="A484" s="22"/>
      <x:c r="B484" s="99"/>
      <x:c r="C484" s="99"/>
      <x:c r="D484" s="99"/>
      <x:c r="E484" s="101"/>
      <x:c r="F484" s="106"/>
      <x:c r="G484" s="106"/>
      <x:c r="H484" s="106"/>
      <x:c r="I484" s="106"/>
      <x:c r="J484" s="106"/>
      <x:c r="K484" s="106"/>
      <x:c r="L484" s="106"/>
      <x:c r="M484" s="106"/>
      <x:c r="N484" s="106"/>
      <x:c r="O484" s="106"/>
      <x:c r="P484" s="106"/>
      <x:c r="Q484" s="106"/>
      <x:c r="R484" s="99"/>
    </x:row>
    <x:row r="485" ht="15" customHeight="1">
      <x:c r="A485" s="94"/>
      <x:c r="B485" s="99"/>
      <x:c r="C485" s="99"/>
      <x:c r="D485" s="99"/>
      <x:c r="E485" s="101"/>
      <x:c r="F485" s="106"/>
      <x:c r="G485" s="106"/>
      <x:c r="H485" s="106"/>
      <x:c r="I485" s="106"/>
      <x:c r="J485" s="106"/>
      <x:c r="K485" s="106"/>
      <x:c r="L485" s="106"/>
      <x:c r="M485" s="111"/>
      <x:c r="N485" s="111"/>
      <x:c r="O485" s="111"/>
      <x:c r="P485" s="111"/>
      <x:c r="Q485" s="111"/>
      <x:c r="R485" s="99"/>
    </x:row>
    <x:row r="486" ht="15" customHeight="1">
      <x:c r="A486" s="22"/>
      <x:c r="B486" s="99"/>
      <x:c r="C486" s="99"/>
      <x:c r="D486" s="99"/>
      <x:c r="E486" s="101"/>
      <x:c r="F486" s="106"/>
      <x:c r="G486" s="106"/>
      <x:c r="H486" s="106"/>
      <x:c r="I486" s="106"/>
      <x:c r="J486" s="106"/>
      <x:c r="K486" s="106"/>
      <x:c r="L486" s="106"/>
      <x:c r="M486" s="106"/>
      <x:c r="N486" s="106"/>
      <x:c r="O486" s="106"/>
      <x:c r="P486" s="106"/>
      <x:c r="Q486" s="106"/>
      <x:c r="R486" s="99"/>
    </x:row>
    <x:row r="487" ht="15" customHeight="1">
      <x:c r="A487" s="22"/>
      <x:c r="B487" s="99"/>
      <x:c r="C487" s="99"/>
      <x:c r="D487" s="99"/>
      <x:c r="E487" s="101"/>
      <x:c r="F487" s="106"/>
      <x:c r="G487" s="106"/>
      <x:c r="H487" s="106"/>
      <x:c r="I487" s="106"/>
      <x:c r="J487" s="106"/>
      <x:c r="K487" s="106"/>
      <x:c r="L487" s="106"/>
      <x:c r="M487" s="106"/>
      <x:c r="N487" s="106"/>
      <x:c r="O487" s="106"/>
      <x:c r="P487" s="106"/>
      <x:c r="Q487" s="106"/>
      <x:c r="R487" s="99"/>
    </x:row>
    <x:row r="488" ht="15" customHeight="1">
      <x:c r="A488" s="22"/>
      <x:c r="B488" s="99"/>
      <x:c r="C488" s="99"/>
      <x:c r="D488" s="99"/>
      <x:c r="E488" s="101"/>
      <x:c r="F488" s="106"/>
      <x:c r="G488" s="106"/>
      <x:c r="H488" s="106"/>
      <x:c r="I488" s="106"/>
      <x:c r="J488" s="106"/>
      <x:c r="K488" s="106"/>
      <x:c r="L488" s="106"/>
      <x:c r="M488" s="106"/>
      <x:c r="N488" s="106"/>
      <x:c r="O488" s="106"/>
      <x:c r="P488" s="106"/>
      <x:c r="Q488" s="106"/>
      <x:c r="R488" s="99"/>
    </x:row>
    <x:row r="489" ht="15" customHeight="1">
      <x:c r="A489" s="94"/>
      <x:c r="B489" s="99"/>
      <x:c r="C489" s="99"/>
      <x:c r="D489" s="99"/>
      <x:c r="E489" s="101"/>
      <x:c r="F489" s="106"/>
      <x:c r="G489" s="106"/>
      <x:c r="H489" s="106"/>
      <x:c r="I489" s="106"/>
      <x:c r="J489" s="106"/>
      <x:c r="K489" s="106"/>
      <x:c r="L489" s="106"/>
      <x:c r="M489" s="111"/>
      <x:c r="N489" s="111"/>
      <x:c r="O489" s="111"/>
      <x:c r="P489" s="111"/>
      <x:c r="Q489" s="111"/>
      <x:c r="R489" s="99"/>
    </x:row>
    <x:row r="490" ht="15" customHeight="1">
      <x:c r="A490" s="22"/>
      <x:c r="B490" s="99"/>
      <x:c r="C490" s="99"/>
      <x:c r="D490" s="99"/>
      <x:c r="E490" s="101"/>
      <x:c r="F490" s="106"/>
      <x:c r="G490" s="106"/>
      <x:c r="H490" s="106"/>
      <x:c r="I490" s="106"/>
      <x:c r="J490" s="106"/>
      <x:c r="K490" s="106"/>
      <x:c r="L490" s="106"/>
      <x:c r="M490" s="106"/>
      <x:c r="N490" s="106"/>
      <x:c r="O490" s="106"/>
      <x:c r="P490" s="106"/>
      <x:c r="Q490" s="106"/>
      <x:c r="R490" s="99"/>
    </x:row>
    <x:row r="491" ht="15" customHeight="1">
      <x:c r="A491" s="22"/>
      <x:c r="B491" s="99"/>
      <x:c r="C491" s="99"/>
      <x:c r="D491" s="99"/>
      <x:c r="E491" s="101"/>
      <x:c r="F491" s="106"/>
      <x:c r="G491" s="106"/>
      <x:c r="H491" s="106"/>
      <x:c r="I491" s="106"/>
      <x:c r="J491" s="106"/>
      <x:c r="K491" s="106"/>
      <x:c r="L491" s="106"/>
      <x:c r="M491" s="106"/>
      <x:c r="N491" s="106"/>
      <x:c r="O491" s="106"/>
      <x:c r="P491" s="106"/>
      <x:c r="Q491" s="106"/>
      <x:c r="R491" s="99"/>
    </x:row>
    <x:row r="492" ht="15" customHeight="1">
      <x:c r="A492" s="22"/>
      <x:c r="B492" s="99"/>
      <x:c r="C492" s="99"/>
      <x:c r="D492" s="99"/>
      <x:c r="E492" s="101"/>
      <x:c r="F492" s="106"/>
      <x:c r="G492" s="106"/>
      <x:c r="H492" s="106"/>
      <x:c r="I492" s="106"/>
      <x:c r="J492" s="106"/>
      <x:c r="K492" s="106"/>
      <x:c r="L492" s="106"/>
      <x:c r="M492" s="106"/>
      <x:c r="N492" s="106"/>
      <x:c r="O492" s="106"/>
      <x:c r="P492" s="106"/>
      <x:c r="Q492" s="106"/>
      <x:c r="R492" s="99"/>
    </x:row>
    <x:row r="493" ht="15" customHeight="1">
      <x:c r="A493" s="94"/>
      <x:c r="B493" s="99"/>
      <x:c r="C493" s="99"/>
      <x:c r="D493" s="99"/>
      <x:c r="E493" s="101"/>
      <x:c r="F493" s="106"/>
      <x:c r="G493" s="106"/>
      <x:c r="H493" s="106"/>
      <x:c r="I493" s="106"/>
      <x:c r="J493" s="106"/>
      <x:c r="K493" s="106"/>
      <x:c r="L493" s="106"/>
      <x:c r="M493" s="111"/>
      <x:c r="N493" s="111"/>
      <x:c r="O493" s="111"/>
      <x:c r="P493" s="111"/>
      <x:c r="Q493" s="111"/>
      <x:c r="R493" s="99"/>
    </x:row>
    <x:row r="494" ht="15" customHeight="1">
      <x:c r="A494" s="22"/>
      <x:c r="B494" s="99"/>
      <x:c r="C494" s="99"/>
      <x:c r="D494" s="99"/>
      <x:c r="E494" s="101"/>
      <x:c r="F494" s="106"/>
      <x:c r="G494" s="106"/>
      <x:c r="H494" s="106"/>
      <x:c r="I494" s="106"/>
      <x:c r="J494" s="106"/>
      <x:c r="K494" s="106"/>
      <x:c r="L494" s="106"/>
      <x:c r="M494" s="106"/>
      <x:c r="N494" s="106"/>
      <x:c r="O494" s="106"/>
      <x:c r="P494" s="106"/>
      <x:c r="Q494" s="106"/>
      <x:c r="R494" s="99"/>
    </x:row>
    <x:row r="495" ht="15" customHeight="1">
      <x:c r="A495" s="22"/>
      <x:c r="B495" s="99"/>
      <x:c r="C495" s="99"/>
      <x:c r="D495" s="99"/>
      <x:c r="E495" s="101"/>
      <x:c r="F495" s="106"/>
      <x:c r="G495" s="106"/>
      <x:c r="H495" s="106"/>
      <x:c r="I495" s="106"/>
      <x:c r="J495" s="106"/>
      <x:c r="K495" s="106"/>
      <x:c r="L495" s="106"/>
      <x:c r="M495" s="106"/>
      <x:c r="N495" s="106"/>
      <x:c r="O495" s="106"/>
      <x:c r="P495" s="106"/>
      <x:c r="Q495" s="106"/>
      <x:c r="R495" s="99"/>
    </x:row>
    <x:row r="496" ht="15" customHeight="1">
      <x:c r="A496" s="22"/>
      <x:c r="B496" s="99"/>
      <x:c r="C496" s="99"/>
      <x:c r="D496" s="99"/>
      <x:c r="E496" s="101"/>
      <x:c r="F496" s="106"/>
      <x:c r="G496" s="106"/>
      <x:c r="H496" s="106"/>
      <x:c r="I496" s="106"/>
      <x:c r="J496" s="106"/>
      <x:c r="K496" s="106"/>
      <x:c r="L496" s="106"/>
      <x:c r="M496" s="106"/>
      <x:c r="N496" s="106"/>
      <x:c r="O496" s="106"/>
      <x:c r="P496" s="106"/>
      <x:c r="Q496" s="106"/>
      <x:c r="R496" s="99"/>
    </x:row>
    <x:row r="497" ht="15" customHeight="1">
      <x:c r="A497" s="94"/>
      <x:c r="B497" s="99"/>
      <x:c r="C497" s="99"/>
      <x:c r="D497" s="99"/>
      <x:c r="E497" s="101"/>
      <x:c r="F497" s="106"/>
      <x:c r="G497" s="106"/>
      <x:c r="H497" s="106"/>
      <x:c r="I497" s="106"/>
      <x:c r="J497" s="106"/>
      <x:c r="K497" s="106"/>
      <x:c r="L497" s="106"/>
      <x:c r="M497" s="111"/>
      <x:c r="N497" s="111"/>
      <x:c r="O497" s="111"/>
      <x:c r="P497" s="111"/>
      <x:c r="Q497" s="111"/>
      <x:c r="R497" s="99"/>
    </x:row>
    <x:row r="498" ht="15" customHeight="1">
      <x:c r="A498" s="22"/>
      <x:c r="B498" s="99"/>
      <x:c r="C498" s="99"/>
      <x:c r="D498" s="99"/>
      <x:c r="E498" s="101"/>
      <x:c r="F498" s="106"/>
      <x:c r="G498" s="106"/>
      <x:c r="H498" s="106"/>
      <x:c r="I498" s="106"/>
      <x:c r="J498" s="106"/>
      <x:c r="K498" s="106"/>
      <x:c r="L498" s="106"/>
      <x:c r="M498" s="106"/>
      <x:c r="N498" s="106"/>
      <x:c r="O498" s="106"/>
      <x:c r="P498" s="106"/>
      <x:c r="Q498" s="106"/>
      <x:c r="R498" s="99"/>
    </x:row>
    <x:row r="499" ht="15" customHeight="1">
      <x:c r="A499" s="22"/>
      <x:c r="B499" s="99"/>
      <x:c r="C499" s="99"/>
      <x:c r="D499" s="99"/>
      <x:c r="E499" s="101"/>
      <x:c r="F499" s="106"/>
      <x:c r="G499" s="106"/>
      <x:c r="H499" s="106"/>
      <x:c r="I499" s="106"/>
      <x:c r="J499" s="106"/>
      <x:c r="K499" s="106"/>
      <x:c r="L499" s="106"/>
      <x:c r="M499" s="106"/>
      <x:c r="N499" s="106"/>
      <x:c r="O499" s="106"/>
      <x:c r="P499" s="106"/>
      <x:c r="Q499" s="106"/>
      <x:c r="R499" s="99"/>
    </x:row>
    <x:row r="500" ht="15" customHeight="1">
      <x:c r="A500" s="22"/>
      <x:c r="B500" s="99"/>
      <x:c r="C500" s="99"/>
      <x:c r="D500" s="99"/>
      <x:c r="E500" s="101"/>
      <x:c r="F500" s="106"/>
      <x:c r="G500" s="106"/>
      <x:c r="H500" s="106"/>
      <x:c r="I500" s="106"/>
      <x:c r="J500" s="106"/>
      <x:c r="K500" s="106"/>
      <x:c r="L500" s="106"/>
      <x:c r="M500" s="106"/>
      <x:c r="N500" s="106"/>
      <x:c r="O500" s="106"/>
      <x:c r="P500" s="106"/>
      <x:c r="Q500" s="106"/>
      <x:c r="R500" s="99"/>
    </x:row>
    <x:row r="501" ht="15" customHeight="1">
      <x:c r="A501" s="94"/>
      <x:c r="B501" s="99"/>
      <x:c r="C501" s="99"/>
      <x:c r="D501" s="99"/>
      <x:c r="E501" s="101"/>
      <x:c r="F501" s="106"/>
      <x:c r="G501" s="106"/>
      <x:c r="H501" s="106"/>
      <x:c r="I501" s="106"/>
      <x:c r="J501" s="106"/>
      <x:c r="K501" s="106"/>
      <x:c r="L501" s="106"/>
      <x:c r="M501" s="111"/>
      <x:c r="N501" s="111"/>
      <x:c r="O501" s="111"/>
      <x:c r="P501" s="111"/>
      <x:c r="Q501" s="111"/>
      <x:c r="R501" s="99"/>
    </x:row>
    <x:row r="502" ht="15" customHeight="1">
      <x:c r="A502" s="22"/>
      <x:c r="B502" s="99"/>
      <x:c r="C502" s="99"/>
      <x:c r="D502" s="99"/>
      <x:c r="E502" s="101"/>
      <x:c r="F502" s="106"/>
      <x:c r="G502" s="106"/>
      <x:c r="H502" s="106"/>
      <x:c r="I502" s="106"/>
      <x:c r="J502" s="106"/>
      <x:c r="K502" s="106"/>
      <x:c r="L502" s="106"/>
      <x:c r="M502" s="106"/>
      <x:c r="N502" s="106"/>
      <x:c r="O502" s="106"/>
      <x:c r="P502" s="106"/>
      <x:c r="Q502" s="106"/>
      <x:c r="R502" s="99"/>
    </x:row>
    <x:row r="503" ht="15" customHeight="1">
      <x:c r="A503" s="22"/>
      <x:c r="B503" s="99"/>
      <x:c r="C503" s="99"/>
      <x:c r="D503" s="99"/>
      <x:c r="E503" s="101"/>
      <x:c r="F503" s="106"/>
      <x:c r="G503" s="106"/>
      <x:c r="H503" s="106"/>
      <x:c r="I503" s="106"/>
      <x:c r="J503" s="106"/>
      <x:c r="K503" s="106"/>
      <x:c r="L503" s="106"/>
      <x:c r="M503" s="106"/>
      <x:c r="N503" s="106"/>
      <x:c r="O503" s="106"/>
      <x:c r="P503" s="106"/>
      <x:c r="Q503" s="106"/>
      <x:c r="R503" s="99"/>
    </x:row>
    <x:row r="504" ht="15" customHeight="1">
      <x:c r="A504" s="22"/>
      <x:c r="B504" s="99"/>
      <x:c r="C504" s="99"/>
      <x:c r="D504" s="99"/>
      <x:c r="E504" s="101"/>
      <x:c r="F504" s="106"/>
      <x:c r="G504" s="106"/>
      <x:c r="H504" s="106"/>
      <x:c r="I504" s="106"/>
      <x:c r="J504" s="106"/>
      <x:c r="K504" s="106"/>
      <x:c r="L504" s="106"/>
      <x:c r="M504" s="106"/>
      <x:c r="N504" s="106"/>
      <x:c r="O504" s="106"/>
      <x:c r="P504" s="106"/>
      <x:c r="Q504" s="106"/>
      <x:c r="R504" s="99"/>
    </x:row>
    <x:row r="505" ht="15" customHeight="1">
      <x:c r="A505" s="94"/>
      <x:c r="B505" s="99"/>
      <x:c r="C505" s="99"/>
      <x:c r="D505" s="99"/>
      <x:c r="E505" s="101"/>
      <x:c r="F505" s="106"/>
      <x:c r="G505" s="106"/>
      <x:c r="H505" s="106"/>
      <x:c r="I505" s="106"/>
      <x:c r="J505" s="106"/>
      <x:c r="K505" s="106"/>
      <x:c r="L505" s="106"/>
      <x:c r="M505" s="111"/>
      <x:c r="N505" s="111"/>
      <x:c r="O505" s="111"/>
      <x:c r="P505" s="111"/>
      <x:c r="Q505" s="111"/>
      <x:c r="R505" s="99"/>
    </x:row>
    <x:row r="506" ht="15" customHeight="1">
      <x:c r="A506" s="22"/>
      <x:c r="B506" s="99"/>
      <x:c r="C506" s="99"/>
      <x:c r="D506" s="99"/>
      <x:c r="E506" s="101"/>
      <x:c r="F506" s="106"/>
      <x:c r="G506" s="106"/>
      <x:c r="H506" s="106"/>
      <x:c r="I506" s="106"/>
      <x:c r="J506" s="106"/>
      <x:c r="K506" s="106"/>
      <x:c r="L506" s="106"/>
      <x:c r="M506" s="106"/>
      <x:c r="N506" s="106"/>
      <x:c r="O506" s="106"/>
      <x:c r="P506" s="106"/>
      <x:c r="Q506" s="106"/>
      <x:c r="R506" s="99"/>
    </x:row>
    <x:row r="507" ht="15" customHeight="1">
      <x:c r="A507" s="22"/>
      <x:c r="B507" s="99"/>
      <x:c r="C507" s="99"/>
      <x:c r="D507" s="99"/>
      <x:c r="E507" s="101"/>
      <x:c r="F507" s="106"/>
      <x:c r="G507" s="106"/>
      <x:c r="H507" s="106"/>
      <x:c r="I507" s="106"/>
      <x:c r="J507" s="106"/>
      <x:c r="K507" s="106"/>
      <x:c r="L507" s="106"/>
      <x:c r="M507" s="106"/>
      <x:c r="N507" s="106"/>
      <x:c r="O507" s="106"/>
      <x:c r="P507" s="106"/>
      <x:c r="Q507" s="106"/>
      <x:c r="R507" s="99"/>
    </x:row>
    <x:row r="508" ht="15" customHeight="1">
      <x:c r="A508" s="22"/>
      <x:c r="B508" s="99"/>
      <x:c r="C508" s="99"/>
      <x:c r="D508" s="99"/>
      <x:c r="E508" s="101"/>
      <x:c r="F508" s="106"/>
      <x:c r="G508" s="106"/>
      <x:c r="H508" s="106"/>
      <x:c r="I508" s="106"/>
      <x:c r="J508" s="106"/>
      <x:c r="K508" s="106"/>
      <x:c r="L508" s="106"/>
      <x:c r="M508" s="106"/>
      <x:c r="N508" s="106"/>
      <x:c r="O508" s="106"/>
      <x:c r="P508" s="106"/>
      <x:c r="Q508" s="106"/>
      <x:c r="R508" s="99"/>
    </x:row>
    <x:row r="509" ht="15" customHeight="1">
      <x:c r="A509" s="94"/>
      <x:c r="B509" s="99"/>
      <x:c r="C509" s="99"/>
      <x:c r="D509" s="99"/>
      <x:c r="E509" s="101"/>
      <x:c r="F509" s="106"/>
      <x:c r="G509" s="106"/>
      <x:c r="H509" s="106"/>
      <x:c r="I509" s="106"/>
      <x:c r="J509" s="106"/>
      <x:c r="K509" s="106"/>
      <x:c r="L509" s="106"/>
      <x:c r="M509" s="111"/>
      <x:c r="N509" s="111"/>
      <x:c r="O509" s="111"/>
      <x:c r="P509" s="111"/>
      <x:c r="Q509" s="111"/>
      <x:c r="R509" s="99"/>
    </x:row>
    <x:row r="510" ht="15" customHeight="1">
      <x:c r="A510" s="22"/>
      <x:c r="B510" s="99"/>
      <x:c r="C510" s="99"/>
      <x:c r="D510" s="99"/>
      <x:c r="E510" s="101"/>
      <x:c r="F510" s="106"/>
      <x:c r="G510" s="106"/>
      <x:c r="H510" s="106"/>
      <x:c r="I510" s="106"/>
      <x:c r="J510" s="106"/>
      <x:c r="K510" s="106"/>
      <x:c r="L510" s="106"/>
      <x:c r="M510" s="106"/>
      <x:c r="N510" s="106"/>
      <x:c r="O510" s="106"/>
      <x:c r="P510" s="106"/>
      <x:c r="Q510" s="106"/>
      <x:c r="R510" s="99"/>
    </x:row>
    <x:row r="511" ht="15" customHeight="1">
      <x:c r="A511" s="22"/>
      <x:c r="B511" s="99"/>
      <x:c r="C511" s="99"/>
      <x:c r="D511" s="99"/>
      <x:c r="E511" s="101"/>
      <x:c r="F511" s="106"/>
      <x:c r="G511" s="106"/>
      <x:c r="H511" s="106"/>
      <x:c r="I511" s="106"/>
      <x:c r="J511" s="106"/>
      <x:c r="K511" s="106"/>
      <x:c r="L511" s="106"/>
      <x:c r="M511" s="106"/>
      <x:c r="N511" s="106"/>
      <x:c r="O511" s="106"/>
      <x:c r="P511" s="106"/>
      <x:c r="Q511" s="106"/>
      <x:c r="R511" s="99"/>
    </x:row>
    <x:row r="512" ht="15" customHeight="1">
      <x:c r="A512" s="22"/>
      <x:c r="B512" s="99"/>
      <x:c r="C512" s="99"/>
      <x:c r="D512" s="99"/>
      <x:c r="E512" s="101"/>
      <x:c r="F512" s="106"/>
      <x:c r="G512" s="106"/>
      <x:c r="H512" s="106"/>
      <x:c r="I512" s="106"/>
      <x:c r="J512" s="106"/>
      <x:c r="K512" s="106"/>
      <x:c r="L512" s="106"/>
      <x:c r="M512" s="106"/>
      <x:c r="N512" s="106"/>
      <x:c r="O512" s="106"/>
      <x:c r="P512" s="106"/>
      <x:c r="Q512" s="106"/>
      <x:c r="R512" s="99"/>
    </x:row>
    <x:row r="513" ht="15" customHeight="1">
      <x:c r="A513" s="94"/>
      <x:c r="B513" s="99"/>
      <x:c r="C513" s="99"/>
      <x:c r="D513" s="99"/>
      <x:c r="E513" s="101"/>
      <x:c r="F513" s="106"/>
      <x:c r="G513" s="106"/>
      <x:c r="H513" s="106"/>
      <x:c r="I513" s="106"/>
      <x:c r="J513" s="106"/>
      <x:c r="K513" s="106"/>
      <x:c r="L513" s="106"/>
      <x:c r="M513" s="111"/>
      <x:c r="N513" s="111"/>
      <x:c r="O513" s="111"/>
      <x:c r="P513" s="111"/>
      <x:c r="Q513" s="111"/>
      <x:c r="R513" s="99"/>
    </x:row>
    <x:row r="514" ht="15" customHeight="1">
      <x:c r="A514" s="22"/>
      <x:c r="B514" s="99"/>
      <x:c r="C514" s="99"/>
      <x:c r="D514" s="99"/>
      <x:c r="E514" s="101"/>
      <x:c r="F514" s="106"/>
      <x:c r="G514" s="106"/>
      <x:c r="H514" s="106"/>
      <x:c r="I514" s="106"/>
      <x:c r="J514" s="106"/>
      <x:c r="K514" s="106"/>
      <x:c r="L514" s="106"/>
      <x:c r="M514" s="106"/>
      <x:c r="N514" s="106"/>
      <x:c r="O514" s="106"/>
      <x:c r="P514" s="106"/>
      <x:c r="Q514" s="106"/>
      <x:c r="R514" s="99"/>
    </x:row>
    <x:row r="515" ht="15" customHeight="1">
      <x:c r="A515" s="22"/>
      <x:c r="B515" s="99"/>
      <x:c r="C515" s="99"/>
      <x:c r="D515" s="99"/>
      <x:c r="E515" s="101"/>
      <x:c r="F515" s="106"/>
      <x:c r="G515" s="106"/>
      <x:c r="H515" s="106"/>
      <x:c r="I515" s="106"/>
      <x:c r="J515" s="106"/>
      <x:c r="K515" s="106"/>
      <x:c r="L515" s="106"/>
      <x:c r="M515" s="106"/>
      <x:c r="N515" s="106"/>
      <x:c r="O515" s="106"/>
      <x:c r="P515" s="106"/>
      <x:c r="Q515" s="106"/>
      <x:c r="R515" s="99"/>
    </x:row>
    <x:row r="516" ht="15" customHeight="1">
      <x:c r="A516" s="22"/>
      <x:c r="B516" s="99"/>
      <x:c r="C516" s="99"/>
      <x:c r="D516" s="99"/>
      <x:c r="E516" s="101"/>
      <x:c r="F516" s="106"/>
      <x:c r="G516" s="106"/>
      <x:c r="H516" s="106"/>
      <x:c r="I516" s="106"/>
      <x:c r="J516" s="106"/>
      <x:c r="K516" s="106"/>
      <x:c r="L516" s="106"/>
      <x:c r="M516" s="106"/>
      <x:c r="N516" s="106"/>
      <x:c r="O516" s="106"/>
      <x:c r="P516" s="106"/>
      <x:c r="Q516" s="106"/>
      <x:c r="R516" s="99"/>
    </x:row>
    <x:row r="517" ht="15" customHeight="1">
      <x:c r="A517" s="94"/>
      <x:c r="B517" s="99"/>
      <x:c r="C517" s="99"/>
      <x:c r="D517" s="99"/>
      <x:c r="E517" s="101"/>
      <x:c r="F517" s="106"/>
      <x:c r="G517" s="106"/>
      <x:c r="H517" s="106"/>
      <x:c r="I517" s="106"/>
      <x:c r="J517" s="106"/>
      <x:c r="K517" s="106"/>
      <x:c r="L517" s="106"/>
      <x:c r="M517" s="111"/>
      <x:c r="N517" s="111"/>
      <x:c r="O517" s="111"/>
      <x:c r="P517" s="111"/>
      <x:c r="Q517" s="111"/>
      <x:c r="R517" s="99"/>
    </x:row>
    <x:row r="518" ht="15" customHeight="1">
      <x:c r="A518" s="22"/>
      <x:c r="B518" s="99"/>
      <x:c r="C518" s="99"/>
      <x:c r="D518" s="99"/>
      <x:c r="E518" s="101"/>
      <x:c r="F518" s="106"/>
      <x:c r="G518" s="106"/>
      <x:c r="H518" s="106"/>
      <x:c r="I518" s="106"/>
      <x:c r="J518" s="106"/>
      <x:c r="K518" s="106"/>
      <x:c r="L518" s="106"/>
      <x:c r="M518" s="106"/>
      <x:c r="N518" s="106"/>
      <x:c r="O518" s="106"/>
      <x:c r="P518" s="106"/>
      <x:c r="Q518" s="106"/>
      <x:c r="R518" s="99"/>
    </x:row>
    <x:row r="519" ht="15" customHeight="1">
      <x:c r="A519" s="22"/>
      <x:c r="B519" s="99"/>
      <x:c r="C519" s="99"/>
      <x:c r="D519" s="99"/>
      <x:c r="E519" s="101"/>
      <x:c r="F519" s="106"/>
      <x:c r="G519" s="106"/>
      <x:c r="H519" s="106"/>
      <x:c r="I519" s="106"/>
      <x:c r="J519" s="106"/>
      <x:c r="K519" s="106"/>
      <x:c r="L519" s="106"/>
      <x:c r="M519" s="106"/>
      <x:c r="N519" s="106"/>
      <x:c r="O519" s="106"/>
      <x:c r="P519" s="106"/>
      <x:c r="Q519" s="106"/>
      <x:c r="R519" s="99"/>
    </x:row>
    <x:row r="520" ht="15" customHeight="1">
      <x:c r="A520" s="22"/>
      <x:c r="B520" s="99"/>
      <x:c r="C520" s="99"/>
      <x:c r="D520" s="99"/>
      <x:c r="E520" s="101"/>
      <x:c r="F520" s="106"/>
      <x:c r="G520" s="106"/>
      <x:c r="H520" s="106"/>
      <x:c r="I520" s="106"/>
      <x:c r="J520" s="106"/>
      <x:c r="K520" s="106"/>
      <x:c r="L520" s="106"/>
      <x:c r="M520" s="106"/>
      <x:c r="N520" s="106"/>
      <x:c r="O520" s="106"/>
      <x:c r="P520" s="106"/>
      <x:c r="Q520" s="106"/>
      <x:c r="R520" s="99"/>
    </x:row>
    <x:row r="521" ht="15" customHeight="1">
      <x:c r="A521" s="94"/>
      <x:c r="B521" s="99"/>
      <x:c r="C521" s="99"/>
      <x:c r="D521" s="99"/>
      <x:c r="E521" s="101"/>
      <x:c r="F521" s="106"/>
      <x:c r="G521" s="106"/>
      <x:c r="H521" s="106"/>
      <x:c r="I521" s="106"/>
      <x:c r="J521" s="106"/>
      <x:c r="K521" s="106"/>
      <x:c r="L521" s="106"/>
      <x:c r="M521" s="111"/>
      <x:c r="N521" s="111"/>
      <x:c r="O521" s="111"/>
      <x:c r="P521" s="111"/>
      <x:c r="Q521" s="111"/>
      <x:c r="R521" s="99"/>
    </x:row>
    <x:row r="522" ht="15" customHeight="1">
      <x:c r="A522" s="22"/>
      <x:c r="B522" s="99"/>
      <x:c r="C522" s="99"/>
      <x:c r="D522" s="99"/>
      <x:c r="E522" s="101"/>
      <x:c r="F522" s="106"/>
      <x:c r="G522" s="106"/>
      <x:c r="H522" s="106"/>
      <x:c r="I522" s="106"/>
      <x:c r="J522" s="106"/>
      <x:c r="K522" s="106"/>
      <x:c r="L522" s="106"/>
      <x:c r="M522" s="106"/>
      <x:c r="N522" s="106"/>
      <x:c r="O522" s="106"/>
      <x:c r="P522" s="106"/>
      <x:c r="Q522" s="106"/>
      <x:c r="R522" s="99"/>
    </x:row>
    <x:row r="523" ht="15" customHeight="1">
      <x:c r="A523" s="22"/>
      <x:c r="B523" s="99"/>
      <x:c r="C523" s="99"/>
      <x:c r="D523" s="99"/>
      <x:c r="E523" s="101"/>
      <x:c r="F523" s="106"/>
      <x:c r="G523" s="106"/>
      <x:c r="H523" s="106"/>
      <x:c r="I523" s="106"/>
      <x:c r="J523" s="106"/>
      <x:c r="K523" s="106"/>
      <x:c r="L523" s="106"/>
      <x:c r="M523" s="106"/>
      <x:c r="N523" s="106"/>
      <x:c r="O523" s="106"/>
      <x:c r="P523" s="106"/>
      <x:c r="Q523" s="106"/>
      <x:c r="R523" s="99"/>
    </x:row>
    <x:row r="524" ht="15" customHeight="1">
      <x:c r="A524" s="22"/>
      <x:c r="B524" s="99"/>
      <x:c r="C524" s="99"/>
      <x:c r="D524" s="99"/>
      <x:c r="E524" s="101"/>
      <x:c r="F524" s="106"/>
      <x:c r="G524" s="106"/>
      <x:c r="H524" s="106"/>
      <x:c r="I524" s="106"/>
      <x:c r="J524" s="106"/>
      <x:c r="K524" s="106"/>
      <x:c r="L524" s="106"/>
      <x:c r="M524" s="106"/>
      <x:c r="N524" s="106"/>
      <x:c r="O524" s="106"/>
      <x:c r="P524" s="106"/>
      <x:c r="Q524" s="106"/>
      <x:c r="R524" s="99"/>
    </x:row>
    <x:row r="525" ht="15" customHeight="1">
      <x:c r="A525" s="94"/>
      <x:c r="B525" s="99"/>
      <x:c r="C525" s="99"/>
      <x:c r="D525" s="99"/>
      <x:c r="E525" s="101"/>
      <x:c r="F525" s="106"/>
      <x:c r="G525" s="106"/>
      <x:c r="H525" s="106"/>
      <x:c r="I525" s="106"/>
      <x:c r="J525" s="106"/>
      <x:c r="K525" s="106"/>
      <x:c r="L525" s="106"/>
      <x:c r="M525" s="111"/>
      <x:c r="N525" s="111"/>
      <x:c r="O525" s="111"/>
      <x:c r="P525" s="111"/>
      <x:c r="Q525" s="111"/>
      <x:c r="R525" s="99"/>
    </x:row>
    <x:row r="526" ht="15" customHeight="1">
      <x:c r="A526" s="22"/>
      <x:c r="B526" s="99"/>
      <x:c r="C526" s="99"/>
      <x:c r="D526" s="99"/>
      <x:c r="E526" s="101"/>
      <x:c r="F526" s="106"/>
      <x:c r="G526" s="106"/>
      <x:c r="H526" s="106"/>
      <x:c r="I526" s="106"/>
      <x:c r="J526" s="106"/>
      <x:c r="K526" s="106"/>
      <x:c r="L526" s="106"/>
      <x:c r="M526" s="106"/>
      <x:c r="N526" s="106"/>
      <x:c r="O526" s="106"/>
      <x:c r="P526" s="106"/>
      <x:c r="Q526" s="106"/>
      <x:c r="R526" s="99"/>
    </x:row>
    <x:row r="527" ht="15" customHeight="1">
      <x:c r="A527" s="22"/>
      <x:c r="B527" s="99"/>
      <x:c r="C527" s="99"/>
      <x:c r="D527" s="99"/>
      <x:c r="E527" s="101"/>
      <x:c r="F527" s="106"/>
      <x:c r="G527" s="106"/>
      <x:c r="H527" s="106"/>
      <x:c r="I527" s="106"/>
      <x:c r="J527" s="106"/>
      <x:c r="K527" s="106"/>
      <x:c r="L527" s="106"/>
      <x:c r="M527" s="106"/>
      <x:c r="N527" s="106"/>
      <x:c r="O527" s="106"/>
      <x:c r="P527" s="106"/>
      <x:c r="Q527" s="106"/>
      <x:c r="R527" s="99"/>
    </x:row>
    <x:row r="528" ht="15" customHeight="1">
      <x:c r="A528" s="22"/>
      <x:c r="B528" s="99"/>
      <x:c r="C528" s="99"/>
      <x:c r="D528" s="99"/>
      <x:c r="E528" s="101"/>
      <x:c r="F528" s="106"/>
      <x:c r="G528" s="106"/>
      <x:c r="H528" s="106"/>
      <x:c r="I528" s="106"/>
      <x:c r="J528" s="106"/>
      <x:c r="K528" s="106"/>
      <x:c r="L528" s="106"/>
      <x:c r="M528" s="106"/>
      <x:c r="N528" s="106"/>
      <x:c r="O528" s="106"/>
      <x:c r="P528" s="106"/>
      <x:c r="Q528" s="106"/>
      <x:c r="R528" s="99"/>
    </x:row>
    <x:row r="529" ht="15" customHeight="1">
      <x:c r="A529" s="94"/>
      <x:c r="B529" s="99"/>
      <x:c r="C529" s="99"/>
      <x:c r="D529" s="99"/>
      <x:c r="E529" s="101"/>
      <x:c r="F529" s="106"/>
      <x:c r="G529" s="106"/>
      <x:c r="H529" s="106"/>
      <x:c r="I529" s="106"/>
      <x:c r="J529" s="106"/>
      <x:c r="K529" s="106"/>
      <x:c r="L529" s="106"/>
      <x:c r="M529" s="111"/>
      <x:c r="N529" s="111"/>
      <x:c r="O529" s="111"/>
      <x:c r="P529" s="111"/>
      <x:c r="Q529" s="111"/>
      <x:c r="R529" s="99"/>
    </x:row>
    <x:row r="530" ht="15" customHeight="1">
      <x:c r="A530" s="22"/>
      <x:c r="B530" s="99"/>
      <x:c r="C530" s="99"/>
      <x:c r="D530" s="99"/>
      <x:c r="E530" s="101"/>
      <x:c r="F530" s="106"/>
      <x:c r="G530" s="106"/>
      <x:c r="H530" s="106"/>
      <x:c r="I530" s="106"/>
      <x:c r="J530" s="106"/>
      <x:c r="K530" s="106"/>
      <x:c r="L530" s="106"/>
      <x:c r="M530" s="106"/>
      <x:c r="N530" s="106"/>
      <x:c r="O530" s="106"/>
      <x:c r="P530" s="106"/>
      <x:c r="Q530" s="106"/>
      <x:c r="R530" s="99"/>
    </x:row>
    <x:row r="531" ht="15" customHeight="1">
      <x:c r="A531" s="22"/>
      <x:c r="B531" s="99"/>
      <x:c r="C531" s="99"/>
      <x:c r="D531" s="99"/>
      <x:c r="E531" s="101"/>
      <x:c r="F531" s="106"/>
      <x:c r="G531" s="106"/>
      <x:c r="H531" s="106"/>
      <x:c r="I531" s="106"/>
      <x:c r="J531" s="106"/>
      <x:c r="K531" s="106"/>
      <x:c r="L531" s="106"/>
      <x:c r="M531" s="106"/>
      <x:c r="N531" s="106"/>
      <x:c r="O531" s="106"/>
      <x:c r="P531" s="106"/>
      <x:c r="Q531" s="106"/>
      <x:c r="R531" s="99"/>
    </x:row>
    <x:row r="532" ht="15" customHeight="1">
      <x:c r="A532" s="22"/>
      <x:c r="B532" s="99"/>
      <x:c r="C532" s="99"/>
      <x:c r="D532" s="99"/>
      <x:c r="E532" s="101"/>
      <x:c r="F532" s="106"/>
      <x:c r="G532" s="106"/>
      <x:c r="H532" s="106"/>
      <x:c r="I532" s="106"/>
      <x:c r="J532" s="106"/>
      <x:c r="K532" s="106"/>
      <x:c r="L532" s="106"/>
      <x:c r="M532" s="106"/>
      <x:c r="N532" s="106"/>
      <x:c r="O532" s="106"/>
      <x:c r="P532" s="106"/>
      <x:c r="Q532" s="106"/>
      <x:c r="R532" s="99"/>
    </x:row>
    <x:row r="533" ht="15" customHeight="1">
      <x:c r="A533" s="94"/>
      <x:c r="B533" s="99"/>
      <x:c r="C533" s="99"/>
      <x:c r="D533" s="99"/>
      <x:c r="E533" s="101"/>
      <x:c r="F533" s="106"/>
      <x:c r="G533" s="106"/>
      <x:c r="H533" s="106"/>
      <x:c r="I533" s="106"/>
      <x:c r="J533" s="106"/>
      <x:c r="K533" s="106"/>
      <x:c r="L533" s="106"/>
      <x:c r="M533" s="111"/>
      <x:c r="N533" s="111"/>
      <x:c r="O533" s="111"/>
      <x:c r="P533" s="111"/>
      <x:c r="Q533" s="111"/>
      <x:c r="R533" s="99"/>
    </x:row>
    <x:row r="534" ht="15" customHeight="1">
      <x:c r="A534" s="22"/>
      <x:c r="B534" s="99"/>
      <x:c r="C534" s="99"/>
      <x:c r="D534" s="99"/>
      <x:c r="E534" s="101"/>
      <x:c r="F534" s="106"/>
      <x:c r="G534" s="106"/>
      <x:c r="H534" s="106"/>
      <x:c r="I534" s="106"/>
      <x:c r="J534" s="106"/>
      <x:c r="K534" s="106"/>
      <x:c r="L534" s="106"/>
      <x:c r="M534" s="106"/>
      <x:c r="N534" s="106"/>
      <x:c r="O534" s="106"/>
      <x:c r="P534" s="106"/>
      <x:c r="Q534" s="106"/>
      <x:c r="R534" s="99"/>
    </x:row>
    <x:row r="535" ht="15" customHeight="1">
      <x:c r="A535" s="22"/>
      <x:c r="B535" s="99"/>
      <x:c r="C535" s="99"/>
      <x:c r="D535" s="99"/>
      <x:c r="E535" s="101"/>
      <x:c r="F535" s="106"/>
      <x:c r="G535" s="106"/>
      <x:c r="H535" s="106"/>
      <x:c r="I535" s="106"/>
      <x:c r="J535" s="106"/>
      <x:c r="K535" s="106"/>
      <x:c r="L535" s="106"/>
      <x:c r="M535" s="106"/>
      <x:c r="N535" s="106"/>
      <x:c r="O535" s="106"/>
      <x:c r="P535" s="106"/>
      <x:c r="Q535" s="106"/>
      <x:c r="R535" s="99"/>
    </x:row>
    <x:row r="536" ht="15" customHeight="1">
      <x:c r="A536" s="22"/>
      <x:c r="B536" s="99"/>
      <x:c r="C536" s="99"/>
      <x:c r="D536" s="99"/>
      <x:c r="E536" s="101"/>
      <x:c r="F536" s="106"/>
      <x:c r="G536" s="106"/>
      <x:c r="H536" s="106"/>
      <x:c r="I536" s="106"/>
      <x:c r="J536" s="106"/>
      <x:c r="K536" s="106"/>
      <x:c r="L536" s="106"/>
      <x:c r="M536" s="106"/>
      <x:c r="N536" s="106"/>
      <x:c r="O536" s="106"/>
      <x:c r="P536" s="106"/>
      <x:c r="Q536" s="106"/>
      <x:c r="R536" s="99"/>
    </x:row>
    <x:row r="537" ht="15" customHeight="1">
      <x:c r="A537" s="94"/>
      <x:c r="B537" s="99"/>
      <x:c r="C537" s="99"/>
      <x:c r="D537" s="99"/>
      <x:c r="E537" s="101"/>
      <x:c r="F537" s="106"/>
      <x:c r="G537" s="106"/>
      <x:c r="H537" s="106"/>
      <x:c r="I537" s="106"/>
      <x:c r="J537" s="106"/>
      <x:c r="K537" s="106"/>
      <x:c r="L537" s="106"/>
      <x:c r="M537" s="111"/>
      <x:c r="N537" s="111"/>
      <x:c r="O537" s="111"/>
      <x:c r="P537" s="111"/>
      <x:c r="Q537" s="111"/>
      <x:c r="R537" s="99"/>
    </x:row>
    <x:row r="538" ht="15" customHeight="1">
      <x:c r="A538" s="22"/>
      <x:c r="B538" s="99"/>
      <x:c r="C538" s="99"/>
      <x:c r="D538" s="99"/>
      <x:c r="E538" s="101"/>
      <x:c r="F538" s="106"/>
      <x:c r="G538" s="106"/>
      <x:c r="H538" s="106"/>
      <x:c r="I538" s="106"/>
      <x:c r="J538" s="106"/>
      <x:c r="K538" s="106"/>
      <x:c r="L538" s="106"/>
      <x:c r="M538" s="106"/>
      <x:c r="N538" s="106"/>
      <x:c r="O538" s="106"/>
      <x:c r="P538" s="106"/>
      <x:c r="Q538" s="106"/>
      <x:c r="R538" s="99"/>
    </x:row>
    <x:row r="539" ht="15" customHeight="1">
      <x:c r="A539" s="22"/>
      <x:c r="B539" s="99"/>
      <x:c r="C539" s="99"/>
      <x:c r="D539" s="99"/>
      <x:c r="E539" s="101"/>
      <x:c r="F539" s="106"/>
      <x:c r="G539" s="106"/>
      <x:c r="H539" s="106"/>
      <x:c r="I539" s="106"/>
      <x:c r="J539" s="106"/>
      <x:c r="K539" s="106"/>
      <x:c r="L539" s="106"/>
      <x:c r="M539" s="106"/>
      <x:c r="N539" s="106"/>
      <x:c r="O539" s="106"/>
      <x:c r="P539" s="106"/>
      <x:c r="Q539" s="106"/>
      <x:c r="R539" s="99"/>
    </x:row>
    <x:row r="540" ht="15" customHeight="1">
      <x:c r="A540" s="22"/>
      <x:c r="B540" s="99"/>
      <x:c r="C540" s="99"/>
      <x:c r="D540" s="99"/>
      <x:c r="E540" s="101"/>
      <x:c r="F540" s="106"/>
      <x:c r="G540" s="106"/>
      <x:c r="H540" s="106"/>
      <x:c r="I540" s="106"/>
      <x:c r="J540" s="106"/>
      <x:c r="K540" s="106"/>
      <x:c r="L540" s="106"/>
      <x:c r="M540" s="106"/>
      <x:c r="N540" s="106"/>
      <x:c r="O540" s="106"/>
      <x:c r="P540" s="106"/>
      <x:c r="Q540" s="106"/>
      <x:c r="R540" s="99"/>
    </x:row>
    <x:row r="541" ht="15" customHeight="1">
      <x:c r="A541" s="94"/>
      <x:c r="B541" s="99"/>
      <x:c r="C541" s="99"/>
      <x:c r="D541" s="99"/>
      <x:c r="E541" s="101"/>
      <x:c r="F541" s="106"/>
      <x:c r="G541" s="106"/>
      <x:c r="H541" s="106"/>
      <x:c r="I541" s="106"/>
      <x:c r="J541" s="106"/>
      <x:c r="K541" s="106"/>
      <x:c r="L541" s="106"/>
      <x:c r="M541" s="111"/>
      <x:c r="N541" s="111"/>
      <x:c r="O541" s="111"/>
      <x:c r="P541" s="111"/>
      <x:c r="Q541" s="111"/>
      <x:c r="R541" s="99"/>
    </x:row>
    <x:row r="542" ht="15" customHeight="1">
      <x:c r="A542" s="22"/>
      <x:c r="B542" s="99"/>
      <x:c r="C542" s="99"/>
      <x:c r="D542" s="99"/>
      <x:c r="E542" s="101"/>
      <x:c r="F542" s="106"/>
      <x:c r="G542" s="106"/>
      <x:c r="H542" s="106"/>
      <x:c r="I542" s="106"/>
      <x:c r="J542" s="106"/>
      <x:c r="K542" s="106"/>
      <x:c r="L542" s="106"/>
      <x:c r="M542" s="106"/>
      <x:c r="N542" s="106"/>
      <x:c r="O542" s="106"/>
      <x:c r="P542" s="106"/>
      <x:c r="Q542" s="106"/>
      <x:c r="R542" s="99"/>
    </x:row>
    <x:row r="543" ht="15" customHeight="1">
      <x:c r="A543" s="22"/>
      <x:c r="B543" s="99"/>
      <x:c r="C543" s="99"/>
      <x:c r="D543" s="99"/>
      <x:c r="E543" s="101"/>
      <x:c r="F543" s="106"/>
      <x:c r="G543" s="106"/>
      <x:c r="H543" s="106"/>
      <x:c r="I543" s="106"/>
      <x:c r="J543" s="106"/>
      <x:c r="K543" s="106"/>
      <x:c r="L543" s="106"/>
      <x:c r="M543" s="106"/>
      <x:c r="N543" s="106"/>
      <x:c r="O543" s="106"/>
      <x:c r="P543" s="106"/>
      <x:c r="Q543" s="106"/>
      <x:c r="R543" s="99"/>
    </x:row>
    <x:row r="544" ht="15" customHeight="1">
      <x:c r="A544" s="22"/>
      <x:c r="B544" s="99"/>
      <x:c r="C544" s="99"/>
      <x:c r="D544" s="99"/>
      <x:c r="E544" s="101"/>
      <x:c r="F544" s="106"/>
      <x:c r="G544" s="106"/>
      <x:c r="H544" s="106"/>
      <x:c r="I544" s="106"/>
      <x:c r="J544" s="106"/>
      <x:c r="K544" s="106"/>
      <x:c r="L544" s="106"/>
      <x:c r="M544" s="106"/>
      <x:c r="N544" s="106"/>
      <x:c r="O544" s="106"/>
      <x:c r="P544" s="106"/>
      <x:c r="Q544" s="106"/>
      <x:c r="R544" s="99"/>
    </x:row>
    <x:row r="545" ht="15" customHeight="1">
      <x:c r="A545" s="94"/>
      <x:c r="B545" s="99"/>
      <x:c r="C545" s="99"/>
      <x:c r="D545" s="99"/>
      <x:c r="E545" s="101"/>
      <x:c r="F545" s="106"/>
      <x:c r="G545" s="106"/>
      <x:c r="H545" s="106"/>
      <x:c r="I545" s="106"/>
      <x:c r="J545" s="106"/>
      <x:c r="K545" s="106"/>
      <x:c r="L545" s="106"/>
      <x:c r="M545" s="111"/>
      <x:c r="N545" s="111"/>
      <x:c r="O545" s="111"/>
      <x:c r="P545" s="111"/>
      <x:c r="Q545" s="111"/>
      <x:c r="R545" s="99"/>
    </x:row>
    <x:row r="546" ht="15" customHeight="1">
      <x:c r="A546" s="22"/>
      <x:c r="B546" s="99"/>
      <x:c r="C546" s="99"/>
      <x:c r="D546" s="99"/>
      <x:c r="E546" s="101"/>
      <x:c r="F546" s="106"/>
      <x:c r="G546" s="106"/>
      <x:c r="H546" s="106"/>
      <x:c r="I546" s="106"/>
      <x:c r="J546" s="106"/>
      <x:c r="K546" s="106"/>
      <x:c r="L546" s="106"/>
      <x:c r="M546" s="106"/>
      <x:c r="N546" s="106"/>
      <x:c r="O546" s="106"/>
      <x:c r="P546" s="106"/>
      <x:c r="Q546" s="106"/>
      <x:c r="R546" s="99"/>
    </x:row>
    <x:row r="547" ht="15" customHeight="1">
      <x:c r="A547" s="22"/>
      <x:c r="B547" s="99"/>
      <x:c r="C547" s="99"/>
      <x:c r="D547" s="99"/>
      <x:c r="E547" s="101"/>
      <x:c r="F547" s="106"/>
      <x:c r="G547" s="106"/>
      <x:c r="H547" s="106"/>
      <x:c r="I547" s="106"/>
      <x:c r="J547" s="106"/>
      <x:c r="K547" s="106"/>
      <x:c r="L547" s="106"/>
      <x:c r="M547" s="106"/>
      <x:c r="N547" s="106"/>
      <x:c r="O547" s="106"/>
      <x:c r="P547" s="106"/>
      <x:c r="Q547" s="106"/>
      <x:c r="R547" s="99"/>
    </x:row>
    <x:row r="548" ht="15" customHeight="1">
      <x:c r="A548" s="22"/>
      <x:c r="B548" s="99"/>
      <x:c r="C548" s="99"/>
      <x:c r="D548" s="99"/>
      <x:c r="E548" s="101"/>
      <x:c r="F548" s="106"/>
      <x:c r="G548" s="106"/>
      <x:c r="H548" s="106"/>
      <x:c r="I548" s="106"/>
      <x:c r="J548" s="106"/>
      <x:c r="K548" s="106"/>
      <x:c r="L548" s="106"/>
      <x:c r="M548" s="106"/>
      <x:c r="N548" s="106"/>
      <x:c r="O548" s="106"/>
      <x:c r="P548" s="106"/>
      <x:c r="Q548" s="106"/>
      <x:c r="R548" s="99"/>
    </x:row>
    <x:row r="549" ht="15" customHeight="1">
      <x:c r="A549" s="94"/>
      <x:c r="B549" s="99"/>
      <x:c r="C549" s="99"/>
      <x:c r="D549" s="99"/>
      <x:c r="E549" s="101"/>
      <x:c r="F549" s="106"/>
      <x:c r="G549" s="106"/>
      <x:c r="H549" s="106"/>
      <x:c r="I549" s="106"/>
      <x:c r="J549" s="106"/>
      <x:c r="K549" s="106"/>
      <x:c r="L549" s="106"/>
      <x:c r="M549" s="111"/>
      <x:c r="N549" s="111"/>
      <x:c r="O549" s="111"/>
      <x:c r="P549" s="111"/>
      <x:c r="Q549" s="111"/>
      <x:c r="R549" s="99"/>
    </x:row>
    <x:row r="550" ht="15" customHeight="1">
      <x:c r="A550" s="22"/>
      <x:c r="B550" s="99"/>
      <x:c r="C550" s="99"/>
      <x:c r="D550" s="99"/>
      <x:c r="E550" s="101"/>
      <x:c r="F550" s="106"/>
      <x:c r="G550" s="106"/>
      <x:c r="H550" s="106"/>
      <x:c r="I550" s="106"/>
      <x:c r="J550" s="106"/>
      <x:c r="K550" s="106"/>
      <x:c r="L550" s="106"/>
      <x:c r="M550" s="106"/>
      <x:c r="N550" s="106"/>
      <x:c r="O550" s="106"/>
      <x:c r="P550" s="106"/>
      <x:c r="Q550" s="106"/>
      <x:c r="R550" s="99"/>
    </x:row>
    <x:row r="551" ht="15" customHeight="1">
      <x:c r="A551" s="22"/>
      <x:c r="B551" s="99"/>
      <x:c r="C551" s="99"/>
      <x:c r="D551" s="99"/>
      <x:c r="E551" s="101"/>
      <x:c r="F551" s="106"/>
      <x:c r="G551" s="106"/>
      <x:c r="H551" s="106"/>
      <x:c r="I551" s="106"/>
      <x:c r="J551" s="106"/>
      <x:c r="K551" s="106"/>
      <x:c r="L551" s="106"/>
      <x:c r="M551" s="106"/>
      <x:c r="N551" s="106"/>
      <x:c r="O551" s="106"/>
      <x:c r="P551" s="106"/>
      <x:c r="Q551" s="106"/>
      <x:c r="R551" s="99"/>
    </x:row>
    <x:row r="552" ht="15" customHeight="1">
      <x:c r="A552" s="22"/>
      <x:c r="B552" s="99"/>
      <x:c r="C552" s="99"/>
      <x:c r="D552" s="99"/>
      <x:c r="E552" s="101"/>
      <x:c r="F552" s="106"/>
      <x:c r="G552" s="106"/>
      <x:c r="H552" s="106"/>
      <x:c r="I552" s="106"/>
      <x:c r="J552" s="106"/>
      <x:c r="K552" s="106"/>
      <x:c r="L552" s="106"/>
      <x:c r="M552" s="106"/>
      <x:c r="N552" s="106"/>
      <x:c r="O552" s="106"/>
      <x:c r="P552" s="106"/>
      <x:c r="Q552" s="106"/>
      <x:c r="R552" s="99"/>
    </x:row>
    <x:row r="553" ht="15" customHeight="1">
      <x:c r="A553" s="94"/>
      <x:c r="B553" s="99"/>
      <x:c r="C553" s="99"/>
      <x:c r="D553" s="99"/>
      <x:c r="E553" s="101"/>
      <x:c r="F553" s="106"/>
      <x:c r="G553" s="106"/>
      <x:c r="H553" s="106"/>
      <x:c r="I553" s="106"/>
      <x:c r="J553" s="106"/>
      <x:c r="K553" s="106"/>
      <x:c r="L553" s="106"/>
      <x:c r="M553" s="111"/>
      <x:c r="N553" s="111"/>
      <x:c r="O553" s="111"/>
      <x:c r="P553" s="111"/>
      <x:c r="Q553" s="111"/>
      <x:c r="R553" s="99"/>
    </x:row>
    <x:row r="554" ht="15" customHeight="1">
      <x:c r="A554" s="22"/>
      <x:c r="B554" s="99"/>
      <x:c r="C554" s="99"/>
      <x:c r="D554" s="99"/>
      <x:c r="E554" s="101"/>
      <x:c r="F554" s="106"/>
      <x:c r="G554" s="106"/>
      <x:c r="H554" s="106"/>
      <x:c r="I554" s="106"/>
      <x:c r="J554" s="106"/>
      <x:c r="K554" s="106"/>
      <x:c r="L554" s="106"/>
      <x:c r="M554" s="106"/>
      <x:c r="N554" s="106"/>
      <x:c r="O554" s="106"/>
      <x:c r="P554" s="106"/>
      <x:c r="Q554" s="106"/>
      <x:c r="R554" s="99"/>
    </x:row>
    <x:row r="555" ht="15" customHeight="1">
      <x:c r="A555" s="22"/>
      <x:c r="B555" s="99"/>
      <x:c r="C555" s="99"/>
      <x:c r="D555" s="99"/>
      <x:c r="E555" s="101"/>
      <x:c r="F555" s="106"/>
      <x:c r="G555" s="106"/>
      <x:c r="H555" s="106"/>
      <x:c r="I555" s="106"/>
      <x:c r="J555" s="106"/>
      <x:c r="K555" s="106"/>
      <x:c r="L555" s="106"/>
      <x:c r="M555" s="106"/>
      <x:c r="N555" s="106"/>
      <x:c r="O555" s="106"/>
      <x:c r="P555" s="106"/>
      <x:c r="Q555" s="106"/>
      <x:c r="R555" s="99"/>
    </x:row>
    <x:row r="556" ht="15" customHeight="1">
      <x:c r="A556" s="22"/>
      <x:c r="B556" s="99"/>
      <x:c r="C556" s="99"/>
      <x:c r="D556" s="99"/>
      <x:c r="E556" s="101"/>
      <x:c r="F556" s="106"/>
      <x:c r="G556" s="106"/>
      <x:c r="H556" s="106"/>
      <x:c r="I556" s="106"/>
      <x:c r="J556" s="106"/>
      <x:c r="K556" s="106"/>
      <x:c r="L556" s="106"/>
      <x:c r="M556" s="106"/>
      <x:c r="N556" s="106"/>
      <x:c r="O556" s="106"/>
      <x:c r="P556" s="106"/>
      <x:c r="Q556" s="106"/>
      <x:c r="R556" s="99"/>
    </x:row>
    <x:row r="557" ht="15" customHeight="1">
      <x:c r="A557" s="94"/>
      <x:c r="B557" s="99"/>
      <x:c r="C557" s="99"/>
      <x:c r="D557" s="99"/>
      <x:c r="E557" s="101"/>
      <x:c r="F557" s="106"/>
      <x:c r="G557" s="106"/>
      <x:c r="H557" s="106"/>
      <x:c r="I557" s="106"/>
      <x:c r="J557" s="106"/>
      <x:c r="K557" s="106"/>
      <x:c r="L557" s="106"/>
      <x:c r="M557" s="111"/>
      <x:c r="N557" s="111"/>
      <x:c r="O557" s="111"/>
      <x:c r="P557" s="111"/>
      <x:c r="Q557" s="111"/>
      <x:c r="R557" s="99"/>
    </x:row>
    <x:row r="558" ht="15" customHeight="1">
      <x:c r="A558" s="22"/>
      <x:c r="B558" s="99"/>
      <x:c r="C558" s="99"/>
      <x:c r="D558" s="99"/>
      <x:c r="E558" s="101"/>
      <x:c r="F558" s="106"/>
      <x:c r="G558" s="106"/>
      <x:c r="H558" s="106"/>
      <x:c r="I558" s="106"/>
      <x:c r="J558" s="106"/>
      <x:c r="K558" s="106"/>
      <x:c r="L558" s="106"/>
      <x:c r="M558" s="106"/>
      <x:c r="N558" s="106"/>
      <x:c r="O558" s="106"/>
      <x:c r="P558" s="106"/>
      <x:c r="Q558" s="106"/>
      <x:c r="R558" s="99"/>
    </x:row>
    <x:row r="559" ht="15" customHeight="1">
      <x:c r="A559" s="22"/>
      <x:c r="B559" s="99"/>
      <x:c r="C559" s="99"/>
      <x:c r="D559" s="99"/>
      <x:c r="E559" s="101"/>
      <x:c r="F559" s="106"/>
      <x:c r="G559" s="106"/>
      <x:c r="H559" s="106"/>
      <x:c r="I559" s="106"/>
      <x:c r="J559" s="106"/>
      <x:c r="K559" s="106"/>
      <x:c r="L559" s="106"/>
      <x:c r="M559" s="106"/>
      <x:c r="N559" s="106"/>
      <x:c r="O559" s="106"/>
      <x:c r="P559" s="106"/>
      <x:c r="Q559" s="106"/>
      <x:c r="R559" s="99"/>
    </x:row>
    <x:row r="560" ht="15" customHeight="1">
      <x:c r="A560" s="22"/>
      <x:c r="B560" s="99"/>
      <x:c r="C560" s="99"/>
      <x:c r="D560" s="99"/>
      <x:c r="E560" s="101"/>
      <x:c r="F560" s="106"/>
      <x:c r="G560" s="106"/>
      <x:c r="H560" s="106"/>
      <x:c r="I560" s="106"/>
      <x:c r="J560" s="106"/>
      <x:c r="K560" s="106"/>
      <x:c r="L560" s="106"/>
      <x:c r="M560" s="106"/>
      <x:c r="N560" s="106"/>
      <x:c r="O560" s="106"/>
      <x:c r="P560" s="106"/>
      <x:c r="Q560" s="106"/>
      <x:c r="R560" s="99"/>
    </x:row>
    <x:row r="561" ht="15" customHeight="1">
      <x:c r="A561" s="94"/>
      <x:c r="B561" s="99"/>
      <x:c r="C561" s="99"/>
      <x:c r="D561" s="99"/>
      <x:c r="E561" s="101"/>
      <x:c r="F561" s="106"/>
      <x:c r="G561" s="106"/>
      <x:c r="H561" s="106"/>
      <x:c r="I561" s="106"/>
      <x:c r="J561" s="106"/>
      <x:c r="K561" s="106"/>
      <x:c r="L561" s="106"/>
      <x:c r="M561" s="111"/>
      <x:c r="N561" s="111"/>
      <x:c r="O561" s="111"/>
      <x:c r="P561" s="111"/>
      <x:c r="Q561" s="111"/>
      <x:c r="R561" s="99"/>
    </x:row>
    <x:row r="562" ht="15" customHeight="1">
      <x:c r="A562" s="22"/>
      <x:c r="B562" s="99"/>
      <x:c r="C562" s="99"/>
      <x:c r="D562" s="99"/>
      <x:c r="E562" s="101"/>
      <x:c r="F562" s="106"/>
      <x:c r="G562" s="106"/>
      <x:c r="H562" s="106"/>
      <x:c r="I562" s="106"/>
      <x:c r="J562" s="106"/>
      <x:c r="K562" s="106"/>
      <x:c r="L562" s="106"/>
      <x:c r="M562" s="106"/>
      <x:c r="N562" s="106"/>
      <x:c r="O562" s="106"/>
      <x:c r="P562" s="106"/>
      <x:c r="Q562" s="106"/>
      <x:c r="R562" s="99"/>
    </x:row>
    <x:row r="563" ht="15" customHeight="1">
      <x:c r="A563" s="22"/>
      <x:c r="B563" s="99"/>
      <x:c r="C563" s="99"/>
      <x:c r="D563" s="99"/>
      <x:c r="E563" s="101"/>
      <x:c r="F563" s="106"/>
      <x:c r="G563" s="106"/>
      <x:c r="H563" s="106"/>
      <x:c r="I563" s="106"/>
      <x:c r="J563" s="106"/>
      <x:c r="K563" s="106"/>
      <x:c r="L563" s="106"/>
      <x:c r="M563" s="106"/>
      <x:c r="N563" s="106"/>
      <x:c r="O563" s="106"/>
      <x:c r="P563" s="106"/>
      <x:c r="Q563" s="106"/>
      <x:c r="R563" s="99"/>
    </x:row>
    <x:row r="564" ht="15" customHeight="1">
      <x:c r="A564" s="22"/>
      <x:c r="B564" s="99"/>
      <x:c r="C564" s="99"/>
      <x:c r="D564" s="99"/>
      <x:c r="E564" s="101"/>
      <x:c r="F564" s="106"/>
      <x:c r="G564" s="106"/>
      <x:c r="H564" s="106"/>
      <x:c r="I564" s="106"/>
      <x:c r="J564" s="106"/>
      <x:c r="K564" s="106"/>
      <x:c r="L564" s="106"/>
      <x:c r="M564" s="106"/>
      <x:c r="N564" s="106"/>
      <x:c r="O564" s="106"/>
      <x:c r="P564" s="106"/>
      <x:c r="Q564" s="106"/>
      <x:c r="R564" s="99"/>
    </x:row>
    <x:row r="565" ht="15" customHeight="1">
      <x:c r="A565" s="94"/>
      <x:c r="B565" s="99"/>
      <x:c r="C565" s="99"/>
      <x:c r="D565" s="99"/>
      <x:c r="E565" s="101"/>
      <x:c r="F565" s="106"/>
      <x:c r="G565" s="106"/>
      <x:c r="H565" s="106"/>
      <x:c r="I565" s="106"/>
      <x:c r="J565" s="106"/>
      <x:c r="K565" s="106"/>
      <x:c r="L565" s="106"/>
      <x:c r="M565" s="111"/>
      <x:c r="N565" s="111"/>
      <x:c r="O565" s="111"/>
      <x:c r="P565" s="111"/>
      <x:c r="Q565" s="111"/>
      <x:c r="R565" s="99"/>
    </x:row>
    <x:row r="566" ht="15" customHeight="1">
      <x:c r="A566" s="22"/>
      <x:c r="B566" s="99"/>
      <x:c r="C566" s="99"/>
      <x:c r="D566" s="99"/>
      <x:c r="E566" s="101"/>
      <x:c r="F566" s="106"/>
      <x:c r="G566" s="106"/>
      <x:c r="H566" s="106"/>
      <x:c r="I566" s="106"/>
      <x:c r="J566" s="106"/>
      <x:c r="K566" s="106"/>
      <x:c r="L566" s="106"/>
      <x:c r="M566" s="106"/>
      <x:c r="N566" s="106"/>
      <x:c r="O566" s="106"/>
      <x:c r="P566" s="106"/>
      <x:c r="Q566" s="106"/>
      <x:c r="R566" s="99"/>
    </x:row>
    <x:row r="567" ht="15" customHeight="1">
      <x:c r="A567" s="22"/>
      <x:c r="B567" s="99"/>
      <x:c r="C567" s="99"/>
      <x:c r="D567" s="99"/>
      <x:c r="E567" s="101"/>
      <x:c r="F567" s="106"/>
      <x:c r="G567" s="106"/>
      <x:c r="H567" s="106"/>
      <x:c r="I567" s="106"/>
      <x:c r="J567" s="106"/>
      <x:c r="K567" s="106"/>
      <x:c r="L567" s="106"/>
      <x:c r="M567" s="106"/>
      <x:c r="N567" s="106"/>
      <x:c r="O567" s="106"/>
      <x:c r="P567" s="106"/>
      <x:c r="Q567" s="106"/>
      <x:c r="R567" s="99"/>
    </x:row>
    <x:row r="568" ht="15" customHeight="1">
      <x:c r="A568" s="22"/>
      <x:c r="B568" s="99"/>
      <x:c r="C568" s="99"/>
      <x:c r="D568" s="99"/>
      <x:c r="E568" s="101"/>
      <x:c r="F568" s="106"/>
      <x:c r="G568" s="106"/>
      <x:c r="H568" s="106"/>
      <x:c r="I568" s="106"/>
      <x:c r="J568" s="106"/>
      <x:c r="K568" s="106"/>
      <x:c r="L568" s="106"/>
      <x:c r="M568" s="106"/>
      <x:c r="N568" s="106"/>
      <x:c r="O568" s="106"/>
      <x:c r="P568" s="106"/>
      <x:c r="Q568" s="106"/>
      <x:c r="R568" s="99"/>
    </x:row>
    <x:row r="569" ht="15" customHeight="1">
      <x:c r="A569" s="94"/>
      <x:c r="B569" s="99"/>
      <x:c r="C569" s="99"/>
      <x:c r="D569" s="99"/>
      <x:c r="E569" s="101"/>
      <x:c r="F569" s="106"/>
      <x:c r="G569" s="106"/>
      <x:c r="H569" s="106"/>
      <x:c r="I569" s="106"/>
      <x:c r="J569" s="106"/>
      <x:c r="K569" s="106"/>
      <x:c r="L569" s="106"/>
      <x:c r="M569" s="111"/>
      <x:c r="N569" s="111"/>
      <x:c r="O569" s="111"/>
      <x:c r="P569" s="111"/>
      <x:c r="Q569" s="111"/>
      <x:c r="R569" s="99"/>
    </x:row>
    <x:row r="570" ht="15" customHeight="1">
      <x:c r="A570" s="22"/>
      <x:c r="B570" s="99"/>
      <x:c r="C570" s="99"/>
      <x:c r="D570" s="99"/>
      <x:c r="E570" s="101"/>
      <x:c r="F570" s="106"/>
      <x:c r="G570" s="106"/>
      <x:c r="H570" s="106"/>
      <x:c r="I570" s="106"/>
      <x:c r="J570" s="106"/>
      <x:c r="K570" s="106"/>
      <x:c r="L570" s="106"/>
      <x:c r="M570" s="106"/>
      <x:c r="N570" s="106"/>
      <x:c r="O570" s="106"/>
      <x:c r="P570" s="106"/>
      <x:c r="Q570" s="106"/>
      <x:c r="R570" s="99"/>
    </x:row>
    <x:row r="571" ht="15" customHeight="1">
      <x:c r="A571" s="22"/>
      <x:c r="B571" s="99"/>
      <x:c r="C571" s="99"/>
      <x:c r="D571" s="99"/>
      <x:c r="E571" s="101"/>
      <x:c r="F571" s="106"/>
      <x:c r="G571" s="106"/>
      <x:c r="H571" s="106"/>
      <x:c r="I571" s="106"/>
      <x:c r="J571" s="106"/>
      <x:c r="K571" s="106"/>
      <x:c r="L571" s="106"/>
      <x:c r="M571" s="106"/>
      <x:c r="N571" s="106"/>
      <x:c r="O571" s="106"/>
      <x:c r="P571" s="106"/>
      <x:c r="Q571" s="106"/>
      <x:c r="R571" s="99"/>
    </x:row>
    <x:row r="572" ht="15" customHeight="1">
      <x:c r="A572" s="22"/>
      <x:c r="B572" s="99"/>
      <x:c r="C572" s="99"/>
      <x:c r="D572" s="99"/>
      <x:c r="E572" s="101"/>
      <x:c r="F572" s="106"/>
      <x:c r="G572" s="106"/>
      <x:c r="H572" s="106"/>
      <x:c r="I572" s="106"/>
      <x:c r="J572" s="106"/>
      <x:c r="K572" s="106"/>
      <x:c r="L572" s="106"/>
      <x:c r="M572" s="106"/>
      <x:c r="N572" s="106"/>
      <x:c r="O572" s="106"/>
      <x:c r="P572" s="106"/>
      <x:c r="Q572" s="106"/>
      <x:c r="R572" s="99"/>
    </x:row>
    <x:row r="573" ht="15" customHeight="1">
      <x:c r="A573" s="94"/>
      <x:c r="B573" s="99"/>
      <x:c r="C573" s="99"/>
      <x:c r="D573" s="99"/>
      <x:c r="E573" s="101"/>
      <x:c r="F573" s="106"/>
      <x:c r="G573" s="106"/>
      <x:c r="H573" s="106"/>
      <x:c r="I573" s="106"/>
      <x:c r="J573" s="106"/>
      <x:c r="K573" s="106"/>
      <x:c r="L573" s="106"/>
      <x:c r="M573" s="111"/>
      <x:c r="N573" s="111"/>
      <x:c r="O573" s="111"/>
      <x:c r="P573" s="111"/>
      <x:c r="Q573" s="111"/>
      <x:c r="R573" s="99"/>
    </x:row>
    <x:row r="574" ht="15" customHeight="1">
      <x:c r="A574" s="22"/>
      <x:c r="B574" s="99"/>
      <x:c r="C574" s="99"/>
      <x:c r="D574" s="99"/>
      <x:c r="E574" s="101"/>
      <x:c r="F574" s="106"/>
      <x:c r="G574" s="106"/>
      <x:c r="H574" s="106"/>
      <x:c r="I574" s="106"/>
      <x:c r="J574" s="106"/>
      <x:c r="K574" s="106"/>
      <x:c r="L574" s="106"/>
      <x:c r="M574" s="106"/>
      <x:c r="N574" s="106"/>
      <x:c r="O574" s="106"/>
      <x:c r="P574" s="106"/>
      <x:c r="Q574" s="106"/>
      <x:c r="R574" s="99"/>
    </x:row>
    <x:row r="575" ht="15" customHeight="1">
      <x:c r="A575" s="22"/>
      <x:c r="B575" s="99"/>
      <x:c r="C575" s="99"/>
      <x:c r="D575" s="99"/>
      <x:c r="E575" s="101"/>
      <x:c r="F575" s="106"/>
      <x:c r="G575" s="106"/>
      <x:c r="H575" s="106"/>
      <x:c r="I575" s="106"/>
      <x:c r="J575" s="106"/>
      <x:c r="K575" s="106"/>
      <x:c r="L575" s="106"/>
      <x:c r="M575" s="106"/>
      <x:c r="N575" s="106"/>
      <x:c r="O575" s="106"/>
      <x:c r="P575" s="106"/>
      <x:c r="Q575" s="106"/>
      <x:c r="R575" s="99"/>
    </x:row>
    <x:row r="576" ht="15" customHeight="1">
      <x:c r="A576" s="22"/>
      <x:c r="B576" s="99"/>
      <x:c r="C576" s="99"/>
      <x:c r="D576" s="99"/>
      <x:c r="E576" s="101"/>
      <x:c r="F576" s="106"/>
      <x:c r="G576" s="106"/>
      <x:c r="H576" s="106"/>
      <x:c r="I576" s="106"/>
      <x:c r="J576" s="106"/>
      <x:c r="K576" s="106"/>
      <x:c r="L576" s="106"/>
      <x:c r="M576" s="106"/>
      <x:c r="N576" s="106"/>
      <x:c r="O576" s="106"/>
      <x:c r="P576" s="106"/>
      <x:c r="Q576" s="106"/>
      <x:c r="R576" s="99"/>
    </x:row>
    <x:row r="577" ht="15" customHeight="1">
      <x:c r="A577" s="94"/>
      <x:c r="B577" s="99"/>
      <x:c r="C577" s="99"/>
      <x:c r="D577" s="99"/>
      <x:c r="E577" s="101"/>
      <x:c r="F577" s="106"/>
      <x:c r="G577" s="106"/>
      <x:c r="H577" s="106"/>
      <x:c r="I577" s="106"/>
      <x:c r="J577" s="106"/>
      <x:c r="K577" s="106"/>
      <x:c r="L577" s="106"/>
      <x:c r="M577" s="111"/>
      <x:c r="N577" s="111"/>
      <x:c r="O577" s="111"/>
      <x:c r="P577" s="111"/>
      <x:c r="Q577" s="111"/>
      <x:c r="R577" s="99"/>
    </x:row>
    <x:row r="578" ht="15" customHeight="1">
      <x:c r="A578" s="22"/>
      <x:c r="B578" s="99"/>
      <x:c r="C578" s="99"/>
      <x:c r="D578" s="99"/>
      <x:c r="E578" s="101"/>
      <x:c r="F578" s="106"/>
      <x:c r="G578" s="106"/>
      <x:c r="H578" s="106"/>
      <x:c r="I578" s="106"/>
      <x:c r="J578" s="106"/>
      <x:c r="K578" s="106"/>
      <x:c r="L578" s="106"/>
      <x:c r="M578" s="106"/>
      <x:c r="N578" s="106"/>
      <x:c r="O578" s="106"/>
      <x:c r="P578" s="106"/>
      <x:c r="Q578" s="106"/>
      <x:c r="R578" s="99"/>
    </x:row>
    <x:row r="579" ht="15" customHeight="1">
      <x:c r="A579" s="22"/>
      <x:c r="B579" s="99"/>
      <x:c r="C579" s="99"/>
      <x:c r="D579" s="99"/>
      <x:c r="E579" s="101"/>
      <x:c r="F579" s="106"/>
      <x:c r="G579" s="106"/>
      <x:c r="H579" s="106"/>
      <x:c r="I579" s="106"/>
      <x:c r="J579" s="106"/>
      <x:c r="K579" s="106"/>
      <x:c r="L579" s="106"/>
      <x:c r="M579" s="106"/>
      <x:c r="N579" s="106"/>
      <x:c r="O579" s="106"/>
      <x:c r="P579" s="106"/>
      <x:c r="Q579" s="106"/>
      <x:c r="R579" s="99"/>
    </x:row>
    <x:row r="580" ht="15" customHeight="1">
      <x:c r="A580" s="22"/>
      <x:c r="B580" s="99"/>
      <x:c r="C580" s="99"/>
      <x:c r="D580" s="99"/>
      <x:c r="E580" s="101"/>
      <x:c r="F580" s="106"/>
      <x:c r="G580" s="106"/>
      <x:c r="H580" s="106"/>
      <x:c r="I580" s="106"/>
      <x:c r="J580" s="106"/>
      <x:c r="K580" s="106"/>
      <x:c r="L580" s="106"/>
      <x:c r="M580" s="106"/>
      <x:c r="N580" s="106"/>
      <x:c r="O580" s="106"/>
      <x:c r="P580" s="106"/>
      <x:c r="Q580" s="106"/>
      <x:c r="R580" s="99"/>
    </x:row>
    <x:row r="581" ht="15" customHeight="1">
      <x:c r="A581" s="94"/>
      <x:c r="B581" s="99"/>
      <x:c r="C581" s="99"/>
      <x:c r="D581" s="99"/>
      <x:c r="E581" s="101"/>
      <x:c r="F581" s="106"/>
      <x:c r="G581" s="106"/>
      <x:c r="H581" s="106"/>
      <x:c r="I581" s="106"/>
      <x:c r="J581" s="106"/>
      <x:c r="K581" s="106"/>
      <x:c r="L581" s="106"/>
      <x:c r="M581" s="111"/>
      <x:c r="N581" s="111"/>
      <x:c r="O581" s="111"/>
      <x:c r="P581" s="111"/>
      <x:c r="Q581" s="111"/>
      <x:c r="R581" s="99"/>
    </x:row>
    <x:row r="582" ht="15" customHeight="1">
      <x:c r="A582" s="22"/>
      <x:c r="B582" s="99"/>
      <x:c r="C582" s="99"/>
      <x:c r="D582" s="99"/>
      <x:c r="E582" s="101"/>
      <x:c r="F582" s="106"/>
      <x:c r="G582" s="106"/>
      <x:c r="H582" s="106"/>
      <x:c r="I582" s="106"/>
      <x:c r="J582" s="106"/>
      <x:c r="K582" s="106"/>
      <x:c r="L582" s="106"/>
      <x:c r="M582" s="106"/>
      <x:c r="N582" s="106"/>
      <x:c r="O582" s="106"/>
      <x:c r="P582" s="106"/>
      <x:c r="Q582" s="106"/>
      <x:c r="R582" s="99"/>
    </x:row>
    <x:row r="583" ht="15" customHeight="1">
      <x:c r="A583" s="22"/>
      <x:c r="B583" s="99"/>
      <x:c r="C583" s="99"/>
      <x:c r="D583" s="99"/>
      <x:c r="E583" s="101"/>
      <x:c r="F583" s="106"/>
      <x:c r="G583" s="106"/>
      <x:c r="H583" s="106"/>
      <x:c r="I583" s="106"/>
      <x:c r="J583" s="106"/>
      <x:c r="K583" s="106"/>
      <x:c r="L583" s="106"/>
      <x:c r="M583" s="106"/>
      <x:c r="N583" s="106"/>
      <x:c r="O583" s="106"/>
      <x:c r="P583" s="106"/>
      <x:c r="Q583" s="106"/>
      <x:c r="R583" s="99"/>
    </x:row>
    <x:row r="584" ht="15" customHeight="1">
      <x:c r="A584" s="22"/>
      <x:c r="B584" s="99"/>
      <x:c r="C584" s="99"/>
      <x:c r="D584" s="99"/>
      <x:c r="E584" s="101"/>
      <x:c r="F584" s="106"/>
      <x:c r="G584" s="106"/>
      <x:c r="H584" s="106"/>
      <x:c r="I584" s="106"/>
      <x:c r="J584" s="106"/>
      <x:c r="K584" s="106"/>
      <x:c r="L584" s="106"/>
      <x:c r="M584" s="106"/>
      <x:c r="N584" s="106"/>
      <x:c r="O584" s="106"/>
      <x:c r="P584" s="106"/>
      <x:c r="Q584" s="106"/>
      <x:c r="R584" s="99"/>
    </x:row>
    <x:row r="585" ht="15" customHeight="1">
      <x:c r="A585" s="94"/>
      <x:c r="B585" s="99"/>
      <x:c r="C585" s="99"/>
      <x:c r="D585" s="99"/>
      <x:c r="E585" s="101"/>
      <x:c r="F585" s="106"/>
      <x:c r="G585" s="106"/>
      <x:c r="H585" s="106"/>
      <x:c r="I585" s="106"/>
      <x:c r="J585" s="106"/>
      <x:c r="K585" s="106"/>
      <x:c r="L585" s="106"/>
      <x:c r="M585" s="111"/>
      <x:c r="N585" s="111"/>
      <x:c r="O585" s="111"/>
      <x:c r="P585" s="111"/>
      <x:c r="Q585" s="111"/>
      <x:c r="R585" s="99"/>
    </x:row>
    <x:row r="586" ht="15" customHeight="1">
      <x:c r="A586" s="22"/>
      <x:c r="B586" s="99"/>
      <x:c r="C586" s="99"/>
      <x:c r="D586" s="99"/>
      <x:c r="E586" s="101"/>
      <x:c r="F586" s="106"/>
      <x:c r="G586" s="106"/>
      <x:c r="H586" s="106"/>
      <x:c r="I586" s="106"/>
      <x:c r="J586" s="106"/>
      <x:c r="K586" s="106"/>
      <x:c r="L586" s="106"/>
      <x:c r="M586" s="106"/>
      <x:c r="N586" s="106"/>
      <x:c r="O586" s="106"/>
      <x:c r="P586" s="106"/>
      <x:c r="Q586" s="106"/>
      <x:c r="R586" s="99"/>
    </x:row>
    <x:row r="587" ht="15" customHeight="1">
      <x:c r="A587" s="22"/>
      <x:c r="B587" s="99"/>
      <x:c r="C587" s="99"/>
      <x:c r="D587" s="99"/>
      <x:c r="E587" s="101"/>
      <x:c r="F587" s="106"/>
      <x:c r="G587" s="106"/>
      <x:c r="H587" s="106"/>
      <x:c r="I587" s="106"/>
      <x:c r="J587" s="106"/>
      <x:c r="K587" s="106"/>
      <x:c r="L587" s="106"/>
      <x:c r="M587" s="106"/>
      <x:c r="N587" s="106"/>
      <x:c r="O587" s="106"/>
      <x:c r="P587" s="106"/>
      <x:c r="Q587" s="106"/>
      <x:c r="R587" s="99"/>
    </x:row>
    <x:row r="588" ht="15" customHeight="1">
      <x:c r="A588" s="22"/>
      <x:c r="B588" s="99"/>
      <x:c r="C588" s="99"/>
      <x:c r="D588" s="99"/>
      <x:c r="E588" s="101"/>
      <x:c r="F588" s="106"/>
      <x:c r="G588" s="106"/>
      <x:c r="H588" s="106"/>
      <x:c r="I588" s="106"/>
      <x:c r="J588" s="106"/>
      <x:c r="K588" s="106"/>
      <x:c r="L588" s="106"/>
      <x:c r="M588" s="106"/>
      <x:c r="N588" s="106"/>
      <x:c r="O588" s="106"/>
      <x:c r="P588" s="106"/>
      <x:c r="Q588" s="106"/>
      <x:c r="R588" s="99"/>
    </x:row>
    <x:row r="589" ht="15" customHeight="1">
      <x:c r="A589" s="94"/>
      <x:c r="B589" s="99"/>
      <x:c r="C589" s="99"/>
      <x:c r="D589" s="99"/>
      <x:c r="E589" s="101"/>
      <x:c r="F589" s="106"/>
      <x:c r="G589" s="106"/>
      <x:c r="H589" s="106"/>
      <x:c r="I589" s="106"/>
      <x:c r="J589" s="106"/>
      <x:c r="K589" s="106"/>
      <x:c r="L589" s="106"/>
      <x:c r="M589" s="111"/>
      <x:c r="N589" s="111"/>
      <x:c r="O589" s="111"/>
      <x:c r="P589" s="111"/>
      <x:c r="Q589" s="111"/>
      <x:c r="R589" s="99"/>
    </x:row>
    <x:row r="590" ht="15" customHeight="1">
      <x:c r="A590" s="22"/>
      <x:c r="B590" s="99"/>
      <x:c r="C590" s="99"/>
      <x:c r="D590" s="99"/>
      <x:c r="E590" s="101"/>
      <x:c r="F590" s="106"/>
      <x:c r="G590" s="106"/>
      <x:c r="H590" s="106"/>
      <x:c r="I590" s="106"/>
      <x:c r="J590" s="106"/>
      <x:c r="K590" s="106"/>
      <x:c r="L590" s="106"/>
      <x:c r="M590" s="106"/>
      <x:c r="N590" s="106"/>
      <x:c r="O590" s="106"/>
      <x:c r="P590" s="106"/>
      <x:c r="Q590" s="106"/>
      <x:c r="R590" s="99"/>
    </x:row>
    <x:row r="591" ht="15" customHeight="1">
      <x:c r="A591" s="22"/>
      <x:c r="B591" s="99"/>
      <x:c r="C591" s="99"/>
      <x:c r="D591" s="99"/>
      <x:c r="E591" s="101"/>
      <x:c r="F591" s="106"/>
      <x:c r="G591" s="106"/>
      <x:c r="H591" s="106"/>
      <x:c r="I591" s="106"/>
      <x:c r="J591" s="106"/>
      <x:c r="K591" s="106"/>
      <x:c r="L591" s="106"/>
      <x:c r="M591" s="106"/>
      <x:c r="N591" s="106"/>
      <x:c r="O591" s="106"/>
      <x:c r="P591" s="106"/>
      <x:c r="Q591" s="106"/>
      <x:c r="R591" s="99"/>
    </x:row>
    <x:row r="592" ht="15" customHeight="1">
      <x:c r="A592" s="22"/>
      <x:c r="B592" s="99"/>
      <x:c r="C592" s="99"/>
      <x:c r="D592" s="99"/>
      <x:c r="E592" s="101"/>
      <x:c r="F592" s="106"/>
      <x:c r="G592" s="106"/>
      <x:c r="H592" s="106"/>
      <x:c r="I592" s="106"/>
      <x:c r="J592" s="106"/>
      <x:c r="K592" s="106"/>
      <x:c r="L592" s="106"/>
      <x:c r="M592" s="106"/>
      <x:c r="N592" s="106"/>
      <x:c r="O592" s="106"/>
      <x:c r="P592" s="106"/>
      <x:c r="Q592" s="106"/>
      <x:c r="R592" s="99"/>
    </x:row>
    <x:row r="593" ht="15" customHeight="1">
      <x:c r="A593" s="94"/>
      <x:c r="B593" s="99"/>
      <x:c r="C593" s="99"/>
      <x:c r="D593" s="99"/>
      <x:c r="E593" s="101"/>
      <x:c r="F593" s="106"/>
      <x:c r="G593" s="106"/>
      <x:c r="H593" s="106"/>
      <x:c r="I593" s="106"/>
      <x:c r="J593" s="106"/>
      <x:c r="K593" s="106"/>
      <x:c r="L593" s="106"/>
      <x:c r="M593" s="111"/>
      <x:c r="N593" s="111"/>
      <x:c r="O593" s="111"/>
      <x:c r="P593" s="111"/>
      <x:c r="Q593" s="111"/>
      <x:c r="R593" s="99"/>
    </x:row>
    <x:row r="594" ht="15" customHeight="1">
      <x:c r="A594" s="22"/>
      <x:c r="B594" s="99"/>
      <x:c r="C594" s="99"/>
      <x:c r="D594" s="99"/>
      <x:c r="E594" s="101"/>
      <x:c r="F594" s="106"/>
      <x:c r="G594" s="106"/>
      <x:c r="H594" s="106"/>
      <x:c r="I594" s="106"/>
      <x:c r="J594" s="106"/>
      <x:c r="K594" s="106"/>
      <x:c r="L594" s="106"/>
      <x:c r="M594" s="106"/>
      <x:c r="N594" s="106"/>
      <x:c r="O594" s="106"/>
      <x:c r="P594" s="106"/>
      <x:c r="Q594" s="106"/>
      <x:c r="R594" s="99"/>
    </x:row>
    <x:row r="595" ht="15" customHeight="1">
      <x:c r="A595" s="22"/>
      <x:c r="B595" s="99"/>
      <x:c r="C595" s="99"/>
      <x:c r="D595" s="99"/>
      <x:c r="E595" s="101"/>
      <x:c r="F595" s="106"/>
      <x:c r="G595" s="106"/>
      <x:c r="H595" s="106"/>
      <x:c r="I595" s="106"/>
      <x:c r="J595" s="106"/>
      <x:c r="K595" s="106"/>
      <x:c r="L595" s="106"/>
      <x:c r="M595" s="106"/>
      <x:c r="N595" s="106"/>
      <x:c r="O595" s="106"/>
      <x:c r="P595" s="106"/>
      <x:c r="Q595" s="106"/>
      <x:c r="R595" s="99"/>
    </x:row>
    <x:row r="596" ht="15" customHeight="1">
      <x:c r="A596" s="22"/>
      <x:c r="B596" s="99"/>
      <x:c r="C596" s="99"/>
      <x:c r="D596" s="99"/>
      <x:c r="E596" s="101"/>
      <x:c r="F596" s="106"/>
      <x:c r="G596" s="106"/>
      <x:c r="H596" s="106"/>
      <x:c r="I596" s="106"/>
      <x:c r="J596" s="106"/>
      <x:c r="K596" s="106"/>
      <x:c r="L596" s="106"/>
      <x:c r="M596" s="106"/>
      <x:c r="N596" s="106"/>
      <x:c r="O596" s="106"/>
      <x:c r="P596" s="106"/>
      <x:c r="Q596" s="106"/>
      <x:c r="R596" s="99"/>
    </x:row>
    <x:row r="597" ht="15" customHeight="1">
      <x:c r="A597" s="94"/>
      <x:c r="B597" s="99"/>
      <x:c r="C597" s="99"/>
      <x:c r="D597" s="99"/>
      <x:c r="E597" s="101"/>
      <x:c r="F597" s="106"/>
      <x:c r="G597" s="106"/>
      <x:c r="H597" s="106"/>
      <x:c r="I597" s="106"/>
      <x:c r="J597" s="106"/>
      <x:c r="K597" s="106"/>
      <x:c r="L597" s="106"/>
      <x:c r="M597" s="111"/>
      <x:c r="N597" s="111"/>
      <x:c r="O597" s="111"/>
      <x:c r="P597" s="111"/>
      <x:c r="Q597" s="111"/>
      <x:c r="R597" s="99"/>
    </x:row>
    <x:row r="598" ht="15" customHeight="1">
      <x:c r="A598" s="22"/>
      <x:c r="B598" s="99"/>
      <x:c r="C598" s="99"/>
      <x:c r="D598" s="99"/>
      <x:c r="E598" s="101"/>
      <x:c r="F598" s="106"/>
      <x:c r="G598" s="106"/>
      <x:c r="H598" s="106"/>
      <x:c r="I598" s="106"/>
      <x:c r="J598" s="106"/>
      <x:c r="K598" s="106"/>
      <x:c r="L598" s="106"/>
      <x:c r="M598" s="106"/>
      <x:c r="N598" s="106"/>
      <x:c r="O598" s="106"/>
      <x:c r="P598" s="106"/>
      <x:c r="Q598" s="106"/>
      <x:c r="R598" s="99"/>
    </x:row>
    <x:row r="599" ht="15" customHeight="1">
      <x:c r="A599" s="22"/>
      <x:c r="B599" s="99"/>
      <x:c r="C599" s="99"/>
      <x:c r="D599" s="99"/>
      <x:c r="E599" s="101"/>
      <x:c r="F599" s="106"/>
      <x:c r="G599" s="106"/>
      <x:c r="H599" s="106"/>
      <x:c r="I599" s="106"/>
      <x:c r="J599" s="106"/>
      <x:c r="K599" s="106"/>
      <x:c r="L599" s="106"/>
      <x:c r="M599" s="106"/>
      <x:c r="N599" s="106"/>
      <x:c r="O599" s="106"/>
      <x:c r="P599" s="106"/>
      <x:c r="Q599" s="106"/>
      <x:c r="R599" s="99"/>
    </x:row>
    <x:row r="600" ht="15" customHeight="1">
      <x:c r="A600" s="22"/>
      <x:c r="B600" s="99"/>
      <x:c r="C600" s="99"/>
      <x:c r="D600" s="99"/>
      <x:c r="E600" s="101"/>
      <x:c r="F600" s="106"/>
      <x:c r="G600" s="106"/>
      <x:c r="H600" s="106"/>
      <x:c r="I600" s="106"/>
      <x:c r="J600" s="106"/>
      <x:c r="K600" s="106"/>
      <x:c r="L600" s="106"/>
      <x:c r="M600" s="106"/>
      <x:c r="N600" s="106"/>
      <x:c r="O600" s="106"/>
      <x:c r="P600" s="106"/>
      <x:c r="Q600" s="106"/>
      <x:c r="R600" s="99"/>
    </x:row>
    <x:row r="601" ht="15" customHeight="1">
      <x:c r="A601" s="94"/>
      <x:c r="B601" s="99"/>
      <x:c r="C601" s="99"/>
      <x:c r="D601" s="99"/>
      <x:c r="E601" s="101"/>
      <x:c r="F601" s="106"/>
      <x:c r="G601" s="106"/>
      <x:c r="H601" s="106"/>
      <x:c r="I601" s="106"/>
      <x:c r="J601" s="106"/>
      <x:c r="K601" s="106"/>
      <x:c r="L601" s="106"/>
      <x:c r="M601" s="111"/>
      <x:c r="N601" s="111"/>
      <x:c r="O601" s="111"/>
      <x:c r="P601" s="111"/>
      <x:c r="Q601" s="111"/>
      <x:c r="R601" s="99"/>
    </x:row>
    <x:row r="602" ht="15" customHeight="1">
      <x:c r="A602" s="22"/>
      <x:c r="B602" s="99"/>
      <x:c r="C602" s="99"/>
      <x:c r="D602" s="99"/>
      <x:c r="E602" s="101"/>
      <x:c r="F602" s="106"/>
      <x:c r="G602" s="106"/>
      <x:c r="H602" s="106"/>
      <x:c r="I602" s="106"/>
      <x:c r="J602" s="106"/>
      <x:c r="K602" s="106"/>
      <x:c r="L602" s="106"/>
      <x:c r="M602" s="106"/>
      <x:c r="N602" s="106"/>
      <x:c r="O602" s="106"/>
      <x:c r="P602" s="106"/>
      <x:c r="Q602" s="106"/>
      <x:c r="R602" s="99"/>
    </x:row>
    <x:row r="603" ht="15" customHeight="1">
      <x:c r="A603" s="22"/>
      <x:c r="B603" s="99"/>
      <x:c r="C603" s="99"/>
      <x:c r="D603" s="99"/>
      <x:c r="E603" s="101"/>
      <x:c r="F603" s="106"/>
      <x:c r="G603" s="106"/>
      <x:c r="H603" s="106"/>
      <x:c r="I603" s="106"/>
      <x:c r="J603" s="106"/>
      <x:c r="K603" s="106"/>
      <x:c r="L603" s="106"/>
      <x:c r="M603" s="106"/>
      <x:c r="N603" s="106"/>
      <x:c r="O603" s="106"/>
      <x:c r="P603" s="106"/>
      <x:c r="Q603" s="106"/>
      <x:c r="R603" s="99"/>
    </x:row>
    <x:row r="604" ht="15" customHeight="1">
      <x:c r="A604" s="22"/>
      <x:c r="B604" s="99"/>
      <x:c r="C604" s="99"/>
      <x:c r="D604" s="99"/>
      <x:c r="E604" s="101"/>
      <x:c r="F604" s="106"/>
      <x:c r="G604" s="106"/>
      <x:c r="H604" s="106"/>
      <x:c r="I604" s="106"/>
      <x:c r="J604" s="106"/>
      <x:c r="K604" s="106"/>
      <x:c r="L604" s="106"/>
      <x:c r="M604" s="106"/>
      <x:c r="N604" s="106"/>
      <x:c r="O604" s="106"/>
      <x:c r="P604" s="106"/>
      <x:c r="Q604" s="106"/>
      <x:c r="R604" s="99"/>
    </x:row>
    <x:row r="605" ht="15" customHeight="1">
      <x:c r="A605" s="94"/>
      <x:c r="B605" s="99"/>
      <x:c r="C605" s="99"/>
      <x:c r="D605" s="99"/>
      <x:c r="E605" s="101"/>
      <x:c r="F605" s="106"/>
      <x:c r="G605" s="106"/>
      <x:c r="H605" s="106"/>
      <x:c r="I605" s="106"/>
      <x:c r="J605" s="106"/>
      <x:c r="K605" s="106"/>
      <x:c r="L605" s="106"/>
      <x:c r="M605" s="111"/>
      <x:c r="N605" s="111"/>
      <x:c r="O605" s="111"/>
      <x:c r="P605" s="111"/>
      <x:c r="Q605" s="111"/>
      <x:c r="R605" s="99"/>
    </x:row>
    <x:row r="606" ht="15" customHeight="1">
      <x:c r="A606" s="22"/>
      <x:c r="B606" s="99"/>
      <x:c r="C606" s="99"/>
      <x:c r="D606" s="99"/>
      <x:c r="E606" s="101"/>
      <x:c r="F606" s="106"/>
      <x:c r="G606" s="106"/>
      <x:c r="H606" s="106"/>
      <x:c r="I606" s="106"/>
      <x:c r="J606" s="106"/>
      <x:c r="K606" s="106"/>
      <x:c r="L606" s="106"/>
      <x:c r="M606" s="106"/>
      <x:c r="N606" s="106"/>
      <x:c r="O606" s="106"/>
      <x:c r="P606" s="106"/>
      <x:c r="Q606" s="106"/>
      <x:c r="R606" s="99"/>
    </x:row>
    <x:row r="607" ht="15" customHeight="1">
      <x:c r="A607" s="22"/>
      <x:c r="B607" s="99"/>
      <x:c r="C607" s="99"/>
      <x:c r="D607" s="99"/>
      <x:c r="E607" s="101"/>
      <x:c r="F607" s="106"/>
      <x:c r="G607" s="106"/>
      <x:c r="H607" s="106"/>
      <x:c r="I607" s="106"/>
      <x:c r="J607" s="106"/>
      <x:c r="K607" s="106"/>
      <x:c r="L607" s="106"/>
      <x:c r="M607" s="106"/>
      <x:c r="N607" s="106"/>
      <x:c r="O607" s="106"/>
      <x:c r="P607" s="106"/>
      <x:c r="Q607" s="106"/>
      <x:c r="R607" s="99"/>
    </x:row>
    <x:row r="608" ht="15" customHeight="1">
      <x:c r="A608" s="22"/>
      <x:c r="B608" s="99"/>
      <x:c r="C608" s="99"/>
      <x:c r="D608" s="99"/>
      <x:c r="E608" s="101"/>
      <x:c r="F608" s="106"/>
      <x:c r="G608" s="106"/>
      <x:c r="H608" s="106"/>
      <x:c r="I608" s="106"/>
      <x:c r="J608" s="106"/>
      <x:c r="K608" s="106"/>
      <x:c r="L608" s="106"/>
      <x:c r="M608" s="106"/>
      <x:c r="N608" s="106"/>
      <x:c r="O608" s="106"/>
      <x:c r="P608" s="106"/>
      <x:c r="Q608" s="106"/>
      <x:c r="R608" s="99"/>
    </x:row>
    <x:row r="609" ht="15" customHeight="1">
      <x:c r="A609" s="94"/>
      <x:c r="B609" s="99"/>
      <x:c r="C609" s="99"/>
      <x:c r="D609" s="99"/>
      <x:c r="E609" s="101"/>
      <x:c r="F609" s="106"/>
      <x:c r="G609" s="106"/>
      <x:c r="H609" s="106"/>
      <x:c r="I609" s="106"/>
      <x:c r="J609" s="106"/>
      <x:c r="K609" s="106"/>
      <x:c r="L609" s="106"/>
      <x:c r="M609" s="111"/>
      <x:c r="N609" s="111"/>
      <x:c r="O609" s="111"/>
      <x:c r="P609" s="111"/>
      <x:c r="Q609" s="111"/>
      <x:c r="R609" s="99"/>
    </x:row>
    <x:row r="610" ht="15" customHeight="1">
      <x:c r="A610" s="22"/>
      <x:c r="B610" s="99"/>
      <x:c r="C610" s="99"/>
      <x:c r="D610" s="99"/>
      <x:c r="E610" s="101"/>
      <x:c r="F610" s="106"/>
      <x:c r="G610" s="106"/>
      <x:c r="H610" s="106"/>
      <x:c r="I610" s="106"/>
      <x:c r="J610" s="106"/>
      <x:c r="K610" s="106"/>
      <x:c r="L610" s="106"/>
      <x:c r="M610" s="106"/>
      <x:c r="N610" s="106"/>
      <x:c r="O610" s="106"/>
      <x:c r="P610" s="106"/>
      <x:c r="Q610" s="106"/>
      <x:c r="R610" s="99"/>
    </x:row>
    <x:row r="611" ht="15" customHeight="1">
      <x:c r="A611" s="22"/>
      <x:c r="B611" s="99"/>
      <x:c r="C611" s="99"/>
      <x:c r="D611" s="99"/>
      <x:c r="E611" s="101"/>
      <x:c r="F611" s="106"/>
      <x:c r="G611" s="106"/>
      <x:c r="H611" s="106"/>
      <x:c r="I611" s="106"/>
      <x:c r="J611" s="106"/>
      <x:c r="K611" s="106"/>
      <x:c r="L611" s="106"/>
      <x:c r="M611" s="106"/>
      <x:c r="N611" s="106"/>
      <x:c r="O611" s="106"/>
      <x:c r="P611" s="106"/>
      <x:c r="Q611" s="106"/>
      <x:c r="R611" s="99"/>
    </x:row>
    <x:row r="612" ht="15" customHeight="1">
      <x:c r="A612" s="22"/>
      <x:c r="B612" s="99"/>
      <x:c r="C612" s="99"/>
      <x:c r="D612" s="99"/>
      <x:c r="E612" s="101"/>
      <x:c r="F612" s="106"/>
      <x:c r="G612" s="106"/>
      <x:c r="H612" s="106"/>
      <x:c r="I612" s="106"/>
      <x:c r="J612" s="106"/>
      <x:c r="K612" s="106"/>
      <x:c r="L612" s="106"/>
      <x:c r="M612" s="106"/>
      <x:c r="N612" s="106"/>
      <x:c r="O612" s="106"/>
      <x:c r="P612" s="106"/>
      <x:c r="Q612" s="106"/>
      <x:c r="R612" s="99"/>
    </x:row>
    <x:row r="613" ht="15" customHeight="1">
      <x:c r="A613" s="94"/>
      <x:c r="B613" s="99"/>
      <x:c r="C613" s="99"/>
      <x:c r="D613" s="99"/>
      <x:c r="E613" s="101"/>
      <x:c r="F613" s="106"/>
      <x:c r="G613" s="106"/>
      <x:c r="H613" s="106"/>
      <x:c r="I613" s="106"/>
      <x:c r="J613" s="106"/>
      <x:c r="K613" s="106"/>
      <x:c r="L613" s="106"/>
      <x:c r="M613" s="111"/>
      <x:c r="N613" s="111"/>
      <x:c r="O613" s="111"/>
      <x:c r="P613" s="111"/>
      <x:c r="Q613" s="111"/>
      <x:c r="R613" s="99"/>
    </x:row>
    <x:row r="614" ht="15" customHeight="1">
      <x:c r="A614" s="22"/>
      <x:c r="B614" s="99"/>
      <x:c r="C614" s="99"/>
      <x:c r="D614" s="99"/>
      <x:c r="E614" s="101"/>
      <x:c r="F614" s="106"/>
      <x:c r="G614" s="106"/>
      <x:c r="H614" s="106"/>
      <x:c r="I614" s="106"/>
      <x:c r="J614" s="106"/>
      <x:c r="K614" s="106"/>
      <x:c r="L614" s="106"/>
      <x:c r="M614" s="106"/>
      <x:c r="N614" s="106"/>
      <x:c r="O614" s="106"/>
      <x:c r="P614" s="106"/>
      <x:c r="Q614" s="106"/>
      <x:c r="R614" s="99"/>
    </x:row>
    <x:row r="615" ht="15" customHeight="1">
      <x:c r="A615" s="22"/>
      <x:c r="B615" s="99"/>
      <x:c r="C615" s="99"/>
      <x:c r="D615" s="99"/>
      <x:c r="E615" s="101"/>
      <x:c r="F615" s="106"/>
      <x:c r="G615" s="106"/>
      <x:c r="H615" s="106"/>
      <x:c r="I615" s="106"/>
      <x:c r="J615" s="106"/>
      <x:c r="K615" s="106"/>
      <x:c r="L615" s="106"/>
      <x:c r="M615" s="106"/>
      <x:c r="N615" s="106"/>
      <x:c r="O615" s="106"/>
      <x:c r="P615" s="106"/>
      <x:c r="Q615" s="106"/>
      <x:c r="R615" s="99"/>
    </x:row>
    <x:row r="616" ht="15" customHeight="1">
      <x:c r="A616" s="22"/>
      <x:c r="B616" s="99"/>
      <x:c r="C616" s="99"/>
      <x:c r="D616" s="99"/>
      <x:c r="E616" s="101"/>
      <x:c r="F616" s="106"/>
      <x:c r="G616" s="106"/>
      <x:c r="H616" s="106"/>
      <x:c r="I616" s="106"/>
      <x:c r="J616" s="106"/>
      <x:c r="K616" s="106"/>
      <x:c r="L616" s="106"/>
      <x:c r="M616" s="106"/>
      <x:c r="N616" s="106"/>
      <x:c r="O616" s="106"/>
      <x:c r="P616" s="106"/>
      <x:c r="Q616" s="106"/>
      <x:c r="R616" s="99"/>
    </x:row>
    <x:row r="617" ht="15" customHeight="1">
      <x:c r="A617" s="94"/>
      <x:c r="B617" s="99"/>
      <x:c r="C617" s="99"/>
      <x:c r="D617" s="99"/>
      <x:c r="E617" s="101"/>
      <x:c r="F617" s="106"/>
      <x:c r="G617" s="106"/>
      <x:c r="H617" s="106"/>
      <x:c r="I617" s="106"/>
      <x:c r="J617" s="106"/>
      <x:c r="K617" s="106"/>
      <x:c r="L617" s="106"/>
      <x:c r="M617" s="111"/>
      <x:c r="N617" s="111"/>
      <x:c r="O617" s="111"/>
      <x:c r="P617" s="111"/>
      <x:c r="Q617" s="111"/>
      <x:c r="R617" s="99"/>
    </x:row>
    <x:row r="618" ht="15" customHeight="1">
      <x:c r="A618" s="22"/>
      <x:c r="B618" s="99"/>
      <x:c r="C618" s="99"/>
      <x:c r="D618" s="99"/>
      <x:c r="E618" s="101"/>
      <x:c r="F618" s="106"/>
      <x:c r="G618" s="106"/>
      <x:c r="H618" s="106"/>
      <x:c r="I618" s="106"/>
      <x:c r="J618" s="106"/>
      <x:c r="K618" s="106"/>
      <x:c r="L618" s="106"/>
      <x:c r="M618" s="106"/>
      <x:c r="N618" s="106"/>
      <x:c r="O618" s="106"/>
      <x:c r="P618" s="106"/>
      <x:c r="Q618" s="106"/>
      <x:c r="R618" s="99"/>
    </x:row>
    <x:row r="619" ht="15" customHeight="1">
      <x:c r="A619" s="22"/>
      <x:c r="B619" s="99"/>
      <x:c r="C619" s="99"/>
      <x:c r="D619" s="99"/>
      <x:c r="E619" s="101"/>
      <x:c r="F619" s="106"/>
      <x:c r="G619" s="106"/>
      <x:c r="H619" s="106"/>
      <x:c r="I619" s="106"/>
      <x:c r="J619" s="106"/>
      <x:c r="K619" s="106"/>
      <x:c r="L619" s="106"/>
      <x:c r="M619" s="106"/>
      <x:c r="N619" s="106"/>
      <x:c r="O619" s="106"/>
      <x:c r="P619" s="106"/>
      <x:c r="Q619" s="106"/>
      <x:c r="R619" s="99"/>
    </x:row>
    <x:row r="620" ht="15" customHeight="1">
      <x:c r="A620" s="22"/>
      <x:c r="B620" s="99"/>
      <x:c r="C620" s="99"/>
      <x:c r="D620" s="99"/>
      <x:c r="E620" s="101"/>
      <x:c r="F620" s="106"/>
      <x:c r="G620" s="106"/>
      <x:c r="H620" s="106"/>
      <x:c r="I620" s="106"/>
      <x:c r="J620" s="106"/>
      <x:c r="K620" s="106"/>
      <x:c r="L620" s="106"/>
      <x:c r="M620" s="106"/>
      <x:c r="N620" s="106"/>
      <x:c r="O620" s="106"/>
      <x:c r="P620" s="106"/>
      <x:c r="Q620" s="106"/>
      <x:c r="R620" s="99"/>
    </x:row>
    <x:row r="621" ht="15" customHeight="1">
      <x:c r="A621" s="94"/>
      <x:c r="B621" s="99"/>
      <x:c r="C621" s="99"/>
      <x:c r="D621" s="99"/>
      <x:c r="E621" s="101"/>
      <x:c r="F621" s="106"/>
      <x:c r="G621" s="106"/>
      <x:c r="H621" s="106"/>
      <x:c r="I621" s="106"/>
      <x:c r="J621" s="106"/>
      <x:c r="K621" s="106"/>
      <x:c r="L621" s="106"/>
      <x:c r="M621" s="111"/>
      <x:c r="N621" s="111"/>
      <x:c r="O621" s="111"/>
      <x:c r="P621" s="111"/>
      <x:c r="Q621" s="111"/>
      <x:c r="R621" s="99"/>
    </x:row>
    <x:row r="622" ht="15" customHeight="1">
      <x:c r="A622" s="22"/>
      <x:c r="B622" s="99"/>
      <x:c r="C622" s="99"/>
      <x:c r="D622" s="99"/>
      <x:c r="E622" s="101"/>
      <x:c r="F622" s="106"/>
      <x:c r="G622" s="106"/>
      <x:c r="H622" s="106"/>
      <x:c r="I622" s="106"/>
      <x:c r="J622" s="106"/>
      <x:c r="K622" s="106"/>
      <x:c r="L622" s="106"/>
      <x:c r="M622" s="106"/>
      <x:c r="N622" s="106"/>
      <x:c r="O622" s="106"/>
      <x:c r="P622" s="106"/>
      <x:c r="Q622" s="106"/>
      <x:c r="R622" s="99"/>
    </x:row>
    <x:row r="623" ht="15" customHeight="1">
      <x:c r="A623" s="22"/>
      <x:c r="B623" s="99"/>
      <x:c r="C623" s="99"/>
      <x:c r="D623" s="99"/>
      <x:c r="E623" s="101"/>
      <x:c r="F623" s="106"/>
      <x:c r="G623" s="106"/>
      <x:c r="H623" s="106"/>
      <x:c r="I623" s="106"/>
      <x:c r="J623" s="106"/>
      <x:c r="K623" s="106"/>
      <x:c r="L623" s="106"/>
      <x:c r="M623" s="106"/>
      <x:c r="N623" s="106"/>
      <x:c r="O623" s="106"/>
      <x:c r="P623" s="106"/>
      <x:c r="Q623" s="106"/>
      <x:c r="R623" s="99"/>
    </x:row>
    <x:row r="624" ht="15" customHeight="1">
      <x:c r="A624" s="22"/>
      <x:c r="B624" s="99"/>
      <x:c r="C624" s="99"/>
      <x:c r="D624" s="99"/>
      <x:c r="E624" s="101"/>
      <x:c r="F624" s="106"/>
      <x:c r="G624" s="106"/>
      <x:c r="H624" s="106"/>
      <x:c r="I624" s="106"/>
      <x:c r="J624" s="106"/>
      <x:c r="K624" s="106"/>
      <x:c r="L624" s="106"/>
      <x:c r="M624" s="106"/>
      <x:c r="N624" s="106"/>
      <x:c r="O624" s="106"/>
      <x:c r="P624" s="106"/>
      <x:c r="Q624" s="106"/>
      <x:c r="R624" s="99"/>
    </x:row>
    <x:row r="625" ht="15" customHeight="1">
      <x:c r="A625" s="94"/>
      <x:c r="B625" s="99"/>
      <x:c r="C625" s="99"/>
      <x:c r="D625" s="99"/>
      <x:c r="E625" s="101"/>
      <x:c r="F625" s="106"/>
      <x:c r="G625" s="106"/>
      <x:c r="H625" s="106"/>
      <x:c r="I625" s="106"/>
      <x:c r="J625" s="106"/>
      <x:c r="K625" s="106"/>
      <x:c r="L625" s="106"/>
      <x:c r="M625" s="111"/>
      <x:c r="N625" s="111"/>
      <x:c r="O625" s="111"/>
      <x:c r="P625" s="111"/>
      <x:c r="Q625" s="111"/>
      <x:c r="R625" s="99"/>
    </x:row>
    <x:row r="626" ht="15" customHeight="1">
      <x:c r="A626" s="22"/>
      <x:c r="B626" s="99"/>
      <x:c r="C626" s="99"/>
      <x:c r="D626" s="99"/>
      <x:c r="E626" s="101"/>
      <x:c r="F626" s="106"/>
      <x:c r="G626" s="106"/>
      <x:c r="H626" s="106"/>
      <x:c r="I626" s="106"/>
      <x:c r="J626" s="106"/>
      <x:c r="K626" s="106"/>
      <x:c r="L626" s="106"/>
      <x:c r="M626" s="106"/>
      <x:c r="N626" s="106"/>
      <x:c r="O626" s="106"/>
      <x:c r="P626" s="106"/>
      <x:c r="Q626" s="106"/>
      <x:c r="R626" s="99"/>
    </x:row>
    <x:row r="627" ht="15" customHeight="1">
      <x:c r="A627" s="22"/>
      <x:c r="B627" s="99"/>
      <x:c r="C627" s="99"/>
      <x:c r="D627" s="99"/>
      <x:c r="E627" s="101"/>
      <x:c r="F627" s="106"/>
      <x:c r="G627" s="106"/>
      <x:c r="H627" s="106"/>
      <x:c r="I627" s="106"/>
      <x:c r="J627" s="106"/>
      <x:c r="K627" s="106"/>
      <x:c r="L627" s="106"/>
      <x:c r="M627" s="106"/>
      <x:c r="N627" s="106"/>
      <x:c r="O627" s="106"/>
      <x:c r="P627" s="106"/>
      <x:c r="Q627" s="106"/>
      <x:c r="R627" s="99"/>
    </x:row>
    <x:row r="628" ht="15" customHeight="1">
      <x:c r="A628" s="22"/>
      <x:c r="B628" s="99"/>
      <x:c r="C628" s="99"/>
      <x:c r="D628" s="99"/>
      <x:c r="E628" s="101"/>
      <x:c r="F628" s="106"/>
      <x:c r="G628" s="106"/>
      <x:c r="H628" s="106"/>
      <x:c r="I628" s="106"/>
      <x:c r="J628" s="106"/>
      <x:c r="K628" s="106"/>
      <x:c r="L628" s="106"/>
      <x:c r="M628" s="106"/>
      <x:c r="N628" s="106"/>
      <x:c r="O628" s="106"/>
      <x:c r="P628" s="106"/>
      <x:c r="Q628" s="106"/>
      <x:c r="R628" s="99"/>
    </x:row>
    <x:row r="629" ht="15" customHeight="1">
      <x:c r="A629" s="94"/>
      <x:c r="B629" s="99"/>
      <x:c r="C629" s="99"/>
      <x:c r="D629" s="99"/>
      <x:c r="E629" s="101"/>
      <x:c r="F629" s="106"/>
      <x:c r="G629" s="106"/>
      <x:c r="H629" s="106"/>
      <x:c r="I629" s="106"/>
      <x:c r="J629" s="106"/>
      <x:c r="K629" s="106"/>
      <x:c r="L629" s="106"/>
      <x:c r="M629" s="111"/>
      <x:c r="N629" s="111"/>
      <x:c r="O629" s="111"/>
      <x:c r="P629" s="111"/>
      <x:c r="Q629" s="111"/>
      <x:c r="R629" s="99"/>
    </x:row>
    <x:row r="630" ht="15" customHeight="1">
      <x:c r="A630" s="22"/>
      <x:c r="B630" s="99"/>
      <x:c r="C630" s="99"/>
      <x:c r="D630" s="99"/>
      <x:c r="E630" s="101"/>
      <x:c r="F630" s="106"/>
      <x:c r="G630" s="106"/>
      <x:c r="H630" s="106"/>
      <x:c r="I630" s="106"/>
      <x:c r="J630" s="106"/>
      <x:c r="K630" s="106"/>
      <x:c r="L630" s="106"/>
      <x:c r="M630" s="106"/>
      <x:c r="N630" s="106"/>
      <x:c r="O630" s="106"/>
      <x:c r="P630" s="106"/>
      <x:c r="Q630" s="106"/>
      <x:c r="R630" s="99"/>
    </x:row>
    <x:row r="631" ht="15" customHeight="1">
      <x:c r="A631" s="22"/>
      <x:c r="B631" s="99"/>
      <x:c r="C631" s="99"/>
      <x:c r="D631" s="99"/>
      <x:c r="E631" s="101"/>
      <x:c r="F631" s="106"/>
      <x:c r="G631" s="106"/>
      <x:c r="H631" s="106"/>
      <x:c r="I631" s="106"/>
      <x:c r="J631" s="106"/>
      <x:c r="K631" s="106"/>
      <x:c r="L631" s="106"/>
      <x:c r="M631" s="106"/>
      <x:c r="N631" s="106"/>
      <x:c r="O631" s="106"/>
      <x:c r="P631" s="106"/>
      <x:c r="Q631" s="106"/>
      <x:c r="R631" s="99"/>
    </x:row>
    <x:row r="632" ht="15" customHeight="1">
      <x:c r="A632" s="22"/>
      <x:c r="B632" s="99"/>
      <x:c r="C632" s="99"/>
      <x:c r="D632" s="99"/>
      <x:c r="E632" s="101"/>
      <x:c r="F632" s="106"/>
      <x:c r="G632" s="106"/>
      <x:c r="H632" s="106"/>
      <x:c r="I632" s="106"/>
      <x:c r="J632" s="106"/>
      <x:c r="K632" s="106"/>
      <x:c r="L632" s="106"/>
      <x:c r="M632" s="106"/>
      <x:c r="N632" s="106"/>
      <x:c r="O632" s="106"/>
      <x:c r="P632" s="106"/>
      <x:c r="Q632" s="106"/>
      <x:c r="R632" s="99"/>
    </x:row>
    <x:row r="633" ht="15" customHeight="1">
      <x:c r="A633" s="94"/>
      <x:c r="B633" s="99"/>
      <x:c r="C633" s="99"/>
      <x:c r="D633" s="99"/>
      <x:c r="E633" s="101"/>
      <x:c r="F633" s="106"/>
      <x:c r="G633" s="106"/>
      <x:c r="H633" s="106"/>
      <x:c r="I633" s="106"/>
      <x:c r="J633" s="106"/>
      <x:c r="K633" s="106"/>
      <x:c r="L633" s="106"/>
      <x:c r="M633" s="111"/>
      <x:c r="N633" s="111"/>
      <x:c r="O633" s="111"/>
      <x:c r="P633" s="111"/>
      <x:c r="Q633" s="111"/>
      <x:c r="R633" s="99"/>
    </x:row>
    <x:row r="634" ht="15" customHeight="1">
      <x:c r="A634" s="22"/>
      <x:c r="B634" s="99"/>
      <x:c r="C634" s="99"/>
      <x:c r="D634" s="99"/>
      <x:c r="E634" s="101"/>
      <x:c r="F634" s="106"/>
      <x:c r="G634" s="106"/>
      <x:c r="H634" s="106"/>
      <x:c r="I634" s="106"/>
      <x:c r="J634" s="106"/>
      <x:c r="K634" s="106"/>
      <x:c r="L634" s="106"/>
      <x:c r="M634" s="106"/>
      <x:c r="N634" s="106"/>
      <x:c r="O634" s="106"/>
      <x:c r="P634" s="106"/>
      <x:c r="Q634" s="106"/>
      <x:c r="R634" s="99"/>
    </x:row>
    <x:row r="635" ht="15" customHeight="1">
      <x:c r="A635" s="22"/>
      <x:c r="B635" s="99"/>
      <x:c r="C635" s="99"/>
      <x:c r="D635" s="99"/>
      <x:c r="E635" s="101"/>
      <x:c r="F635" s="106"/>
      <x:c r="G635" s="106"/>
      <x:c r="H635" s="106"/>
      <x:c r="I635" s="106"/>
      <x:c r="J635" s="106"/>
      <x:c r="K635" s="106"/>
      <x:c r="L635" s="106"/>
      <x:c r="M635" s="106"/>
      <x:c r="N635" s="106"/>
      <x:c r="O635" s="106"/>
      <x:c r="P635" s="106"/>
      <x:c r="Q635" s="106"/>
      <x:c r="R635" s="99"/>
    </x:row>
    <x:row r="636" ht="15" customHeight="1">
      <x:c r="A636" s="22"/>
      <x:c r="B636" s="99"/>
      <x:c r="C636" s="99"/>
      <x:c r="D636" s="99"/>
      <x:c r="E636" s="101"/>
      <x:c r="F636" s="106"/>
      <x:c r="G636" s="106"/>
      <x:c r="H636" s="106"/>
      <x:c r="I636" s="106"/>
      <x:c r="J636" s="106"/>
      <x:c r="K636" s="106"/>
      <x:c r="L636" s="106"/>
      <x:c r="M636" s="106"/>
      <x:c r="N636" s="106"/>
      <x:c r="O636" s="106"/>
      <x:c r="P636" s="106"/>
      <x:c r="Q636" s="106"/>
      <x:c r="R636" s="99"/>
    </x:row>
    <x:row r="637" ht="15" customHeight="1">
      <x:c r="A637" s="94"/>
      <x:c r="B637" s="99"/>
      <x:c r="C637" s="99"/>
      <x:c r="D637" s="99"/>
      <x:c r="E637" s="101"/>
      <x:c r="F637" s="106"/>
      <x:c r="G637" s="106"/>
      <x:c r="H637" s="106"/>
      <x:c r="I637" s="106"/>
      <x:c r="J637" s="106"/>
      <x:c r="K637" s="106"/>
      <x:c r="L637" s="106"/>
      <x:c r="M637" s="111"/>
      <x:c r="N637" s="111"/>
      <x:c r="O637" s="111"/>
      <x:c r="P637" s="111"/>
      <x:c r="Q637" s="111"/>
      <x:c r="R637" s="99"/>
    </x:row>
    <x:row r="638" ht="15" customHeight="1">
      <x:c r="A638" s="22"/>
      <x:c r="B638" s="99"/>
      <x:c r="C638" s="99"/>
      <x:c r="D638" s="99"/>
      <x:c r="E638" s="101"/>
      <x:c r="F638" s="106"/>
      <x:c r="G638" s="106"/>
      <x:c r="H638" s="106"/>
      <x:c r="I638" s="106"/>
      <x:c r="J638" s="106"/>
      <x:c r="K638" s="106"/>
      <x:c r="L638" s="106"/>
      <x:c r="M638" s="106"/>
      <x:c r="N638" s="106"/>
      <x:c r="O638" s="106"/>
      <x:c r="P638" s="106"/>
      <x:c r="Q638" s="106"/>
      <x:c r="R638" s="99"/>
    </x:row>
    <x:row r="639" ht="15" customHeight="1">
      <x:c r="A639" s="22"/>
      <x:c r="B639" s="99"/>
      <x:c r="C639" s="99"/>
      <x:c r="D639" s="99"/>
      <x:c r="E639" s="101"/>
      <x:c r="F639" s="106"/>
      <x:c r="G639" s="106"/>
      <x:c r="H639" s="106"/>
      <x:c r="I639" s="106"/>
      <x:c r="J639" s="106"/>
      <x:c r="K639" s="106"/>
      <x:c r="L639" s="106"/>
      <x:c r="M639" s="106"/>
      <x:c r="N639" s="106"/>
      <x:c r="O639" s="106"/>
      <x:c r="P639" s="106"/>
      <x:c r="Q639" s="106"/>
      <x:c r="R639" s="99"/>
    </x:row>
    <x:row r="640" ht="15" customHeight="1">
      <x:c r="A640" s="22"/>
      <x:c r="B640" s="99"/>
      <x:c r="C640" s="99"/>
      <x:c r="D640" s="99"/>
      <x:c r="E640" s="101"/>
      <x:c r="F640" s="106"/>
      <x:c r="G640" s="106"/>
      <x:c r="H640" s="106"/>
      <x:c r="I640" s="106"/>
      <x:c r="J640" s="106"/>
      <x:c r="K640" s="106"/>
      <x:c r="L640" s="106"/>
      <x:c r="M640" s="106"/>
      <x:c r="N640" s="106"/>
      <x:c r="O640" s="106"/>
      <x:c r="P640" s="106"/>
      <x:c r="Q640" s="106"/>
      <x:c r="R640" s="99"/>
    </x:row>
    <x:row r="641" ht="15" customHeight="1">
      <x:c r="A641" s="94"/>
      <x:c r="B641" s="99"/>
      <x:c r="C641" s="99"/>
      <x:c r="D641" s="99"/>
      <x:c r="E641" s="101"/>
      <x:c r="F641" s="106"/>
      <x:c r="G641" s="106"/>
      <x:c r="H641" s="106"/>
      <x:c r="I641" s="106"/>
      <x:c r="J641" s="106"/>
      <x:c r="K641" s="106"/>
      <x:c r="L641" s="106"/>
      <x:c r="M641" s="111"/>
      <x:c r="N641" s="111"/>
      <x:c r="O641" s="111"/>
      <x:c r="P641" s="111"/>
      <x:c r="Q641" s="111"/>
      <x:c r="R641" s="99"/>
    </x:row>
    <x:row r="642" ht="15" customHeight="1">
      <x:c r="A642" s="22"/>
      <x:c r="B642" s="99"/>
      <x:c r="C642" s="99"/>
      <x:c r="D642" s="99"/>
      <x:c r="E642" s="101"/>
      <x:c r="F642" s="106"/>
      <x:c r="G642" s="106"/>
      <x:c r="H642" s="106"/>
      <x:c r="I642" s="106"/>
      <x:c r="J642" s="106"/>
      <x:c r="K642" s="106"/>
      <x:c r="L642" s="106"/>
      <x:c r="M642" s="106"/>
      <x:c r="N642" s="106"/>
      <x:c r="O642" s="106"/>
      <x:c r="P642" s="106"/>
      <x:c r="Q642" s="106"/>
      <x:c r="R642" s="99"/>
    </x:row>
    <x:row r="643" ht="15" customHeight="1">
      <x:c r="A643" s="22"/>
      <x:c r="B643" s="99"/>
      <x:c r="C643" s="99"/>
      <x:c r="D643" s="99"/>
      <x:c r="E643" s="101"/>
      <x:c r="F643" s="106"/>
      <x:c r="G643" s="106"/>
      <x:c r="H643" s="106"/>
      <x:c r="I643" s="106"/>
      <x:c r="J643" s="106"/>
      <x:c r="K643" s="106"/>
      <x:c r="L643" s="106"/>
      <x:c r="M643" s="106"/>
      <x:c r="N643" s="106"/>
      <x:c r="O643" s="106"/>
      <x:c r="P643" s="106"/>
      <x:c r="Q643" s="106"/>
      <x:c r="R643" s="99"/>
    </x:row>
    <x:row r="644" ht="15" customHeight="1">
      <x:c r="A644" s="22"/>
      <x:c r="B644" s="99"/>
      <x:c r="C644" s="99"/>
      <x:c r="D644" s="99"/>
      <x:c r="E644" s="101"/>
      <x:c r="F644" s="106"/>
      <x:c r="G644" s="106"/>
      <x:c r="H644" s="106"/>
      <x:c r="I644" s="106"/>
      <x:c r="J644" s="106"/>
      <x:c r="K644" s="106"/>
      <x:c r="L644" s="106"/>
      <x:c r="M644" s="106"/>
      <x:c r="N644" s="106"/>
      <x:c r="O644" s="106"/>
      <x:c r="P644" s="106"/>
      <x:c r="Q644" s="106"/>
      <x:c r="R644" s="99"/>
    </x:row>
    <x:row r="645" ht="15" customHeight="1">
      <x:c r="A645" s="94"/>
      <x:c r="B645" s="99"/>
      <x:c r="C645" s="99"/>
      <x:c r="D645" s="99"/>
      <x:c r="E645" s="101"/>
      <x:c r="F645" s="106"/>
      <x:c r="G645" s="106"/>
      <x:c r="H645" s="106"/>
      <x:c r="I645" s="106"/>
      <x:c r="J645" s="106"/>
      <x:c r="K645" s="106"/>
      <x:c r="L645" s="106"/>
      <x:c r="M645" s="111"/>
      <x:c r="N645" s="111"/>
      <x:c r="O645" s="111"/>
      <x:c r="P645" s="111"/>
      <x:c r="Q645" s="111"/>
      <x:c r="R645" s="99"/>
    </x:row>
    <x:row r="646" ht="15" customHeight="1">
      <x:c r="A646" s="22"/>
      <x:c r="B646" s="99"/>
      <x:c r="C646" s="99"/>
      <x:c r="D646" s="99"/>
      <x:c r="E646" s="101"/>
      <x:c r="F646" s="106"/>
      <x:c r="G646" s="106"/>
      <x:c r="H646" s="106"/>
      <x:c r="I646" s="106"/>
      <x:c r="J646" s="106"/>
      <x:c r="K646" s="106"/>
      <x:c r="L646" s="106"/>
      <x:c r="M646" s="106"/>
      <x:c r="N646" s="106"/>
      <x:c r="O646" s="106"/>
      <x:c r="P646" s="106"/>
      <x:c r="Q646" s="106"/>
      <x:c r="R646" s="99"/>
    </x:row>
    <x:row r="647" ht="15" customHeight="1">
      <x:c r="A647" s="22"/>
      <x:c r="B647" s="99"/>
      <x:c r="C647" s="99"/>
      <x:c r="D647" s="99"/>
      <x:c r="E647" s="101"/>
      <x:c r="F647" s="106"/>
      <x:c r="G647" s="106"/>
      <x:c r="H647" s="106"/>
      <x:c r="I647" s="106"/>
      <x:c r="J647" s="106"/>
      <x:c r="K647" s="106"/>
      <x:c r="L647" s="106"/>
      <x:c r="M647" s="106"/>
      <x:c r="N647" s="106"/>
      <x:c r="O647" s="106"/>
      <x:c r="P647" s="106"/>
      <x:c r="Q647" s="106"/>
      <x:c r="R647" s="99"/>
    </x:row>
    <x:row r="648" ht="15" customHeight="1">
      <x:c r="A648" s="22"/>
      <x:c r="B648" s="99"/>
      <x:c r="C648" s="99"/>
      <x:c r="D648" s="99"/>
      <x:c r="E648" s="101"/>
      <x:c r="F648" s="106"/>
      <x:c r="G648" s="106"/>
      <x:c r="H648" s="106"/>
      <x:c r="I648" s="106"/>
      <x:c r="J648" s="106"/>
      <x:c r="K648" s="106"/>
      <x:c r="L648" s="106"/>
      <x:c r="M648" s="106"/>
      <x:c r="N648" s="106"/>
      <x:c r="O648" s="106"/>
      <x:c r="P648" s="106"/>
      <x:c r="Q648" s="106"/>
      <x:c r="R648" s="99"/>
    </x:row>
    <x:row r="649" ht="15" customHeight="1">
      <x:c r="A649" s="94"/>
      <x:c r="B649" s="99"/>
      <x:c r="C649" s="99"/>
      <x:c r="D649" s="99"/>
      <x:c r="E649" s="101"/>
      <x:c r="F649" s="106"/>
      <x:c r="G649" s="106"/>
      <x:c r="H649" s="106"/>
      <x:c r="I649" s="106"/>
      <x:c r="J649" s="106"/>
      <x:c r="K649" s="106"/>
      <x:c r="L649" s="106"/>
      <x:c r="M649" s="111"/>
      <x:c r="N649" s="111"/>
      <x:c r="O649" s="111"/>
      <x:c r="P649" s="111"/>
      <x:c r="Q649" s="111"/>
      <x:c r="R649" s="99"/>
    </x:row>
    <x:row r="650" ht="15" customHeight="1">
      <x:c r="A650" s="22"/>
      <x:c r="B650" s="99"/>
      <x:c r="C650" s="99"/>
      <x:c r="D650" s="99"/>
      <x:c r="E650" s="101"/>
      <x:c r="F650" s="106"/>
      <x:c r="G650" s="106"/>
      <x:c r="H650" s="106"/>
      <x:c r="I650" s="106"/>
      <x:c r="J650" s="106"/>
      <x:c r="K650" s="106"/>
      <x:c r="L650" s="106"/>
      <x:c r="M650" s="106"/>
      <x:c r="N650" s="106"/>
      <x:c r="O650" s="106"/>
      <x:c r="P650" s="106"/>
      <x:c r="Q650" s="106"/>
      <x:c r="R650" s="99"/>
    </x:row>
    <x:row r="651" ht="15" customHeight="1">
      <x:c r="A651" s="22"/>
      <x:c r="B651" s="99"/>
      <x:c r="C651" s="99"/>
      <x:c r="D651" s="99"/>
      <x:c r="E651" s="101"/>
      <x:c r="F651" s="106"/>
      <x:c r="G651" s="106"/>
      <x:c r="H651" s="106"/>
      <x:c r="I651" s="106"/>
      <x:c r="J651" s="106"/>
      <x:c r="K651" s="106"/>
      <x:c r="L651" s="106"/>
      <x:c r="M651" s="106"/>
      <x:c r="N651" s="106"/>
      <x:c r="O651" s="106"/>
      <x:c r="P651" s="106"/>
      <x:c r="Q651" s="106"/>
      <x:c r="R651" s="99"/>
    </x:row>
    <x:row r="652" ht="15" customHeight="1">
      <x:c r="A652" s="22"/>
      <x:c r="B652" s="99"/>
      <x:c r="C652" s="99"/>
      <x:c r="D652" s="99"/>
      <x:c r="E652" s="101"/>
      <x:c r="F652" s="106"/>
      <x:c r="G652" s="106"/>
      <x:c r="H652" s="106"/>
      <x:c r="I652" s="106"/>
      <x:c r="J652" s="106"/>
      <x:c r="K652" s="106"/>
      <x:c r="L652" s="106"/>
      <x:c r="M652" s="106"/>
      <x:c r="N652" s="106"/>
      <x:c r="O652" s="106"/>
      <x:c r="P652" s="106"/>
      <x:c r="Q652" s="106"/>
      <x:c r="R652" s="99"/>
    </x:row>
    <x:row r="653" ht="15" customHeight="1">
      <x:c r="A653" s="94"/>
      <x:c r="B653" s="99"/>
      <x:c r="C653" s="99"/>
      <x:c r="D653" s="99"/>
      <x:c r="E653" s="101"/>
      <x:c r="F653" s="106"/>
      <x:c r="G653" s="106"/>
      <x:c r="H653" s="106"/>
      <x:c r="I653" s="106"/>
      <x:c r="J653" s="106"/>
      <x:c r="K653" s="106"/>
      <x:c r="L653" s="106"/>
      <x:c r="M653" s="111"/>
      <x:c r="N653" s="111"/>
      <x:c r="O653" s="111"/>
      <x:c r="P653" s="111"/>
      <x:c r="Q653" s="111"/>
      <x:c r="R653" s="99"/>
    </x:row>
    <x:row r="654" ht="15" customHeight="1">
      <x:c r="A654" s="22"/>
      <x:c r="B654" s="99"/>
      <x:c r="C654" s="99"/>
      <x:c r="D654" s="99"/>
      <x:c r="E654" s="101"/>
      <x:c r="F654" s="106"/>
      <x:c r="G654" s="106"/>
      <x:c r="H654" s="106"/>
      <x:c r="I654" s="106"/>
      <x:c r="J654" s="106"/>
      <x:c r="K654" s="106"/>
      <x:c r="L654" s="106"/>
      <x:c r="M654" s="106"/>
      <x:c r="N654" s="106"/>
      <x:c r="O654" s="106"/>
      <x:c r="P654" s="106"/>
      <x:c r="Q654" s="106"/>
      <x:c r="R654" s="99"/>
    </x:row>
    <x:row r="655" ht="15" customHeight="1">
      <x:c r="A655" s="22"/>
      <x:c r="B655" s="99"/>
      <x:c r="C655" s="99"/>
      <x:c r="D655" s="99"/>
      <x:c r="E655" s="101"/>
      <x:c r="F655" s="106"/>
      <x:c r="G655" s="106"/>
      <x:c r="H655" s="106"/>
      <x:c r="I655" s="106"/>
      <x:c r="J655" s="106"/>
      <x:c r="K655" s="106"/>
      <x:c r="L655" s="106"/>
      <x:c r="M655" s="106"/>
      <x:c r="N655" s="106"/>
      <x:c r="O655" s="106"/>
      <x:c r="P655" s="106"/>
      <x:c r="Q655" s="106"/>
      <x:c r="R655" s="99"/>
    </x:row>
    <x:row r="656" ht="15" customHeight="1">
      <x:c r="A656" s="22"/>
      <x:c r="B656" s="99"/>
      <x:c r="C656" s="99"/>
      <x:c r="D656" s="99"/>
      <x:c r="E656" s="101"/>
      <x:c r="F656" s="106"/>
      <x:c r="G656" s="106"/>
      <x:c r="H656" s="106"/>
      <x:c r="I656" s="106"/>
      <x:c r="J656" s="106"/>
      <x:c r="K656" s="106"/>
      <x:c r="L656" s="106"/>
      <x:c r="M656" s="106"/>
      <x:c r="N656" s="106"/>
      <x:c r="O656" s="106"/>
      <x:c r="P656" s="106"/>
      <x:c r="Q656" s="106"/>
      <x:c r="R656" s="99"/>
    </x:row>
    <x:row r="657" ht="15" customHeight="1">
      <x:c r="A657" s="94"/>
      <x:c r="B657" s="99"/>
      <x:c r="C657" s="99"/>
      <x:c r="D657" s="99"/>
      <x:c r="E657" s="101"/>
      <x:c r="F657" s="106"/>
      <x:c r="G657" s="106"/>
      <x:c r="H657" s="106"/>
      <x:c r="I657" s="106"/>
      <x:c r="J657" s="106"/>
      <x:c r="K657" s="106"/>
      <x:c r="L657" s="106"/>
      <x:c r="M657" s="111"/>
      <x:c r="N657" s="111"/>
      <x:c r="O657" s="111"/>
      <x:c r="P657" s="111"/>
      <x:c r="Q657" s="111"/>
      <x:c r="R657" s="99"/>
    </x:row>
    <x:row r="658" ht="15" customHeight="1">
      <x:c r="A658" s="22"/>
      <x:c r="B658" s="99"/>
      <x:c r="C658" s="99"/>
      <x:c r="D658" s="99"/>
      <x:c r="E658" s="101"/>
      <x:c r="F658" s="106"/>
      <x:c r="G658" s="106"/>
      <x:c r="H658" s="106"/>
      <x:c r="I658" s="106"/>
      <x:c r="J658" s="106"/>
      <x:c r="K658" s="106"/>
      <x:c r="L658" s="106"/>
      <x:c r="M658" s="106"/>
      <x:c r="N658" s="106"/>
      <x:c r="O658" s="106"/>
      <x:c r="P658" s="106"/>
      <x:c r="Q658" s="106"/>
      <x:c r="R658" s="99"/>
    </x:row>
    <x:row r="659" ht="15" customHeight="1">
      <x:c r="A659" s="22"/>
      <x:c r="B659" s="99"/>
      <x:c r="C659" s="99"/>
      <x:c r="D659" s="99"/>
      <x:c r="E659" s="101"/>
      <x:c r="F659" s="106"/>
      <x:c r="G659" s="106"/>
      <x:c r="H659" s="106"/>
      <x:c r="I659" s="106"/>
      <x:c r="J659" s="106"/>
      <x:c r="K659" s="106"/>
      <x:c r="L659" s="106"/>
      <x:c r="M659" s="106"/>
      <x:c r="N659" s="106"/>
      <x:c r="O659" s="106"/>
      <x:c r="P659" s="106"/>
      <x:c r="Q659" s="106"/>
      <x:c r="R659" s="99"/>
    </x:row>
    <x:row r="660" ht="15" customHeight="1">
      <x:c r="A660" s="22"/>
      <x:c r="B660" s="99"/>
      <x:c r="C660" s="99"/>
      <x:c r="D660" s="99"/>
      <x:c r="E660" s="101"/>
      <x:c r="F660" s="106"/>
      <x:c r="G660" s="106"/>
      <x:c r="H660" s="106"/>
      <x:c r="I660" s="106"/>
      <x:c r="J660" s="106"/>
      <x:c r="K660" s="106"/>
      <x:c r="L660" s="106"/>
      <x:c r="M660" s="106"/>
      <x:c r="N660" s="106"/>
      <x:c r="O660" s="106"/>
      <x:c r="P660" s="106"/>
      <x:c r="Q660" s="106"/>
      <x:c r="R660" s="99"/>
    </x:row>
    <x:row r="661" ht="15" customHeight="1">
      <x:c r="A661" s="94"/>
      <x:c r="B661" s="99"/>
      <x:c r="C661" s="99"/>
      <x:c r="D661" s="99"/>
      <x:c r="E661" s="101"/>
      <x:c r="F661" s="106"/>
      <x:c r="G661" s="106"/>
      <x:c r="H661" s="106"/>
      <x:c r="I661" s="106"/>
      <x:c r="J661" s="106"/>
      <x:c r="K661" s="106"/>
      <x:c r="L661" s="106"/>
      <x:c r="M661" s="111"/>
      <x:c r="N661" s="111"/>
      <x:c r="O661" s="111"/>
      <x:c r="P661" s="111"/>
      <x:c r="Q661" s="111"/>
      <x:c r="R661" s="99"/>
    </x:row>
    <x:row r="662" ht="15" customHeight="1">
      <x:c r="A662" s="22"/>
      <x:c r="B662" s="99"/>
      <x:c r="C662" s="99"/>
      <x:c r="D662" s="99"/>
      <x:c r="E662" s="101"/>
      <x:c r="F662" s="106"/>
      <x:c r="G662" s="106"/>
      <x:c r="H662" s="106"/>
      <x:c r="I662" s="106"/>
      <x:c r="J662" s="106"/>
      <x:c r="K662" s="106"/>
      <x:c r="L662" s="106"/>
      <x:c r="M662" s="106"/>
      <x:c r="N662" s="106"/>
      <x:c r="O662" s="106"/>
      <x:c r="P662" s="106"/>
      <x:c r="Q662" s="106"/>
      <x:c r="R662" s="99"/>
    </x:row>
    <x:row r="663" ht="15" customHeight="1">
      <x:c r="A663" s="22"/>
      <x:c r="B663" s="99"/>
      <x:c r="C663" s="99"/>
      <x:c r="D663" s="99"/>
      <x:c r="E663" s="101"/>
      <x:c r="F663" s="106"/>
      <x:c r="G663" s="106"/>
      <x:c r="H663" s="106"/>
      <x:c r="I663" s="106"/>
      <x:c r="J663" s="106"/>
      <x:c r="K663" s="106"/>
      <x:c r="L663" s="106"/>
      <x:c r="M663" s="106"/>
      <x:c r="N663" s="106"/>
      <x:c r="O663" s="106"/>
      <x:c r="P663" s="106"/>
      <x:c r="Q663" s="106"/>
      <x:c r="R663" s="99"/>
    </x:row>
    <x:row r="664" ht="15" customHeight="1">
      <x:c r="A664" s="22"/>
      <x:c r="B664" s="99"/>
      <x:c r="C664" s="99"/>
      <x:c r="D664" s="99"/>
      <x:c r="E664" s="101"/>
      <x:c r="F664" s="106"/>
      <x:c r="G664" s="106"/>
      <x:c r="H664" s="106"/>
      <x:c r="I664" s="106"/>
      <x:c r="J664" s="106"/>
      <x:c r="K664" s="106"/>
      <x:c r="L664" s="106"/>
      <x:c r="M664" s="106"/>
      <x:c r="N664" s="106"/>
      <x:c r="O664" s="106"/>
      <x:c r="P664" s="106"/>
      <x:c r="Q664" s="106"/>
      <x:c r="R664" s="99"/>
    </x:row>
    <x:row r="665" ht="15" customHeight="1">
      <x:c r="A665" s="94"/>
      <x:c r="B665" s="99"/>
      <x:c r="C665" s="99"/>
      <x:c r="D665" s="99"/>
      <x:c r="E665" s="101"/>
      <x:c r="F665" s="106"/>
      <x:c r="G665" s="106"/>
      <x:c r="H665" s="106"/>
      <x:c r="I665" s="106"/>
      <x:c r="J665" s="106"/>
      <x:c r="K665" s="106"/>
      <x:c r="L665" s="106"/>
      <x:c r="M665" s="111"/>
      <x:c r="N665" s="111"/>
      <x:c r="O665" s="111"/>
      <x:c r="P665" s="111"/>
      <x:c r="Q665" s="111"/>
      <x:c r="R665" s="99"/>
    </x:row>
    <x:row r="666" ht="15" customHeight="1">
      <x:c r="A666" s="22"/>
      <x:c r="B666" s="99"/>
      <x:c r="C666" s="99"/>
      <x:c r="D666" s="99"/>
      <x:c r="E666" s="101"/>
      <x:c r="F666" s="106"/>
      <x:c r="G666" s="106"/>
      <x:c r="H666" s="106"/>
      <x:c r="I666" s="106"/>
      <x:c r="J666" s="106"/>
      <x:c r="K666" s="106"/>
      <x:c r="L666" s="106"/>
      <x:c r="M666" s="106"/>
      <x:c r="N666" s="106"/>
      <x:c r="O666" s="106"/>
      <x:c r="P666" s="106"/>
      <x:c r="Q666" s="106"/>
      <x:c r="R666" s="99"/>
    </x:row>
    <x:row r="667" ht="15" customHeight="1">
      <x:c r="A667" s="22"/>
      <x:c r="B667" s="99"/>
      <x:c r="C667" s="99"/>
      <x:c r="D667" s="99"/>
      <x:c r="E667" s="101"/>
      <x:c r="F667" s="106"/>
      <x:c r="G667" s="106"/>
      <x:c r="H667" s="106"/>
      <x:c r="I667" s="106"/>
      <x:c r="J667" s="106"/>
      <x:c r="K667" s="106"/>
      <x:c r="L667" s="106"/>
      <x:c r="M667" s="106"/>
      <x:c r="N667" s="106"/>
      <x:c r="O667" s="106"/>
      <x:c r="P667" s="106"/>
      <x:c r="Q667" s="106"/>
      <x:c r="R667" s="99"/>
    </x:row>
    <x:row r="668" ht="15" customHeight="1">
      <x:c r="A668" s="22"/>
      <x:c r="B668" s="99"/>
      <x:c r="C668" s="99"/>
      <x:c r="D668" s="99"/>
      <x:c r="E668" s="101"/>
      <x:c r="F668" s="106"/>
      <x:c r="G668" s="106"/>
      <x:c r="H668" s="106"/>
      <x:c r="I668" s="106"/>
      <x:c r="J668" s="106"/>
      <x:c r="K668" s="106"/>
      <x:c r="L668" s="106"/>
      <x:c r="M668" s="106"/>
      <x:c r="N668" s="106"/>
      <x:c r="O668" s="106"/>
      <x:c r="P668" s="106"/>
      <x:c r="Q668" s="106"/>
      <x:c r="R668" s="99"/>
    </x:row>
    <x:row r="669" ht="15" customHeight="1">
      <x:c r="A669" s="94"/>
      <x:c r="B669" s="99"/>
      <x:c r="C669" s="99"/>
      <x:c r="D669" s="99"/>
      <x:c r="E669" s="101"/>
      <x:c r="F669" s="106"/>
      <x:c r="G669" s="106"/>
      <x:c r="H669" s="106"/>
      <x:c r="I669" s="106"/>
      <x:c r="J669" s="106"/>
      <x:c r="K669" s="106"/>
      <x:c r="L669" s="106"/>
      <x:c r="M669" s="111"/>
      <x:c r="N669" s="111"/>
      <x:c r="O669" s="111"/>
      <x:c r="P669" s="111"/>
      <x:c r="Q669" s="111"/>
      <x:c r="R669" s="99"/>
    </x:row>
    <x:row r="670" ht="15" customHeight="1">
      <x:c r="A670" s="22"/>
      <x:c r="B670" s="99"/>
      <x:c r="C670" s="99"/>
      <x:c r="D670" s="99"/>
      <x:c r="E670" s="101"/>
      <x:c r="F670" s="106"/>
      <x:c r="G670" s="106"/>
      <x:c r="H670" s="106"/>
      <x:c r="I670" s="106"/>
      <x:c r="J670" s="106"/>
      <x:c r="K670" s="106"/>
      <x:c r="L670" s="106"/>
      <x:c r="M670" s="106"/>
      <x:c r="N670" s="106"/>
      <x:c r="O670" s="106"/>
      <x:c r="P670" s="106"/>
      <x:c r="Q670" s="106"/>
      <x:c r="R670" s="99"/>
    </x:row>
    <x:row r="671" ht="15" customHeight="1">
      <x:c r="A671" s="22"/>
      <x:c r="B671" s="99"/>
      <x:c r="C671" s="99"/>
      <x:c r="D671" s="99"/>
      <x:c r="E671" s="101"/>
      <x:c r="F671" s="106"/>
      <x:c r="G671" s="106"/>
      <x:c r="H671" s="106"/>
      <x:c r="I671" s="106"/>
      <x:c r="J671" s="106"/>
      <x:c r="K671" s="106"/>
      <x:c r="L671" s="106"/>
      <x:c r="M671" s="106"/>
      <x:c r="N671" s="106"/>
      <x:c r="O671" s="106"/>
      <x:c r="P671" s="106"/>
      <x:c r="Q671" s="106"/>
      <x:c r="R671" s="99"/>
    </x:row>
    <x:row r="672" ht="15" customHeight="1">
      <x:c r="A672" s="22"/>
      <x:c r="B672" s="99"/>
      <x:c r="C672" s="99"/>
      <x:c r="D672" s="99"/>
      <x:c r="E672" s="101"/>
      <x:c r="F672" s="106"/>
      <x:c r="G672" s="106"/>
      <x:c r="H672" s="106"/>
      <x:c r="I672" s="106"/>
      <x:c r="J672" s="106"/>
      <x:c r="K672" s="106"/>
      <x:c r="L672" s="106"/>
      <x:c r="M672" s="106"/>
      <x:c r="N672" s="106"/>
      <x:c r="O672" s="106"/>
      <x:c r="P672" s="106"/>
      <x:c r="Q672" s="106"/>
      <x:c r="R672" s="99"/>
    </x:row>
    <x:row r="673" ht="15" customHeight="1">
      <x:c r="A673" s="94"/>
      <x:c r="B673" s="99"/>
      <x:c r="C673" s="99"/>
      <x:c r="D673" s="99"/>
      <x:c r="E673" s="101"/>
      <x:c r="F673" s="106"/>
      <x:c r="G673" s="106"/>
      <x:c r="H673" s="106"/>
      <x:c r="I673" s="106"/>
      <x:c r="J673" s="106"/>
      <x:c r="K673" s="106"/>
      <x:c r="L673" s="106"/>
      <x:c r="M673" s="111"/>
      <x:c r="N673" s="111"/>
      <x:c r="O673" s="111"/>
      <x:c r="P673" s="111"/>
      <x:c r="Q673" s="111"/>
      <x:c r="R673" s="99"/>
    </x:row>
    <x:row r="674" ht="15" customHeight="1">
      <x:c r="A674" s="22"/>
      <x:c r="B674" s="99"/>
      <x:c r="C674" s="99"/>
      <x:c r="D674" s="99"/>
      <x:c r="E674" s="101"/>
      <x:c r="F674" s="106"/>
      <x:c r="G674" s="106"/>
      <x:c r="H674" s="106"/>
      <x:c r="I674" s="106"/>
      <x:c r="J674" s="106"/>
      <x:c r="K674" s="106"/>
      <x:c r="L674" s="106"/>
      <x:c r="M674" s="106"/>
      <x:c r="N674" s="106"/>
      <x:c r="O674" s="106"/>
      <x:c r="P674" s="106"/>
      <x:c r="Q674" s="106"/>
      <x:c r="R674" s="99"/>
    </x:row>
    <x:row r="675" ht="15" customHeight="1">
      <x:c r="A675" s="22"/>
      <x:c r="B675" s="99"/>
      <x:c r="C675" s="99"/>
      <x:c r="D675" s="99"/>
      <x:c r="E675" s="101"/>
      <x:c r="F675" s="106"/>
      <x:c r="G675" s="106"/>
      <x:c r="H675" s="106"/>
      <x:c r="I675" s="106"/>
      <x:c r="J675" s="106"/>
      <x:c r="K675" s="106"/>
      <x:c r="L675" s="106"/>
      <x:c r="M675" s="106"/>
      <x:c r="N675" s="106"/>
      <x:c r="O675" s="106"/>
      <x:c r="P675" s="106"/>
      <x:c r="Q675" s="106"/>
      <x:c r="R675" s="99"/>
    </x:row>
    <x:row r="676" ht="15" customHeight="1">
      <x:c r="A676" s="22"/>
      <x:c r="B676" s="99"/>
      <x:c r="C676" s="99"/>
      <x:c r="D676" s="99"/>
      <x:c r="E676" s="101"/>
      <x:c r="F676" s="106"/>
      <x:c r="G676" s="106"/>
      <x:c r="H676" s="106"/>
      <x:c r="I676" s="106"/>
      <x:c r="J676" s="106"/>
      <x:c r="K676" s="106"/>
      <x:c r="L676" s="106"/>
      <x:c r="M676" s="106"/>
      <x:c r="N676" s="106"/>
      <x:c r="O676" s="106"/>
      <x:c r="P676" s="106"/>
      <x:c r="Q676" s="106"/>
      <x:c r="R676" s="99"/>
    </x:row>
    <x:row r="677" ht="15" customHeight="1">
      <x:c r="A677" s="94"/>
      <x:c r="B677" s="99"/>
      <x:c r="C677" s="99"/>
      <x:c r="D677" s="99"/>
      <x:c r="E677" s="101"/>
      <x:c r="F677" s="106"/>
      <x:c r="G677" s="106"/>
      <x:c r="H677" s="106"/>
      <x:c r="I677" s="106"/>
      <x:c r="J677" s="106"/>
      <x:c r="K677" s="106"/>
      <x:c r="L677" s="106"/>
      <x:c r="M677" s="111"/>
      <x:c r="N677" s="111"/>
      <x:c r="O677" s="111"/>
      <x:c r="P677" s="111"/>
      <x:c r="Q677" s="111"/>
      <x:c r="R677" s="99"/>
    </x:row>
    <x:row r="678" ht="15" customHeight="1">
      <x:c r="A678" s="22"/>
      <x:c r="B678" s="99"/>
      <x:c r="C678" s="99"/>
      <x:c r="D678" s="99"/>
      <x:c r="E678" s="101"/>
      <x:c r="F678" s="106"/>
      <x:c r="G678" s="106"/>
      <x:c r="H678" s="106"/>
      <x:c r="I678" s="106"/>
      <x:c r="J678" s="106"/>
      <x:c r="K678" s="106"/>
      <x:c r="L678" s="106"/>
      <x:c r="M678" s="106"/>
      <x:c r="N678" s="106"/>
      <x:c r="O678" s="106"/>
      <x:c r="P678" s="106"/>
      <x:c r="Q678" s="106"/>
      <x:c r="R678" s="99"/>
    </x:row>
    <x:row r="679" ht="15" customHeight="1">
      <x:c r="A679" s="22"/>
      <x:c r="B679" s="99"/>
      <x:c r="C679" s="99"/>
      <x:c r="D679" s="99"/>
      <x:c r="E679" s="101"/>
      <x:c r="F679" s="106"/>
      <x:c r="G679" s="106"/>
      <x:c r="H679" s="106"/>
      <x:c r="I679" s="106"/>
      <x:c r="J679" s="106"/>
      <x:c r="K679" s="106"/>
      <x:c r="L679" s="106"/>
      <x:c r="M679" s="106"/>
      <x:c r="N679" s="106"/>
      <x:c r="O679" s="106"/>
      <x:c r="P679" s="106"/>
      <x:c r="Q679" s="106"/>
      <x:c r="R679" s="99"/>
    </x:row>
    <x:row r="680" ht="15" customHeight="1">
      <x:c r="A680" s="22"/>
      <x:c r="B680" s="99"/>
      <x:c r="C680" s="99"/>
      <x:c r="D680" s="99"/>
      <x:c r="E680" s="101"/>
      <x:c r="F680" s="106"/>
      <x:c r="G680" s="106"/>
      <x:c r="H680" s="106"/>
      <x:c r="I680" s="106"/>
      <x:c r="J680" s="106"/>
      <x:c r="K680" s="106"/>
      <x:c r="L680" s="106"/>
      <x:c r="M680" s="106"/>
      <x:c r="N680" s="106"/>
      <x:c r="O680" s="106"/>
      <x:c r="P680" s="106"/>
      <x:c r="Q680" s="106"/>
      <x:c r="R680" s="99"/>
    </x:row>
    <x:row r="681" ht="15" customHeight="1">
      <x:c r="A681" s="94"/>
      <x:c r="B681" s="99"/>
      <x:c r="C681" s="99"/>
      <x:c r="D681" s="99"/>
      <x:c r="E681" s="101"/>
      <x:c r="F681" s="106"/>
      <x:c r="G681" s="106"/>
      <x:c r="H681" s="106"/>
      <x:c r="I681" s="106"/>
      <x:c r="J681" s="106"/>
      <x:c r="K681" s="106"/>
      <x:c r="L681" s="106"/>
      <x:c r="M681" s="111"/>
      <x:c r="N681" s="111"/>
      <x:c r="O681" s="111"/>
      <x:c r="P681" s="111"/>
      <x:c r="Q681" s="111"/>
      <x:c r="R681" s="99"/>
    </x:row>
    <x:row r="682" ht="15" customHeight="1">
      <x:c r="A682" s="22"/>
      <x:c r="B682" s="99"/>
      <x:c r="C682" s="99"/>
      <x:c r="D682" s="99"/>
      <x:c r="E682" s="101"/>
      <x:c r="F682" s="106"/>
      <x:c r="G682" s="106"/>
      <x:c r="H682" s="106"/>
      <x:c r="I682" s="106"/>
      <x:c r="J682" s="106"/>
      <x:c r="K682" s="106"/>
      <x:c r="L682" s="106"/>
      <x:c r="M682" s="106"/>
      <x:c r="N682" s="106"/>
      <x:c r="O682" s="106"/>
      <x:c r="P682" s="106"/>
      <x:c r="Q682" s="106"/>
      <x:c r="R682" s="99"/>
    </x:row>
    <x:row r="683" ht="15" customHeight="1">
      <x:c r="A683" s="22"/>
      <x:c r="B683" s="99"/>
      <x:c r="C683" s="99"/>
      <x:c r="D683" s="99"/>
      <x:c r="E683" s="101"/>
      <x:c r="F683" s="106"/>
      <x:c r="G683" s="106"/>
      <x:c r="H683" s="106"/>
      <x:c r="I683" s="106"/>
      <x:c r="J683" s="106"/>
      <x:c r="K683" s="106"/>
      <x:c r="L683" s="106"/>
      <x:c r="M683" s="106"/>
      <x:c r="N683" s="106"/>
      <x:c r="O683" s="106"/>
      <x:c r="P683" s="106"/>
      <x:c r="Q683" s="106"/>
      <x:c r="R683" s="99"/>
    </x:row>
    <x:row r="684" ht="15" customHeight="1">
      <x:c r="A684" s="22"/>
      <x:c r="B684" s="99"/>
      <x:c r="C684" s="99"/>
      <x:c r="D684" s="99"/>
      <x:c r="E684" s="101"/>
      <x:c r="F684" s="106"/>
      <x:c r="G684" s="106"/>
      <x:c r="H684" s="106"/>
      <x:c r="I684" s="106"/>
      <x:c r="J684" s="106"/>
      <x:c r="K684" s="106"/>
      <x:c r="L684" s="106"/>
      <x:c r="M684" s="106"/>
      <x:c r="N684" s="106"/>
      <x:c r="O684" s="106"/>
      <x:c r="P684" s="106"/>
      <x:c r="Q684" s="106"/>
      <x:c r="R684" s="99"/>
    </x:row>
    <x:row r="685" ht="15" customHeight="1">
      <x:c r="A685" s="94"/>
      <x:c r="B685" s="99"/>
      <x:c r="C685" s="99"/>
      <x:c r="D685" s="99"/>
      <x:c r="E685" s="101"/>
      <x:c r="F685" s="106"/>
      <x:c r="G685" s="106"/>
      <x:c r="H685" s="106"/>
      <x:c r="I685" s="106"/>
      <x:c r="J685" s="106"/>
      <x:c r="K685" s="106"/>
      <x:c r="L685" s="106"/>
      <x:c r="M685" s="111"/>
      <x:c r="N685" s="111"/>
      <x:c r="O685" s="111"/>
      <x:c r="P685" s="111"/>
      <x:c r="Q685" s="111"/>
      <x:c r="R685" s="99"/>
    </x:row>
    <x:row r="686" ht="15" customHeight="1">
      <x:c r="A686" s="22"/>
      <x:c r="B686" s="99"/>
      <x:c r="C686" s="99"/>
      <x:c r="D686" s="99"/>
      <x:c r="E686" s="101"/>
      <x:c r="F686" s="106"/>
      <x:c r="G686" s="106"/>
      <x:c r="H686" s="106"/>
      <x:c r="I686" s="106"/>
      <x:c r="J686" s="106"/>
      <x:c r="K686" s="106"/>
      <x:c r="L686" s="106"/>
      <x:c r="M686" s="106"/>
      <x:c r="N686" s="106"/>
      <x:c r="O686" s="106"/>
      <x:c r="P686" s="106"/>
      <x:c r="Q686" s="106"/>
      <x:c r="R686" s="99"/>
    </x:row>
    <x:row r="687" ht="15" customHeight="1">
      <x:c r="A687" s="22"/>
      <x:c r="B687" s="99"/>
      <x:c r="C687" s="99"/>
      <x:c r="D687" s="99"/>
      <x:c r="E687" s="101"/>
      <x:c r="F687" s="106"/>
      <x:c r="G687" s="106"/>
      <x:c r="H687" s="106"/>
      <x:c r="I687" s="106"/>
      <x:c r="J687" s="106"/>
      <x:c r="K687" s="106"/>
      <x:c r="L687" s="106"/>
      <x:c r="M687" s="106"/>
      <x:c r="N687" s="106"/>
      <x:c r="O687" s="106"/>
      <x:c r="P687" s="106"/>
      <x:c r="Q687" s="106"/>
      <x:c r="R687" s="99"/>
    </x:row>
    <x:row r="688" ht="15" customHeight="1">
      <x:c r="A688" s="22"/>
      <x:c r="B688" s="99"/>
      <x:c r="C688" s="99"/>
      <x:c r="D688" s="99"/>
      <x:c r="E688" s="101"/>
      <x:c r="F688" s="106"/>
      <x:c r="G688" s="106"/>
      <x:c r="H688" s="106"/>
      <x:c r="I688" s="106"/>
      <x:c r="J688" s="106"/>
      <x:c r="K688" s="106"/>
      <x:c r="L688" s="106"/>
      <x:c r="M688" s="106"/>
      <x:c r="N688" s="106"/>
      <x:c r="O688" s="106"/>
      <x:c r="P688" s="106"/>
      <x:c r="Q688" s="106"/>
      <x:c r="R688" s="99"/>
    </x:row>
    <x:row r="689" ht="15" customHeight="1">
      <x:c r="A689" s="94"/>
      <x:c r="B689" s="99"/>
      <x:c r="C689" s="99"/>
      <x:c r="D689" s="99"/>
      <x:c r="E689" s="101"/>
      <x:c r="F689" s="106"/>
      <x:c r="G689" s="106"/>
      <x:c r="H689" s="106"/>
      <x:c r="I689" s="106"/>
      <x:c r="J689" s="106"/>
      <x:c r="K689" s="106"/>
      <x:c r="L689" s="106"/>
      <x:c r="M689" s="111"/>
      <x:c r="N689" s="111"/>
      <x:c r="O689" s="111"/>
      <x:c r="P689" s="111"/>
      <x:c r="Q689" s="111"/>
      <x:c r="R689" s="99"/>
    </x:row>
    <x:row r="690" ht="15" customHeight="1">
      <x:c r="A690" s="22"/>
      <x:c r="B690" s="99"/>
      <x:c r="C690" s="99"/>
      <x:c r="D690" s="99"/>
      <x:c r="E690" s="101"/>
      <x:c r="F690" s="106"/>
      <x:c r="G690" s="106"/>
      <x:c r="H690" s="106"/>
      <x:c r="I690" s="106"/>
      <x:c r="J690" s="106"/>
      <x:c r="K690" s="106"/>
      <x:c r="L690" s="106"/>
      <x:c r="M690" s="106"/>
      <x:c r="N690" s="106"/>
      <x:c r="O690" s="106"/>
      <x:c r="P690" s="106"/>
      <x:c r="Q690" s="106"/>
      <x:c r="R690" s="99"/>
    </x:row>
    <x:row r="691" ht="15" customHeight="1">
      <x:c r="A691" s="22"/>
      <x:c r="B691" s="99"/>
      <x:c r="C691" s="99"/>
      <x:c r="D691" s="99"/>
      <x:c r="E691" s="101"/>
      <x:c r="F691" s="106"/>
      <x:c r="G691" s="106"/>
      <x:c r="H691" s="106"/>
      <x:c r="I691" s="106"/>
      <x:c r="J691" s="106"/>
      <x:c r="K691" s="106"/>
      <x:c r="L691" s="106"/>
      <x:c r="M691" s="106"/>
      <x:c r="N691" s="106"/>
      <x:c r="O691" s="106"/>
      <x:c r="P691" s="106"/>
      <x:c r="Q691" s="106"/>
      <x:c r="R691" s="99"/>
    </x:row>
    <x:row r="692" ht="15" customHeight="1">
      <x:c r="A692" s="22"/>
      <x:c r="B692" s="99"/>
      <x:c r="C692" s="99"/>
      <x:c r="D692" s="99"/>
      <x:c r="E692" s="101"/>
      <x:c r="F692" s="106"/>
      <x:c r="G692" s="106"/>
      <x:c r="H692" s="106"/>
      <x:c r="I692" s="106"/>
      <x:c r="J692" s="106"/>
      <x:c r="K692" s="106"/>
      <x:c r="L692" s="106"/>
      <x:c r="M692" s="106"/>
      <x:c r="N692" s="106"/>
      <x:c r="O692" s="106"/>
      <x:c r="P692" s="106"/>
      <x:c r="Q692" s="106"/>
      <x:c r="R692" s="99"/>
    </x:row>
    <x:row r="693" ht="15" customHeight="1">
      <x:c r="A693" s="94"/>
      <x:c r="B693" s="99"/>
      <x:c r="C693" s="99"/>
      <x:c r="D693" s="99"/>
      <x:c r="E693" s="101"/>
      <x:c r="F693" s="106"/>
      <x:c r="G693" s="106"/>
      <x:c r="H693" s="106"/>
      <x:c r="I693" s="106"/>
      <x:c r="J693" s="106"/>
      <x:c r="K693" s="106"/>
      <x:c r="L693" s="106"/>
      <x:c r="M693" s="111"/>
      <x:c r="N693" s="111"/>
      <x:c r="O693" s="111"/>
      <x:c r="P693" s="111"/>
      <x:c r="Q693" s="111"/>
      <x:c r="R693" s="99"/>
    </x:row>
    <x:row r="694" ht="15" customHeight="1">
      <x:c r="A694" s="22"/>
      <x:c r="B694" s="99"/>
      <x:c r="C694" s="99"/>
      <x:c r="D694" s="99"/>
      <x:c r="E694" s="101"/>
      <x:c r="F694" s="106"/>
      <x:c r="G694" s="106"/>
      <x:c r="H694" s="106"/>
      <x:c r="I694" s="106"/>
      <x:c r="J694" s="106"/>
      <x:c r="K694" s="106"/>
      <x:c r="L694" s="106"/>
      <x:c r="M694" s="106"/>
      <x:c r="N694" s="106"/>
      <x:c r="O694" s="106"/>
      <x:c r="P694" s="106"/>
      <x:c r="Q694" s="106"/>
      <x:c r="R694" s="99"/>
    </x:row>
    <x:row r="695" ht="15" customHeight="1">
      <x:c r="A695" s="22"/>
      <x:c r="B695" s="99"/>
      <x:c r="C695" s="99"/>
      <x:c r="D695" s="99"/>
      <x:c r="E695" s="101"/>
      <x:c r="F695" s="106"/>
      <x:c r="G695" s="106"/>
      <x:c r="H695" s="106"/>
      <x:c r="I695" s="106"/>
      <x:c r="J695" s="106"/>
      <x:c r="K695" s="106"/>
      <x:c r="L695" s="106"/>
      <x:c r="M695" s="106"/>
      <x:c r="N695" s="106"/>
      <x:c r="O695" s="106"/>
      <x:c r="P695" s="106"/>
      <x:c r="Q695" s="106"/>
      <x:c r="R695" s="99"/>
    </x:row>
    <x:row r="696" ht="15" customHeight="1">
      <x:c r="A696" s="22"/>
      <x:c r="B696" s="99"/>
      <x:c r="C696" s="99"/>
      <x:c r="D696" s="99"/>
      <x:c r="E696" s="101"/>
      <x:c r="F696" s="106"/>
      <x:c r="G696" s="106"/>
      <x:c r="H696" s="106"/>
      <x:c r="I696" s="106"/>
      <x:c r="J696" s="106"/>
      <x:c r="K696" s="106"/>
      <x:c r="L696" s="106"/>
      <x:c r="M696" s="106"/>
      <x:c r="N696" s="106"/>
      <x:c r="O696" s="106"/>
      <x:c r="P696" s="106"/>
      <x:c r="Q696" s="106"/>
      <x:c r="R696" s="99"/>
    </x:row>
    <x:row r="697" ht="15" customHeight="1">
      <x:c r="A697" s="94"/>
      <x:c r="B697" s="99"/>
      <x:c r="C697" s="99"/>
      <x:c r="D697" s="99"/>
      <x:c r="E697" s="101"/>
      <x:c r="F697" s="106"/>
      <x:c r="G697" s="106"/>
      <x:c r="H697" s="106"/>
      <x:c r="I697" s="106"/>
      <x:c r="J697" s="106"/>
      <x:c r="K697" s="106"/>
      <x:c r="L697" s="106"/>
      <x:c r="M697" s="111"/>
      <x:c r="N697" s="111"/>
      <x:c r="O697" s="111"/>
      <x:c r="P697" s="111"/>
      <x:c r="Q697" s="111"/>
      <x:c r="R697" s="99"/>
    </x:row>
    <x:row r="698" ht="15" customHeight="1">
      <x:c r="A698" s="22"/>
      <x:c r="B698" s="99"/>
      <x:c r="C698" s="99"/>
      <x:c r="D698" s="99"/>
      <x:c r="E698" s="101"/>
      <x:c r="F698" s="106"/>
      <x:c r="G698" s="106"/>
      <x:c r="H698" s="106"/>
      <x:c r="I698" s="106"/>
      <x:c r="J698" s="106"/>
      <x:c r="K698" s="106"/>
      <x:c r="L698" s="106"/>
      <x:c r="M698" s="106"/>
      <x:c r="N698" s="106"/>
      <x:c r="O698" s="106"/>
      <x:c r="P698" s="106"/>
      <x:c r="Q698" s="106"/>
      <x:c r="R698" s="99"/>
    </x:row>
    <x:row r="699" ht="15" customHeight="1">
      <x:c r="A699" s="22"/>
      <x:c r="B699" s="99"/>
      <x:c r="C699" s="99"/>
      <x:c r="D699" s="99"/>
      <x:c r="E699" s="101"/>
      <x:c r="F699" s="106"/>
      <x:c r="G699" s="106"/>
      <x:c r="H699" s="106"/>
      <x:c r="I699" s="106"/>
      <x:c r="J699" s="106"/>
      <x:c r="K699" s="106"/>
      <x:c r="L699" s="106"/>
      <x:c r="M699" s="106"/>
      <x:c r="N699" s="106"/>
      <x:c r="O699" s="106"/>
      <x:c r="P699" s="106"/>
      <x:c r="Q699" s="106"/>
      <x:c r="R699" s="99"/>
    </x:row>
    <x:row r="700" ht="15" customHeight="1">
      <x:c r="A700" s="22"/>
      <x:c r="B700" s="99"/>
      <x:c r="C700" s="99"/>
      <x:c r="D700" s="99"/>
      <x:c r="E700" s="101"/>
      <x:c r="F700" s="106"/>
      <x:c r="G700" s="106"/>
      <x:c r="H700" s="106"/>
      <x:c r="I700" s="106"/>
      <x:c r="J700" s="106"/>
      <x:c r="K700" s="106"/>
      <x:c r="L700" s="106"/>
      <x:c r="M700" s="106"/>
      <x:c r="N700" s="106"/>
      <x:c r="O700" s="106"/>
      <x:c r="P700" s="106"/>
      <x:c r="Q700" s="106"/>
      <x:c r="R700" s="99"/>
    </x:row>
    <x:row r="701" ht="15" customHeight="1">
      <x:c r="A701" s="94"/>
      <x:c r="B701" s="99"/>
      <x:c r="C701" s="99"/>
      <x:c r="D701" s="99"/>
      <x:c r="E701" s="101"/>
      <x:c r="F701" s="106"/>
      <x:c r="G701" s="106"/>
      <x:c r="H701" s="106"/>
      <x:c r="I701" s="106"/>
      <x:c r="J701" s="106"/>
      <x:c r="K701" s="106"/>
      <x:c r="L701" s="106"/>
      <x:c r="M701" s="111"/>
      <x:c r="N701" s="111"/>
      <x:c r="O701" s="111"/>
      <x:c r="P701" s="111"/>
      <x:c r="Q701" s="111"/>
      <x:c r="R701" s="99"/>
    </x:row>
    <x:row r="702" ht="15" customHeight="1">
      <x:c r="A702" s="22"/>
      <x:c r="B702" s="99"/>
      <x:c r="C702" s="99"/>
      <x:c r="D702" s="99"/>
      <x:c r="E702" s="101"/>
      <x:c r="F702" s="106"/>
      <x:c r="G702" s="106"/>
      <x:c r="H702" s="106"/>
      <x:c r="I702" s="106"/>
      <x:c r="J702" s="106"/>
      <x:c r="K702" s="106"/>
      <x:c r="L702" s="106"/>
      <x:c r="M702" s="106"/>
      <x:c r="N702" s="106"/>
      <x:c r="O702" s="106"/>
      <x:c r="P702" s="106"/>
      <x:c r="Q702" s="106"/>
      <x:c r="R702" s="99"/>
    </x:row>
    <x:row r="703" ht="15" customHeight="1">
      <x:c r="A703" s="22"/>
      <x:c r="B703" s="99"/>
      <x:c r="C703" s="99"/>
      <x:c r="D703" s="99"/>
      <x:c r="E703" s="101"/>
      <x:c r="F703" s="106"/>
      <x:c r="G703" s="106"/>
      <x:c r="H703" s="106"/>
      <x:c r="I703" s="106"/>
      <x:c r="J703" s="106"/>
      <x:c r="K703" s="106"/>
      <x:c r="L703" s="106"/>
      <x:c r="M703" s="106"/>
      <x:c r="N703" s="106"/>
      <x:c r="O703" s="106"/>
      <x:c r="P703" s="106"/>
      <x:c r="Q703" s="106"/>
      <x:c r="R703" s="99"/>
    </x:row>
    <x:row r="704" ht="15" customHeight="1">
      <x:c r="A704" s="22"/>
      <x:c r="B704" s="99"/>
      <x:c r="C704" s="99"/>
      <x:c r="D704" s="99"/>
      <x:c r="E704" s="101"/>
      <x:c r="F704" s="106"/>
      <x:c r="G704" s="106"/>
      <x:c r="H704" s="106"/>
      <x:c r="I704" s="106"/>
      <x:c r="J704" s="106"/>
      <x:c r="K704" s="106"/>
      <x:c r="L704" s="106"/>
      <x:c r="M704" s="106"/>
      <x:c r="N704" s="106"/>
      <x:c r="O704" s="106"/>
      <x:c r="P704" s="106"/>
      <x:c r="Q704" s="106"/>
      <x:c r="R704" s="99"/>
    </x:row>
    <x:row r="705" ht="15" customHeight="1">
      <x:c r="A705" s="94"/>
      <x:c r="B705" s="99"/>
      <x:c r="C705" s="99"/>
      <x:c r="D705" s="99"/>
      <x:c r="E705" s="101"/>
      <x:c r="F705" s="106"/>
      <x:c r="G705" s="106"/>
      <x:c r="H705" s="106"/>
      <x:c r="I705" s="106"/>
      <x:c r="J705" s="106"/>
      <x:c r="K705" s="106"/>
      <x:c r="L705" s="106"/>
      <x:c r="M705" s="111"/>
      <x:c r="N705" s="111"/>
      <x:c r="O705" s="111"/>
      <x:c r="P705" s="111"/>
      <x:c r="Q705" s="111"/>
      <x:c r="R705" s="99"/>
    </x:row>
    <x:row r="706" ht="15" customHeight="1">
      <x:c r="A706" s="22"/>
      <x:c r="B706" s="99"/>
      <x:c r="C706" s="99"/>
      <x:c r="D706" s="99"/>
      <x:c r="E706" s="101"/>
      <x:c r="F706" s="106"/>
      <x:c r="G706" s="106"/>
      <x:c r="H706" s="106"/>
      <x:c r="I706" s="106"/>
      <x:c r="J706" s="106"/>
      <x:c r="K706" s="106"/>
      <x:c r="L706" s="106"/>
      <x:c r="M706" s="106"/>
      <x:c r="N706" s="106"/>
      <x:c r="O706" s="106"/>
      <x:c r="P706" s="106"/>
      <x:c r="Q706" s="106"/>
      <x:c r="R706" s="99"/>
    </x:row>
    <x:row r="707" ht="15" customHeight="1">
      <x:c r="A707" s="22"/>
      <x:c r="B707" s="99"/>
      <x:c r="C707" s="99"/>
      <x:c r="D707" s="99"/>
      <x:c r="E707" s="101"/>
      <x:c r="F707" s="106"/>
      <x:c r="G707" s="106"/>
      <x:c r="H707" s="106"/>
      <x:c r="I707" s="106"/>
      <x:c r="J707" s="106"/>
      <x:c r="K707" s="106"/>
      <x:c r="L707" s="106"/>
      <x:c r="M707" s="106"/>
      <x:c r="N707" s="106"/>
      <x:c r="O707" s="106"/>
      <x:c r="P707" s="106"/>
      <x:c r="Q707" s="106"/>
      <x:c r="R707" s="99"/>
    </x:row>
    <x:row r="708" ht="15" customHeight="1">
      <x:c r="A708" s="22"/>
      <x:c r="B708" s="99"/>
      <x:c r="C708" s="99"/>
      <x:c r="D708" s="99"/>
      <x:c r="E708" s="101"/>
      <x:c r="F708" s="106"/>
      <x:c r="G708" s="106"/>
      <x:c r="H708" s="106"/>
      <x:c r="I708" s="106"/>
      <x:c r="J708" s="106"/>
      <x:c r="K708" s="106"/>
      <x:c r="L708" s="106"/>
      <x:c r="M708" s="106"/>
      <x:c r="N708" s="106"/>
      <x:c r="O708" s="106"/>
      <x:c r="P708" s="106"/>
      <x:c r="Q708" s="106"/>
      <x:c r="R708" s="99"/>
    </x:row>
    <x:row r="709" ht="15" customHeight="1">
      <x:c r="A709" s="94"/>
      <x:c r="B709" s="99"/>
      <x:c r="C709" s="99"/>
      <x:c r="D709" s="99"/>
      <x:c r="E709" s="101"/>
      <x:c r="F709" s="106"/>
      <x:c r="G709" s="106"/>
      <x:c r="H709" s="106"/>
      <x:c r="I709" s="106"/>
      <x:c r="J709" s="106"/>
      <x:c r="K709" s="106"/>
      <x:c r="L709" s="106"/>
      <x:c r="M709" s="111"/>
      <x:c r="N709" s="111"/>
      <x:c r="O709" s="111"/>
      <x:c r="P709" s="111"/>
      <x:c r="Q709" s="111"/>
      <x:c r="R709" s="99"/>
    </x:row>
    <x:row r="710" ht="15" customHeight="1">
      <x:c r="A710" s="22"/>
      <x:c r="B710" s="99"/>
      <x:c r="C710" s="99"/>
      <x:c r="D710" s="99"/>
      <x:c r="E710" s="101"/>
      <x:c r="F710" s="106"/>
      <x:c r="G710" s="106"/>
      <x:c r="H710" s="106"/>
      <x:c r="I710" s="106"/>
      <x:c r="J710" s="106"/>
      <x:c r="K710" s="106"/>
      <x:c r="L710" s="106"/>
      <x:c r="M710" s="106"/>
      <x:c r="N710" s="106"/>
      <x:c r="O710" s="106"/>
      <x:c r="P710" s="106"/>
      <x:c r="Q710" s="106"/>
      <x:c r="R710" s="99"/>
    </x:row>
    <x:row r="711" ht="15" customHeight="1">
      <x:c r="A711" s="22"/>
      <x:c r="B711" s="99"/>
      <x:c r="C711" s="99"/>
      <x:c r="D711" s="99"/>
      <x:c r="E711" s="101"/>
      <x:c r="F711" s="106"/>
      <x:c r="G711" s="106"/>
      <x:c r="H711" s="106"/>
      <x:c r="I711" s="106"/>
      <x:c r="J711" s="106"/>
      <x:c r="K711" s="106"/>
      <x:c r="L711" s="106"/>
      <x:c r="M711" s="106"/>
      <x:c r="N711" s="106"/>
      <x:c r="O711" s="106"/>
      <x:c r="P711" s="106"/>
      <x:c r="Q711" s="106"/>
      <x:c r="R711" s="99"/>
    </x:row>
    <x:row r="712" ht="15" customHeight="1">
      <x:c r="A712" s="22"/>
      <x:c r="B712" s="99"/>
      <x:c r="C712" s="99"/>
      <x:c r="D712" s="99"/>
      <x:c r="E712" s="101"/>
      <x:c r="F712" s="106"/>
      <x:c r="G712" s="106"/>
      <x:c r="H712" s="106"/>
      <x:c r="I712" s="106"/>
      <x:c r="J712" s="106"/>
      <x:c r="K712" s="106"/>
      <x:c r="L712" s="106"/>
      <x:c r="M712" s="106"/>
      <x:c r="N712" s="106"/>
      <x:c r="O712" s="106"/>
      <x:c r="P712" s="106"/>
      <x:c r="Q712" s="106"/>
      <x:c r="R712" s="99"/>
    </x:row>
    <x:row r="713" ht="15" customHeight="1">
      <x:c r="A713" s="94"/>
      <x:c r="B713" s="99"/>
      <x:c r="C713" s="99"/>
      <x:c r="D713" s="99"/>
      <x:c r="E713" s="101"/>
      <x:c r="F713" s="106"/>
      <x:c r="G713" s="106"/>
      <x:c r="H713" s="106"/>
      <x:c r="I713" s="106"/>
      <x:c r="J713" s="106"/>
      <x:c r="K713" s="106"/>
      <x:c r="L713" s="106"/>
      <x:c r="M713" s="111"/>
      <x:c r="N713" s="111"/>
      <x:c r="O713" s="111"/>
      <x:c r="P713" s="111"/>
      <x:c r="Q713" s="111"/>
      <x:c r="R713" s="99"/>
    </x:row>
    <x:row r="714" ht="15" customHeight="1">
      <x:c r="A714" s="22"/>
      <x:c r="B714" s="99"/>
      <x:c r="C714" s="99"/>
      <x:c r="D714" s="99"/>
      <x:c r="E714" s="101"/>
      <x:c r="F714" s="106"/>
      <x:c r="G714" s="106"/>
      <x:c r="H714" s="106"/>
      <x:c r="I714" s="106"/>
      <x:c r="J714" s="106"/>
      <x:c r="K714" s="106"/>
      <x:c r="L714" s="106"/>
      <x:c r="M714" s="106"/>
      <x:c r="N714" s="106"/>
      <x:c r="O714" s="106"/>
      <x:c r="P714" s="106"/>
      <x:c r="Q714" s="106"/>
      <x:c r="R714" s="99"/>
    </x:row>
    <x:row r="715" ht="15" customHeight="1">
      <x:c r="A715" s="22"/>
      <x:c r="B715" s="99"/>
      <x:c r="C715" s="99"/>
      <x:c r="D715" s="99"/>
      <x:c r="E715" s="101"/>
      <x:c r="F715" s="106"/>
      <x:c r="G715" s="106"/>
      <x:c r="H715" s="106"/>
      <x:c r="I715" s="106"/>
      <x:c r="J715" s="106"/>
      <x:c r="K715" s="106"/>
      <x:c r="L715" s="106"/>
      <x:c r="M715" s="106"/>
      <x:c r="N715" s="106"/>
      <x:c r="O715" s="106"/>
      <x:c r="P715" s="106"/>
      <x:c r="Q715" s="106"/>
      <x:c r="R715" s="99"/>
    </x:row>
    <x:row r="716" ht="15" customHeight="1">
      <x:c r="A716" s="22"/>
      <x:c r="B716" s="99"/>
      <x:c r="C716" s="99"/>
      <x:c r="D716" s="99"/>
      <x:c r="E716" s="101"/>
      <x:c r="F716" s="106"/>
      <x:c r="G716" s="106"/>
      <x:c r="H716" s="106"/>
      <x:c r="I716" s="106"/>
      <x:c r="J716" s="106"/>
      <x:c r="K716" s="106"/>
      <x:c r="L716" s="106"/>
      <x:c r="M716" s="106"/>
      <x:c r="N716" s="106"/>
      <x:c r="O716" s="106"/>
      <x:c r="P716" s="106"/>
      <x:c r="Q716" s="106"/>
      <x:c r="R716" s="99"/>
    </x:row>
    <x:row r="717" ht="15" customHeight="1">
      <x:c r="A717" s="94"/>
      <x:c r="B717" s="99"/>
      <x:c r="C717" s="99"/>
      <x:c r="D717" s="99"/>
      <x:c r="E717" s="101"/>
      <x:c r="F717" s="106"/>
      <x:c r="G717" s="106"/>
      <x:c r="H717" s="106"/>
      <x:c r="I717" s="106"/>
      <x:c r="J717" s="106"/>
      <x:c r="K717" s="106"/>
      <x:c r="L717" s="106"/>
      <x:c r="M717" s="111"/>
      <x:c r="N717" s="111"/>
      <x:c r="O717" s="111"/>
      <x:c r="P717" s="111"/>
      <x:c r="Q717" s="111"/>
      <x:c r="R717" s="99"/>
    </x:row>
    <x:row r="718" ht="15" customHeight="1">
      <x:c r="A718" s="22"/>
      <x:c r="B718" s="99"/>
      <x:c r="C718" s="99"/>
      <x:c r="D718" s="99"/>
      <x:c r="E718" s="101"/>
      <x:c r="F718" s="106"/>
      <x:c r="G718" s="106"/>
      <x:c r="H718" s="106"/>
      <x:c r="I718" s="106"/>
      <x:c r="J718" s="106"/>
      <x:c r="K718" s="106"/>
      <x:c r="L718" s="106"/>
      <x:c r="M718" s="106"/>
      <x:c r="N718" s="106"/>
      <x:c r="O718" s="106"/>
      <x:c r="P718" s="106"/>
      <x:c r="Q718" s="106"/>
      <x:c r="R718" s="99"/>
    </x:row>
    <x:row r="719" ht="15" customHeight="1">
      <x:c r="A719" s="22"/>
      <x:c r="B719" s="99"/>
      <x:c r="C719" s="99"/>
      <x:c r="D719" s="99"/>
      <x:c r="E719" s="101"/>
      <x:c r="F719" s="106"/>
      <x:c r="G719" s="106"/>
      <x:c r="H719" s="106"/>
      <x:c r="I719" s="106"/>
      <x:c r="J719" s="106"/>
      <x:c r="K719" s="106"/>
      <x:c r="L719" s="106"/>
      <x:c r="M719" s="106"/>
      <x:c r="N719" s="106"/>
      <x:c r="O719" s="106"/>
      <x:c r="P719" s="106"/>
      <x:c r="Q719" s="106"/>
      <x:c r="R719" s="99"/>
    </x:row>
    <x:row r="720" ht="15" customHeight="1">
      <x:c r="A720" s="22"/>
      <x:c r="B720" s="99"/>
      <x:c r="C720" s="99"/>
      <x:c r="D720" s="99"/>
      <x:c r="E720" s="101"/>
      <x:c r="F720" s="106"/>
      <x:c r="G720" s="106"/>
      <x:c r="H720" s="106"/>
      <x:c r="I720" s="106"/>
      <x:c r="J720" s="106"/>
      <x:c r="K720" s="106"/>
      <x:c r="L720" s="106"/>
      <x:c r="M720" s="106"/>
      <x:c r="N720" s="106"/>
      <x:c r="O720" s="106"/>
      <x:c r="P720" s="106"/>
      <x:c r="Q720" s="106"/>
      <x:c r="R720" s="99"/>
    </x:row>
    <x:row r="721" ht="15" customHeight="1">
      <x:c r="A721" s="94"/>
      <x:c r="B721" s="99"/>
      <x:c r="C721" s="99"/>
      <x:c r="D721" s="99"/>
      <x:c r="E721" s="101"/>
      <x:c r="F721" s="106"/>
      <x:c r="G721" s="106"/>
      <x:c r="H721" s="106"/>
      <x:c r="I721" s="106"/>
      <x:c r="J721" s="106"/>
      <x:c r="K721" s="106"/>
      <x:c r="L721" s="106"/>
      <x:c r="M721" s="111"/>
      <x:c r="N721" s="111"/>
      <x:c r="O721" s="111"/>
      <x:c r="P721" s="111"/>
      <x:c r="Q721" s="111"/>
      <x:c r="R721" s="99"/>
    </x:row>
    <x:row r="722" ht="15" customHeight="1">
      <x:c r="A722" s="22"/>
      <x:c r="B722" s="99"/>
      <x:c r="C722" s="99"/>
      <x:c r="D722" s="99"/>
      <x:c r="E722" s="101"/>
      <x:c r="F722" s="106"/>
      <x:c r="G722" s="106"/>
      <x:c r="H722" s="106"/>
      <x:c r="I722" s="106"/>
      <x:c r="J722" s="106"/>
      <x:c r="K722" s="106"/>
      <x:c r="L722" s="106"/>
      <x:c r="M722" s="106"/>
      <x:c r="N722" s="106"/>
      <x:c r="O722" s="106"/>
      <x:c r="P722" s="106"/>
      <x:c r="Q722" s="106"/>
      <x:c r="R722" s="99"/>
    </x:row>
    <x:row r="723" ht="15" customHeight="1">
      <x:c r="A723" s="22"/>
      <x:c r="B723" s="99"/>
      <x:c r="C723" s="99"/>
      <x:c r="D723" s="99"/>
      <x:c r="E723" s="101"/>
      <x:c r="F723" s="106"/>
      <x:c r="G723" s="106"/>
      <x:c r="H723" s="106"/>
      <x:c r="I723" s="106"/>
      <x:c r="J723" s="106"/>
      <x:c r="K723" s="106"/>
      <x:c r="L723" s="106"/>
      <x:c r="M723" s="106"/>
      <x:c r="N723" s="106"/>
      <x:c r="O723" s="106"/>
      <x:c r="P723" s="106"/>
      <x:c r="Q723" s="106"/>
      <x:c r="R723" s="99"/>
    </x:row>
    <x:row r="724" ht="15" customHeight="1">
      <x:c r="A724" s="22"/>
      <x:c r="B724" s="99"/>
      <x:c r="C724" s="99"/>
      <x:c r="D724" s="99"/>
      <x:c r="E724" s="101"/>
      <x:c r="F724" s="106"/>
      <x:c r="G724" s="106"/>
      <x:c r="H724" s="106"/>
      <x:c r="I724" s="106"/>
      <x:c r="J724" s="106"/>
      <x:c r="K724" s="106"/>
      <x:c r="L724" s="106"/>
      <x:c r="M724" s="106"/>
      <x:c r="N724" s="106"/>
      <x:c r="O724" s="106"/>
      <x:c r="P724" s="106"/>
      <x:c r="Q724" s="106"/>
      <x:c r="R724" s="99"/>
    </x:row>
    <x:row r="725" ht="15" customHeight="1">
      <x:c r="A725" s="94"/>
      <x:c r="B725" s="99"/>
      <x:c r="C725" s="99"/>
      <x:c r="D725" s="99"/>
      <x:c r="E725" s="101"/>
      <x:c r="F725" s="106"/>
      <x:c r="G725" s="106"/>
      <x:c r="H725" s="106"/>
      <x:c r="I725" s="106"/>
      <x:c r="J725" s="106"/>
      <x:c r="K725" s="106"/>
      <x:c r="L725" s="106"/>
      <x:c r="M725" s="111"/>
      <x:c r="N725" s="111"/>
      <x:c r="O725" s="111"/>
      <x:c r="P725" s="111"/>
      <x:c r="Q725" s="111"/>
      <x:c r="R725" s="99"/>
    </x:row>
    <x:row r="726" ht="15" customHeight="1">
      <x:c r="A726" s="22"/>
      <x:c r="B726" s="99"/>
      <x:c r="C726" s="99"/>
      <x:c r="D726" s="99"/>
      <x:c r="E726" s="101"/>
      <x:c r="F726" s="106"/>
      <x:c r="G726" s="106"/>
      <x:c r="H726" s="106"/>
      <x:c r="I726" s="106"/>
      <x:c r="J726" s="106"/>
      <x:c r="K726" s="106"/>
      <x:c r="L726" s="106"/>
      <x:c r="M726" s="106"/>
      <x:c r="N726" s="106"/>
      <x:c r="O726" s="106"/>
      <x:c r="P726" s="106"/>
      <x:c r="Q726" s="106"/>
      <x:c r="R726" s="99"/>
    </x:row>
    <x:row r="727" ht="15" customHeight="1">
      <x:c r="A727" s="22"/>
      <x:c r="B727" s="99"/>
      <x:c r="C727" s="99"/>
      <x:c r="D727" s="99"/>
      <x:c r="E727" s="101"/>
      <x:c r="F727" s="106"/>
      <x:c r="G727" s="106"/>
      <x:c r="H727" s="106"/>
      <x:c r="I727" s="106"/>
      <x:c r="J727" s="106"/>
      <x:c r="K727" s="106"/>
      <x:c r="L727" s="106"/>
      <x:c r="M727" s="106"/>
      <x:c r="N727" s="106"/>
      <x:c r="O727" s="106"/>
      <x:c r="P727" s="106"/>
      <x:c r="Q727" s="106"/>
      <x:c r="R727" s="99"/>
    </x:row>
    <x:row r="728" ht="15" customHeight="1">
      <x:c r="A728" s="22"/>
      <x:c r="B728" s="99"/>
      <x:c r="C728" s="99"/>
      <x:c r="D728" s="99"/>
      <x:c r="E728" s="101"/>
      <x:c r="F728" s="106"/>
      <x:c r="G728" s="106"/>
      <x:c r="H728" s="106"/>
      <x:c r="I728" s="106"/>
      <x:c r="J728" s="106"/>
      <x:c r="K728" s="106"/>
      <x:c r="L728" s="106"/>
      <x:c r="M728" s="106"/>
      <x:c r="N728" s="106"/>
      <x:c r="O728" s="106"/>
      <x:c r="P728" s="106"/>
      <x:c r="Q728" s="106"/>
      <x:c r="R728" s="99"/>
    </x:row>
    <x:row r="729" ht="15" customHeight="1">
      <x:c r="A729" s="94"/>
      <x:c r="B729" s="99"/>
      <x:c r="C729" s="99"/>
      <x:c r="D729" s="99"/>
      <x:c r="E729" s="101"/>
      <x:c r="F729" s="106"/>
      <x:c r="G729" s="106"/>
      <x:c r="H729" s="106"/>
      <x:c r="I729" s="106"/>
      <x:c r="J729" s="106"/>
      <x:c r="K729" s="106"/>
      <x:c r="L729" s="106"/>
      <x:c r="M729" s="111"/>
      <x:c r="N729" s="111"/>
      <x:c r="O729" s="111"/>
      <x:c r="P729" s="111"/>
      <x:c r="Q729" s="111"/>
      <x:c r="R729" s="99"/>
    </x:row>
    <x:row r="730" ht="15" customHeight="1">
      <x:c r="A730" s="22"/>
      <x:c r="B730" s="99"/>
      <x:c r="C730" s="99"/>
      <x:c r="D730" s="99"/>
      <x:c r="E730" s="101"/>
      <x:c r="F730" s="106"/>
      <x:c r="G730" s="106"/>
      <x:c r="H730" s="106"/>
      <x:c r="I730" s="106"/>
      <x:c r="J730" s="106"/>
      <x:c r="K730" s="106"/>
      <x:c r="L730" s="106"/>
      <x:c r="M730" s="106"/>
      <x:c r="N730" s="106"/>
      <x:c r="O730" s="106"/>
      <x:c r="P730" s="106"/>
      <x:c r="Q730" s="106"/>
      <x:c r="R730" s="99"/>
    </x:row>
    <x:row r="731" ht="15" customHeight="1">
      <x:c r="A731" s="22"/>
      <x:c r="B731" s="99"/>
      <x:c r="C731" s="99"/>
      <x:c r="D731" s="99"/>
      <x:c r="E731" s="101"/>
      <x:c r="F731" s="106"/>
      <x:c r="G731" s="106"/>
      <x:c r="H731" s="106"/>
      <x:c r="I731" s="106"/>
      <x:c r="J731" s="106"/>
      <x:c r="K731" s="106"/>
      <x:c r="L731" s="106"/>
      <x:c r="M731" s="106"/>
      <x:c r="N731" s="106"/>
      <x:c r="O731" s="106"/>
      <x:c r="P731" s="106"/>
      <x:c r="Q731" s="106"/>
      <x:c r="R731" s="99"/>
    </x:row>
    <x:row r="732" ht="15" customHeight="1">
      <x:c r="A732" s="22"/>
      <x:c r="B732" s="99"/>
      <x:c r="C732" s="99"/>
      <x:c r="D732" s="99"/>
      <x:c r="E732" s="101"/>
      <x:c r="F732" s="106"/>
      <x:c r="G732" s="106"/>
      <x:c r="H732" s="106"/>
      <x:c r="I732" s="106"/>
      <x:c r="J732" s="106"/>
      <x:c r="K732" s="106"/>
      <x:c r="L732" s="106"/>
      <x:c r="M732" s="106"/>
      <x:c r="N732" s="106"/>
      <x:c r="O732" s="106"/>
      <x:c r="P732" s="106"/>
      <x:c r="Q732" s="106"/>
      <x:c r="R732" s="99"/>
    </x:row>
    <x:row r="733" ht="15" customHeight="1">
      <x:c r="A733" s="94"/>
      <x:c r="B733" s="99"/>
      <x:c r="C733" s="99"/>
      <x:c r="D733" s="99"/>
      <x:c r="E733" s="101"/>
      <x:c r="F733" s="106"/>
      <x:c r="G733" s="106"/>
      <x:c r="H733" s="106"/>
      <x:c r="I733" s="106"/>
      <x:c r="J733" s="106"/>
      <x:c r="K733" s="106"/>
      <x:c r="L733" s="106"/>
      <x:c r="M733" s="111"/>
      <x:c r="N733" s="111"/>
      <x:c r="O733" s="111"/>
      <x:c r="P733" s="111"/>
      <x:c r="Q733" s="111"/>
      <x:c r="R733" s="99"/>
    </x:row>
    <x:row r="734" ht="15" customHeight="1">
      <x:c r="A734" s="22"/>
      <x:c r="B734" s="99"/>
      <x:c r="C734" s="99"/>
      <x:c r="D734" s="99"/>
      <x:c r="E734" s="101"/>
      <x:c r="F734" s="106"/>
      <x:c r="G734" s="106"/>
      <x:c r="H734" s="106"/>
      <x:c r="I734" s="106"/>
      <x:c r="J734" s="106"/>
      <x:c r="K734" s="106"/>
      <x:c r="L734" s="106"/>
      <x:c r="M734" s="106"/>
      <x:c r="N734" s="106"/>
      <x:c r="O734" s="106"/>
      <x:c r="P734" s="106"/>
      <x:c r="Q734" s="106"/>
      <x:c r="R734" s="99"/>
    </x:row>
    <x:row r="735" ht="15" customHeight="1">
      <x:c r="A735" s="22"/>
      <x:c r="B735" s="99"/>
      <x:c r="C735" s="99"/>
      <x:c r="D735" s="99"/>
      <x:c r="E735" s="101"/>
      <x:c r="F735" s="106"/>
      <x:c r="G735" s="106"/>
      <x:c r="H735" s="106"/>
      <x:c r="I735" s="106"/>
      <x:c r="J735" s="106"/>
      <x:c r="K735" s="106"/>
      <x:c r="L735" s="106"/>
      <x:c r="M735" s="106"/>
      <x:c r="N735" s="106"/>
      <x:c r="O735" s="106"/>
      <x:c r="P735" s="106"/>
      <x:c r="Q735" s="106"/>
      <x:c r="R735" s="99"/>
    </x:row>
    <x:row r="736" ht="15" customHeight="1">
      <x:c r="A736" s="22"/>
      <x:c r="B736" s="99"/>
      <x:c r="C736" s="99"/>
      <x:c r="D736" s="99"/>
      <x:c r="E736" s="101"/>
      <x:c r="F736" s="106"/>
      <x:c r="G736" s="106"/>
      <x:c r="H736" s="106"/>
      <x:c r="I736" s="106"/>
      <x:c r="J736" s="106"/>
      <x:c r="K736" s="106"/>
      <x:c r="L736" s="106"/>
      <x:c r="M736" s="106"/>
      <x:c r="N736" s="106"/>
      <x:c r="O736" s="106"/>
      <x:c r="P736" s="106"/>
      <x:c r="Q736" s="106"/>
      <x:c r="R736" s="99"/>
    </x:row>
    <x:row r="737" ht="15" customHeight="1">
      <x:c r="A737" s="94"/>
      <x:c r="B737" s="99"/>
      <x:c r="C737" s="99"/>
      <x:c r="D737" s="99"/>
      <x:c r="E737" s="101"/>
      <x:c r="F737" s="106"/>
      <x:c r="G737" s="106"/>
      <x:c r="H737" s="106"/>
      <x:c r="I737" s="106"/>
      <x:c r="J737" s="106"/>
      <x:c r="K737" s="106"/>
      <x:c r="L737" s="106"/>
      <x:c r="M737" s="111"/>
      <x:c r="N737" s="111"/>
      <x:c r="O737" s="111"/>
      <x:c r="P737" s="111"/>
      <x:c r="Q737" s="111"/>
      <x:c r="R737" s="99"/>
    </x:row>
    <x:row r="738" ht="15" customHeight="1">
      <x:c r="A738" s="22"/>
      <x:c r="B738" s="99"/>
      <x:c r="C738" s="99"/>
      <x:c r="D738" s="99"/>
      <x:c r="E738" s="101"/>
      <x:c r="F738" s="106"/>
      <x:c r="G738" s="106"/>
      <x:c r="H738" s="106"/>
      <x:c r="I738" s="106"/>
      <x:c r="J738" s="106"/>
      <x:c r="K738" s="106"/>
      <x:c r="L738" s="106"/>
      <x:c r="M738" s="106"/>
      <x:c r="N738" s="106"/>
      <x:c r="O738" s="106"/>
      <x:c r="P738" s="106"/>
      <x:c r="Q738" s="106"/>
      <x:c r="R738" s="99"/>
    </x:row>
    <x:row r="739" ht="15" customHeight="1">
      <x:c r="A739" s="22"/>
      <x:c r="B739" s="99"/>
      <x:c r="C739" s="99"/>
      <x:c r="D739" s="99"/>
      <x:c r="E739" s="101"/>
      <x:c r="F739" s="106"/>
      <x:c r="G739" s="106"/>
      <x:c r="H739" s="106"/>
      <x:c r="I739" s="106"/>
      <x:c r="J739" s="106"/>
      <x:c r="K739" s="106"/>
      <x:c r="L739" s="106"/>
      <x:c r="M739" s="106"/>
      <x:c r="N739" s="106"/>
      <x:c r="O739" s="106"/>
      <x:c r="P739" s="106"/>
      <x:c r="Q739" s="106"/>
      <x:c r="R739" s="99"/>
    </x:row>
    <x:row r="740" ht="15" customHeight="1">
      <x:c r="A740" s="22"/>
      <x:c r="B740" s="99"/>
      <x:c r="C740" s="99"/>
      <x:c r="D740" s="99"/>
      <x:c r="E740" s="101"/>
      <x:c r="F740" s="106"/>
      <x:c r="G740" s="106"/>
      <x:c r="H740" s="106"/>
      <x:c r="I740" s="106"/>
      <x:c r="J740" s="106"/>
      <x:c r="K740" s="106"/>
      <x:c r="L740" s="106"/>
      <x:c r="M740" s="106"/>
      <x:c r="N740" s="106"/>
      <x:c r="O740" s="106"/>
      <x:c r="P740" s="106"/>
      <x:c r="Q740" s="106"/>
      <x:c r="R740" s="99"/>
    </x:row>
    <x:row r="741" ht="15" customHeight="1">
      <x:c r="A741" s="94"/>
      <x:c r="B741" s="99"/>
      <x:c r="C741" s="99"/>
      <x:c r="D741" s="99"/>
      <x:c r="E741" s="101"/>
      <x:c r="F741" s="106"/>
      <x:c r="G741" s="106"/>
      <x:c r="H741" s="106"/>
      <x:c r="I741" s="106"/>
      <x:c r="J741" s="106"/>
      <x:c r="K741" s="106"/>
      <x:c r="L741" s="106"/>
      <x:c r="M741" s="111"/>
      <x:c r="N741" s="111"/>
      <x:c r="O741" s="111"/>
      <x:c r="P741" s="111"/>
      <x:c r="Q741" s="111"/>
      <x:c r="R741" s="99"/>
    </x:row>
    <x:row r="742" ht="15" customHeight="1">
      <x:c r="A742" s="22"/>
      <x:c r="B742" s="99"/>
      <x:c r="C742" s="99"/>
      <x:c r="D742" s="99"/>
      <x:c r="E742" s="101"/>
      <x:c r="F742" s="106"/>
      <x:c r="G742" s="106"/>
      <x:c r="H742" s="106"/>
      <x:c r="I742" s="106"/>
      <x:c r="J742" s="106"/>
      <x:c r="K742" s="106"/>
      <x:c r="L742" s="106"/>
      <x:c r="M742" s="106"/>
      <x:c r="N742" s="106"/>
      <x:c r="O742" s="106"/>
      <x:c r="P742" s="106"/>
      <x:c r="Q742" s="106"/>
      <x:c r="R742" s="99"/>
    </x:row>
    <x:row r="743" ht="15" customHeight="1">
      <x:c r="A743" s="22"/>
      <x:c r="B743" s="99"/>
      <x:c r="C743" s="99"/>
      <x:c r="D743" s="99"/>
      <x:c r="E743" s="101"/>
      <x:c r="F743" s="106"/>
      <x:c r="G743" s="106"/>
      <x:c r="H743" s="106"/>
      <x:c r="I743" s="106"/>
      <x:c r="J743" s="106"/>
      <x:c r="K743" s="106"/>
      <x:c r="L743" s="106"/>
      <x:c r="M743" s="106"/>
      <x:c r="N743" s="106"/>
      <x:c r="O743" s="106"/>
      <x:c r="P743" s="106"/>
      <x:c r="Q743" s="106"/>
      <x:c r="R743" s="99"/>
    </x:row>
    <x:row r="744" ht="15" customHeight="1">
      <x:c r="A744" s="22"/>
      <x:c r="B744" s="99"/>
      <x:c r="C744" s="99"/>
      <x:c r="D744" s="99"/>
      <x:c r="E744" s="101"/>
      <x:c r="F744" s="106"/>
      <x:c r="G744" s="106"/>
      <x:c r="H744" s="106"/>
      <x:c r="I744" s="106"/>
      <x:c r="J744" s="106"/>
      <x:c r="K744" s="106"/>
      <x:c r="L744" s="106"/>
      <x:c r="M744" s="106"/>
      <x:c r="N744" s="106"/>
      <x:c r="O744" s="106"/>
      <x:c r="P744" s="106"/>
      <x:c r="Q744" s="106"/>
      <x:c r="R744" s="99"/>
    </x:row>
    <x:row r="745" ht="15" customHeight="1">
      <x:c r="A745" s="94"/>
      <x:c r="B745" s="99"/>
      <x:c r="C745" s="99"/>
      <x:c r="D745" s="99"/>
      <x:c r="E745" s="101"/>
      <x:c r="F745" s="106"/>
      <x:c r="G745" s="106"/>
      <x:c r="H745" s="106"/>
      <x:c r="I745" s="106"/>
      <x:c r="J745" s="106"/>
      <x:c r="K745" s="106"/>
      <x:c r="L745" s="106"/>
      <x:c r="M745" s="111"/>
      <x:c r="N745" s="111"/>
      <x:c r="O745" s="111"/>
      <x:c r="P745" s="111"/>
      <x:c r="Q745" s="111"/>
      <x:c r="R745" s="99"/>
    </x:row>
    <x:row r="746" ht="15" customHeight="1">
      <x:c r="A746" s="22"/>
      <x:c r="B746" s="99"/>
      <x:c r="C746" s="99"/>
      <x:c r="D746" s="99"/>
      <x:c r="E746" s="101"/>
      <x:c r="F746" s="106"/>
      <x:c r="G746" s="106"/>
      <x:c r="H746" s="106"/>
      <x:c r="I746" s="106"/>
      <x:c r="J746" s="106"/>
      <x:c r="K746" s="106"/>
      <x:c r="L746" s="106"/>
      <x:c r="M746" s="106"/>
      <x:c r="N746" s="106"/>
      <x:c r="O746" s="106"/>
      <x:c r="P746" s="106"/>
      <x:c r="Q746" s="106"/>
      <x:c r="R746" s="99"/>
    </x:row>
    <x:row r="747" ht="15" customHeight="1">
      <x:c r="A747" s="22"/>
      <x:c r="B747" s="99"/>
      <x:c r="C747" s="99"/>
      <x:c r="D747" s="99"/>
      <x:c r="E747" s="101"/>
      <x:c r="F747" s="106"/>
      <x:c r="G747" s="106"/>
      <x:c r="H747" s="106"/>
      <x:c r="I747" s="106"/>
      <x:c r="J747" s="106"/>
      <x:c r="K747" s="106"/>
      <x:c r="L747" s="106"/>
      <x:c r="M747" s="106"/>
      <x:c r="N747" s="106"/>
      <x:c r="O747" s="106"/>
      <x:c r="P747" s="106"/>
      <x:c r="Q747" s="106"/>
      <x:c r="R747" s="99"/>
    </x:row>
    <x:row r="748" ht="15" customHeight="1">
      <x:c r="A748" s="22"/>
      <x:c r="B748" s="99"/>
      <x:c r="C748" s="99"/>
      <x:c r="D748" s="99"/>
      <x:c r="E748" s="101"/>
      <x:c r="F748" s="106"/>
      <x:c r="G748" s="106"/>
      <x:c r="H748" s="106"/>
      <x:c r="I748" s="106"/>
      <x:c r="J748" s="106"/>
      <x:c r="K748" s="106"/>
      <x:c r="L748" s="106"/>
      <x:c r="M748" s="106"/>
      <x:c r="N748" s="106"/>
      <x:c r="O748" s="106"/>
      <x:c r="P748" s="106"/>
      <x:c r="Q748" s="106"/>
      <x:c r="R748" s="99"/>
    </x:row>
    <x:row r="749" ht="15" customHeight="1">
      <x:c r="A749" s="94"/>
      <x:c r="B749" s="99"/>
      <x:c r="C749" s="99"/>
      <x:c r="D749" s="99"/>
      <x:c r="E749" s="101"/>
      <x:c r="F749" s="106"/>
      <x:c r="G749" s="106"/>
      <x:c r="H749" s="106"/>
      <x:c r="I749" s="106"/>
      <x:c r="J749" s="106"/>
      <x:c r="K749" s="106"/>
      <x:c r="L749" s="106"/>
      <x:c r="M749" s="111"/>
      <x:c r="N749" s="111"/>
      <x:c r="O749" s="111"/>
      <x:c r="P749" s="111"/>
      <x:c r="Q749" s="111"/>
      <x:c r="R749" s="99"/>
    </x:row>
    <x:row r="750" ht="15" customHeight="1">
      <x:c r="A750" s="22"/>
      <x:c r="B750" s="99"/>
      <x:c r="C750" s="99"/>
      <x:c r="D750" s="99"/>
      <x:c r="E750" s="101"/>
      <x:c r="F750" s="106"/>
      <x:c r="G750" s="106"/>
      <x:c r="H750" s="106"/>
      <x:c r="I750" s="106"/>
      <x:c r="J750" s="106"/>
      <x:c r="K750" s="106"/>
      <x:c r="L750" s="106"/>
      <x:c r="M750" s="106"/>
      <x:c r="N750" s="106"/>
      <x:c r="O750" s="106"/>
      <x:c r="P750" s="106"/>
      <x:c r="Q750" s="106"/>
      <x:c r="R750" s="99"/>
    </x:row>
    <x:row r="751" ht="15" customHeight="1">
      <x:c r="A751" s="22"/>
      <x:c r="B751" s="99"/>
      <x:c r="C751" s="99"/>
      <x:c r="D751" s="99"/>
      <x:c r="E751" s="101"/>
      <x:c r="F751" s="106"/>
      <x:c r="G751" s="106"/>
      <x:c r="H751" s="106"/>
      <x:c r="I751" s="106"/>
      <x:c r="J751" s="106"/>
      <x:c r="K751" s="106"/>
      <x:c r="L751" s="106"/>
      <x:c r="M751" s="106"/>
      <x:c r="N751" s="106"/>
      <x:c r="O751" s="106"/>
      <x:c r="P751" s="106"/>
      <x:c r="Q751" s="106"/>
      <x:c r="R751" s="99"/>
    </x:row>
    <x:row r="752" ht="15" customHeight="1">
      <x:c r="A752" s="22"/>
      <x:c r="B752" s="99"/>
      <x:c r="C752" s="99"/>
      <x:c r="D752" s="99"/>
      <x:c r="E752" s="101"/>
      <x:c r="F752" s="106"/>
      <x:c r="G752" s="106"/>
      <x:c r="H752" s="106"/>
      <x:c r="I752" s="106"/>
      <x:c r="J752" s="106"/>
      <x:c r="K752" s="106"/>
      <x:c r="L752" s="106"/>
      <x:c r="M752" s="106"/>
      <x:c r="N752" s="106"/>
      <x:c r="O752" s="106"/>
      <x:c r="P752" s="106"/>
      <x:c r="Q752" s="106"/>
      <x:c r="R752" s="99"/>
    </x:row>
    <x:row r="753" ht="15" customHeight="1">
      <x:c r="A753" s="94"/>
      <x:c r="B753" s="99"/>
      <x:c r="C753" s="99"/>
      <x:c r="D753" s="99"/>
      <x:c r="E753" s="101"/>
      <x:c r="F753" s="106"/>
      <x:c r="G753" s="106"/>
      <x:c r="H753" s="106"/>
      <x:c r="I753" s="106"/>
      <x:c r="J753" s="106"/>
      <x:c r="K753" s="106"/>
      <x:c r="L753" s="106"/>
      <x:c r="M753" s="111"/>
      <x:c r="N753" s="111"/>
      <x:c r="O753" s="111"/>
      <x:c r="P753" s="111"/>
      <x:c r="Q753" s="111"/>
      <x:c r="R753" s="99"/>
    </x:row>
    <x:row r="754" ht="15" customHeight="1">
      <x:c r="A754" s="22"/>
      <x:c r="B754" s="99"/>
      <x:c r="C754" s="99"/>
      <x:c r="D754" s="99"/>
      <x:c r="E754" s="101"/>
      <x:c r="F754" s="106"/>
      <x:c r="G754" s="106"/>
      <x:c r="H754" s="106"/>
      <x:c r="I754" s="106"/>
      <x:c r="J754" s="106"/>
      <x:c r="K754" s="106"/>
      <x:c r="L754" s="106"/>
      <x:c r="M754" s="106"/>
      <x:c r="N754" s="106"/>
      <x:c r="O754" s="106"/>
      <x:c r="P754" s="106"/>
      <x:c r="Q754" s="106"/>
      <x:c r="R754" s="99"/>
    </x:row>
    <x:row r="755" ht="15" customHeight="1">
      <x:c r="A755" s="22"/>
      <x:c r="B755" s="99"/>
      <x:c r="C755" s="99"/>
      <x:c r="D755" s="99"/>
      <x:c r="E755" s="101"/>
      <x:c r="F755" s="106"/>
      <x:c r="G755" s="106"/>
      <x:c r="H755" s="106"/>
      <x:c r="I755" s="106"/>
      <x:c r="J755" s="106"/>
      <x:c r="K755" s="106"/>
      <x:c r="L755" s="106"/>
      <x:c r="M755" s="106"/>
      <x:c r="N755" s="106"/>
      <x:c r="O755" s="106"/>
      <x:c r="P755" s="106"/>
      <x:c r="Q755" s="106"/>
      <x:c r="R755" s="99"/>
    </x:row>
    <x:row r="756" ht="15" customHeight="1">
      <x:c r="A756" s="22"/>
      <x:c r="B756" s="99"/>
      <x:c r="C756" s="99"/>
      <x:c r="D756" s="99"/>
      <x:c r="E756" s="101"/>
      <x:c r="F756" s="106"/>
      <x:c r="G756" s="106"/>
      <x:c r="H756" s="106"/>
      <x:c r="I756" s="106"/>
      <x:c r="J756" s="106"/>
      <x:c r="K756" s="106"/>
      <x:c r="L756" s="106"/>
      <x:c r="M756" s="106"/>
      <x:c r="N756" s="106"/>
      <x:c r="O756" s="106"/>
      <x:c r="P756" s="106"/>
      <x:c r="Q756" s="106"/>
      <x:c r="R756" s="99"/>
    </x:row>
    <x:row r="757" ht="15" customHeight="1">
      <x:c r="A757" s="94"/>
      <x:c r="B757" s="99"/>
      <x:c r="C757" s="99"/>
      <x:c r="D757" s="99"/>
      <x:c r="E757" s="101"/>
      <x:c r="F757" s="106"/>
      <x:c r="G757" s="106"/>
      <x:c r="H757" s="106"/>
      <x:c r="I757" s="106"/>
      <x:c r="J757" s="106"/>
      <x:c r="K757" s="106"/>
      <x:c r="L757" s="106"/>
      <x:c r="M757" s="111"/>
      <x:c r="N757" s="111"/>
      <x:c r="O757" s="111"/>
      <x:c r="P757" s="111"/>
      <x:c r="Q757" s="111"/>
      <x:c r="R757" s="99"/>
    </x:row>
    <x:row r="758" ht="15" customHeight="1">
      <x:c r="A758" s="22"/>
      <x:c r="B758" s="99"/>
      <x:c r="C758" s="99"/>
      <x:c r="D758" s="99"/>
      <x:c r="E758" s="101"/>
      <x:c r="F758" s="106"/>
      <x:c r="G758" s="106"/>
      <x:c r="H758" s="106"/>
      <x:c r="I758" s="106"/>
      <x:c r="J758" s="106"/>
      <x:c r="K758" s="106"/>
      <x:c r="L758" s="106"/>
      <x:c r="M758" s="106"/>
      <x:c r="N758" s="106"/>
      <x:c r="O758" s="106"/>
      <x:c r="P758" s="106"/>
      <x:c r="Q758" s="106"/>
      <x:c r="R758" s="99"/>
    </x:row>
    <x:row r="759" ht="15" customHeight="1">
      <x:c r="A759" s="22"/>
      <x:c r="B759" s="99"/>
      <x:c r="C759" s="99"/>
      <x:c r="D759" s="99"/>
      <x:c r="E759" s="101"/>
      <x:c r="F759" s="106"/>
      <x:c r="G759" s="106"/>
      <x:c r="H759" s="106"/>
      <x:c r="I759" s="106"/>
      <x:c r="J759" s="106"/>
      <x:c r="K759" s="106"/>
      <x:c r="L759" s="106"/>
      <x:c r="M759" s="106"/>
      <x:c r="N759" s="106"/>
      <x:c r="O759" s="106"/>
      <x:c r="P759" s="106"/>
      <x:c r="Q759" s="106"/>
      <x:c r="R759" s="99"/>
    </x:row>
    <x:row r="760" ht="15" customHeight="1">
      <x:c r="A760" s="22"/>
      <x:c r="B760" s="99"/>
      <x:c r="C760" s="99"/>
      <x:c r="D760" s="99"/>
      <x:c r="E760" s="101"/>
      <x:c r="F760" s="106"/>
      <x:c r="G760" s="106"/>
      <x:c r="H760" s="106"/>
      <x:c r="I760" s="106"/>
      <x:c r="J760" s="106"/>
      <x:c r="K760" s="106"/>
      <x:c r="L760" s="106"/>
      <x:c r="M760" s="106"/>
      <x:c r="N760" s="106"/>
      <x:c r="O760" s="106"/>
      <x:c r="P760" s="106"/>
      <x:c r="Q760" s="106"/>
      <x:c r="R760" s="99"/>
    </x:row>
    <x:row r="761" ht="15" customHeight="1">
      <x:c r="A761" s="94"/>
      <x:c r="B761" s="99"/>
      <x:c r="C761" s="99"/>
      <x:c r="D761" s="99"/>
      <x:c r="E761" s="101"/>
      <x:c r="F761" s="106"/>
      <x:c r="G761" s="106"/>
      <x:c r="H761" s="106"/>
      <x:c r="I761" s="106"/>
      <x:c r="J761" s="106"/>
      <x:c r="K761" s="106"/>
      <x:c r="L761" s="106"/>
      <x:c r="M761" s="111"/>
      <x:c r="N761" s="111"/>
      <x:c r="O761" s="111"/>
      <x:c r="P761" s="111"/>
      <x:c r="Q761" s="111"/>
      <x:c r="R761" s="99"/>
    </x:row>
    <x:row r="762" ht="15" customHeight="1">
      <x:c r="A762" s="22"/>
      <x:c r="B762" s="99"/>
      <x:c r="C762" s="99"/>
      <x:c r="D762" s="99"/>
      <x:c r="E762" s="101"/>
      <x:c r="F762" s="106"/>
      <x:c r="G762" s="106"/>
      <x:c r="H762" s="106"/>
      <x:c r="I762" s="106"/>
      <x:c r="J762" s="106"/>
      <x:c r="K762" s="106"/>
      <x:c r="L762" s="106"/>
      <x:c r="M762" s="106"/>
      <x:c r="N762" s="106"/>
      <x:c r="O762" s="106"/>
      <x:c r="P762" s="106"/>
      <x:c r="Q762" s="106"/>
      <x:c r="R762" s="99"/>
    </x:row>
    <x:row r="763" ht="15" customHeight="1">
      <x:c r="A763" s="22"/>
      <x:c r="B763" s="99"/>
      <x:c r="C763" s="99"/>
      <x:c r="D763" s="99"/>
      <x:c r="E763" s="101"/>
      <x:c r="F763" s="106"/>
      <x:c r="G763" s="106"/>
      <x:c r="H763" s="106"/>
      <x:c r="I763" s="106"/>
      <x:c r="J763" s="106"/>
      <x:c r="K763" s="106"/>
      <x:c r="L763" s="106"/>
      <x:c r="M763" s="106"/>
      <x:c r="N763" s="106"/>
      <x:c r="O763" s="106"/>
      <x:c r="P763" s="106"/>
      <x:c r="Q763" s="106"/>
      <x:c r="R763" s="99"/>
    </x:row>
    <x:row r="764" ht="15" customHeight="1">
      <x:c r="A764" s="22"/>
      <x:c r="B764" s="99"/>
      <x:c r="C764" s="99"/>
      <x:c r="D764" s="99"/>
      <x:c r="E764" s="101"/>
      <x:c r="F764" s="106"/>
      <x:c r="G764" s="106"/>
      <x:c r="H764" s="106"/>
      <x:c r="I764" s="106"/>
      <x:c r="J764" s="106"/>
      <x:c r="K764" s="106"/>
      <x:c r="L764" s="106"/>
      <x:c r="M764" s="106"/>
      <x:c r="N764" s="106"/>
      <x:c r="O764" s="106"/>
      <x:c r="P764" s="106"/>
      <x:c r="Q764" s="106"/>
      <x:c r="R764" s="99"/>
    </x:row>
    <x:row r="765" ht="15" customHeight="1">
      <x:c r="A765" s="94"/>
      <x:c r="B765" s="99"/>
      <x:c r="C765" s="99"/>
      <x:c r="D765" s="99"/>
      <x:c r="E765" s="101"/>
      <x:c r="F765" s="106"/>
      <x:c r="G765" s="106"/>
      <x:c r="H765" s="106"/>
      <x:c r="I765" s="106"/>
      <x:c r="J765" s="106"/>
      <x:c r="K765" s="106"/>
      <x:c r="L765" s="106"/>
      <x:c r="M765" s="111"/>
      <x:c r="N765" s="111"/>
      <x:c r="O765" s="111"/>
      <x:c r="P765" s="111"/>
      <x:c r="Q765" s="111"/>
      <x:c r="R765" s="99"/>
    </x:row>
    <x:row r="766" ht="15" customHeight="1">
      <x:c r="A766" s="22"/>
      <x:c r="B766" s="99"/>
      <x:c r="C766" s="99"/>
      <x:c r="D766" s="99"/>
      <x:c r="E766" s="101"/>
      <x:c r="F766" s="106"/>
      <x:c r="G766" s="106"/>
      <x:c r="H766" s="106"/>
      <x:c r="I766" s="106"/>
      <x:c r="J766" s="106"/>
      <x:c r="K766" s="106"/>
      <x:c r="L766" s="106"/>
      <x:c r="M766" s="106"/>
      <x:c r="N766" s="106"/>
      <x:c r="O766" s="106"/>
      <x:c r="P766" s="106"/>
      <x:c r="Q766" s="106"/>
      <x:c r="R766" s="99"/>
    </x:row>
    <x:row r="767" ht="15" customHeight="1">
      <x:c r="A767" s="22"/>
      <x:c r="B767" s="99"/>
      <x:c r="C767" s="99"/>
      <x:c r="D767" s="99"/>
      <x:c r="E767" s="101"/>
      <x:c r="F767" s="106"/>
      <x:c r="G767" s="106"/>
      <x:c r="H767" s="106"/>
      <x:c r="I767" s="106"/>
      <x:c r="J767" s="106"/>
      <x:c r="K767" s="106"/>
      <x:c r="L767" s="106"/>
      <x:c r="M767" s="106"/>
      <x:c r="N767" s="106"/>
      <x:c r="O767" s="106"/>
      <x:c r="P767" s="106"/>
      <x:c r="Q767" s="106"/>
      <x:c r="R767" s="99"/>
    </x:row>
    <x:row r="768" ht="15" customHeight="1">
      <x:c r="A768" s="22"/>
      <x:c r="B768" s="99"/>
      <x:c r="C768" s="99"/>
      <x:c r="D768" s="99"/>
      <x:c r="E768" s="101"/>
      <x:c r="F768" s="106"/>
      <x:c r="G768" s="106"/>
      <x:c r="H768" s="106"/>
      <x:c r="I768" s="106"/>
      <x:c r="J768" s="106"/>
      <x:c r="K768" s="106"/>
      <x:c r="L768" s="106"/>
      <x:c r="M768" s="106"/>
      <x:c r="N768" s="106"/>
      <x:c r="O768" s="106"/>
      <x:c r="P768" s="106"/>
      <x:c r="Q768" s="106"/>
      <x:c r="R768" s="99"/>
    </x:row>
    <x:row r="769" ht="15" customHeight="1">
      <x:c r="A769" s="94"/>
      <x:c r="B769" s="99"/>
      <x:c r="C769" s="99"/>
      <x:c r="D769" s="99"/>
      <x:c r="E769" s="101"/>
      <x:c r="F769" s="106"/>
      <x:c r="G769" s="106"/>
      <x:c r="H769" s="106"/>
      <x:c r="I769" s="106"/>
      <x:c r="J769" s="106"/>
      <x:c r="K769" s="106"/>
      <x:c r="L769" s="106"/>
      <x:c r="M769" s="111"/>
      <x:c r="N769" s="111"/>
      <x:c r="O769" s="111"/>
      <x:c r="P769" s="111"/>
      <x:c r="Q769" s="111"/>
      <x:c r="R769" s="99"/>
    </x:row>
    <x:row r="770" ht="15" customHeight="1">
      <x:c r="A770" s="22"/>
      <x:c r="B770" s="99"/>
      <x:c r="C770" s="99"/>
      <x:c r="D770" s="99"/>
      <x:c r="E770" s="101"/>
      <x:c r="F770" s="106"/>
      <x:c r="G770" s="106"/>
      <x:c r="H770" s="106"/>
      <x:c r="I770" s="106"/>
      <x:c r="J770" s="106"/>
      <x:c r="K770" s="106"/>
      <x:c r="L770" s="106"/>
      <x:c r="M770" s="106"/>
      <x:c r="N770" s="106"/>
      <x:c r="O770" s="106"/>
      <x:c r="P770" s="106"/>
      <x:c r="Q770" s="106"/>
      <x:c r="R770" s="99"/>
    </x:row>
    <x:row r="771" ht="15" customHeight="1">
      <x:c r="A771" s="22"/>
      <x:c r="B771" s="99"/>
      <x:c r="C771" s="99"/>
      <x:c r="D771" s="99"/>
      <x:c r="E771" s="101"/>
      <x:c r="F771" s="106"/>
      <x:c r="G771" s="106"/>
      <x:c r="H771" s="106"/>
      <x:c r="I771" s="106"/>
      <x:c r="J771" s="106"/>
      <x:c r="K771" s="106"/>
      <x:c r="L771" s="106"/>
      <x:c r="M771" s="106"/>
      <x:c r="N771" s="106"/>
      <x:c r="O771" s="106"/>
      <x:c r="P771" s="106"/>
      <x:c r="Q771" s="106"/>
      <x:c r="R771" s="99"/>
    </x:row>
    <x:row r="772" ht="15" customHeight="1">
      <x:c r="A772" s="22"/>
      <x:c r="B772" s="99"/>
      <x:c r="C772" s="99"/>
      <x:c r="D772" s="99"/>
      <x:c r="E772" s="101"/>
      <x:c r="F772" s="106"/>
      <x:c r="G772" s="106"/>
      <x:c r="H772" s="106"/>
      <x:c r="I772" s="106"/>
      <x:c r="J772" s="106"/>
      <x:c r="K772" s="106"/>
      <x:c r="L772" s="106"/>
      <x:c r="M772" s="106"/>
      <x:c r="N772" s="106"/>
      <x:c r="O772" s="106"/>
      <x:c r="P772" s="106"/>
      <x:c r="Q772" s="106"/>
      <x:c r="R772" s="99"/>
    </x:row>
    <x:row r="773" ht="15" customHeight="1">
      <x:c r="A773" s="94"/>
      <x:c r="B773" s="99"/>
      <x:c r="C773" s="99"/>
      <x:c r="D773" s="99"/>
      <x:c r="E773" s="101"/>
      <x:c r="F773" s="106"/>
      <x:c r="G773" s="106"/>
      <x:c r="H773" s="106"/>
      <x:c r="I773" s="106"/>
      <x:c r="J773" s="106"/>
      <x:c r="K773" s="106"/>
      <x:c r="L773" s="106"/>
      <x:c r="M773" s="111"/>
      <x:c r="N773" s="111"/>
      <x:c r="O773" s="111"/>
      <x:c r="P773" s="111"/>
      <x:c r="Q773" s="111"/>
      <x:c r="R773" s="99"/>
    </x:row>
    <x:row r="774" ht="15" customHeight="1">
      <x:c r="A774" s="22"/>
      <x:c r="B774" s="99"/>
      <x:c r="C774" s="99"/>
      <x:c r="D774" s="99"/>
      <x:c r="E774" s="101"/>
      <x:c r="F774" s="106"/>
      <x:c r="G774" s="106"/>
      <x:c r="H774" s="106"/>
      <x:c r="I774" s="106"/>
      <x:c r="J774" s="106"/>
      <x:c r="K774" s="106"/>
      <x:c r="L774" s="106"/>
      <x:c r="M774" s="106"/>
      <x:c r="N774" s="106"/>
      <x:c r="O774" s="106"/>
      <x:c r="P774" s="106"/>
      <x:c r="Q774" s="106"/>
      <x:c r="R774" s="99"/>
    </x:row>
    <x:row r="775" ht="15" customHeight="1">
      <x:c r="A775" s="22"/>
      <x:c r="B775" s="99"/>
      <x:c r="C775" s="99"/>
      <x:c r="D775" s="99"/>
      <x:c r="E775" s="101"/>
      <x:c r="F775" s="106"/>
      <x:c r="G775" s="106"/>
      <x:c r="H775" s="106"/>
      <x:c r="I775" s="106"/>
      <x:c r="J775" s="106"/>
      <x:c r="K775" s="106"/>
      <x:c r="L775" s="106"/>
      <x:c r="M775" s="106"/>
      <x:c r="N775" s="106"/>
      <x:c r="O775" s="106"/>
      <x:c r="P775" s="106"/>
      <x:c r="Q775" s="106"/>
      <x:c r="R775" s="99"/>
    </x:row>
    <x:row r="776" ht="15" customHeight="1">
      <x:c r="A776" s="22"/>
      <x:c r="B776" s="99"/>
      <x:c r="C776" s="99"/>
      <x:c r="D776" s="99"/>
      <x:c r="E776" s="101"/>
      <x:c r="F776" s="106"/>
      <x:c r="G776" s="106"/>
      <x:c r="H776" s="106"/>
      <x:c r="I776" s="106"/>
      <x:c r="J776" s="106"/>
      <x:c r="K776" s="106"/>
      <x:c r="L776" s="106"/>
      <x:c r="M776" s="106"/>
      <x:c r="N776" s="106"/>
      <x:c r="O776" s="106"/>
      <x:c r="P776" s="106"/>
      <x:c r="Q776" s="106"/>
      <x:c r="R776" s="99"/>
    </x:row>
    <x:row r="777" ht="15" customHeight="1">
      <x:c r="A777" s="94"/>
      <x:c r="B777" s="99"/>
      <x:c r="C777" s="99"/>
      <x:c r="D777" s="99"/>
      <x:c r="E777" s="101"/>
      <x:c r="F777" s="106"/>
      <x:c r="G777" s="106"/>
      <x:c r="H777" s="106"/>
      <x:c r="I777" s="106"/>
      <x:c r="J777" s="106"/>
      <x:c r="K777" s="106"/>
      <x:c r="L777" s="106"/>
      <x:c r="M777" s="111"/>
      <x:c r="N777" s="111"/>
      <x:c r="O777" s="111"/>
      <x:c r="P777" s="111"/>
      <x:c r="Q777" s="111"/>
      <x:c r="R777" s="99"/>
    </x:row>
    <x:row r="778" ht="15" customHeight="1">
      <x:c r="A778" s="22"/>
      <x:c r="B778" s="99"/>
      <x:c r="C778" s="99"/>
      <x:c r="D778" s="99"/>
      <x:c r="E778" s="101"/>
      <x:c r="F778" s="106"/>
      <x:c r="G778" s="106"/>
      <x:c r="H778" s="106"/>
      <x:c r="I778" s="106"/>
      <x:c r="J778" s="106"/>
      <x:c r="K778" s="106"/>
      <x:c r="L778" s="106"/>
      <x:c r="M778" s="106"/>
      <x:c r="N778" s="106"/>
      <x:c r="O778" s="106"/>
      <x:c r="P778" s="106"/>
      <x:c r="Q778" s="106"/>
      <x:c r="R778" s="99"/>
    </x:row>
    <x:row r="779" ht="15" customHeight="1">
      <x:c r="A779" s="22"/>
      <x:c r="B779" s="99"/>
      <x:c r="C779" s="99"/>
      <x:c r="D779" s="99"/>
      <x:c r="E779" s="101"/>
      <x:c r="F779" s="106"/>
      <x:c r="G779" s="106"/>
      <x:c r="H779" s="106"/>
      <x:c r="I779" s="106"/>
      <x:c r="J779" s="106"/>
      <x:c r="K779" s="106"/>
      <x:c r="L779" s="106"/>
      <x:c r="M779" s="106"/>
      <x:c r="N779" s="106"/>
      <x:c r="O779" s="106"/>
      <x:c r="P779" s="106"/>
      <x:c r="Q779" s="106"/>
      <x:c r="R779" s="99"/>
    </x:row>
    <x:row r="780" ht="15" customHeight="1">
      <x:c r="A780" s="22"/>
      <x:c r="B780" s="99"/>
      <x:c r="C780" s="99"/>
      <x:c r="D780" s="99"/>
      <x:c r="E780" s="101"/>
      <x:c r="F780" s="106"/>
      <x:c r="G780" s="106"/>
      <x:c r="H780" s="106"/>
      <x:c r="I780" s="106"/>
      <x:c r="J780" s="106"/>
      <x:c r="K780" s="106"/>
      <x:c r="L780" s="106"/>
      <x:c r="M780" s="106"/>
      <x:c r="N780" s="106"/>
      <x:c r="O780" s="106"/>
      <x:c r="P780" s="106"/>
      <x:c r="Q780" s="106"/>
      <x:c r="R780" s="99"/>
    </x:row>
    <x:row r="781" ht="15" customHeight="1">
      <x:c r="A781" s="94"/>
      <x:c r="B781" s="99"/>
      <x:c r="C781" s="99"/>
      <x:c r="D781" s="99"/>
      <x:c r="E781" s="101"/>
      <x:c r="F781" s="106"/>
      <x:c r="G781" s="106"/>
      <x:c r="H781" s="106"/>
      <x:c r="I781" s="106"/>
      <x:c r="J781" s="106"/>
      <x:c r="K781" s="106"/>
      <x:c r="L781" s="106"/>
      <x:c r="M781" s="111"/>
      <x:c r="N781" s="111"/>
      <x:c r="O781" s="111"/>
      <x:c r="P781" s="111"/>
      <x:c r="Q781" s="111"/>
      <x:c r="R781" s="99"/>
    </x:row>
    <x:row r="782" ht="15" customHeight="1">
      <x:c r="A782" s="22"/>
      <x:c r="B782" s="99"/>
      <x:c r="C782" s="99"/>
      <x:c r="D782" s="99"/>
      <x:c r="E782" s="101"/>
      <x:c r="F782" s="106"/>
      <x:c r="G782" s="106"/>
      <x:c r="H782" s="106"/>
      <x:c r="I782" s="106"/>
      <x:c r="J782" s="106"/>
      <x:c r="K782" s="106"/>
      <x:c r="L782" s="106"/>
      <x:c r="M782" s="106"/>
      <x:c r="N782" s="106"/>
      <x:c r="O782" s="106"/>
      <x:c r="P782" s="106"/>
      <x:c r="Q782" s="106"/>
      <x:c r="R782" s="99"/>
    </x:row>
    <x:row r="783" ht="15" customHeight="1">
      <x:c r="A783" s="22"/>
      <x:c r="B783" s="99"/>
      <x:c r="C783" s="99"/>
      <x:c r="D783" s="99"/>
      <x:c r="E783" s="101"/>
      <x:c r="F783" s="106"/>
      <x:c r="G783" s="106"/>
      <x:c r="H783" s="106"/>
      <x:c r="I783" s="106"/>
      <x:c r="J783" s="106"/>
      <x:c r="K783" s="106"/>
      <x:c r="L783" s="106"/>
      <x:c r="M783" s="106"/>
      <x:c r="N783" s="106"/>
      <x:c r="O783" s="106"/>
      <x:c r="P783" s="106"/>
      <x:c r="Q783" s="106"/>
      <x:c r="R783" s="99"/>
    </x:row>
    <x:row r="784" ht="15" customHeight="1">
      <x:c r="A784" s="22"/>
      <x:c r="B784" s="99"/>
      <x:c r="C784" s="99"/>
      <x:c r="D784" s="99"/>
      <x:c r="E784" s="101"/>
      <x:c r="F784" s="106"/>
      <x:c r="G784" s="106"/>
      <x:c r="H784" s="106"/>
      <x:c r="I784" s="106"/>
      <x:c r="J784" s="106"/>
      <x:c r="K784" s="106"/>
      <x:c r="L784" s="106"/>
      <x:c r="M784" s="106"/>
      <x:c r="N784" s="106"/>
      <x:c r="O784" s="106"/>
      <x:c r="P784" s="106"/>
      <x:c r="Q784" s="106"/>
      <x:c r="R784" s="99"/>
    </x:row>
    <x:row r="785" ht="15" customHeight="1">
      <x:c r="A785" s="94"/>
      <x:c r="B785" s="99"/>
      <x:c r="C785" s="99"/>
      <x:c r="D785" s="99"/>
      <x:c r="E785" s="101"/>
      <x:c r="F785" s="106"/>
      <x:c r="G785" s="106"/>
      <x:c r="H785" s="106"/>
      <x:c r="I785" s="106"/>
      <x:c r="J785" s="106"/>
      <x:c r="K785" s="106"/>
      <x:c r="L785" s="106"/>
      <x:c r="M785" s="111"/>
      <x:c r="N785" s="111"/>
      <x:c r="O785" s="111"/>
      <x:c r="P785" s="111"/>
      <x:c r="Q785" s="111"/>
      <x:c r="R785" s="99"/>
    </x:row>
    <x:row r="786" ht="15" customHeight="1">
      <x:c r="A786" s="22"/>
      <x:c r="B786" s="99"/>
      <x:c r="C786" s="99"/>
      <x:c r="D786" s="99"/>
      <x:c r="E786" s="101"/>
      <x:c r="F786" s="106"/>
      <x:c r="G786" s="106"/>
      <x:c r="H786" s="106"/>
      <x:c r="I786" s="106"/>
      <x:c r="J786" s="106"/>
      <x:c r="K786" s="106"/>
      <x:c r="L786" s="106"/>
      <x:c r="M786" s="106"/>
      <x:c r="N786" s="106"/>
      <x:c r="O786" s="106"/>
      <x:c r="P786" s="106"/>
      <x:c r="Q786" s="106"/>
      <x:c r="R786" s="99"/>
    </x:row>
    <x:row r="787" ht="15" customHeight="1">
      <x:c r="A787" s="22"/>
      <x:c r="B787" s="99"/>
      <x:c r="C787" s="99"/>
      <x:c r="D787" s="99"/>
      <x:c r="E787" s="101"/>
      <x:c r="F787" s="106"/>
      <x:c r="G787" s="106"/>
      <x:c r="H787" s="106"/>
      <x:c r="I787" s="106"/>
      <x:c r="J787" s="106"/>
      <x:c r="K787" s="106"/>
      <x:c r="L787" s="106"/>
      <x:c r="M787" s="106"/>
      <x:c r="N787" s="106"/>
      <x:c r="O787" s="106"/>
      <x:c r="P787" s="106"/>
      <x:c r="Q787" s="106"/>
      <x:c r="R787" s="99"/>
    </x:row>
    <x:row r="788" ht="15" customHeight="1">
      <x:c r="A788" s="22"/>
      <x:c r="B788" s="99"/>
      <x:c r="C788" s="99"/>
      <x:c r="D788" s="99"/>
      <x:c r="E788" s="101"/>
      <x:c r="F788" s="106"/>
      <x:c r="G788" s="106"/>
      <x:c r="H788" s="106"/>
      <x:c r="I788" s="106"/>
      <x:c r="J788" s="106"/>
      <x:c r="K788" s="106"/>
      <x:c r="L788" s="106"/>
      <x:c r="M788" s="106"/>
      <x:c r="N788" s="106"/>
      <x:c r="O788" s="106"/>
      <x:c r="P788" s="106"/>
      <x:c r="Q788" s="106"/>
      <x:c r="R788" s="99"/>
    </x:row>
    <x:row r="789" ht="15" customHeight="1">
      <x:c r="A789" s="94"/>
      <x:c r="B789" s="99"/>
      <x:c r="C789" s="99"/>
      <x:c r="D789" s="99"/>
      <x:c r="E789" s="101"/>
      <x:c r="F789" s="106"/>
      <x:c r="G789" s="106"/>
      <x:c r="H789" s="106"/>
      <x:c r="I789" s="106"/>
      <x:c r="J789" s="106"/>
      <x:c r="K789" s="106"/>
      <x:c r="L789" s="106"/>
      <x:c r="M789" s="111"/>
      <x:c r="N789" s="111"/>
      <x:c r="O789" s="111"/>
      <x:c r="P789" s="111"/>
      <x:c r="Q789" s="111"/>
      <x:c r="R789" s="99"/>
    </x:row>
    <x:row r="790" ht="15" customHeight="1">
      <x:c r="A790" s="22"/>
      <x:c r="B790" s="99"/>
      <x:c r="C790" s="99"/>
      <x:c r="D790" s="99"/>
      <x:c r="E790" s="101"/>
      <x:c r="F790" s="106"/>
      <x:c r="G790" s="106"/>
      <x:c r="H790" s="106"/>
      <x:c r="I790" s="106"/>
      <x:c r="J790" s="106"/>
      <x:c r="K790" s="106"/>
      <x:c r="L790" s="106"/>
      <x:c r="M790" s="106"/>
      <x:c r="N790" s="106"/>
      <x:c r="O790" s="106"/>
      <x:c r="P790" s="106"/>
      <x:c r="Q790" s="106"/>
      <x:c r="R790" s="99"/>
    </x:row>
    <x:row r="791" ht="15" customHeight="1">
      <x:c r="A791" s="22"/>
      <x:c r="B791" s="99"/>
      <x:c r="C791" s="99"/>
      <x:c r="D791" s="99"/>
      <x:c r="E791" s="101"/>
      <x:c r="F791" s="106"/>
      <x:c r="G791" s="106"/>
      <x:c r="H791" s="106"/>
      <x:c r="I791" s="106"/>
      <x:c r="J791" s="106"/>
      <x:c r="K791" s="106"/>
      <x:c r="L791" s="106"/>
      <x:c r="M791" s="106"/>
      <x:c r="N791" s="106"/>
      <x:c r="O791" s="106"/>
      <x:c r="P791" s="106"/>
      <x:c r="Q791" s="106"/>
      <x:c r="R791" s="99"/>
    </x:row>
    <x:row r="792" ht="15" customHeight="1">
      <x:c r="A792" s="22"/>
      <x:c r="B792" s="99"/>
      <x:c r="C792" s="99"/>
      <x:c r="D792" s="99"/>
      <x:c r="E792" s="101"/>
      <x:c r="F792" s="106"/>
      <x:c r="G792" s="106"/>
      <x:c r="H792" s="106"/>
      <x:c r="I792" s="106"/>
      <x:c r="J792" s="106"/>
      <x:c r="K792" s="106"/>
      <x:c r="L792" s="106"/>
      <x:c r="M792" s="106"/>
      <x:c r="N792" s="106"/>
      <x:c r="O792" s="106"/>
      <x:c r="P792" s="106"/>
      <x:c r="Q792" s="106"/>
      <x:c r="R792" s="99"/>
    </x:row>
    <x:row r="793" ht="15" customHeight="1">
      <x:c r="A793" s="94"/>
      <x:c r="B793" s="99"/>
      <x:c r="C793" s="99"/>
      <x:c r="D793" s="99"/>
      <x:c r="E793" s="101"/>
      <x:c r="F793" s="106"/>
      <x:c r="G793" s="106"/>
      <x:c r="H793" s="106"/>
      <x:c r="I793" s="106"/>
      <x:c r="J793" s="106"/>
      <x:c r="K793" s="106"/>
      <x:c r="L793" s="106"/>
      <x:c r="M793" s="111"/>
      <x:c r="N793" s="111"/>
      <x:c r="O793" s="111"/>
      <x:c r="P793" s="111"/>
      <x:c r="Q793" s="111"/>
      <x:c r="R793" s="99"/>
    </x:row>
    <x:row r="794" ht="15" customHeight="1">
      <x:c r="A794" s="22"/>
      <x:c r="B794" s="99"/>
      <x:c r="C794" s="99"/>
      <x:c r="D794" s="99"/>
      <x:c r="E794" s="101"/>
      <x:c r="F794" s="106"/>
      <x:c r="G794" s="106"/>
      <x:c r="H794" s="106"/>
      <x:c r="I794" s="106"/>
      <x:c r="J794" s="106"/>
      <x:c r="K794" s="106"/>
      <x:c r="L794" s="106"/>
      <x:c r="M794" s="106"/>
      <x:c r="N794" s="106"/>
      <x:c r="O794" s="106"/>
      <x:c r="P794" s="106"/>
      <x:c r="Q794" s="106"/>
      <x:c r="R794" s="99"/>
    </x:row>
    <x:row r="795" ht="15" customHeight="1">
      <x:c r="A795" s="22"/>
      <x:c r="B795" s="99"/>
      <x:c r="C795" s="99"/>
      <x:c r="D795" s="99"/>
      <x:c r="E795" s="101"/>
      <x:c r="F795" s="106"/>
      <x:c r="G795" s="106"/>
      <x:c r="H795" s="106"/>
      <x:c r="I795" s="106"/>
      <x:c r="J795" s="106"/>
      <x:c r="K795" s="106"/>
      <x:c r="L795" s="106"/>
      <x:c r="M795" s="106"/>
      <x:c r="N795" s="106"/>
      <x:c r="O795" s="106"/>
      <x:c r="P795" s="106"/>
      <x:c r="Q795" s="106"/>
      <x:c r="R795" s="99"/>
    </x:row>
    <x:row r="796" ht="15" customHeight="1">
      <x:c r="A796" s="22"/>
      <x:c r="B796" s="99"/>
      <x:c r="C796" s="99"/>
      <x:c r="D796" s="99"/>
      <x:c r="E796" s="101"/>
      <x:c r="F796" s="106"/>
      <x:c r="G796" s="106"/>
      <x:c r="H796" s="106"/>
      <x:c r="I796" s="106"/>
      <x:c r="J796" s="106"/>
      <x:c r="K796" s="106"/>
      <x:c r="L796" s="106"/>
      <x:c r="M796" s="106"/>
      <x:c r="N796" s="106"/>
      <x:c r="O796" s="106"/>
      <x:c r="P796" s="106"/>
      <x:c r="Q796" s="106"/>
      <x:c r="R796" s="99"/>
    </x:row>
    <x:row r="797" ht="15" customHeight="1">
      <x:c r="A797" s="94"/>
      <x:c r="B797" s="99"/>
      <x:c r="C797" s="99"/>
      <x:c r="D797" s="99"/>
      <x:c r="E797" s="101"/>
      <x:c r="F797" s="106"/>
      <x:c r="G797" s="106"/>
      <x:c r="H797" s="106"/>
      <x:c r="I797" s="106"/>
      <x:c r="J797" s="106"/>
      <x:c r="K797" s="106"/>
      <x:c r="L797" s="106"/>
      <x:c r="M797" s="111"/>
      <x:c r="N797" s="111"/>
      <x:c r="O797" s="111"/>
      <x:c r="P797" s="111"/>
      <x:c r="Q797" s="111"/>
      <x:c r="R797" s="99"/>
    </x:row>
    <x:row r="798" ht="15" customHeight="1">
      <x:c r="A798" s="22"/>
      <x:c r="B798" s="99"/>
      <x:c r="C798" s="99"/>
      <x:c r="D798" s="99"/>
      <x:c r="E798" s="101"/>
      <x:c r="F798" s="106"/>
      <x:c r="G798" s="106"/>
      <x:c r="H798" s="106"/>
      <x:c r="I798" s="106"/>
      <x:c r="J798" s="106"/>
      <x:c r="K798" s="106"/>
      <x:c r="L798" s="106"/>
      <x:c r="M798" s="106"/>
      <x:c r="N798" s="106"/>
      <x:c r="O798" s="106"/>
      <x:c r="P798" s="106"/>
      <x:c r="Q798" s="106"/>
      <x:c r="R798" s="99"/>
    </x:row>
    <x:row r="799" ht="15" customHeight="1">
      <x:c r="A799" s="22"/>
      <x:c r="B799" s="99"/>
      <x:c r="C799" s="99"/>
      <x:c r="D799" s="99"/>
      <x:c r="E799" s="101"/>
      <x:c r="F799" s="106"/>
      <x:c r="G799" s="106"/>
      <x:c r="H799" s="106"/>
      <x:c r="I799" s="106"/>
      <x:c r="J799" s="106"/>
      <x:c r="K799" s="106"/>
      <x:c r="L799" s="106"/>
      <x:c r="M799" s="106"/>
      <x:c r="N799" s="106"/>
      <x:c r="O799" s="106"/>
      <x:c r="P799" s="106"/>
      <x:c r="Q799" s="106"/>
      <x:c r="R799" s="99"/>
    </x:row>
    <x:row r="800" ht="15" customHeight="1">
      <x:c r="A800" s="22"/>
      <x:c r="B800" s="99"/>
      <x:c r="C800" s="99"/>
      <x:c r="D800" s="99"/>
      <x:c r="E800" s="101"/>
      <x:c r="F800" s="106"/>
      <x:c r="G800" s="106"/>
      <x:c r="H800" s="106"/>
      <x:c r="I800" s="106"/>
      <x:c r="J800" s="106"/>
      <x:c r="K800" s="106"/>
      <x:c r="L800" s="106"/>
      <x:c r="M800" s="106"/>
      <x:c r="N800" s="106"/>
      <x:c r="O800" s="106"/>
      <x:c r="P800" s="106"/>
      <x:c r="Q800" s="106"/>
      <x:c r="R800" s="99"/>
    </x:row>
    <x:row r="801" ht="15" customHeight="1">
      <x:c r="A801" s="94"/>
      <x:c r="B801" s="99"/>
      <x:c r="C801" s="99"/>
      <x:c r="D801" s="99"/>
      <x:c r="E801" s="101"/>
      <x:c r="F801" s="106"/>
      <x:c r="G801" s="106"/>
      <x:c r="H801" s="106"/>
      <x:c r="I801" s="106"/>
      <x:c r="J801" s="106"/>
      <x:c r="K801" s="106"/>
      <x:c r="L801" s="106"/>
      <x:c r="M801" s="111"/>
      <x:c r="N801" s="111"/>
      <x:c r="O801" s="111"/>
      <x:c r="P801" s="111"/>
      <x:c r="Q801" s="111"/>
      <x:c r="R801" s="99"/>
    </x:row>
    <x:row r="802" ht="15" customHeight="1">
      <x:c r="A802" s="22"/>
      <x:c r="B802" s="99"/>
      <x:c r="C802" s="99"/>
      <x:c r="D802" s="99"/>
      <x:c r="E802" s="101"/>
      <x:c r="F802" s="106"/>
      <x:c r="G802" s="106"/>
      <x:c r="H802" s="106"/>
      <x:c r="I802" s="106"/>
      <x:c r="J802" s="106"/>
      <x:c r="K802" s="106"/>
      <x:c r="L802" s="106"/>
      <x:c r="M802" s="106"/>
      <x:c r="N802" s="106"/>
      <x:c r="O802" s="106"/>
      <x:c r="P802" s="106"/>
      <x:c r="Q802" s="106"/>
      <x:c r="R802" s="99"/>
    </x:row>
    <x:row r="803" ht="15" customHeight="1">
      <x:c r="A803" s="22"/>
      <x:c r="B803" s="99"/>
      <x:c r="C803" s="99"/>
      <x:c r="D803" s="99"/>
      <x:c r="E803" s="101"/>
      <x:c r="F803" s="106"/>
      <x:c r="G803" s="106"/>
      <x:c r="H803" s="106"/>
      <x:c r="I803" s="106"/>
      <x:c r="J803" s="106"/>
      <x:c r="K803" s="106"/>
      <x:c r="L803" s="106"/>
      <x:c r="M803" s="106"/>
      <x:c r="N803" s="106"/>
      <x:c r="O803" s="106"/>
      <x:c r="P803" s="106"/>
      <x:c r="Q803" s="106"/>
      <x:c r="R803" s="99"/>
    </x:row>
    <x:row r="804" ht="15" customHeight="1">
      <x:c r="A804" s="22"/>
      <x:c r="B804" s="99"/>
      <x:c r="C804" s="99"/>
      <x:c r="D804" s="99"/>
      <x:c r="E804" s="101"/>
      <x:c r="F804" s="106"/>
      <x:c r="G804" s="106"/>
      <x:c r="H804" s="106"/>
      <x:c r="I804" s="106"/>
      <x:c r="J804" s="106"/>
      <x:c r="K804" s="106"/>
      <x:c r="L804" s="106"/>
      <x:c r="M804" s="106"/>
      <x:c r="N804" s="106"/>
      <x:c r="O804" s="106"/>
      <x:c r="P804" s="106"/>
      <x:c r="Q804" s="106"/>
      <x:c r="R804" s="99"/>
    </x:row>
    <x:row r="805" ht="15" customHeight="1">
      <x:c r="A805" s="94"/>
      <x:c r="B805" s="99"/>
      <x:c r="C805" s="99"/>
      <x:c r="D805" s="99"/>
      <x:c r="E805" s="101"/>
      <x:c r="F805" s="106"/>
      <x:c r="G805" s="106"/>
      <x:c r="H805" s="106"/>
      <x:c r="I805" s="106"/>
      <x:c r="J805" s="106"/>
      <x:c r="K805" s="106"/>
      <x:c r="L805" s="106"/>
      <x:c r="M805" s="111"/>
      <x:c r="N805" s="111"/>
      <x:c r="O805" s="111"/>
      <x:c r="P805" s="111"/>
      <x:c r="Q805" s="111"/>
      <x:c r="R805" s="99"/>
    </x:row>
    <x:row r="806" ht="15" customHeight="1">
      <x:c r="A806" s="22"/>
      <x:c r="B806" s="99"/>
      <x:c r="C806" s="99"/>
      <x:c r="D806" s="99"/>
      <x:c r="E806" s="101"/>
      <x:c r="F806" s="106"/>
      <x:c r="G806" s="106"/>
      <x:c r="H806" s="106"/>
      <x:c r="I806" s="106"/>
      <x:c r="J806" s="106"/>
      <x:c r="K806" s="106"/>
      <x:c r="L806" s="106"/>
      <x:c r="M806" s="106"/>
      <x:c r="N806" s="106"/>
      <x:c r="O806" s="106"/>
      <x:c r="P806" s="106"/>
      <x:c r="Q806" s="106"/>
      <x:c r="R806" s="99"/>
    </x:row>
    <x:row r="807" ht="15" customHeight="1">
      <x:c r="A807" s="22"/>
      <x:c r="B807" s="99"/>
      <x:c r="C807" s="99"/>
      <x:c r="D807" s="99"/>
      <x:c r="E807" s="101"/>
      <x:c r="F807" s="106"/>
      <x:c r="G807" s="106"/>
      <x:c r="H807" s="106"/>
      <x:c r="I807" s="106"/>
      <x:c r="J807" s="106"/>
      <x:c r="K807" s="106"/>
      <x:c r="L807" s="106"/>
      <x:c r="M807" s="106"/>
      <x:c r="N807" s="106"/>
      <x:c r="O807" s="106"/>
      <x:c r="P807" s="106"/>
      <x:c r="Q807" s="106"/>
      <x:c r="R807" s="99"/>
    </x:row>
    <x:row r="808" ht="15" customHeight="1">
      <x:c r="A808" s="22"/>
      <x:c r="B808" s="99"/>
      <x:c r="C808" s="99"/>
      <x:c r="D808" s="99"/>
      <x:c r="E808" s="101"/>
      <x:c r="F808" s="106"/>
      <x:c r="G808" s="106"/>
      <x:c r="H808" s="106"/>
      <x:c r="I808" s="106"/>
      <x:c r="J808" s="106"/>
      <x:c r="K808" s="106"/>
      <x:c r="L808" s="106"/>
      <x:c r="M808" s="106"/>
      <x:c r="N808" s="106"/>
      <x:c r="O808" s="106"/>
      <x:c r="P808" s="106"/>
      <x:c r="Q808" s="106"/>
      <x:c r="R808" s="99"/>
    </x:row>
    <x:row r="809" ht="15" customHeight="1">
      <x:c r="A809" s="94"/>
      <x:c r="B809" s="99"/>
      <x:c r="C809" s="99"/>
      <x:c r="D809" s="99"/>
      <x:c r="E809" s="101"/>
      <x:c r="F809" s="106"/>
      <x:c r="G809" s="106"/>
      <x:c r="H809" s="106"/>
      <x:c r="I809" s="106"/>
      <x:c r="J809" s="106"/>
      <x:c r="K809" s="106"/>
      <x:c r="L809" s="106"/>
      <x:c r="M809" s="111"/>
      <x:c r="N809" s="111"/>
      <x:c r="O809" s="111"/>
      <x:c r="P809" s="111"/>
      <x:c r="Q809" s="111"/>
      <x:c r="R809" s="99"/>
    </x:row>
    <x:row r="810" ht="15" customHeight="1">
      <x:c r="A810" s="22"/>
      <x:c r="B810" s="99"/>
      <x:c r="C810" s="99"/>
      <x:c r="D810" s="99"/>
      <x:c r="E810" s="101"/>
      <x:c r="F810" s="106"/>
      <x:c r="G810" s="106"/>
      <x:c r="H810" s="106"/>
      <x:c r="I810" s="106"/>
      <x:c r="J810" s="106"/>
      <x:c r="K810" s="106"/>
      <x:c r="L810" s="106"/>
      <x:c r="M810" s="106"/>
      <x:c r="N810" s="106"/>
      <x:c r="O810" s="106"/>
      <x:c r="P810" s="106"/>
      <x:c r="Q810" s="106"/>
      <x:c r="R810" s="99"/>
    </x:row>
    <x:row r="811" ht="15" customHeight="1">
      <x:c r="A811" s="22"/>
      <x:c r="B811" s="99"/>
      <x:c r="C811" s="99"/>
      <x:c r="D811" s="99"/>
      <x:c r="E811" s="101"/>
      <x:c r="F811" s="106"/>
      <x:c r="G811" s="106"/>
      <x:c r="H811" s="106"/>
      <x:c r="I811" s="106"/>
      <x:c r="J811" s="106"/>
      <x:c r="K811" s="106"/>
      <x:c r="L811" s="106"/>
      <x:c r="M811" s="106"/>
      <x:c r="N811" s="106"/>
      <x:c r="O811" s="106"/>
      <x:c r="P811" s="106"/>
      <x:c r="Q811" s="106"/>
      <x:c r="R811" s="99"/>
    </x:row>
    <x:row r="812" ht="15" customHeight="1">
      <x:c r="A812" s="22"/>
      <x:c r="B812" s="99"/>
      <x:c r="C812" s="99"/>
      <x:c r="D812" s="99"/>
      <x:c r="E812" s="101"/>
      <x:c r="F812" s="106"/>
      <x:c r="G812" s="106"/>
      <x:c r="H812" s="106"/>
      <x:c r="I812" s="106"/>
      <x:c r="J812" s="106"/>
      <x:c r="K812" s="106"/>
      <x:c r="L812" s="106"/>
      <x:c r="M812" s="106"/>
      <x:c r="N812" s="106"/>
      <x:c r="O812" s="106"/>
      <x:c r="P812" s="106"/>
      <x:c r="Q812" s="106"/>
      <x:c r="R812" s="99"/>
    </x:row>
    <x:row r="813" ht="15" customHeight="1">
      <x:c r="A813" s="94"/>
      <x:c r="B813" s="99"/>
      <x:c r="C813" s="99"/>
      <x:c r="D813" s="99"/>
      <x:c r="E813" s="101"/>
      <x:c r="F813" s="106"/>
      <x:c r="G813" s="106"/>
      <x:c r="H813" s="106"/>
      <x:c r="I813" s="106"/>
      <x:c r="J813" s="106"/>
      <x:c r="K813" s="106"/>
      <x:c r="L813" s="106"/>
      <x:c r="M813" s="111"/>
      <x:c r="N813" s="111"/>
      <x:c r="O813" s="111"/>
      <x:c r="P813" s="111"/>
      <x:c r="Q813" s="111"/>
      <x:c r="R813" s="99"/>
    </x:row>
    <x:row r="814" ht="15" customHeight="1">
      <x:c r="A814" s="22"/>
      <x:c r="B814" s="99"/>
      <x:c r="C814" s="99"/>
      <x:c r="D814" s="99"/>
      <x:c r="E814" s="101"/>
      <x:c r="F814" s="106"/>
      <x:c r="G814" s="106"/>
      <x:c r="H814" s="106"/>
      <x:c r="I814" s="106"/>
      <x:c r="J814" s="106"/>
      <x:c r="K814" s="106"/>
      <x:c r="L814" s="106"/>
      <x:c r="M814" s="106"/>
      <x:c r="N814" s="106"/>
      <x:c r="O814" s="106"/>
      <x:c r="P814" s="106"/>
      <x:c r="Q814" s="106"/>
      <x:c r="R814" s="99"/>
    </x:row>
    <x:row r="815" ht="15" customHeight="1">
      <x:c r="A815" s="22"/>
      <x:c r="B815" s="99"/>
      <x:c r="C815" s="99"/>
      <x:c r="D815" s="99"/>
      <x:c r="E815" s="101"/>
      <x:c r="F815" s="106"/>
      <x:c r="G815" s="106"/>
      <x:c r="H815" s="106"/>
      <x:c r="I815" s="106"/>
      <x:c r="J815" s="106"/>
      <x:c r="K815" s="106"/>
      <x:c r="L815" s="106"/>
      <x:c r="M815" s="106"/>
      <x:c r="N815" s="106"/>
      <x:c r="O815" s="106"/>
      <x:c r="P815" s="106"/>
      <x:c r="Q815" s="106"/>
      <x:c r="R815" s="99"/>
    </x:row>
    <x:row r="816" ht="15" customHeight="1">
      <x:c r="A816" s="22"/>
      <x:c r="B816" s="99"/>
      <x:c r="C816" s="99"/>
      <x:c r="D816" s="99"/>
      <x:c r="E816" s="101"/>
      <x:c r="F816" s="106"/>
      <x:c r="G816" s="106"/>
      <x:c r="H816" s="106"/>
      <x:c r="I816" s="106"/>
      <x:c r="J816" s="106"/>
      <x:c r="K816" s="106"/>
      <x:c r="L816" s="106"/>
      <x:c r="M816" s="106"/>
      <x:c r="N816" s="106"/>
      <x:c r="O816" s="106"/>
      <x:c r="P816" s="106"/>
      <x:c r="Q816" s="106"/>
      <x:c r="R816" s="99"/>
    </x:row>
    <x:row r="817" ht="15" customHeight="1">
      <x:c r="A817" s="94"/>
      <x:c r="B817" s="99"/>
      <x:c r="C817" s="99"/>
      <x:c r="D817" s="99"/>
      <x:c r="E817" s="101"/>
      <x:c r="F817" s="106"/>
      <x:c r="G817" s="106"/>
      <x:c r="H817" s="106"/>
      <x:c r="I817" s="106"/>
      <x:c r="J817" s="106"/>
      <x:c r="K817" s="106"/>
      <x:c r="L817" s="106"/>
      <x:c r="M817" s="111"/>
      <x:c r="N817" s="111"/>
      <x:c r="O817" s="111"/>
      <x:c r="P817" s="111"/>
      <x:c r="Q817" s="111"/>
      <x:c r="R817" s="99"/>
    </x:row>
    <x:row r="818" ht="15" customHeight="1">
      <x:c r="A818" s="22"/>
      <x:c r="B818" s="99"/>
      <x:c r="C818" s="99"/>
      <x:c r="D818" s="99"/>
      <x:c r="E818" s="101"/>
      <x:c r="F818" s="106"/>
      <x:c r="G818" s="106"/>
      <x:c r="H818" s="106"/>
      <x:c r="I818" s="106"/>
      <x:c r="J818" s="106"/>
      <x:c r="K818" s="106"/>
      <x:c r="L818" s="106"/>
      <x:c r="M818" s="106"/>
      <x:c r="N818" s="106"/>
      <x:c r="O818" s="106"/>
      <x:c r="P818" s="106"/>
      <x:c r="Q818" s="106"/>
      <x:c r="R818" s="99"/>
    </x:row>
    <x:row r="819" ht="15" customHeight="1">
      <x:c r="A819" s="22"/>
      <x:c r="B819" s="99"/>
      <x:c r="C819" s="99"/>
      <x:c r="D819" s="99"/>
      <x:c r="E819" s="101"/>
      <x:c r="F819" s="106"/>
      <x:c r="G819" s="106"/>
      <x:c r="H819" s="106"/>
      <x:c r="I819" s="106"/>
      <x:c r="J819" s="106"/>
      <x:c r="K819" s="106"/>
      <x:c r="L819" s="106"/>
      <x:c r="M819" s="106"/>
      <x:c r="N819" s="106"/>
      <x:c r="O819" s="106"/>
      <x:c r="P819" s="106"/>
      <x:c r="Q819" s="106"/>
      <x:c r="R819" s="99"/>
    </x:row>
    <x:row r="820" ht="15" customHeight="1">
      <x:c r="A820" s="22"/>
      <x:c r="B820" s="99"/>
      <x:c r="C820" s="99"/>
      <x:c r="D820" s="99"/>
      <x:c r="E820" s="101"/>
      <x:c r="F820" s="106"/>
      <x:c r="G820" s="106"/>
      <x:c r="H820" s="106"/>
      <x:c r="I820" s="106"/>
      <x:c r="J820" s="106"/>
      <x:c r="K820" s="106"/>
      <x:c r="L820" s="106"/>
      <x:c r="M820" s="106"/>
      <x:c r="N820" s="106"/>
      <x:c r="O820" s="106"/>
      <x:c r="P820" s="106"/>
      <x:c r="Q820" s="106"/>
      <x:c r="R820" s="99"/>
    </x:row>
    <x:row r="821" ht="15" customHeight="1">
      <x:c r="A821" s="94"/>
      <x:c r="B821" s="99"/>
      <x:c r="C821" s="99"/>
      <x:c r="D821" s="99"/>
      <x:c r="E821" s="101"/>
      <x:c r="F821" s="106"/>
      <x:c r="G821" s="106"/>
      <x:c r="H821" s="106"/>
      <x:c r="I821" s="106"/>
      <x:c r="J821" s="106"/>
      <x:c r="K821" s="106"/>
      <x:c r="L821" s="106"/>
      <x:c r="M821" s="111"/>
      <x:c r="N821" s="111"/>
      <x:c r="O821" s="111"/>
      <x:c r="P821" s="111"/>
      <x:c r="Q821" s="111"/>
      <x:c r="R821" s="99"/>
    </x:row>
    <x:row r="822" ht="15" customHeight="1">
      <x:c r="A822" s="22"/>
      <x:c r="B822" s="99"/>
      <x:c r="C822" s="99"/>
      <x:c r="D822" s="99"/>
      <x:c r="E822" s="101"/>
      <x:c r="F822" s="106"/>
      <x:c r="G822" s="106"/>
      <x:c r="H822" s="106"/>
      <x:c r="I822" s="106"/>
      <x:c r="J822" s="106"/>
      <x:c r="K822" s="106"/>
      <x:c r="L822" s="106"/>
      <x:c r="M822" s="106"/>
      <x:c r="N822" s="106"/>
      <x:c r="O822" s="106"/>
      <x:c r="P822" s="106"/>
      <x:c r="Q822" s="106"/>
      <x:c r="R822" s="99"/>
    </x:row>
    <x:row r="823" ht="15" customHeight="1">
      <x:c r="A823" s="22"/>
      <x:c r="B823" s="99"/>
      <x:c r="C823" s="99"/>
      <x:c r="D823" s="99"/>
      <x:c r="E823" s="101"/>
      <x:c r="F823" s="106"/>
      <x:c r="G823" s="106"/>
      <x:c r="H823" s="106"/>
      <x:c r="I823" s="106"/>
      <x:c r="J823" s="106"/>
      <x:c r="K823" s="106"/>
      <x:c r="L823" s="106"/>
      <x:c r="M823" s="106"/>
      <x:c r="N823" s="106"/>
      <x:c r="O823" s="106"/>
      <x:c r="P823" s="106"/>
      <x:c r="Q823" s="106"/>
      <x:c r="R823" s="99"/>
    </x:row>
    <x:row r="824" ht="15" customHeight="1">
      <x:c r="A824" s="22"/>
      <x:c r="B824" s="99"/>
      <x:c r="C824" s="99"/>
      <x:c r="D824" s="99"/>
      <x:c r="E824" s="101"/>
      <x:c r="F824" s="106"/>
      <x:c r="G824" s="106"/>
      <x:c r="H824" s="106"/>
      <x:c r="I824" s="106"/>
      <x:c r="J824" s="106"/>
      <x:c r="K824" s="106"/>
      <x:c r="L824" s="106"/>
      <x:c r="M824" s="106"/>
      <x:c r="N824" s="106"/>
      <x:c r="O824" s="106"/>
      <x:c r="P824" s="106"/>
      <x:c r="Q824" s="106"/>
      <x:c r="R824" s="99"/>
    </x:row>
    <x:row r="825" ht="15" customHeight="1">
      <x:c r="A825" s="94"/>
      <x:c r="B825" s="99"/>
      <x:c r="C825" s="99"/>
      <x:c r="D825" s="99"/>
      <x:c r="E825" s="101"/>
      <x:c r="F825" s="106"/>
      <x:c r="G825" s="106"/>
      <x:c r="H825" s="106"/>
      <x:c r="I825" s="106"/>
      <x:c r="J825" s="106"/>
      <x:c r="K825" s="106"/>
      <x:c r="L825" s="106"/>
      <x:c r="M825" s="111"/>
      <x:c r="N825" s="111"/>
      <x:c r="O825" s="111"/>
      <x:c r="P825" s="111"/>
      <x:c r="Q825" s="111"/>
      <x:c r="R825" s="99"/>
    </x:row>
    <x:row r="826" ht="15" customHeight="1">
      <x:c r="A826" s="22"/>
      <x:c r="B826" s="99"/>
      <x:c r="C826" s="99"/>
      <x:c r="D826" s="99"/>
      <x:c r="E826" s="101"/>
      <x:c r="F826" s="106"/>
      <x:c r="G826" s="106"/>
      <x:c r="H826" s="106"/>
      <x:c r="I826" s="106"/>
      <x:c r="J826" s="106"/>
      <x:c r="K826" s="106"/>
      <x:c r="L826" s="106"/>
      <x:c r="M826" s="106"/>
      <x:c r="N826" s="106"/>
      <x:c r="O826" s="106"/>
      <x:c r="P826" s="106"/>
      <x:c r="Q826" s="106"/>
      <x:c r="R826" s="99"/>
    </x:row>
    <x:row r="827" ht="15" customHeight="1">
      <x:c r="A827" s="22"/>
      <x:c r="B827" s="99"/>
      <x:c r="C827" s="99"/>
      <x:c r="D827" s="99"/>
      <x:c r="E827" s="101"/>
      <x:c r="F827" s="106"/>
      <x:c r="G827" s="106"/>
      <x:c r="H827" s="106"/>
      <x:c r="I827" s="106"/>
      <x:c r="J827" s="106"/>
      <x:c r="K827" s="106"/>
      <x:c r="L827" s="106"/>
      <x:c r="M827" s="106"/>
      <x:c r="N827" s="106"/>
      <x:c r="O827" s="106"/>
      <x:c r="P827" s="106"/>
      <x:c r="Q827" s="106"/>
      <x:c r="R827" s="99"/>
    </x:row>
    <x:row r="828" ht="15" customHeight="1">
      <x:c r="A828" s="22"/>
      <x:c r="B828" s="99"/>
      <x:c r="C828" s="99"/>
      <x:c r="D828" s="99"/>
      <x:c r="E828" s="101"/>
      <x:c r="F828" s="106"/>
      <x:c r="G828" s="106"/>
      <x:c r="H828" s="106"/>
      <x:c r="I828" s="106"/>
      <x:c r="J828" s="106"/>
      <x:c r="K828" s="106"/>
      <x:c r="L828" s="106"/>
      <x:c r="M828" s="106"/>
      <x:c r="N828" s="106"/>
      <x:c r="O828" s="106"/>
      <x:c r="P828" s="106"/>
      <x:c r="Q828" s="106"/>
      <x:c r="R828" s="99"/>
    </x:row>
    <x:row r="829" ht="15" customHeight="1">
      <x:c r="A829" s="94"/>
      <x:c r="B829" s="99"/>
      <x:c r="C829" s="99"/>
      <x:c r="D829" s="99"/>
      <x:c r="E829" s="101"/>
      <x:c r="F829" s="106"/>
      <x:c r="G829" s="106"/>
      <x:c r="H829" s="106"/>
      <x:c r="I829" s="106"/>
      <x:c r="J829" s="106"/>
      <x:c r="K829" s="106"/>
      <x:c r="L829" s="106"/>
      <x:c r="M829" s="111"/>
      <x:c r="N829" s="111"/>
      <x:c r="O829" s="111"/>
      <x:c r="P829" s="111"/>
      <x:c r="Q829" s="111"/>
      <x:c r="R829" s="99"/>
    </x:row>
    <x:row r="830" ht="15" customHeight="1">
      <x:c r="A830" s="22"/>
      <x:c r="B830" s="99"/>
      <x:c r="C830" s="99"/>
      <x:c r="D830" s="99"/>
      <x:c r="E830" s="101"/>
      <x:c r="F830" s="106"/>
      <x:c r="G830" s="106"/>
      <x:c r="H830" s="106"/>
      <x:c r="I830" s="106"/>
      <x:c r="J830" s="106"/>
      <x:c r="K830" s="106"/>
      <x:c r="L830" s="106"/>
      <x:c r="M830" s="106"/>
      <x:c r="N830" s="106"/>
      <x:c r="O830" s="106"/>
      <x:c r="P830" s="106"/>
      <x:c r="Q830" s="106"/>
      <x:c r="R830" s="99"/>
    </x:row>
    <x:row r="831" ht="15" customHeight="1">
      <x:c r="A831" s="22"/>
      <x:c r="B831" s="99"/>
      <x:c r="C831" s="99"/>
      <x:c r="D831" s="99"/>
      <x:c r="E831" s="101"/>
      <x:c r="F831" s="106"/>
      <x:c r="G831" s="106"/>
      <x:c r="H831" s="106"/>
      <x:c r="I831" s="106"/>
      <x:c r="J831" s="106"/>
      <x:c r="K831" s="106"/>
      <x:c r="L831" s="106"/>
      <x:c r="M831" s="106"/>
      <x:c r="N831" s="106"/>
      <x:c r="O831" s="106"/>
      <x:c r="P831" s="106"/>
      <x:c r="Q831" s="106"/>
      <x:c r="R831" s="99"/>
    </x:row>
    <x:row r="832" ht="15" customHeight="1">
      <x:c r="A832" s="22"/>
      <x:c r="B832" s="99"/>
      <x:c r="C832" s="99"/>
      <x:c r="D832" s="99"/>
      <x:c r="E832" s="101"/>
      <x:c r="F832" s="106"/>
      <x:c r="G832" s="106"/>
      <x:c r="H832" s="106"/>
      <x:c r="I832" s="106"/>
      <x:c r="J832" s="106"/>
      <x:c r="K832" s="106"/>
      <x:c r="L832" s="106"/>
      <x:c r="M832" s="106"/>
      <x:c r="N832" s="106"/>
      <x:c r="O832" s="106"/>
      <x:c r="P832" s="106"/>
      <x:c r="Q832" s="106"/>
      <x:c r="R832" s="99"/>
    </x:row>
    <x:row r="833" ht="15" customHeight="1">
      <x:c r="A833" s="94"/>
      <x:c r="B833" s="99"/>
      <x:c r="C833" s="99"/>
      <x:c r="D833" s="99"/>
      <x:c r="E833" s="101"/>
      <x:c r="F833" s="106"/>
      <x:c r="G833" s="106"/>
      <x:c r="H833" s="106"/>
      <x:c r="I833" s="106"/>
      <x:c r="J833" s="106"/>
      <x:c r="K833" s="106"/>
      <x:c r="L833" s="106"/>
      <x:c r="M833" s="111"/>
      <x:c r="N833" s="111"/>
      <x:c r="O833" s="111"/>
      <x:c r="P833" s="111"/>
      <x:c r="Q833" s="111"/>
      <x:c r="R833" s="99"/>
    </x:row>
    <x:row r="834" ht="15" customHeight="1">
      <x:c r="A834" s="22"/>
      <x:c r="B834" s="99"/>
      <x:c r="C834" s="99"/>
      <x:c r="D834" s="99"/>
      <x:c r="E834" s="101"/>
      <x:c r="F834" s="106"/>
      <x:c r="G834" s="106"/>
      <x:c r="H834" s="106"/>
      <x:c r="I834" s="106"/>
      <x:c r="J834" s="106"/>
      <x:c r="K834" s="106"/>
      <x:c r="L834" s="106"/>
      <x:c r="M834" s="106"/>
      <x:c r="N834" s="106"/>
      <x:c r="O834" s="106"/>
      <x:c r="P834" s="106"/>
      <x:c r="Q834" s="106"/>
      <x:c r="R834" s="99"/>
    </x:row>
    <x:row r="835" ht="15" customHeight="1">
      <x:c r="A835" s="22"/>
      <x:c r="B835" s="99"/>
      <x:c r="C835" s="99"/>
      <x:c r="D835" s="99"/>
      <x:c r="E835" s="101"/>
      <x:c r="F835" s="106"/>
      <x:c r="G835" s="106"/>
      <x:c r="H835" s="106"/>
      <x:c r="I835" s="106"/>
      <x:c r="J835" s="106"/>
      <x:c r="K835" s="106"/>
      <x:c r="L835" s="106"/>
      <x:c r="M835" s="106"/>
      <x:c r="N835" s="106"/>
      <x:c r="O835" s="106"/>
      <x:c r="P835" s="106"/>
      <x:c r="Q835" s="106"/>
      <x:c r="R835" s="99"/>
    </x:row>
    <x:row r="836" ht="15" customHeight="1">
      <x:c r="A836" s="22"/>
      <x:c r="B836" s="99"/>
      <x:c r="C836" s="99"/>
      <x:c r="D836" s="99"/>
      <x:c r="E836" s="101"/>
      <x:c r="F836" s="106"/>
      <x:c r="G836" s="106"/>
      <x:c r="H836" s="106"/>
      <x:c r="I836" s="106"/>
      <x:c r="J836" s="106"/>
      <x:c r="K836" s="106"/>
      <x:c r="L836" s="106"/>
      <x:c r="M836" s="106"/>
      <x:c r="N836" s="106"/>
      <x:c r="O836" s="106"/>
      <x:c r="P836" s="106"/>
      <x:c r="Q836" s="106"/>
      <x:c r="R836" s="99"/>
    </x:row>
    <x:row r="837" ht="15" customHeight="1">
      <x:c r="A837" s="94"/>
      <x:c r="B837" s="99"/>
      <x:c r="C837" s="99"/>
      <x:c r="D837" s="99"/>
      <x:c r="E837" s="101"/>
      <x:c r="F837" s="106"/>
      <x:c r="G837" s="106"/>
      <x:c r="H837" s="106"/>
      <x:c r="I837" s="106"/>
      <x:c r="J837" s="106"/>
      <x:c r="K837" s="106"/>
      <x:c r="L837" s="106"/>
      <x:c r="M837" s="111"/>
      <x:c r="N837" s="111"/>
      <x:c r="O837" s="111"/>
      <x:c r="P837" s="111"/>
      <x:c r="Q837" s="111"/>
      <x:c r="R837" s="99"/>
    </x:row>
    <x:row r="838" ht="15" customHeight="1">
      <x:c r="A838" s="22"/>
      <x:c r="B838" s="99"/>
      <x:c r="C838" s="99"/>
      <x:c r="D838" s="99"/>
      <x:c r="E838" s="101"/>
      <x:c r="F838" s="106"/>
      <x:c r="G838" s="106"/>
      <x:c r="H838" s="106"/>
      <x:c r="I838" s="106"/>
      <x:c r="J838" s="106"/>
      <x:c r="K838" s="106"/>
      <x:c r="L838" s="106"/>
      <x:c r="M838" s="106"/>
      <x:c r="N838" s="106"/>
      <x:c r="O838" s="106"/>
      <x:c r="P838" s="106"/>
      <x:c r="Q838" s="106"/>
      <x:c r="R838" s="99"/>
    </x:row>
    <x:row r="839" ht="15" customHeight="1">
      <x:c r="A839" s="22"/>
      <x:c r="B839" s="99"/>
      <x:c r="C839" s="99"/>
      <x:c r="D839" s="99"/>
      <x:c r="E839" s="101"/>
      <x:c r="F839" s="106"/>
      <x:c r="G839" s="106"/>
      <x:c r="H839" s="106"/>
      <x:c r="I839" s="106"/>
      <x:c r="J839" s="106"/>
      <x:c r="K839" s="106"/>
      <x:c r="L839" s="106"/>
      <x:c r="M839" s="106"/>
      <x:c r="N839" s="106"/>
      <x:c r="O839" s="106"/>
      <x:c r="P839" s="106"/>
      <x:c r="Q839" s="106"/>
      <x:c r="R839" s="99"/>
    </x:row>
    <x:row r="840" ht="15" customHeight="1">
      <x:c r="A840" s="22"/>
      <x:c r="B840" s="99"/>
      <x:c r="C840" s="99"/>
      <x:c r="D840" s="99"/>
      <x:c r="E840" s="101"/>
      <x:c r="F840" s="106"/>
      <x:c r="G840" s="106"/>
      <x:c r="H840" s="106"/>
      <x:c r="I840" s="106"/>
      <x:c r="J840" s="106"/>
      <x:c r="K840" s="106"/>
      <x:c r="L840" s="106"/>
      <x:c r="M840" s="106"/>
      <x:c r="N840" s="106"/>
      <x:c r="O840" s="106"/>
      <x:c r="P840" s="106"/>
      <x:c r="Q840" s="106"/>
      <x:c r="R840" s="99"/>
    </x:row>
    <x:row r="841" ht="15" customHeight="1">
      <x:c r="A841" s="94"/>
      <x:c r="B841" s="99"/>
      <x:c r="C841" s="99"/>
      <x:c r="D841" s="99"/>
      <x:c r="E841" s="101"/>
      <x:c r="F841" s="106"/>
      <x:c r="G841" s="106"/>
      <x:c r="H841" s="106"/>
      <x:c r="I841" s="106"/>
      <x:c r="J841" s="106"/>
      <x:c r="K841" s="106"/>
      <x:c r="L841" s="106"/>
      <x:c r="M841" s="111"/>
      <x:c r="N841" s="111"/>
      <x:c r="O841" s="111"/>
      <x:c r="P841" s="111"/>
      <x:c r="Q841" s="111"/>
      <x:c r="R841" s="99"/>
    </x:row>
    <x:row r="842" ht="15" customHeight="1">
      <x:c r="A842" s="22"/>
      <x:c r="B842" s="99"/>
      <x:c r="C842" s="99"/>
      <x:c r="D842" s="99"/>
      <x:c r="E842" s="101"/>
      <x:c r="F842" s="106"/>
      <x:c r="G842" s="106"/>
      <x:c r="H842" s="106"/>
      <x:c r="I842" s="106"/>
      <x:c r="J842" s="106"/>
      <x:c r="K842" s="106"/>
      <x:c r="L842" s="106"/>
      <x:c r="M842" s="106"/>
      <x:c r="N842" s="106"/>
      <x:c r="O842" s="106"/>
      <x:c r="P842" s="106"/>
      <x:c r="Q842" s="106"/>
      <x:c r="R842" s="99"/>
    </x:row>
    <x:row r="843" ht="15" customHeight="1">
      <x:c r="A843" s="22"/>
      <x:c r="B843" s="99"/>
      <x:c r="C843" s="99"/>
      <x:c r="D843" s="99"/>
      <x:c r="E843" s="101"/>
      <x:c r="F843" s="106"/>
      <x:c r="G843" s="106"/>
      <x:c r="H843" s="106"/>
      <x:c r="I843" s="106"/>
      <x:c r="J843" s="106"/>
      <x:c r="K843" s="106"/>
      <x:c r="L843" s="106"/>
      <x:c r="M843" s="106"/>
      <x:c r="N843" s="106"/>
      <x:c r="O843" s="106"/>
      <x:c r="P843" s="106"/>
      <x:c r="Q843" s="106"/>
      <x:c r="R843" s="99"/>
    </x:row>
    <x:row r="844" ht="15" customHeight="1">
      <x:c r="A844" s="22"/>
      <x:c r="B844" s="99"/>
      <x:c r="C844" s="99"/>
      <x:c r="D844" s="99"/>
      <x:c r="E844" s="101"/>
      <x:c r="F844" s="106"/>
      <x:c r="G844" s="106"/>
      <x:c r="H844" s="106"/>
      <x:c r="I844" s="106"/>
      <x:c r="J844" s="106"/>
      <x:c r="K844" s="106"/>
      <x:c r="L844" s="106"/>
      <x:c r="M844" s="106"/>
      <x:c r="N844" s="106"/>
      <x:c r="O844" s="106"/>
      <x:c r="P844" s="106"/>
      <x:c r="Q844" s="106"/>
      <x:c r="R844" s="99"/>
    </x:row>
    <x:row r="845" ht="15" customHeight="1">
      <x:c r="A845" s="94"/>
      <x:c r="B845" s="99"/>
      <x:c r="C845" s="99"/>
      <x:c r="D845" s="99"/>
      <x:c r="E845" s="101"/>
      <x:c r="F845" s="106"/>
      <x:c r="G845" s="106"/>
      <x:c r="H845" s="106"/>
      <x:c r="I845" s="106"/>
      <x:c r="J845" s="106"/>
      <x:c r="K845" s="106"/>
      <x:c r="L845" s="106"/>
      <x:c r="M845" s="111"/>
      <x:c r="N845" s="111"/>
      <x:c r="O845" s="111"/>
      <x:c r="P845" s="111"/>
      <x:c r="Q845" s="111"/>
      <x:c r="R845" s="99"/>
    </x:row>
    <x:row r="846" ht="15" customHeight="1">
      <x:c r="A846" s="22"/>
      <x:c r="B846" s="99"/>
      <x:c r="C846" s="99"/>
      <x:c r="D846" s="99"/>
      <x:c r="E846" s="101"/>
      <x:c r="F846" s="106"/>
      <x:c r="G846" s="106"/>
      <x:c r="H846" s="106"/>
      <x:c r="I846" s="106"/>
      <x:c r="J846" s="106"/>
      <x:c r="K846" s="106"/>
      <x:c r="L846" s="106"/>
      <x:c r="M846" s="106"/>
      <x:c r="N846" s="106"/>
      <x:c r="O846" s="106"/>
      <x:c r="P846" s="106"/>
      <x:c r="Q846" s="106"/>
      <x:c r="R846" s="99"/>
    </x:row>
    <x:row r="847" ht="15" customHeight="1">
      <x:c r="A847" s="22"/>
      <x:c r="B847" s="99"/>
      <x:c r="C847" s="99"/>
      <x:c r="D847" s="99"/>
      <x:c r="E847" s="101"/>
      <x:c r="F847" s="106"/>
      <x:c r="G847" s="106"/>
      <x:c r="H847" s="106"/>
      <x:c r="I847" s="106"/>
      <x:c r="J847" s="106"/>
      <x:c r="K847" s="106"/>
      <x:c r="L847" s="106"/>
      <x:c r="M847" s="106"/>
      <x:c r="N847" s="106"/>
      <x:c r="O847" s="106"/>
      <x:c r="P847" s="106"/>
      <x:c r="Q847" s="106"/>
      <x:c r="R847" s="99"/>
    </x:row>
    <x:row r="848" ht="15" customHeight="1">
      <x:c r="A848" s="22"/>
      <x:c r="B848" s="99"/>
      <x:c r="C848" s="99"/>
      <x:c r="D848" s="99"/>
      <x:c r="E848" s="101"/>
      <x:c r="F848" s="106"/>
      <x:c r="G848" s="106"/>
      <x:c r="H848" s="106"/>
      <x:c r="I848" s="106"/>
      <x:c r="J848" s="106"/>
      <x:c r="K848" s="106"/>
      <x:c r="L848" s="106"/>
      <x:c r="M848" s="106"/>
      <x:c r="N848" s="106"/>
      <x:c r="O848" s="106"/>
      <x:c r="P848" s="106"/>
      <x:c r="Q848" s="106"/>
      <x:c r="R848" s="99"/>
    </x:row>
    <x:row r="849" ht="15" customHeight="1">
      <x:c r="A849" s="94"/>
      <x:c r="B849" s="99"/>
      <x:c r="C849" s="99"/>
      <x:c r="D849" s="99"/>
      <x:c r="E849" s="101"/>
      <x:c r="F849" s="106"/>
      <x:c r="G849" s="106"/>
      <x:c r="H849" s="106"/>
      <x:c r="I849" s="106"/>
      <x:c r="J849" s="106"/>
      <x:c r="K849" s="106"/>
      <x:c r="L849" s="106"/>
      <x:c r="M849" s="111"/>
      <x:c r="N849" s="111"/>
      <x:c r="O849" s="111"/>
      <x:c r="P849" s="111"/>
      <x:c r="Q849" s="111"/>
      <x:c r="R849" s="99"/>
    </x:row>
    <x:row r="850" ht="15" customHeight="1">
      <x:c r="A850" s="22"/>
      <x:c r="B850" s="99"/>
      <x:c r="C850" s="99"/>
      <x:c r="D850" s="99"/>
      <x:c r="E850" s="101"/>
      <x:c r="F850" s="106"/>
      <x:c r="G850" s="106"/>
      <x:c r="H850" s="106"/>
      <x:c r="I850" s="106"/>
      <x:c r="J850" s="106"/>
      <x:c r="K850" s="106"/>
      <x:c r="L850" s="106"/>
      <x:c r="M850" s="106"/>
      <x:c r="N850" s="106"/>
      <x:c r="O850" s="106"/>
      <x:c r="P850" s="106"/>
      <x:c r="Q850" s="106"/>
      <x:c r="R850" s="99"/>
    </x:row>
    <x:row r="851" ht="15" customHeight="1">
      <x:c r="A851" s="22"/>
      <x:c r="B851" s="99"/>
      <x:c r="C851" s="99"/>
      <x:c r="D851" s="99"/>
      <x:c r="E851" s="101"/>
      <x:c r="F851" s="106"/>
      <x:c r="G851" s="106"/>
      <x:c r="H851" s="106"/>
      <x:c r="I851" s="106"/>
      <x:c r="J851" s="106"/>
      <x:c r="K851" s="106"/>
      <x:c r="L851" s="106"/>
      <x:c r="M851" s="106"/>
      <x:c r="N851" s="106"/>
      <x:c r="O851" s="106"/>
      <x:c r="P851" s="106"/>
      <x:c r="Q851" s="106"/>
      <x:c r="R851" s="99"/>
    </x:row>
    <x:row r="852" ht="15" customHeight="1">
      <x:c r="A852" s="22"/>
      <x:c r="B852" s="99"/>
      <x:c r="C852" s="99"/>
      <x:c r="D852" s="99"/>
      <x:c r="E852" s="101"/>
      <x:c r="F852" s="106"/>
      <x:c r="G852" s="106"/>
      <x:c r="H852" s="106"/>
      <x:c r="I852" s="106"/>
      <x:c r="J852" s="106"/>
      <x:c r="K852" s="106"/>
      <x:c r="L852" s="106"/>
      <x:c r="M852" s="106"/>
      <x:c r="N852" s="106"/>
      <x:c r="O852" s="106"/>
      <x:c r="P852" s="106"/>
      <x:c r="Q852" s="106"/>
      <x:c r="R852" s="99"/>
    </x:row>
    <x:row r="853" ht="15" customHeight="1">
      <x:c r="A853" s="94"/>
      <x:c r="B853" s="99"/>
      <x:c r="C853" s="99"/>
      <x:c r="D853" s="99"/>
      <x:c r="E853" s="101"/>
      <x:c r="F853" s="106"/>
      <x:c r="G853" s="106"/>
      <x:c r="H853" s="106"/>
      <x:c r="I853" s="106"/>
      <x:c r="J853" s="106"/>
      <x:c r="K853" s="106"/>
      <x:c r="L853" s="106"/>
      <x:c r="M853" s="111"/>
      <x:c r="N853" s="111"/>
      <x:c r="O853" s="111"/>
      <x:c r="P853" s="111"/>
      <x:c r="Q853" s="111"/>
      <x:c r="R853" s="99"/>
    </x:row>
    <x:row r="854" ht="15" customHeight="1">
      <x:c r="A854" s="22"/>
      <x:c r="B854" s="99"/>
      <x:c r="C854" s="99"/>
      <x:c r="D854" s="99"/>
      <x:c r="E854" s="101"/>
      <x:c r="F854" s="106"/>
      <x:c r="G854" s="106"/>
      <x:c r="H854" s="106"/>
      <x:c r="I854" s="106"/>
      <x:c r="J854" s="106"/>
      <x:c r="K854" s="106"/>
      <x:c r="L854" s="106"/>
      <x:c r="M854" s="106"/>
      <x:c r="N854" s="106"/>
      <x:c r="O854" s="106"/>
      <x:c r="P854" s="106"/>
      <x:c r="Q854" s="106"/>
      <x:c r="R854" s="99"/>
    </x:row>
    <x:row r="855" ht="15" customHeight="1">
      <x:c r="A855" s="22"/>
      <x:c r="B855" s="99"/>
      <x:c r="C855" s="99"/>
      <x:c r="D855" s="99"/>
      <x:c r="E855" s="101"/>
      <x:c r="F855" s="106"/>
      <x:c r="G855" s="106"/>
      <x:c r="H855" s="106"/>
      <x:c r="I855" s="106"/>
      <x:c r="J855" s="106"/>
      <x:c r="K855" s="106"/>
      <x:c r="L855" s="106"/>
      <x:c r="M855" s="106"/>
      <x:c r="N855" s="106"/>
      <x:c r="O855" s="106"/>
      <x:c r="P855" s="106"/>
      <x:c r="Q855" s="106"/>
      <x:c r="R855" s="99"/>
    </x:row>
    <x:row r="856" ht="15" customHeight="1">
      <x:c r="A856" s="22"/>
      <x:c r="B856" s="99"/>
      <x:c r="C856" s="99"/>
      <x:c r="D856" s="99"/>
      <x:c r="E856" s="101"/>
      <x:c r="F856" s="106"/>
      <x:c r="G856" s="106"/>
      <x:c r="H856" s="106"/>
      <x:c r="I856" s="106"/>
      <x:c r="J856" s="106"/>
      <x:c r="K856" s="106"/>
      <x:c r="L856" s="106"/>
      <x:c r="M856" s="106"/>
      <x:c r="N856" s="106"/>
      <x:c r="O856" s="106"/>
      <x:c r="P856" s="106"/>
      <x:c r="Q856" s="106"/>
      <x:c r="R856" s="99"/>
    </x:row>
    <x:row r="857" ht="15" customHeight="1">
      <x:c r="A857" s="94"/>
      <x:c r="B857" s="99"/>
      <x:c r="C857" s="99"/>
      <x:c r="D857" s="99"/>
      <x:c r="E857" s="101"/>
      <x:c r="F857" s="106"/>
      <x:c r="G857" s="106"/>
      <x:c r="H857" s="106"/>
      <x:c r="I857" s="106"/>
      <x:c r="J857" s="106"/>
      <x:c r="K857" s="106"/>
      <x:c r="L857" s="106"/>
      <x:c r="M857" s="111"/>
      <x:c r="N857" s="111"/>
      <x:c r="O857" s="111"/>
      <x:c r="P857" s="111"/>
      <x:c r="Q857" s="111"/>
      <x:c r="R857" s="99"/>
    </x:row>
    <x:row r="858" ht="15" customHeight="1">
      <x:c r="A858" s="22"/>
      <x:c r="B858" s="99"/>
      <x:c r="C858" s="99"/>
      <x:c r="D858" s="99"/>
      <x:c r="E858" s="101"/>
      <x:c r="F858" s="106"/>
      <x:c r="G858" s="106"/>
      <x:c r="H858" s="106"/>
      <x:c r="I858" s="106"/>
      <x:c r="J858" s="106"/>
      <x:c r="K858" s="106"/>
      <x:c r="L858" s="106"/>
      <x:c r="M858" s="106"/>
      <x:c r="N858" s="106"/>
      <x:c r="O858" s="106"/>
      <x:c r="P858" s="106"/>
      <x:c r="Q858" s="106"/>
      <x:c r="R858" s="99"/>
    </x:row>
    <x:row r="859" ht="15" customHeight="1">
      <x:c r="A859" s="22"/>
      <x:c r="B859" s="99"/>
      <x:c r="C859" s="99"/>
      <x:c r="D859" s="99"/>
      <x:c r="E859" s="101"/>
      <x:c r="F859" s="106"/>
      <x:c r="G859" s="106"/>
      <x:c r="H859" s="106"/>
      <x:c r="I859" s="106"/>
      <x:c r="J859" s="106"/>
      <x:c r="K859" s="106"/>
      <x:c r="L859" s="106"/>
      <x:c r="M859" s="106"/>
      <x:c r="N859" s="106"/>
      <x:c r="O859" s="106"/>
      <x:c r="P859" s="106"/>
      <x:c r="Q859" s="106"/>
      <x:c r="R859" s="99"/>
    </x:row>
    <x:row r="860" ht="15" customHeight="1">
      <x:c r="A860" s="22"/>
      <x:c r="B860" s="99"/>
      <x:c r="C860" s="99"/>
      <x:c r="D860" s="99"/>
      <x:c r="E860" s="101"/>
      <x:c r="F860" s="106"/>
      <x:c r="G860" s="106"/>
      <x:c r="H860" s="106"/>
      <x:c r="I860" s="106"/>
      <x:c r="J860" s="106"/>
      <x:c r="K860" s="106"/>
      <x:c r="L860" s="106"/>
      <x:c r="M860" s="106"/>
      <x:c r="N860" s="106"/>
      <x:c r="O860" s="106"/>
      <x:c r="P860" s="106"/>
      <x:c r="Q860" s="106"/>
      <x:c r="R860" s="99"/>
    </x:row>
    <x:row r="861" ht="15" customHeight="1">
      <x:c r="A861" s="94"/>
      <x:c r="B861" s="99"/>
      <x:c r="C861" s="99"/>
      <x:c r="D861" s="99"/>
      <x:c r="E861" s="101"/>
      <x:c r="F861" s="106"/>
      <x:c r="G861" s="106"/>
      <x:c r="H861" s="106"/>
      <x:c r="I861" s="106"/>
      <x:c r="J861" s="106"/>
      <x:c r="K861" s="106"/>
      <x:c r="L861" s="106"/>
      <x:c r="M861" s="111"/>
      <x:c r="N861" s="111"/>
      <x:c r="O861" s="111"/>
      <x:c r="P861" s="111"/>
      <x:c r="Q861" s="111"/>
      <x:c r="R861" s="99"/>
    </x:row>
    <x:row r="862" ht="15" customHeight="1">
      <x:c r="A862" s="22"/>
      <x:c r="B862" s="99"/>
      <x:c r="C862" s="99"/>
      <x:c r="D862" s="99"/>
      <x:c r="E862" s="101"/>
      <x:c r="F862" s="106"/>
      <x:c r="G862" s="106"/>
      <x:c r="H862" s="106"/>
      <x:c r="I862" s="106"/>
      <x:c r="J862" s="106"/>
      <x:c r="K862" s="106"/>
      <x:c r="L862" s="106"/>
      <x:c r="M862" s="106"/>
      <x:c r="N862" s="106"/>
      <x:c r="O862" s="106"/>
      <x:c r="P862" s="106"/>
      <x:c r="Q862" s="106"/>
      <x:c r="R862" s="99"/>
    </x:row>
    <x:row r="863" ht="15" customHeight="1">
      <x:c r="A863" s="22"/>
      <x:c r="B863" s="99"/>
      <x:c r="C863" s="99"/>
      <x:c r="D863" s="99"/>
      <x:c r="E863" s="101"/>
      <x:c r="F863" s="106"/>
      <x:c r="G863" s="106"/>
      <x:c r="H863" s="106"/>
      <x:c r="I863" s="106"/>
      <x:c r="J863" s="106"/>
      <x:c r="K863" s="106"/>
      <x:c r="L863" s="106"/>
      <x:c r="M863" s="106"/>
      <x:c r="N863" s="106"/>
      <x:c r="O863" s="106"/>
      <x:c r="P863" s="106"/>
      <x:c r="Q863" s="106"/>
      <x:c r="R863" s="99"/>
    </x:row>
    <x:row r="864" ht="15" customHeight="1">
      <x:c r="A864" s="22"/>
      <x:c r="B864" s="99"/>
      <x:c r="C864" s="99"/>
      <x:c r="D864" s="99"/>
      <x:c r="E864" s="101"/>
      <x:c r="F864" s="106"/>
      <x:c r="G864" s="106"/>
      <x:c r="H864" s="106"/>
      <x:c r="I864" s="106"/>
      <x:c r="J864" s="106"/>
      <x:c r="K864" s="106"/>
      <x:c r="L864" s="106"/>
      <x:c r="M864" s="106"/>
      <x:c r="N864" s="106"/>
      <x:c r="O864" s="106"/>
      <x:c r="P864" s="106"/>
      <x:c r="Q864" s="106"/>
      <x:c r="R864" s="99"/>
    </x:row>
    <x:row r="865" ht="15" customHeight="1">
      <x:c r="A865" s="94"/>
      <x:c r="B865" s="99"/>
      <x:c r="C865" s="99"/>
      <x:c r="D865" s="99"/>
      <x:c r="E865" s="101"/>
      <x:c r="F865" s="106"/>
      <x:c r="G865" s="106"/>
      <x:c r="H865" s="106"/>
      <x:c r="I865" s="106"/>
      <x:c r="J865" s="106"/>
      <x:c r="K865" s="106"/>
      <x:c r="L865" s="106"/>
      <x:c r="M865" s="111"/>
      <x:c r="N865" s="111"/>
      <x:c r="O865" s="111"/>
      <x:c r="P865" s="111"/>
      <x:c r="Q865" s="111"/>
      <x:c r="R865" s="99"/>
    </x:row>
    <x:row r="866" ht="15" customHeight="1">
      <x:c r="A866" s="22"/>
      <x:c r="B866" s="99"/>
      <x:c r="C866" s="99"/>
      <x:c r="D866" s="99"/>
      <x:c r="E866" s="101"/>
      <x:c r="F866" s="106"/>
      <x:c r="G866" s="106"/>
      <x:c r="H866" s="106"/>
      <x:c r="I866" s="106"/>
      <x:c r="J866" s="106"/>
      <x:c r="K866" s="106"/>
      <x:c r="L866" s="106"/>
      <x:c r="M866" s="106"/>
      <x:c r="N866" s="106"/>
      <x:c r="O866" s="106"/>
      <x:c r="P866" s="106"/>
      <x:c r="Q866" s="106"/>
      <x:c r="R866" s="99"/>
    </x:row>
    <x:row r="867" ht="15" customHeight="1">
      <x:c r="A867" s="22"/>
      <x:c r="B867" s="99"/>
      <x:c r="C867" s="99"/>
      <x:c r="D867" s="99"/>
      <x:c r="E867" s="101"/>
      <x:c r="F867" s="106"/>
      <x:c r="G867" s="106"/>
      <x:c r="H867" s="106"/>
      <x:c r="I867" s="106"/>
      <x:c r="J867" s="106"/>
      <x:c r="K867" s="106"/>
      <x:c r="L867" s="106"/>
      <x:c r="M867" s="106"/>
      <x:c r="N867" s="106"/>
      <x:c r="O867" s="106"/>
      <x:c r="P867" s="106"/>
      <x:c r="Q867" s="106"/>
      <x:c r="R867" s="99"/>
    </x:row>
    <x:row r="868" ht="15" customHeight="1">
      <x:c r="A868" s="22"/>
      <x:c r="B868" s="99"/>
      <x:c r="C868" s="99"/>
      <x:c r="D868" s="99"/>
      <x:c r="E868" s="101"/>
      <x:c r="F868" s="106"/>
      <x:c r="G868" s="106"/>
      <x:c r="H868" s="106"/>
      <x:c r="I868" s="106"/>
      <x:c r="J868" s="106"/>
      <x:c r="K868" s="106"/>
      <x:c r="L868" s="106"/>
      <x:c r="M868" s="106"/>
      <x:c r="N868" s="106"/>
      <x:c r="O868" s="106"/>
      <x:c r="P868" s="106"/>
      <x:c r="Q868" s="106"/>
      <x:c r="R868" s="99"/>
    </x:row>
    <x:row r="869" ht="15" customHeight="1">
      <x:c r="A869" s="94"/>
      <x:c r="B869" s="99"/>
      <x:c r="C869" s="99"/>
      <x:c r="D869" s="99"/>
      <x:c r="E869" s="101"/>
      <x:c r="F869" s="106"/>
      <x:c r="G869" s="106"/>
      <x:c r="H869" s="106"/>
      <x:c r="I869" s="106"/>
      <x:c r="J869" s="106"/>
      <x:c r="K869" s="106"/>
      <x:c r="L869" s="106"/>
      <x:c r="M869" s="111"/>
      <x:c r="N869" s="111"/>
      <x:c r="O869" s="111"/>
      <x:c r="P869" s="111"/>
      <x:c r="Q869" s="111"/>
      <x:c r="R869" s="99"/>
    </x:row>
    <x:row r="870" ht="15" customHeight="1">
      <x:c r="A870" s="22"/>
      <x:c r="B870" s="99"/>
      <x:c r="C870" s="99"/>
      <x:c r="D870" s="99"/>
      <x:c r="E870" s="101"/>
      <x:c r="F870" s="106"/>
      <x:c r="G870" s="106"/>
      <x:c r="H870" s="106"/>
      <x:c r="I870" s="106"/>
      <x:c r="J870" s="106"/>
      <x:c r="K870" s="106"/>
      <x:c r="L870" s="106"/>
      <x:c r="M870" s="106"/>
      <x:c r="N870" s="106"/>
      <x:c r="O870" s="106"/>
      <x:c r="P870" s="106"/>
      <x:c r="Q870" s="106"/>
      <x:c r="R870" s="99"/>
    </x:row>
    <x:row r="871" ht="15" customHeight="1">
      <x:c r="A871" s="22"/>
      <x:c r="B871" s="99"/>
      <x:c r="C871" s="99"/>
      <x:c r="D871" s="99"/>
      <x:c r="E871" s="101"/>
      <x:c r="F871" s="106"/>
      <x:c r="G871" s="106"/>
      <x:c r="H871" s="106"/>
      <x:c r="I871" s="106"/>
      <x:c r="J871" s="106"/>
      <x:c r="K871" s="106"/>
      <x:c r="L871" s="106"/>
      <x:c r="M871" s="106"/>
      <x:c r="N871" s="106"/>
      <x:c r="O871" s="106"/>
      <x:c r="P871" s="106"/>
      <x:c r="Q871" s="106"/>
      <x:c r="R871" s="99"/>
    </x:row>
    <x:row r="872" ht="15" customHeight="1">
      <x:c r="A872" s="22"/>
      <x:c r="B872" s="99"/>
      <x:c r="C872" s="99"/>
      <x:c r="D872" s="99"/>
      <x:c r="E872" s="101"/>
      <x:c r="F872" s="106"/>
      <x:c r="G872" s="106"/>
      <x:c r="H872" s="106"/>
      <x:c r="I872" s="106"/>
      <x:c r="J872" s="106"/>
      <x:c r="K872" s="106"/>
      <x:c r="L872" s="106"/>
      <x:c r="M872" s="106"/>
      <x:c r="N872" s="106"/>
      <x:c r="O872" s="106"/>
      <x:c r="P872" s="106"/>
      <x:c r="Q872" s="106"/>
      <x:c r="R872" s="99"/>
    </x:row>
    <x:row r="873" ht="15" customHeight="1">
      <x:c r="A873" s="94"/>
      <x:c r="B873" s="99"/>
      <x:c r="C873" s="99"/>
      <x:c r="D873" s="99"/>
      <x:c r="E873" s="101"/>
      <x:c r="F873" s="106"/>
      <x:c r="G873" s="106"/>
      <x:c r="H873" s="106"/>
      <x:c r="I873" s="106"/>
      <x:c r="J873" s="106"/>
      <x:c r="K873" s="106"/>
      <x:c r="L873" s="106"/>
      <x:c r="M873" s="111"/>
      <x:c r="N873" s="111"/>
      <x:c r="O873" s="111"/>
      <x:c r="P873" s="111"/>
      <x:c r="Q873" s="111"/>
      <x:c r="R873" s="99"/>
    </x:row>
    <x:row r="874" ht="15" customHeight="1">
      <x:c r="A874" s="22"/>
      <x:c r="B874" s="99"/>
      <x:c r="C874" s="99"/>
      <x:c r="D874" s="99"/>
      <x:c r="E874" s="101"/>
      <x:c r="F874" s="106"/>
      <x:c r="G874" s="106"/>
      <x:c r="H874" s="106"/>
      <x:c r="I874" s="106"/>
      <x:c r="J874" s="106"/>
      <x:c r="K874" s="106"/>
      <x:c r="L874" s="106"/>
      <x:c r="M874" s="106"/>
      <x:c r="N874" s="106"/>
      <x:c r="O874" s="106"/>
      <x:c r="P874" s="106"/>
      <x:c r="Q874" s="106"/>
      <x:c r="R874" s="99"/>
    </x:row>
    <x:row r="875" ht="15" customHeight="1">
      <x:c r="A875" s="22"/>
      <x:c r="B875" s="99"/>
      <x:c r="C875" s="99"/>
      <x:c r="D875" s="99"/>
      <x:c r="E875" s="101"/>
      <x:c r="F875" s="106"/>
      <x:c r="G875" s="106"/>
      <x:c r="H875" s="106"/>
      <x:c r="I875" s="106"/>
      <x:c r="J875" s="106"/>
      <x:c r="K875" s="106"/>
      <x:c r="L875" s="106"/>
      <x:c r="M875" s="106"/>
      <x:c r="N875" s="106"/>
      <x:c r="O875" s="106"/>
      <x:c r="P875" s="106"/>
      <x:c r="Q875" s="106"/>
      <x:c r="R875" s="99"/>
    </x:row>
    <x:row r="876" ht="15" customHeight="1">
      <x:c r="A876" s="22"/>
      <x:c r="B876" s="99"/>
      <x:c r="C876" s="99"/>
      <x:c r="D876" s="99"/>
      <x:c r="E876" s="101"/>
      <x:c r="F876" s="106"/>
      <x:c r="G876" s="106"/>
      <x:c r="H876" s="106"/>
      <x:c r="I876" s="106"/>
      <x:c r="J876" s="106"/>
      <x:c r="K876" s="106"/>
      <x:c r="L876" s="106"/>
      <x:c r="M876" s="106"/>
      <x:c r="N876" s="106"/>
      <x:c r="O876" s="106"/>
      <x:c r="P876" s="106"/>
      <x:c r="Q876" s="106"/>
      <x:c r="R876" s="99"/>
    </x:row>
    <x:row r="877" ht="15" customHeight="1">
      <x:c r="A877" s="94"/>
      <x:c r="B877" s="99"/>
      <x:c r="C877" s="99"/>
      <x:c r="D877" s="99"/>
      <x:c r="E877" s="101"/>
      <x:c r="F877" s="106"/>
      <x:c r="G877" s="106"/>
      <x:c r="H877" s="106"/>
      <x:c r="I877" s="106"/>
      <x:c r="J877" s="106"/>
      <x:c r="K877" s="106"/>
      <x:c r="L877" s="106"/>
      <x:c r="M877" s="111"/>
      <x:c r="N877" s="111"/>
      <x:c r="O877" s="111"/>
      <x:c r="P877" s="111"/>
      <x:c r="Q877" s="111"/>
      <x:c r="R877" s="99"/>
    </x:row>
    <x:row r="878" ht="15" customHeight="1">
      <x:c r="A878" s="22"/>
      <x:c r="B878" s="99"/>
      <x:c r="C878" s="99"/>
      <x:c r="D878" s="99"/>
      <x:c r="E878" s="101"/>
      <x:c r="F878" s="106"/>
      <x:c r="G878" s="106"/>
      <x:c r="H878" s="106"/>
      <x:c r="I878" s="106"/>
      <x:c r="J878" s="106"/>
      <x:c r="K878" s="106"/>
      <x:c r="L878" s="106"/>
      <x:c r="M878" s="106"/>
      <x:c r="N878" s="106"/>
      <x:c r="O878" s="106"/>
      <x:c r="P878" s="106"/>
      <x:c r="Q878" s="106"/>
      <x:c r="R878" s="99"/>
    </x:row>
    <x:row r="879" ht="15" customHeight="1">
      <x:c r="A879" s="22"/>
      <x:c r="B879" s="99"/>
      <x:c r="C879" s="99"/>
      <x:c r="D879" s="99"/>
      <x:c r="E879" s="101"/>
      <x:c r="F879" s="106"/>
      <x:c r="G879" s="106"/>
      <x:c r="H879" s="106"/>
      <x:c r="I879" s="106"/>
      <x:c r="J879" s="106"/>
      <x:c r="K879" s="106"/>
      <x:c r="L879" s="106"/>
      <x:c r="M879" s="106"/>
      <x:c r="N879" s="106"/>
      <x:c r="O879" s="106"/>
      <x:c r="P879" s="106"/>
      <x:c r="Q879" s="106"/>
      <x:c r="R879" s="99"/>
    </x:row>
    <x:row r="880" ht="15" customHeight="1">
      <x:c r="A880" s="22"/>
      <x:c r="B880" s="99"/>
      <x:c r="C880" s="99"/>
      <x:c r="D880" s="99"/>
      <x:c r="E880" s="101"/>
      <x:c r="F880" s="106"/>
      <x:c r="G880" s="106"/>
      <x:c r="H880" s="106"/>
      <x:c r="I880" s="106"/>
      <x:c r="J880" s="106"/>
      <x:c r="K880" s="106"/>
      <x:c r="L880" s="106"/>
      <x:c r="M880" s="106"/>
      <x:c r="N880" s="106"/>
      <x:c r="O880" s="106"/>
      <x:c r="P880" s="106"/>
      <x:c r="Q880" s="106"/>
      <x:c r="R880" s="99"/>
    </x:row>
    <x:row r="881" ht="15" customHeight="1">
      <x:c r="A881" s="94"/>
      <x:c r="B881" s="99"/>
      <x:c r="C881" s="99"/>
      <x:c r="D881" s="99"/>
      <x:c r="E881" s="101"/>
      <x:c r="F881" s="106"/>
      <x:c r="G881" s="106"/>
      <x:c r="H881" s="106"/>
      <x:c r="I881" s="106"/>
      <x:c r="J881" s="106"/>
      <x:c r="K881" s="106"/>
      <x:c r="L881" s="106"/>
      <x:c r="M881" s="111"/>
      <x:c r="N881" s="111"/>
      <x:c r="O881" s="111"/>
      <x:c r="P881" s="111"/>
      <x:c r="Q881" s="111"/>
      <x:c r="R881" s="99"/>
    </x:row>
    <x:row r="882" ht="15" customHeight="1">
      <x:c r="A882" s="22"/>
      <x:c r="B882" s="99"/>
      <x:c r="C882" s="99"/>
      <x:c r="D882" s="99"/>
      <x:c r="E882" s="101"/>
      <x:c r="F882" s="106"/>
      <x:c r="G882" s="106"/>
      <x:c r="H882" s="106"/>
      <x:c r="I882" s="106"/>
      <x:c r="J882" s="106"/>
      <x:c r="K882" s="106"/>
      <x:c r="L882" s="106"/>
      <x:c r="M882" s="106"/>
      <x:c r="N882" s="106"/>
      <x:c r="O882" s="106"/>
      <x:c r="P882" s="106"/>
      <x:c r="Q882" s="106"/>
      <x:c r="R882" s="99"/>
    </x:row>
    <x:row r="883" ht="15" customHeight="1">
      <x:c r="A883" s="22"/>
      <x:c r="B883" s="99"/>
      <x:c r="C883" s="99"/>
      <x:c r="D883" s="99"/>
      <x:c r="E883" s="101"/>
      <x:c r="F883" s="106"/>
      <x:c r="G883" s="106"/>
      <x:c r="H883" s="106"/>
      <x:c r="I883" s="106"/>
      <x:c r="J883" s="106"/>
      <x:c r="K883" s="106"/>
      <x:c r="L883" s="106"/>
      <x:c r="M883" s="106"/>
      <x:c r="N883" s="106"/>
      <x:c r="O883" s="106"/>
      <x:c r="P883" s="106"/>
      <x:c r="Q883" s="106"/>
      <x:c r="R883" s="99"/>
    </x:row>
    <x:row r="884" ht="15" customHeight="1">
      <x:c r="A884" s="22"/>
      <x:c r="B884" s="99"/>
      <x:c r="C884" s="99"/>
      <x:c r="D884" s="99"/>
      <x:c r="E884" s="101"/>
      <x:c r="F884" s="106"/>
      <x:c r="G884" s="106"/>
      <x:c r="H884" s="106"/>
      <x:c r="I884" s="106"/>
      <x:c r="J884" s="106"/>
      <x:c r="K884" s="106"/>
      <x:c r="L884" s="106"/>
      <x:c r="M884" s="106"/>
      <x:c r="N884" s="106"/>
      <x:c r="O884" s="106"/>
      <x:c r="P884" s="106"/>
      <x:c r="Q884" s="106"/>
      <x:c r="R884" s="99"/>
    </x:row>
    <x:row r="885" ht="15" customHeight="1">
      <x:c r="A885" s="94"/>
      <x:c r="B885" s="99"/>
      <x:c r="C885" s="99"/>
      <x:c r="D885" s="99"/>
      <x:c r="E885" s="101"/>
      <x:c r="F885" s="106"/>
      <x:c r="G885" s="106"/>
      <x:c r="H885" s="106"/>
      <x:c r="I885" s="106"/>
      <x:c r="J885" s="106"/>
      <x:c r="K885" s="106"/>
      <x:c r="L885" s="106"/>
      <x:c r="M885" s="111"/>
      <x:c r="N885" s="111"/>
      <x:c r="O885" s="111"/>
      <x:c r="P885" s="111"/>
      <x:c r="Q885" s="111"/>
      <x:c r="R885" s="99"/>
    </x:row>
    <x:row r="886" ht="15" customHeight="1">
      <x:c r="A886" s="22"/>
      <x:c r="B886" s="99"/>
      <x:c r="C886" s="99"/>
      <x:c r="D886" s="99"/>
      <x:c r="E886" s="101"/>
      <x:c r="F886" s="106"/>
      <x:c r="G886" s="106"/>
      <x:c r="H886" s="106"/>
      <x:c r="I886" s="106"/>
      <x:c r="J886" s="106"/>
      <x:c r="K886" s="106"/>
      <x:c r="L886" s="106"/>
      <x:c r="M886" s="106"/>
      <x:c r="N886" s="106"/>
      <x:c r="O886" s="106"/>
      <x:c r="P886" s="106"/>
      <x:c r="Q886" s="106"/>
      <x:c r="R886" s="99"/>
    </x:row>
    <x:row r="887" ht="15" customHeight="1">
      <x:c r="A887" s="22"/>
      <x:c r="B887" s="99"/>
      <x:c r="C887" s="99"/>
      <x:c r="D887" s="99"/>
      <x:c r="E887" s="101"/>
      <x:c r="F887" s="106"/>
      <x:c r="G887" s="106"/>
      <x:c r="H887" s="106"/>
      <x:c r="I887" s="106"/>
      <x:c r="J887" s="106"/>
      <x:c r="K887" s="106"/>
      <x:c r="L887" s="106"/>
      <x:c r="M887" s="106"/>
      <x:c r="N887" s="106"/>
      <x:c r="O887" s="106"/>
      <x:c r="P887" s="106"/>
      <x:c r="Q887" s="106"/>
      <x:c r="R887" s="99"/>
    </x:row>
    <x:row r="888" ht="15" customHeight="1">
      <x:c r="A888" s="22"/>
      <x:c r="B888" s="99"/>
      <x:c r="C888" s="99"/>
      <x:c r="D888" s="99"/>
      <x:c r="E888" s="101"/>
      <x:c r="F888" s="106"/>
      <x:c r="G888" s="106"/>
      <x:c r="H888" s="106"/>
      <x:c r="I888" s="106"/>
      <x:c r="J888" s="106"/>
      <x:c r="K888" s="106"/>
      <x:c r="L888" s="106"/>
      <x:c r="M888" s="106"/>
      <x:c r="N888" s="106"/>
      <x:c r="O888" s="106"/>
      <x:c r="P888" s="106"/>
      <x:c r="Q888" s="106"/>
      <x:c r="R888" s="99"/>
    </x:row>
    <x:row r="889" ht="15" customHeight="1">
      <x:c r="A889" s="94"/>
      <x:c r="B889" s="99"/>
      <x:c r="C889" s="99"/>
      <x:c r="D889" s="99"/>
      <x:c r="E889" s="101"/>
      <x:c r="F889" s="106"/>
      <x:c r="G889" s="106"/>
      <x:c r="H889" s="106"/>
      <x:c r="I889" s="106"/>
      <x:c r="J889" s="106"/>
      <x:c r="K889" s="106"/>
      <x:c r="L889" s="106"/>
      <x:c r="M889" s="111"/>
      <x:c r="N889" s="111"/>
      <x:c r="O889" s="111"/>
      <x:c r="P889" s="111"/>
      <x:c r="Q889" s="111"/>
      <x:c r="R889" s="99"/>
    </x:row>
    <x:row r="890" ht="15" customHeight="1">
      <x:c r="A890" s="22"/>
      <x:c r="B890" s="99"/>
      <x:c r="C890" s="99"/>
      <x:c r="D890" s="99"/>
      <x:c r="E890" s="101"/>
      <x:c r="F890" s="106"/>
      <x:c r="G890" s="106"/>
      <x:c r="H890" s="106"/>
      <x:c r="I890" s="106"/>
      <x:c r="J890" s="106"/>
      <x:c r="K890" s="106"/>
      <x:c r="L890" s="106"/>
      <x:c r="M890" s="106"/>
      <x:c r="N890" s="106"/>
      <x:c r="O890" s="106"/>
      <x:c r="P890" s="106"/>
      <x:c r="Q890" s="106"/>
      <x:c r="R890" s="99"/>
    </x:row>
    <x:row r="891" ht="15" customHeight="1">
      <x:c r="A891" s="22"/>
      <x:c r="B891" s="99"/>
      <x:c r="C891" s="99"/>
      <x:c r="D891" s="99"/>
      <x:c r="E891" s="101"/>
      <x:c r="F891" s="106"/>
      <x:c r="G891" s="106"/>
      <x:c r="H891" s="106"/>
      <x:c r="I891" s="106"/>
      <x:c r="J891" s="106"/>
      <x:c r="K891" s="106"/>
      <x:c r="L891" s="106"/>
      <x:c r="M891" s="106"/>
      <x:c r="N891" s="106"/>
      <x:c r="O891" s="106"/>
      <x:c r="P891" s="106"/>
      <x:c r="Q891" s="106"/>
      <x:c r="R891" s="99"/>
    </x:row>
    <x:row r="892" ht="15" customHeight="1">
      <x:c r="A892" s="22"/>
      <x:c r="B892" s="99"/>
      <x:c r="C892" s="99"/>
      <x:c r="D892" s="99"/>
      <x:c r="E892" s="101"/>
      <x:c r="F892" s="106"/>
      <x:c r="G892" s="106"/>
      <x:c r="H892" s="106"/>
      <x:c r="I892" s="106"/>
      <x:c r="J892" s="106"/>
      <x:c r="K892" s="106"/>
      <x:c r="L892" s="106"/>
      <x:c r="M892" s="106"/>
      <x:c r="N892" s="106"/>
      <x:c r="O892" s="106"/>
      <x:c r="P892" s="106"/>
      <x:c r="Q892" s="106"/>
      <x:c r="R892" s="99"/>
    </x:row>
    <x:row r="893" ht="15" customHeight="1">
      <x:c r="A893" s="94"/>
      <x:c r="B893" s="99"/>
      <x:c r="C893" s="99"/>
      <x:c r="D893" s="99"/>
      <x:c r="E893" s="101"/>
      <x:c r="F893" s="106"/>
      <x:c r="G893" s="106"/>
      <x:c r="H893" s="106"/>
      <x:c r="I893" s="106"/>
      <x:c r="J893" s="106"/>
      <x:c r="K893" s="106"/>
      <x:c r="L893" s="106"/>
      <x:c r="M893" s="111"/>
      <x:c r="N893" s="111"/>
      <x:c r="O893" s="111"/>
      <x:c r="P893" s="111"/>
      <x:c r="Q893" s="111"/>
      <x:c r="R893" s="99"/>
    </x:row>
    <x:row r="894" ht="15" customHeight="1">
      <x:c r="A894" s="22"/>
      <x:c r="B894" s="99"/>
      <x:c r="C894" s="99"/>
      <x:c r="D894" s="99"/>
      <x:c r="E894" s="101"/>
      <x:c r="F894" s="106"/>
      <x:c r="G894" s="106"/>
      <x:c r="H894" s="106"/>
      <x:c r="I894" s="106"/>
      <x:c r="J894" s="106"/>
      <x:c r="K894" s="106"/>
      <x:c r="L894" s="106"/>
      <x:c r="M894" s="106"/>
      <x:c r="N894" s="106"/>
      <x:c r="O894" s="106"/>
      <x:c r="P894" s="106"/>
      <x:c r="Q894" s="106"/>
      <x:c r="R894" s="99"/>
    </x:row>
    <x:row r="895" ht="15" customHeight="1">
      <x:c r="A895" s="22"/>
      <x:c r="B895" s="99"/>
      <x:c r="C895" s="99"/>
      <x:c r="D895" s="99"/>
      <x:c r="E895" s="101"/>
      <x:c r="F895" s="106"/>
      <x:c r="G895" s="106"/>
      <x:c r="H895" s="106"/>
      <x:c r="I895" s="106"/>
      <x:c r="J895" s="106"/>
      <x:c r="K895" s="106"/>
      <x:c r="L895" s="106"/>
      <x:c r="M895" s="106"/>
      <x:c r="N895" s="106"/>
      <x:c r="O895" s="106"/>
      <x:c r="P895" s="106"/>
      <x:c r="Q895" s="106"/>
      <x:c r="R895" s="99"/>
    </x:row>
    <x:row r="896" ht="15" customHeight="1">
      <x:c r="A896" s="22"/>
      <x:c r="B896" s="99"/>
      <x:c r="C896" s="99"/>
      <x:c r="D896" s="99"/>
      <x:c r="E896" s="101"/>
      <x:c r="F896" s="106"/>
      <x:c r="G896" s="106"/>
      <x:c r="H896" s="106"/>
      <x:c r="I896" s="106"/>
      <x:c r="J896" s="106"/>
      <x:c r="K896" s="106"/>
      <x:c r="L896" s="106"/>
      <x:c r="M896" s="106"/>
      <x:c r="N896" s="106"/>
      <x:c r="O896" s="106"/>
      <x:c r="P896" s="106"/>
      <x:c r="Q896" s="106"/>
      <x:c r="R896" s="99"/>
    </x:row>
    <x:row r="897" ht="15" customHeight="1">
      <x:c r="A897" s="94"/>
      <x:c r="B897" s="99"/>
      <x:c r="C897" s="99"/>
      <x:c r="D897" s="99"/>
      <x:c r="E897" s="101"/>
      <x:c r="F897" s="106"/>
      <x:c r="G897" s="106"/>
      <x:c r="H897" s="106"/>
      <x:c r="I897" s="106"/>
      <x:c r="J897" s="106"/>
      <x:c r="K897" s="106"/>
      <x:c r="L897" s="106"/>
      <x:c r="M897" s="111"/>
      <x:c r="N897" s="111"/>
      <x:c r="O897" s="111"/>
      <x:c r="P897" s="111"/>
      <x:c r="Q897" s="111"/>
      <x:c r="R897" s="99"/>
    </x:row>
    <x:row r="898" ht="15" customHeight="1">
      <x:c r="A898" s="22"/>
      <x:c r="B898" s="99"/>
      <x:c r="C898" s="99"/>
      <x:c r="D898" s="99"/>
      <x:c r="E898" s="101"/>
      <x:c r="F898" s="106"/>
      <x:c r="G898" s="106"/>
      <x:c r="H898" s="106"/>
      <x:c r="I898" s="106"/>
      <x:c r="J898" s="106"/>
      <x:c r="K898" s="106"/>
      <x:c r="L898" s="106"/>
      <x:c r="M898" s="106"/>
      <x:c r="N898" s="106"/>
      <x:c r="O898" s="106"/>
      <x:c r="P898" s="106"/>
      <x:c r="Q898" s="106"/>
      <x:c r="R898" s="99"/>
    </x:row>
    <x:row r="899" ht="15" customHeight="1">
      <x:c r="A899" s="22"/>
      <x:c r="B899" s="99"/>
      <x:c r="C899" s="99"/>
      <x:c r="D899" s="99"/>
      <x:c r="E899" s="101"/>
      <x:c r="F899" s="106"/>
      <x:c r="G899" s="106"/>
      <x:c r="H899" s="106"/>
      <x:c r="I899" s="106"/>
      <x:c r="J899" s="106"/>
      <x:c r="K899" s="106"/>
      <x:c r="L899" s="106"/>
      <x:c r="M899" s="106"/>
      <x:c r="N899" s="106"/>
      <x:c r="O899" s="106"/>
      <x:c r="P899" s="106"/>
      <x:c r="Q899" s="106"/>
      <x:c r="R899" s="99"/>
    </x:row>
    <x:row r="900" ht="15" customHeight="1">
      <x:c r="A900" s="22"/>
      <x:c r="B900" s="99"/>
      <x:c r="C900" s="99"/>
      <x:c r="D900" s="99"/>
      <x:c r="E900" s="101"/>
      <x:c r="F900" s="106"/>
      <x:c r="G900" s="106"/>
      <x:c r="H900" s="106"/>
      <x:c r="I900" s="106"/>
      <x:c r="J900" s="106"/>
      <x:c r="K900" s="106"/>
      <x:c r="L900" s="106"/>
      <x:c r="M900" s="106"/>
      <x:c r="N900" s="106"/>
      <x:c r="O900" s="106"/>
      <x:c r="P900" s="106"/>
      <x:c r="Q900" s="106"/>
      <x:c r="R900" s="99"/>
    </x:row>
    <x:row r="901" ht="15" customHeight="1">
      <x:c r="A901" s="94"/>
      <x:c r="B901" s="99"/>
      <x:c r="C901" s="99"/>
      <x:c r="D901" s="99"/>
      <x:c r="E901" s="101"/>
      <x:c r="F901" s="106"/>
      <x:c r="G901" s="106"/>
      <x:c r="H901" s="106"/>
      <x:c r="I901" s="106"/>
      <x:c r="J901" s="106"/>
      <x:c r="K901" s="106"/>
      <x:c r="L901" s="106"/>
      <x:c r="M901" s="111"/>
      <x:c r="N901" s="111"/>
      <x:c r="O901" s="111"/>
      <x:c r="P901" s="111"/>
      <x:c r="Q901" s="111"/>
      <x:c r="R901" s="99"/>
    </x:row>
    <x:row r="902" ht="15" customHeight="1">
      <x:c r="A902" s="22"/>
      <x:c r="B902" s="99"/>
      <x:c r="C902" s="99"/>
      <x:c r="D902" s="99"/>
      <x:c r="E902" s="101"/>
      <x:c r="F902" s="106"/>
      <x:c r="G902" s="106"/>
      <x:c r="H902" s="106"/>
      <x:c r="I902" s="106"/>
      <x:c r="J902" s="106"/>
      <x:c r="K902" s="106"/>
      <x:c r="L902" s="106"/>
      <x:c r="M902" s="106"/>
      <x:c r="N902" s="106"/>
      <x:c r="O902" s="106"/>
      <x:c r="P902" s="106"/>
      <x:c r="Q902" s="106"/>
      <x:c r="R902" s="99"/>
    </x:row>
    <x:row r="903" ht="15" customHeight="1">
      <x:c r="A903" s="22"/>
      <x:c r="B903" s="99"/>
      <x:c r="C903" s="99"/>
      <x:c r="D903" s="99"/>
      <x:c r="E903" s="101"/>
      <x:c r="F903" s="106"/>
      <x:c r="G903" s="106"/>
      <x:c r="H903" s="106"/>
      <x:c r="I903" s="106"/>
      <x:c r="J903" s="106"/>
      <x:c r="K903" s="106"/>
      <x:c r="L903" s="106"/>
      <x:c r="M903" s="106"/>
      <x:c r="N903" s="106"/>
      <x:c r="O903" s="106"/>
      <x:c r="P903" s="106"/>
      <x:c r="Q903" s="106"/>
      <x:c r="R903" s="99"/>
    </x:row>
    <x:row r="904" ht="15" customHeight="1">
      <x:c r="A904" s="22"/>
      <x:c r="B904" s="99"/>
      <x:c r="C904" s="99"/>
      <x:c r="D904" s="99"/>
      <x:c r="E904" s="101"/>
      <x:c r="F904" s="106"/>
      <x:c r="G904" s="106"/>
      <x:c r="H904" s="106"/>
      <x:c r="I904" s="106"/>
      <x:c r="J904" s="106"/>
      <x:c r="K904" s="106"/>
      <x:c r="L904" s="106"/>
      <x:c r="M904" s="106"/>
      <x:c r="N904" s="106"/>
      <x:c r="O904" s="106"/>
      <x:c r="P904" s="106"/>
      <x:c r="Q904" s="106"/>
      <x:c r="R904" s="99"/>
    </x:row>
    <x:row r="905" ht="15" customHeight="1">
      <x:c r="A905" s="94"/>
      <x:c r="B905" s="99"/>
      <x:c r="C905" s="99"/>
      <x:c r="D905" s="99"/>
      <x:c r="E905" s="101"/>
      <x:c r="F905" s="106"/>
      <x:c r="G905" s="106"/>
      <x:c r="H905" s="106"/>
      <x:c r="I905" s="106"/>
      <x:c r="J905" s="106"/>
      <x:c r="K905" s="106"/>
      <x:c r="L905" s="106"/>
      <x:c r="M905" s="111"/>
      <x:c r="N905" s="111"/>
      <x:c r="O905" s="111"/>
      <x:c r="P905" s="111"/>
      <x:c r="Q905" s="111"/>
      <x:c r="R905" s="99"/>
    </x:row>
    <x:row r="906" ht="15" customHeight="1">
      <x:c r="A906" s="22"/>
      <x:c r="B906" s="99"/>
      <x:c r="C906" s="99"/>
      <x:c r="D906" s="99"/>
      <x:c r="E906" s="101"/>
      <x:c r="F906" s="106"/>
      <x:c r="G906" s="106"/>
      <x:c r="H906" s="106"/>
      <x:c r="I906" s="106"/>
      <x:c r="J906" s="106"/>
      <x:c r="K906" s="106"/>
      <x:c r="L906" s="106"/>
      <x:c r="M906" s="106"/>
      <x:c r="N906" s="106"/>
      <x:c r="O906" s="106"/>
      <x:c r="P906" s="106"/>
      <x:c r="Q906" s="106"/>
      <x:c r="R906" s="99"/>
    </x:row>
    <x:row r="907" ht="15" customHeight="1">
      <x:c r="A907" s="22"/>
      <x:c r="B907" s="99"/>
      <x:c r="C907" s="99"/>
      <x:c r="D907" s="99"/>
      <x:c r="E907" s="101"/>
      <x:c r="F907" s="106"/>
      <x:c r="G907" s="106"/>
      <x:c r="H907" s="106"/>
      <x:c r="I907" s="106"/>
      <x:c r="J907" s="106"/>
      <x:c r="K907" s="106"/>
      <x:c r="L907" s="106"/>
      <x:c r="M907" s="106"/>
      <x:c r="N907" s="106"/>
      <x:c r="O907" s="106"/>
      <x:c r="P907" s="106"/>
      <x:c r="Q907" s="106"/>
      <x:c r="R907" s="99"/>
    </x:row>
    <x:row r="908" ht="15" customHeight="1">
      <x:c r="A908" s="22"/>
      <x:c r="B908" s="99"/>
      <x:c r="C908" s="99"/>
      <x:c r="D908" s="99"/>
      <x:c r="E908" s="101"/>
      <x:c r="F908" s="106"/>
      <x:c r="G908" s="106"/>
      <x:c r="H908" s="106"/>
      <x:c r="I908" s="106"/>
      <x:c r="J908" s="106"/>
      <x:c r="K908" s="106"/>
      <x:c r="L908" s="106"/>
      <x:c r="M908" s="106"/>
      <x:c r="N908" s="106"/>
      <x:c r="O908" s="106"/>
      <x:c r="P908" s="106"/>
      <x:c r="Q908" s="106"/>
      <x:c r="R908" s="99"/>
    </x:row>
    <x:row r="909" ht="15" customHeight="1">
      <x:c r="A909" s="94"/>
      <x:c r="B909" s="99"/>
      <x:c r="C909" s="99"/>
      <x:c r="D909" s="99"/>
      <x:c r="E909" s="101"/>
      <x:c r="F909" s="106"/>
      <x:c r="G909" s="106"/>
      <x:c r="H909" s="106"/>
      <x:c r="I909" s="106"/>
      <x:c r="J909" s="106"/>
      <x:c r="K909" s="106"/>
      <x:c r="L909" s="106"/>
      <x:c r="M909" s="111"/>
      <x:c r="N909" s="111"/>
      <x:c r="O909" s="111"/>
      <x:c r="P909" s="111"/>
      <x:c r="Q909" s="111"/>
      <x:c r="R909" s="99"/>
    </x:row>
    <x:row r="910" ht="15" customHeight="1">
      <x:c r="A910" s="22"/>
      <x:c r="B910" s="99"/>
      <x:c r="C910" s="99"/>
      <x:c r="D910" s="99"/>
      <x:c r="E910" s="101"/>
      <x:c r="F910" s="106"/>
      <x:c r="G910" s="106"/>
      <x:c r="H910" s="106"/>
      <x:c r="I910" s="106"/>
      <x:c r="J910" s="106"/>
      <x:c r="K910" s="106"/>
      <x:c r="L910" s="106"/>
      <x:c r="M910" s="106"/>
      <x:c r="N910" s="106"/>
      <x:c r="O910" s="106"/>
      <x:c r="P910" s="106"/>
      <x:c r="Q910" s="106"/>
      <x:c r="R910" s="99"/>
    </x:row>
    <x:row r="911" ht="15" customHeight="1">
      <x:c r="A911" s="22"/>
      <x:c r="B911" s="99"/>
      <x:c r="C911" s="99"/>
      <x:c r="D911" s="99"/>
      <x:c r="E911" s="101"/>
      <x:c r="F911" s="106"/>
      <x:c r="G911" s="106"/>
      <x:c r="H911" s="106"/>
      <x:c r="I911" s="106"/>
      <x:c r="J911" s="106"/>
      <x:c r="K911" s="106"/>
      <x:c r="L911" s="106"/>
      <x:c r="M911" s="106"/>
      <x:c r="N911" s="106"/>
      <x:c r="O911" s="106"/>
      <x:c r="P911" s="106"/>
      <x:c r="Q911" s="106"/>
      <x:c r="R911" s="99"/>
    </x:row>
    <x:row r="912" ht="15" customHeight="1">
      <x:c r="A912" s="22"/>
      <x:c r="B912" s="99"/>
      <x:c r="C912" s="99"/>
      <x:c r="D912" s="99"/>
      <x:c r="E912" s="101"/>
      <x:c r="F912" s="106"/>
      <x:c r="G912" s="106"/>
      <x:c r="H912" s="106"/>
      <x:c r="I912" s="106"/>
      <x:c r="J912" s="106"/>
      <x:c r="K912" s="106"/>
      <x:c r="L912" s="106"/>
      <x:c r="M912" s="106"/>
      <x:c r="N912" s="106"/>
      <x:c r="O912" s="106"/>
      <x:c r="P912" s="106"/>
      <x:c r="Q912" s="106"/>
      <x:c r="R912" s="99"/>
    </x:row>
    <x:row r="913" ht="15" customHeight="1">
      <x:c r="A913" s="94"/>
      <x:c r="B913" s="99"/>
      <x:c r="C913" s="99"/>
      <x:c r="D913" s="99"/>
      <x:c r="E913" s="101"/>
      <x:c r="F913" s="106"/>
      <x:c r="G913" s="106"/>
      <x:c r="H913" s="106"/>
      <x:c r="I913" s="106"/>
      <x:c r="J913" s="106"/>
      <x:c r="K913" s="106"/>
      <x:c r="L913" s="106"/>
      <x:c r="M913" s="111"/>
      <x:c r="N913" s="111"/>
      <x:c r="O913" s="111"/>
      <x:c r="P913" s="111"/>
      <x:c r="Q913" s="111"/>
      <x:c r="R913" s="99"/>
    </x:row>
    <x:row r="914" ht="15" customHeight="1">
      <x:c r="A914" s="22"/>
      <x:c r="B914" s="99"/>
      <x:c r="C914" s="99"/>
      <x:c r="D914" s="99"/>
      <x:c r="E914" s="101"/>
      <x:c r="F914" s="106"/>
      <x:c r="G914" s="106"/>
      <x:c r="H914" s="106"/>
      <x:c r="I914" s="106"/>
      <x:c r="J914" s="106"/>
      <x:c r="K914" s="106"/>
      <x:c r="L914" s="106"/>
      <x:c r="M914" s="106"/>
      <x:c r="N914" s="106"/>
      <x:c r="O914" s="106"/>
      <x:c r="P914" s="106"/>
      <x:c r="Q914" s="106"/>
      <x:c r="R914" s="99"/>
    </x:row>
    <x:row r="915" ht="15" customHeight="1">
      <x:c r="A915" s="22"/>
      <x:c r="B915" s="99"/>
      <x:c r="C915" s="99"/>
      <x:c r="D915" s="99"/>
      <x:c r="E915" s="101"/>
      <x:c r="F915" s="106"/>
      <x:c r="G915" s="106"/>
      <x:c r="H915" s="106"/>
      <x:c r="I915" s="106"/>
      <x:c r="J915" s="106"/>
      <x:c r="K915" s="106"/>
      <x:c r="L915" s="106"/>
      <x:c r="M915" s="106"/>
      <x:c r="N915" s="106"/>
      <x:c r="O915" s="106"/>
      <x:c r="P915" s="106"/>
      <x:c r="Q915" s="106"/>
      <x:c r="R915" s="99"/>
    </x:row>
    <x:row r="916" ht="15" customHeight="1">
      <x:c r="A916" s="22"/>
      <x:c r="B916" s="99"/>
      <x:c r="C916" s="99"/>
      <x:c r="D916" s="99"/>
      <x:c r="E916" s="101"/>
      <x:c r="F916" s="106"/>
      <x:c r="G916" s="106"/>
      <x:c r="H916" s="106"/>
      <x:c r="I916" s="106"/>
      <x:c r="J916" s="106"/>
      <x:c r="K916" s="106"/>
      <x:c r="L916" s="106"/>
      <x:c r="M916" s="106"/>
      <x:c r="N916" s="106"/>
      <x:c r="O916" s="106"/>
      <x:c r="P916" s="106"/>
      <x:c r="Q916" s="106"/>
      <x:c r="R916" s="99"/>
    </x:row>
    <x:row r="917" ht="15" customHeight="1">
      <x:c r="A917" s="94"/>
      <x:c r="B917" s="99"/>
      <x:c r="C917" s="99"/>
      <x:c r="D917" s="99"/>
      <x:c r="E917" s="101"/>
      <x:c r="F917" s="106"/>
      <x:c r="G917" s="106"/>
      <x:c r="H917" s="106"/>
      <x:c r="I917" s="106"/>
      <x:c r="J917" s="106"/>
      <x:c r="K917" s="106"/>
      <x:c r="L917" s="106"/>
      <x:c r="M917" s="111"/>
      <x:c r="N917" s="111"/>
      <x:c r="O917" s="111"/>
      <x:c r="P917" s="111"/>
      <x:c r="Q917" s="111"/>
      <x:c r="R917" s="99"/>
    </x:row>
    <x:row r="918" ht="15" customHeight="1">
      <x:c r="A918" s="22"/>
      <x:c r="B918" s="99"/>
      <x:c r="C918" s="99"/>
      <x:c r="D918" s="99"/>
      <x:c r="E918" s="101"/>
      <x:c r="F918" s="106"/>
      <x:c r="G918" s="106"/>
      <x:c r="H918" s="106"/>
      <x:c r="I918" s="106"/>
      <x:c r="J918" s="106"/>
      <x:c r="K918" s="106"/>
      <x:c r="L918" s="106"/>
      <x:c r="M918" s="106"/>
      <x:c r="N918" s="106"/>
      <x:c r="O918" s="106"/>
      <x:c r="P918" s="106"/>
      <x:c r="Q918" s="106"/>
      <x:c r="R918" s="99"/>
    </x:row>
    <x:row r="919" ht="15" customHeight="1">
      <x:c r="A919" s="22"/>
      <x:c r="B919" s="99"/>
      <x:c r="C919" s="99"/>
      <x:c r="D919" s="99"/>
      <x:c r="E919" s="101"/>
      <x:c r="F919" s="106"/>
      <x:c r="G919" s="106"/>
      <x:c r="H919" s="106"/>
      <x:c r="I919" s="106"/>
      <x:c r="J919" s="106"/>
      <x:c r="K919" s="106"/>
      <x:c r="L919" s="106"/>
      <x:c r="M919" s="106"/>
      <x:c r="N919" s="106"/>
      <x:c r="O919" s="106"/>
      <x:c r="P919" s="106"/>
      <x:c r="Q919" s="106"/>
      <x:c r="R919" s="99"/>
    </x:row>
    <x:row r="920" ht="15" customHeight="1">
      <x:c r="A920" s="22"/>
      <x:c r="B920" s="99"/>
      <x:c r="C920" s="99"/>
      <x:c r="D920" s="99"/>
      <x:c r="E920" s="101"/>
      <x:c r="F920" s="106"/>
      <x:c r="G920" s="106"/>
      <x:c r="H920" s="106"/>
      <x:c r="I920" s="106"/>
      <x:c r="J920" s="106"/>
      <x:c r="K920" s="106"/>
      <x:c r="L920" s="106"/>
      <x:c r="M920" s="106"/>
      <x:c r="N920" s="106"/>
      <x:c r="O920" s="106"/>
      <x:c r="P920" s="106"/>
      <x:c r="Q920" s="106"/>
      <x:c r="R920" s="99"/>
    </x:row>
    <x:row r="921" ht="15" customHeight="1">
      <x:c r="A921" s="94"/>
      <x:c r="B921" s="99"/>
      <x:c r="C921" s="99"/>
      <x:c r="D921" s="99"/>
      <x:c r="E921" s="101"/>
      <x:c r="F921" s="106"/>
      <x:c r="G921" s="106"/>
      <x:c r="H921" s="106"/>
      <x:c r="I921" s="106"/>
      <x:c r="J921" s="106"/>
      <x:c r="K921" s="106"/>
      <x:c r="L921" s="106"/>
      <x:c r="M921" s="111"/>
      <x:c r="N921" s="111"/>
      <x:c r="O921" s="111"/>
      <x:c r="P921" s="111"/>
      <x:c r="Q921" s="111"/>
      <x:c r="R921" s="99"/>
    </x:row>
    <x:row r="922" ht="15" customHeight="1">
      <x:c r="A922" s="22"/>
      <x:c r="B922" s="99"/>
      <x:c r="C922" s="99"/>
      <x:c r="D922" s="99"/>
      <x:c r="E922" s="101"/>
      <x:c r="F922" s="106"/>
      <x:c r="G922" s="106"/>
      <x:c r="H922" s="106"/>
      <x:c r="I922" s="106"/>
      <x:c r="J922" s="106"/>
      <x:c r="K922" s="106"/>
      <x:c r="L922" s="106"/>
      <x:c r="M922" s="106"/>
      <x:c r="N922" s="106"/>
      <x:c r="O922" s="106"/>
      <x:c r="P922" s="106"/>
      <x:c r="Q922" s="106"/>
      <x:c r="R922" s="99"/>
    </x:row>
    <x:row r="923" ht="15" customHeight="1">
      <x:c r="A923" s="22"/>
      <x:c r="B923" s="99"/>
      <x:c r="C923" s="99"/>
      <x:c r="D923" s="99"/>
      <x:c r="E923" s="101"/>
      <x:c r="F923" s="106"/>
      <x:c r="G923" s="106"/>
      <x:c r="H923" s="106"/>
      <x:c r="I923" s="106"/>
      <x:c r="J923" s="106"/>
      <x:c r="K923" s="106"/>
      <x:c r="L923" s="106"/>
      <x:c r="M923" s="106"/>
      <x:c r="N923" s="106"/>
      <x:c r="O923" s="106"/>
      <x:c r="P923" s="106"/>
      <x:c r="Q923" s="106"/>
      <x:c r="R923" s="99"/>
    </x:row>
    <x:row r="924" ht="15" customHeight="1">
      <x:c r="A924" s="22"/>
      <x:c r="B924" s="99"/>
      <x:c r="C924" s="99"/>
      <x:c r="D924" s="99"/>
      <x:c r="E924" s="101"/>
      <x:c r="F924" s="106"/>
      <x:c r="G924" s="106"/>
      <x:c r="H924" s="106"/>
      <x:c r="I924" s="106"/>
      <x:c r="J924" s="106"/>
      <x:c r="K924" s="106"/>
      <x:c r="L924" s="106"/>
      <x:c r="M924" s="106"/>
      <x:c r="N924" s="106"/>
      <x:c r="O924" s="106"/>
      <x:c r="P924" s="106"/>
      <x:c r="Q924" s="106"/>
      <x:c r="R924" s="99"/>
    </x:row>
    <x:row r="925" ht="15" customHeight="1">
      <x:c r="A925" s="94"/>
      <x:c r="B925" s="99"/>
      <x:c r="C925" s="99"/>
      <x:c r="D925" s="99"/>
      <x:c r="E925" s="101"/>
      <x:c r="F925" s="106"/>
      <x:c r="G925" s="106"/>
      <x:c r="H925" s="106"/>
      <x:c r="I925" s="106"/>
      <x:c r="J925" s="106"/>
      <x:c r="K925" s="106"/>
      <x:c r="L925" s="106"/>
      <x:c r="M925" s="111"/>
      <x:c r="N925" s="111"/>
      <x:c r="O925" s="111"/>
      <x:c r="P925" s="111"/>
      <x:c r="Q925" s="111"/>
      <x:c r="R925" s="99"/>
    </x:row>
    <x:row r="926" ht="15" customHeight="1">
      <x:c r="A926" s="22"/>
      <x:c r="B926" s="99"/>
      <x:c r="C926" s="99"/>
      <x:c r="D926" s="99"/>
      <x:c r="E926" s="101"/>
      <x:c r="F926" s="106"/>
      <x:c r="G926" s="106"/>
      <x:c r="H926" s="106"/>
      <x:c r="I926" s="106"/>
      <x:c r="J926" s="106"/>
      <x:c r="K926" s="106"/>
      <x:c r="L926" s="106"/>
      <x:c r="M926" s="106"/>
      <x:c r="N926" s="106"/>
      <x:c r="O926" s="106"/>
      <x:c r="P926" s="106"/>
      <x:c r="Q926" s="106"/>
      <x:c r="R926" s="99"/>
    </x:row>
    <x:row r="927" ht="15" customHeight="1">
      <x:c r="A927" s="22"/>
      <x:c r="B927" s="99"/>
      <x:c r="C927" s="99"/>
      <x:c r="D927" s="99"/>
      <x:c r="E927" s="101"/>
      <x:c r="F927" s="106"/>
      <x:c r="G927" s="106"/>
      <x:c r="H927" s="106"/>
      <x:c r="I927" s="106"/>
      <x:c r="J927" s="106"/>
      <x:c r="K927" s="106"/>
      <x:c r="L927" s="106"/>
      <x:c r="M927" s="106"/>
      <x:c r="N927" s="106"/>
      <x:c r="O927" s="106"/>
      <x:c r="P927" s="106"/>
      <x:c r="Q927" s="106"/>
      <x:c r="R927" s="99"/>
    </x:row>
    <x:row r="928" ht="15" customHeight="1">
      <x:c r="A928" s="22"/>
      <x:c r="B928" s="99"/>
      <x:c r="C928" s="99"/>
      <x:c r="D928" s="99"/>
      <x:c r="E928" s="101"/>
      <x:c r="F928" s="106"/>
      <x:c r="G928" s="106"/>
      <x:c r="H928" s="106"/>
      <x:c r="I928" s="106"/>
      <x:c r="J928" s="106"/>
      <x:c r="K928" s="106"/>
      <x:c r="L928" s="106"/>
      <x:c r="M928" s="106"/>
      <x:c r="N928" s="106"/>
      <x:c r="O928" s="106"/>
      <x:c r="P928" s="106"/>
      <x:c r="Q928" s="106"/>
      <x:c r="R928" s="99"/>
    </x:row>
    <x:row r="929" ht="15" customHeight="1">
      <x:c r="A929" s="94"/>
      <x:c r="B929" s="99"/>
      <x:c r="C929" s="99"/>
      <x:c r="D929" s="99"/>
      <x:c r="E929" s="101"/>
      <x:c r="F929" s="106"/>
      <x:c r="G929" s="106"/>
      <x:c r="H929" s="106"/>
      <x:c r="I929" s="106"/>
      <x:c r="J929" s="106"/>
      <x:c r="K929" s="106"/>
      <x:c r="L929" s="106"/>
      <x:c r="M929" s="111"/>
      <x:c r="N929" s="111"/>
      <x:c r="O929" s="111"/>
      <x:c r="P929" s="111"/>
      <x:c r="Q929" s="111"/>
      <x:c r="R929" s="99"/>
    </x:row>
    <x:row r="930" ht="15" customHeight="1">
      <x:c r="A930" s="22"/>
      <x:c r="B930" s="99"/>
      <x:c r="C930" s="99"/>
      <x:c r="D930" s="99"/>
      <x:c r="E930" s="101"/>
      <x:c r="F930" s="106"/>
      <x:c r="G930" s="106"/>
      <x:c r="H930" s="106"/>
      <x:c r="I930" s="106"/>
      <x:c r="J930" s="106"/>
      <x:c r="K930" s="106"/>
      <x:c r="L930" s="106"/>
      <x:c r="M930" s="106"/>
      <x:c r="N930" s="106"/>
      <x:c r="O930" s="106"/>
      <x:c r="P930" s="106"/>
      <x:c r="Q930" s="106"/>
      <x:c r="R930" s="99"/>
    </x:row>
    <x:row r="931" ht="15" customHeight="1">
      <x:c r="A931" s="22"/>
      <x:c r="B931" s="99"/>
      <x:c r="C931" s="99"/>
      <x:c r="D931" s="99"/>
      <x:c r="E931" s="101"/>
      <x:c r="F931" s="106"/>
      <x:c r="G931" s="106"/>
      <x:c r="H931" s="106"/>
      <x:c r="I931" s="106"/>
      <x:c r="J931" s="106"/>
      <x:c r="K931" s="106"/>
      <x:c r="L931" s="106"/>
      <x:c r="M931" s="106"/>
      <x:c r="N931" s="106"/>
      <x:c r="O931" s="106"/>
      <x:c r="P931" s="106"/>
      <x:c r="Q931" s="106"/>
      <x:c r="R931" s="99"/>
    </x:row>
    <x:row r="932" ht="15" customHeight="1">
      <x:c r="A932" s="22"/>
      <x:c r="B932" s="99"/>
      <x:c r="C932" s="99"/>
      <x:c r="D932" s="99"/>
      <x:c r="E932" s="101"/>
      <x:c r="F932" s="106"/>
      <x:c r="G932" s="106"/>
      <x:c r="H932" s="106"/>
      <x:c r="I932" s="106"/>
      <x:c r="J932" s="106"/>
      <x:c r="K932" s="106"/>
      <x:c r="L932" s="106"/>
      <x:c r="M932" s="106"/>
      <x:c r="N932" s="106"/>
      <x:c r="O932" s="106"/>
      <x:c r="P932" s="106"/>
      <x:c r="Q932" s="106"/>
      <x:c r="R932" s="99"/>
    </x:row>
    <x:row r="933" ht="15" customHeight="1">
      <x:c r="A933" s="94"/>
      <x:c r="B933" s="99"/>
      <x:c r="C933" s="99"/>
      <x:c r="D933" s="99"/>
      <x:c r="E933" s="101"/>
      <x:c r="F933" s="106"/>
      <x:c r="G933" s="106"/>
      <x:c r="H933" s="106"/>
      <x:c r="I933" s="106"/>
      <x:c r="J933" s="106"/>
      <x:c r="K933" s="106"/>
      <x:c r="L933" s="106"/>
      <x:c r="M933" s="111"/>
      <x:c r="N933" s="111"/>
      <x:c r="O933" s="111"/>
      <x:c r="P933" s="111"/>
      <x:c r="Q933" s="111"/>
      <x:c r="R933" s="99"/>
    </x:row>
    <x:row r="934" ht="15" customHeight="1">
      <x:c r="A934" s="22"/>
      <x:c r="B934" s="99"/>
      <x:c r="C934" s="99"/>
      <x:c r="D934" s="99"/>
      <x:c r="E934" s="101"/>
      <x:c r="F934" s="106"/>
      <x:c r="G934" s="106"/>
      <x:c r="H934" s="106"/>
      <x:c r="I934" s="106"/>
      <x:c r="J934" s="106"/>
      <x:c r="K934" s="106"/>
      <x:c r="L934" s="106"/>
      <x:c r="M934" s="106"/>
      <x:c r="N934" s="106"/>
      <x:c r="O934" s="106"/>
      <x:c r="P934" s="106"/>
      <x:c r="Q934" s="106"/>
      <x:c r="R934" s="99"/>
    </x:row>
    <x:row r="935" ht="15" customHeight="1">
      <x:c r="A935" s="22"/>
      <x:c r="B935" s="99"/>
      <x:c r="C935" s="99"/>
      <x:c r="D935" s="99"/>
      <x:c r="E935" s="101"/>
      <x:c r="F935" s="106"/>
      <x:c r="G935" s="106"/>
      <x:c r="H935" s="106"/>
      <x:c r="I935" s="106"/>
      <x:c r="J935" s="106"/>
      <x:c r="K935" s="106"/>
      <x:c r="L935" s="106"/>
      <x:c r="M935" s="106"/>
      <x:c r="N935" s="106"/>
      <x:c r="O935" s="106"/>
      <x:c r="P935" s="106"/>
      <x:c r="Q935" s="106"/>
      <x:c r="R935" s="99"/>
    </x:row>
    <x:row r="936" ht="15" customHeight="1">
      <x:c r="A936" s="22"/>
      <x:c r="B936" s="99"/>
      <x:c r="C936" s="99"/>
      <x:c r="D936" s="99"/>
      <x:c r="E936" s="101"/>
      <x:c r="F936" s="106"/>
      <x:c r="G936" s="106"/>
      <x:c r="H936" s="106"/>
      <x:c r="I936" s="106"/>
      <x:c r="J936" s="106"/>
      <x:c r="K936" s="106"/>
      <x:c r="L936" s="106"/>
      <x:c r="M936" s="106"/>
      <x:c r="N936" s="106"/>
      <x:c r="O936" s="106"/>
      <x:c r="P936" s="106"/>
      <x:c r="Q936" s="106"/>
      <x:c r="R936" s="99"/>
    </x:row>
    <x:row r="937" ht="15" customHeight="1">
      <x:c r="A937" s="94"/>
      <x:c r="B937" s="99"/>
      <x:c r="C937" s="99"/>
      <x:c r="D937" s="99"/>
      <x:c r="E937" s="101"/>
      <x:c r="F937" s="106"/>
      <x:c r="G937" s="106"/>
      <x:c r="H937" s="106"/>
      <x:c r="I937" s="106"/>
      <x:c r="J937" s="106"/>
      <x:c r="K937" s="106"/>
      <x:c r="L937" s="106"/>
      <x:c r="M937" s="111"/>
      <x:c r="N937" s="111"/>
      <x:c r="O937" s="111"/>
      <x:c r="P937" s="111"/>
      <x:c r="Q937" s="111"/>
      <x:c r="R937" s="99"/>
    </x:row>
    <x:row r="938" ht="15" customHeight="1">
      <x:c r="A938" s="22"/>
      <x:c r="B938" s="99"/>
      <x:c r="C938" s="99"/>
      <x:c r="D938" s="99"/>
      <x:c r="E938" s="101"/>
      <x:c r="F938" s="106"/>
      <x:c r="G938" s="106"/>
      <x:c r="H938" s="106"/>
      <x:c r="I938" s="106"/>
      <x:c r="J938" s="106"/>
      <x:c r="K938" s="106"/>
      <x:c r="L938" s="106"/>
      <x:c r="M938" s="106"/>
      <x:c r="N938" s="106"/>
      <x:c r="O938" s="106"/>
      <x:c r="P938" s="106"/>
      <x:c r="Q938" s="106"/>
      <x:c r="R938" s="99"/>
    </x:row>
    <x:row r="939" ht="15" customHeight="1">
      <x:c r="A939" s="22"/>
      <x:c r="B939" s="99"/>
      <x:c r="C939" s="99"/>
      <x:c r="D939" s="99"/>
      <x:c r="E939" s="101"/>
      <x:c r="F939" s="106"/>
      <x:c r="G939" s="106"/>
      <x:c r="H939" s="106"/>
      <x:c r="I939" s="106"/>
      <x:c r="J939" s="106"/>
      <x:c r="K939" s="106"/>
      <x:c r="L939" s="106"/>
      <x:c r="M939" s="106"/>
      <x:c r="N939" s="106"/>
      <x:c r="O939" s="106"/>
      <x:c r="P939" s="106"/>
      <x:c r="Q939" s="106"/>
      <x:c r="R939" s="99"/>
    </x:row>
    <x:row r="940" ht="15" customHeight="1">
      <x:c r="A940" s="22"/>
      <x:c r="B940" s="99"/>
      <x:c r="C940" s="99"/>
      <x:c r="D940" s="99"/>
      <x:c r="E940" s="101"/>
      <x:c r="F940" s="106"/>
      <x:c r="G940" s="106"/>
      <x:c r="H940" s="106"/>
      <x:c r="I940" s="106"/>
      <x:c r="J940" s="106"/>
      <x:c r="K940" s="106"/>
      <x:c r="L940" s="106"/>
      <x:c r="M940" s="106"/>
      <x:c r="N940" s="106"/>
      <x:c r="O940" s="106"/>
      <x:c r="P940" s="106"/>
      <x:c r="Q940" s="106"/>
      <x:c r="R940" s="99"/>
    </x:row>
    <x:row r="941" ht="15" customHeight="1">
      <x:c r="A941" s="94"/>
      <x:c r="B941" s="99"/>
      <x:c r="C941" s="99"/>
      <x:c r="D941" s="99"/>
      <x:c r="E941" s="101"/>
      <x:c r="F941" s="106"/>
      <x:c r="G941" s="106"/>
      <x:c r="H941" s="106"/>
      <x:c r="I941" s="106"/>
      <x:c r="J941" s="106"/>
      <x:c r="K941" s="106"/>
      <x:c r="L941" s="106"/>
      <x:c r="M941" s="111"/>
      <x:c r="N941" s="111"/>
      <x:c r="O941" s="111"/>
      <x:c r="P941" s="111"/>
      <x:c r="Q941" s="111"/>
      <x:c r="R941" s="99"/>
    </x:row>
    <x:row r="942" ht="15" customHeight="1">
      <x:c r="A942" s="22"/>
      <x:c r="B942" s="99"/>
      <x:c r="C942" s="99"/>
      <x:c r="D942" s="99"/>
      <x:c r="E942" s="101"/>
      <x:c r="F942" s="106"/>
      <x:c r="G942" s="106"/>
      <x:c r="H942" s="106"/>
      <x:c r="I942" s="106"/>
      <x:c r="J942" s="106"/>
      <x:c r="K942" s="106"/>
      <x:c r="L942" s="106"/>
      <x:c r="M942" s="106"/>
      <x:c r="N942" s="106"/>
      <x:c r="O942" s="106"/>
      <x:c r="P942" s="106"/>
      <x:c r="Q942" s="106"/>
      <x:c r="R942" s="99"/>
    </x:row>
    <x:row r="943" ht="15" customHeight="1">
      <x:c r="A943" s="22"/>
      <x:c r="B943" s="99"/>
      <x:c r="C943" s="99"/>
      <x:c r="D943" s="99"/>
      <x:c r="E943" s="101"/>
      <x:c r="F943" s="106"/>
      <x:c r="G943" s="106"/>
      <x:c r="H943" s="106"/>
      <x:c r="I943" s="106"/>
      <x:c r="J943" s="106"/>
      <x:c r="K943" s="106"/>
      <x:c r="L943" s="106"/>
      <x:c r="M943" s="106"/>
      <x:c r="N943" s="106"/>
      <x:c r="O943" s="106"/>
      <x:c r="P943" s="106"/>
      <x:c r="Q943" s="106"/>
      <x:c r="R943" s="99"/>
    </x:row>
    <x:row r="944" ht="15" customHeight="1">
      <x:c r="A944" s="22"/>
      <x:c r="B944" s="99"/>
      <x:c r="C944" s="99"/>
      <x:c r="D944" s="99"/>
      <x:c r="E944" s="101"/>
      <x:c r="F944" s="106"/>
      <x:c r="G944" s="106"/>
      <x:c r="H944" s="106"/>
      <x:c r="I944" s="106"/>
      <x:c r="J944" s="106"/>
      <x:c r="K944" s="106"/>
      <x:c r="L944" s="106"/>
      <x:c r="M944" s="106"/>
      <x:c r="N944" s="106"/>
      <x:c r="O944" s="106"/>
      <x:c r="P944" s="106"/>
      <x:c r="Q944" s="106"/>
      <x:c r="R944" s="99"/>
    </x:row>
    <x:row r="945" ht="15" customHeight="1">
      <x:c r="A945" s="94"/>
      <x:c r="B945" s="99"/>
      <x:c r="C945" s="99"/>
      <x:c r="D945" s="99"/>
      <x:c r="E945" s="101"/>
      <x:c r="F945" s="106"/>
      <x:c r="G945" s="106"/>
      <x:c r="H945" s="106"/>
      <x:c r="I945" s="106"/>
      <x:c r="J945" s="106"/>
      <x:c r="K945" s="106"/>
      <x:c r="L945" s="106"/>
      <x:c r="M945" s="111"/>
      <x:c r="N945" s="111"/>
      <x:c r="O945" s="111"/>
      <x:c r="P945" s="111"/>
      <x:c r="Q945" s="111"/>
      <x:c r="R945" s="99"/>
    </x:row>
    <x:row r="946" ht="15" customHeight="1">
      <x:c r="A946" s="22"/>
      <x:c r="B946" s="99"/>
      <x:c r="C946" s="99"/>
      <x:c r="D946" s="99"/>
      <x:c r="E946" s="101"/>
      <x:c r="F946" s="106"/>
      <x:c r="G946" s="106"/>
      <x:c r="H946" s="106"/>
      <x:c r="I946" s="106"/>
      <x:c r="J946" s="106"/>
      <x:c r="K946" s="106"/>
      <x:c r="L946" s="106"/>
      <x:c r="M946" s="106"/>
      <x:c r="N946" s="106"/>
      <x:c r="O946" s="106"/>
      <x:c r="P946" s="106"/>
      <x:c r="Q946" s="106"/>
      <x:c r="R946" s="99"/>
    </x:row>
    <x:row r="947" ht="15" customHeight="1">
      <x:c r="A947" s="22"/>
      <x:c r="B947" s="99"/>
      <x:c r="C947" s="99"/>
      <x:c r="D947" s="99"/>
      <x:c r="E947" s="101"/>
      <x:c r="F947" s="106"/>
      <x:c r="G947" s="106"/>
      <x:c r="H947" s="106"/>
      <x:c r="I947" s="106"/>
      <x:c r="J947" s="106"/>
      <x:c r="K947" s="106"/>
      <x:c r="L947" s="106"/>
      <x:c r="M947" s="106"/>
      <x:c r="N947" s="106"/>
      <x:c r="O947" s="106"/>
      <x:c r="P947" s="106"/>
      <x:c r="Q947" s="106"/>
      <x:c r="R947" s="99"/>
    </x:row>
    <x:row r="948" ht="15" customHeight="1">
      <x:c r="A948" s="22"/>
      <x:c r="B948" s="99"/>
      <x:c r="C948" s="99"/>
      <x:c r="D948" s="99"/>
      <x:c r="E948" s="101"/>
      <x:c r="F948" s="106"/>
      <x:c r="G948" s="106"/>
      <x:c r="H948" s="106"/>
      <x:c r="I948" s="106"/>
      <x:c r="J948" s="106"/>
      <x:c r="K948" s="106"/>
      <x:c r="L948" s="106"/>
      <x:c r="M948" s="106"/>
      <x:c r="N948" s="106"/>
      <x:c r="O948" s="106"/>
      <x:c r="P948" s="106"/>
      <x:c r="Q948" s="106"/>
      <x:c r="R948" s="99"/>
    </x:row>
    <x:row r="949" ht="15" customHeight="1">
      <x:c r="A949" s="94"/>
      <x:c r="B949" s="99"/>
      <x:c r="C949" s="99"/>
      <x:c r="D949" s="99"/>
      <x:c r="E949" s="101"/>
      <x:c r="F949" s="106"/>
      <x:c r="G949" s="106"/>
      <x:c r="H949" s="106"/>
      <x:c r="I949" s="106"/>
      <x:c r="J949" s="106"/>
      <x:c r="K949" s="106"/>
      <x:c r="L949" s="106"/>
      <x:c r="M949" s="111"/>
      <x:c r="N949" s="111"/>
      <x:c r="O949" s="111"/>
      <x:c r="P949" s="111"/>
      <x:c r="Q949" s="111"/>
      <x:c r="R949" s="99"/>
    </x:row>
    <x:row r="950" ht="15" customHeight="1">
      <x:c r="A950" s="22"/>
      <x:c r="B950" s="99"/>
      <x:c r="C950" s="99"/>
      <x:c r="D950" s="99"/>
      <x:c r="E950" s="101"/>
      <x:c r="F950" s="106"/>
      <x:c r="G950" s="106"/>
      <x:c r="H950" s="106"/>
      <x:c r="I950" s="106"/>
      <x:c r="J950" s="106"/>
      <x:c r="K950" s="106"/>
      <x:c r="L950" s="106"/>
      <x:c r="M950" s="106"/>
      <x:c r="N950" s="106"/>
      <x:c r="O950" s="106"/>
      <x:c r="P950" s="106"/>
      <x:c r="Q950" s="106"/>
      <x:c r="R950" s="99"/>
    </x:row>
    <x:row r="951" ht="15" customHeight="1">
      <x:c r="A951" s="22"/>
      <x:c r="B951" s="99"/>
      <x:c r="C951" s="99"/>
      <x:c r="D951" s="99"/>
      <x:c r="E951" s="101"/>
      <x:c r="F951" s="106"/>
      <x:c r="G951" s="106"/>
      <x:c r="H951" s="106"/>
      <x:c r="I951" s="106"/>
      <x:c r="J951" s="106"/>
      <x:c r="K951" s="106"/>
      <x:c r="L951" s="106"/>
      <x:c r="M951" s="106"/>
      <x:c r="N951" s="106"/>
      <x:c r="O951" s="106"/>
      <x:c r="P951" s="106"/>
      <x:c r="Q951" s="106"/>
      <x:c r="R951" s="99"/>
    </x:row>
    <x:row r="952" ht="15" customHeight="1">
      <x:c r="A952" s="22"/>
      <x:c r="B952" s="99"/>
      <x:c r="C952" s="99"/>
      <x:c r="D952" s="99"/>
      <x:c r="E952" s="101"/>
      <x:c r="F952" s="106"/>
      <x:c r="G952" s="106"/>
      <x:c r="H952" s="106"/>
      <x:c r="I952" s="106"/>
      <x:c r="J952" s="106"/>
      <x:c r="K952" s="106"/>
      <x:c r="L952" s="106"/>
      <x:c r="M952" s="106"/>
      <x:c r="N952" s="106"/>
      <x:c r="O952" s="106"/>
      <x:c r="P952" s="106"/>
      <x:c r="Q952" s="106"/>
      <x:c r="R952" s="99"/>
    </x:row>
    <x:row r="953" ht="15" customHeight="1">
      <x:c r="A953" s="94"/>
      <x:c r="B953" s="99"/>
      <x:c r="C953" s="99"/>
      <x:c r="D953" s="99"/>
      <x:c r="E953" s="101"/>
      <x:c r="F953" s="106"/>
      <x:c r="G953" s="106"/>
      <x:c r="H953" s="106"/>
      <x:c r="I953" s="106"/>
      <x:c r="J953" s="106"/>
      <x:c r="K953" s="106"/>
      <x:c r="L953" s="106"/>
      <x:c r="M953" s="111"/>
      <x:c r="N953" s="111"/>
      <x:c r="O953" s="111"/>
      <x:c r="P953" s="111"/>
      <x:c r="Q953" s="111"/>
      <x:c r="R953" s="99"/>
    </x:row>
    <x:row r="954" ht="15" customHeight="1">
      <x:c r="A954" s="22"/>
      <x:c r="B954" s="99"/>
      <x:c r="C954" s="99"/>
      <x:c r="D954" s="99"/>
      <x:c r="E954" s="101"/>
      <x:c r="F954" s="106"/>
      <x:c r="G954" s="106"/>
      <x:c r="H954" s="106"/>
      <x:c r="I954" s="106"/>
      <x:c r="J954" s="106"/>
      <x:c r="K954" s="106"/>
      <x:c r="L954" s="106"/>
      <x:c r="M954" s="106"/>
      <x:c r="N954" s="106"/>
      <x:c r="O954" s="106"/>
      <x:c r="P954" s="106"/>
      <x:c r="Q954" s="106"/>
      <x:c r="R954" s="99"/>
    </x:row>
    <x:row r="955" ht="15" customHeight="1">
      <x:c r="A955" s="22"/>
      <x:c r="B955" s="99"/>
      <x:c r="C955" s="99"/>
      <x:c r="D955" s="99"/>
      <x:c r="E955" s="101"/>
      <x:c r="F955" s="106"/>
      <x:c r="G955" s="106"/>
      <x:c r="H955" s="106"/>
      <x:c r="I955" s="106"/>
      <x:c r="J955" s="106"/>
      <x:c r="K955" s="106"/>
      <x:c r="L955" s="106"/>
      <x:c r="M955" s="106"/>
      <x:c r="N955" s="106"/>
      <x:c r="O955" s="106"/>
      <x:c r="P955" s="106"/>
      <x:c r="Q955" s="106"/>
      <x:c r="R955" s="99"/>
    </x:row>
    <x:row r="956" ht="15" customHeight="1">
      <x:c r="A956" s="22"/>
      <x:c r="B956" s="99"/>
      <x:c r="C956" s="99"/>
      <x:c r="D956" s="99"/>
      <x:c r="E956" s="101"/>
      <x:c r="F956" s="106"/>
      <x:c r="G956" s="106"/>
      <x:c r="H956" s="106"/>
      <x:c r="I956" s="106"/>
      <x:c r="J956" s="106"/>
      <x:c r="K956" s="106"/>
      <x:c r="L956" s="106"/>
      <x:c r="M956" s="106"/>
      <x:c r="N956" s="106"/>
      <x:c r="O956" s="106"/>
      <x:c r="P956" s="106"/>
      <x:c r="Q956" s="106"/>
      <x:c r="R956" s="99"/>
    </x:row>
    <x:row r="957" ht="15" customHeight="1">
      <x:c r="A957" s="94"/>
      <x:c r="B957" s="99"/>
      <x:c r="C957" s="99"/>
      <x:c r="D957" s="99"/>
      <x:c r="E957" s="101"/>
      <x:c r="F957" s="106"/>
      <x:c r="G957" s="106"/>
      <x:c r="H957" s="106"/>
      <x:c r="I957" s="106"/>
      <x:c r="J957" s="106"/>
      <x:c r="K957" s="106"/>
      <x:c r="L957" s="106"/>
      <x:c r="M957" s="111"/>
      <x:c r="N957" s="111"/>
      <x:c r="O957" s="111"/>
      <x:c r="P957" s="111"/>
      <x:c r="Q957" s="111"/>
      <x:c r="R957" s="99"/>
    </x:row>
    <x:row r="958" ht="15" customHeight="1">
      <x:c r="A958" s="22"/>
      <x:c r="B958" s="99"/>
      <x:c r="C958" s="99"/>
      <x:c r="D958" s="99"/>
      <x:c r="E958" s="101"/>
      <x:c r="F958" s="106"/>
      <x:c r="G958" s="106"/>
      <x:c r="H958" s="106"/>
      <x:c r="I958" s="106"/>
      <x:c r="J958" s="106"/>
      <x:c r="K958" s="106"/>
      <x:c r="L958" s="106"/>
      <x:c r="M958" s="106"/>
      <x:c r="N958" s="106"/>
      <x:c r="O958" s="106"/>
      <x:c r="P958" s="106"/>
      <x:c r="Q958" s="106"/>
      <x:c r="R958" s="99"/>
    </x:row>
    <x:row r="959" ht="15" customHeight="1">
      <x:c r="A959" s="22"/>
      <x:c r="B959" s="99"/>
      <x:c r="C959" s="99"/>
      <x:c r="D959" s="99"/>
      <x:c r="E959" s="101"/>
      <x:c r="F959" s="106"/>
      <x:c r="G959" s="106"/>
      <x:c r="H959" s="106"/>
      <x:c r="I959" s="106"/>
      <x:c r="J959" s="106"/>
      <x:c r="K959" s="106"/>
      <x:c r="L959" s="106"/>
      <x:c r="M959" s="106"/>
      <x:c r="N959" s="106"/>
      <x:c r="O959" s="106"/>
      <x:c r="P959" s="106"/>
      <x:c r="Q959" s="106"/>
      <x:c r="R959" s="99"/>
    </x:row>
    <x:row r="960" ht="15" customHeight="1">
      <x:c r="A960" s="22"/>
      <x:c r="B960" s="99"/>
      <x:c r="C960" s="99"/>
      <x:c r="D960" s="99"/>
      <x:c r="E960" s="101"/>
      <x:c r="F960" s="106"/>
      <x:c r="G960" s="106"/>
      <x:c r="H960" s="106"/>
      <x:c r="I960" s="106"/>
      <x:c r="J960" s="106"/>
      <x:c r="K960" s="106"/>
      <x:c r="L960" s="106"/>
      <x:c r="M960" s="106"/>
      <x:c r="N960" s="106"/>
      <x:c r="O960" s="106"/>
      <x:c r="P960" s="106"/>
      <x:c r="Q960" s="106"/>
      <x:c r="R960" s="99"/>
    </x:row>
    <x:row r="961" ht="15" customHeight="1">
      <x:c r="A961" s="94"/>
      <x:c r="B961" s="99"/>
      <x:c r="C961" s="99"/>
      <x:c r="D961" s="99"/>
      <x:c r="E961" s="101"/>
      <x:c r="F961" s="106"/>
      <x:c r="G961" s="106"/>
      <x:c r="H961" s="106"/>
      <x:c r="I961" s="106"/>
      <x:c r="J961" s="106"/>
      <x:c r="K961" s="106"/>
      <x:c r="L961" s="106"/>
      <x:c r="M961" s="111"/>
      <x:c r="N961" s="111"/>
      <x:c r="O961" s="111"/>
      <x:c r="P961" s="111"/>
      <x:c r="Q961" s="111"/>
      <x:c r="R961" s="99"/>
    </x:row>
    <x:row r="962" ht="15" customHeight="1">
      <x:c r="A962" s="22"/>
      <x:c r="B962" s="99"/>
      <x:c r="C962" s="99"/>
      <x:c r="D962" s="99"/>
      <x:c r="E962" s="101"/>
      <x:c r="F962" s="106"/>
      <x:c r="G962" s="106"/>
      <x:c r="H962" s="106"/>
      <x:c r="I962" s="106"/>
      <x:c r="J962" s="106"/>
      <x:c r="K962" s="106"/>
      <x:c r="L962" s="106"/>
      <x:c r="M962" s="106"/>
      <x:c r="N962" s="106"/>
      <x:c r="O962" s="106"/>
      <x:c r="P962" s="106"/>
      <x:c r="Q962" s="106"/>
      <x:c r="R962" s="99"/>
    </x:row>
    <x:row r="963" ht="15" customHeight="1">
      <x:c r="A963" s="22"/>
      <x:c r="B963" s="99"/>
      <x:c r="C963" s="99"/>
      <x:c r="D963" s="99"/>
      <x:c r="E963" s="101"/>
      <x:c r="F963" s="106"/>
      <x:c r="G963" s="106"/>
      <x:c r="H963" s="106"/>
      <x:c r="I963" s="106"/>
      <x:c r="J963" s="106"/>
      <x:c r="K963" s="106"/>
      <x:c r="L963" s="106"/>
      <x:c r="M963" s="106"/>
      <x:c r="N963" s="106"/>
      <x:c r="O963" s="106"/>
      <x:c r="P963" s="106"/>
      <x:c r="Q963" s="106"/>
      <x:c r="R963" s="99"/>
    </x:row>
    <x:row r="964" ht="15" customHeight="1">
      <x:c r="A964" s="22"/>
      <x:c r="B964" s="99"/>
      <x:c r="C964" s="99"/>
      <x:c r="D964" s="99"/>
      <x:c r="E964" s="101"/>
      <x:c r="F964" s="106"/>
      <x:c r="G964" s="106"/>
      <x:c r="H964" s="106"/>
      <x:c r="I964" s="106"/>
      <x:c r="J964" s="106"/>
      <x:c r="K964" s="106"/>
      <x:c r="L964" s="106"/>
      <x:c r="M964" s="106"/>
      <x:c r="N964" s="106"/>
      <x:c r="O964" s="106"/>
      <x:c r="P964" s="106"/>
      <x:c r="Q964" s="106"/>
      <x:c r="R964" s="99"/>
    </x:row>
    <x:row r="965" ht="15" customHeight="1">
      <x:c r="A965" s="94"/>
      <x:c r="B965" s="99"/>
      <x:c r="C965" s="99"/>
      <x:c r="D965" s="99"/>
      <x:c r="E965" s="101"/>
      <x:c r="F965" s="106"/>
      <x:c r="G965" s="106"/>
      <x:c r="H965" s="106"/>
      <x:c r="I965" s="106"/>
      <x:c r="J965" s="106"/>
      <x:c r="K965" s="106"/>
      <x:c r="L965" s="106"/>
      <x:c r="M965" s="111"/>
      <x:c r="N965" s="111"/>
      <x:c r="O965" s="111"/>
      <x:c r="P965" s="111"/>
      <x:c r="Q965" s="111"/>
      <x:c r="R965" s="99"/>
    </x:row>
    <x:row r="966" ht="15" customHeight="1">
      <x:c r="A966" s="22"/>
      <x:c r="B966" s="99"/>
      <x:c r="C966" s="99"/>
      <x:c r="D966" s="99"/>
      <x:c r="E966" s="101"/>
      <x:c r="F966" s="106"/>
      <x:c r="G966" s="106"/>
      <x:c r="H966" s="106"/>
      <x:c r="I966" s="106"/>
      <x:c r="J966" s="106"/>
      <x:c r="K966" s="106"/>
      <x:c r="L966" s="106"/>
      <x:c r="M966" s="106"/>
      <x:c r="N966" s="106"/>
      <x:c r="O966" s="106"/>
      <x:c r="P966" s="106"/>
      <x:c r="Q966" s="106"/>
      <x:c r="R966" s="99"/>
    </x:row>
    <x:row r="967" ht="15" customHeight="1">
      <x:c r="A967" s="22"/>
      <x:c r="B967" s="99"/>
      <x:c r="C967" s="99"/>
      <x:c r="D967" s="99"/>
      <x:c r="E967" s="101"/>
      <x:c r="F967" s="106"/>
      <x:c r="G967" s="106"/>
      <x:c r="H967" s="106"/>
      <x:c r="I967" s="106"/>
      <x:c r="J967" s="106"/>
      <x:c r="K967" s="106"/>
      <x:c r="L967" s="106"/>
      <x:c r="M967" s="106"/>
      <x:c r="N967" s="106"/>
      <x:c r="O967" s="106"/>
      <x:c r="P967" s="106"/>
      <x:c r="Q967" s="106"/>
      <x:c r="R967" s="99"/>
    </x:row>
    <x:row r="968" ht="15" customHeight="1">
      <x:c r="A968" s="22"/>
      <x:c r="B968" s="99"/>
      <x:c r="C968" s="99"/>
      <x:c r="D968" s="99"/>
      <x:c r="E968" s="101"/>
      <x:c r="F968" s="106"/>
      <x:c r="G968" s="106"/>
      <x:c r="H968" s="106"/>
      <x:c r="I968" s="106"/>
      <x:c r="J968" s="106"/>
      <x:c r="K968" s="106"/>
      <x:c r="L968" s="106"/>
      <x:c r="M968" s="106"/>
      <x:c r="N968" s="106"/>
      <x:c r="O968" s="106"/>
      <x:c r="P968" s="106"/>
      <x:c r="Q968" s="106"/>
      <x:c r="R968" s="99"/>
    </x:row>
    <x:row r="969" ht="15" customHeight="1">
      <x:c r="A969" s="94"/>
      <x:c r="B969" s="99"/>
      <x:c r="C969" s="99"/>
      <x:c r="D969" s="99"/>
      <x:c r="E969" s="101"/>
      <x:c r="F969" s="106"/>
      <x:c r="G969" s="106"/>
      <x:c r="H969" s="106"/>
      <x:c r="I969" s="106"/>
      <x:c r="J969" s="106"/>
      <x:c r="K969" s="106"/>
      <x:c r="L969" s="106"/>
      <x:c r="M969" s="111"/>
      <x:c r="N969" s="111"/>
      <x:c r="O969" s="111"/>
      <x:c r="P969" s="111"/>
      <x:c r="Q969" s="111"/>
      <x:c r="R969" s="99"/>
    </x:row>
    <x:row r="970" ht="15" customHeight="1">
      <x:c r="A970" s="22"/>
      <x:c r="B970" s="99"/>
      <x:c r="C970" s="99"/>
      <x:c r="D970" s="99"/>
      <x:c r="E970" s="101"/>
      <x:c r="F970" s="106"/>
      <x:c r="G970" s="106"/>
      <x:c r="H970" s="106"/>
      <x:c r="I970" s="106"/>
      <x:c r="J970" s="106"/>
      <x:c r="K970" s="106"/>
      <x:c r="L970" s="106"/>
      <x:c r="M970" s="106"/>
      <x:c r="N970" s="106"/>
      <x:c r="O970" s="106"/>
      <x:c r="P970" s="106"/>
      <x:c r="Q970" s="106"/>
      <x:c r="R970" s="99"/>
    </x:row>
    <x:row r="971" ht="15" customHeight="1">
      <x:c r="A971" s="22"/>
      <x:c r="B971" s="99"/>
      <x:c r="C971" s="99"/>
      <x:c r="D971" s="99"/>
      <x:c r="E971" s="101"/>
      <x:c r="F971" s="106"/>
      <x:c r="G971" s="106"/>
      <x:c r="H971" s="106"/>
      <x:c r="I971" s="106"/>
      <x:c r="J971" s="106"/>
      <x:c r="K971" s="106"/>
      <x:c r="L971" s="106"/>
      <x:c r="M971" s="106"/>
      <x:c r="N971" s="106"/>
      <x:c r="O971" s="106"/>
      <x:c r="P971" s="106"/>
      <x:c r="Q971" s="106"/>
      <x:c r="R971" s="99"/>
    </x:row>
    <x:row r="972" ht="15" customHeight="1">
      <x:c r="A972" s="22"/>
      <x:c r="B972" s="99"/>
      <x:c r="C972" s="99"/>
      <x:c r="D972" s="99"/>
      <x:c r="E972" s="101"/>
      <x:c r="F972" s="106"/>
      <x:c r="G972" s="106"/>
      <x:c r="H972" s="106"/>
      <x:c r="I972" s="106"/>
      <x:c r="J972" s="106"/>
      <x:c r="K972" s="106"/>
      <x:c r="L972" s="106"/>
      <x:c r="M972" s="106"/>
      <x:c r="N972" s="106"/>
      <x:c r="O972" s="106"/>
      <x:c r="P972" s="106"/>
      <x:c r="Q972" s="106"/>
      <x:c r="R972" s="99"/>
    </x:row>
    <x:row r="973" ht="15" customHeight="1">
      <x:c r="A973" s="94"/>
      <x:c r="B973" s="99"/>
      <x:c r="C973" s="99"/>
      <x:c r="D973" s="99"/>
      <x:c r="E973" s="101"/>
      <x:c r="F973" s="106"/>
      <x:c r="G973" s="106"/>
      <x:c r="H973" s="106"/>
      <x:c r="I973" s="106"/>
      <x:c r="J973" s="106"/>
      <x:c r="K973" s="106"/>
      <x:c r="L973" s="106"/>
      <x:c r="M973" s="111"/>
      <x:c r="N973" s="111"/>
      <x:c r="O973" s="111"/>
      <x:c r="P973" s="111"/>
      <x:c r="Q973" s="111"/>
      <x:c r="R973" s="99"/>
    </x:row>
    <x:row r="974" ht="15" customHeight="1">
      <x:c r="A974" s="22"/>
      <x:c r="B974" s="99"/>
      <x:c r="C974" s="99"/>
      <x:c r="D974" s="99"/>
      <x:c r="E974" s="101"/>
      <x:c r="F974" s="106"/>
      <x:c r="G974" s="106"/>
      <x:c r="H974" s="106"/>
      <x:c r="I974" s="106"/>
      <x:c r="J974" s="106"/>
      <x:c r="K974" s="106"/>
      <x:c r="L974" s="106"/>
      <x:c r="M974" s="106"/>
      <x:c r="N974" s="106"/>
      <x:c r="O974" s="106"/>
      <x:c r="P974" s="106"/>
      <x:c r="Q974" s="106"/>
      <x:c r="R974" s="99"/>
    </x:row>
    <x:row r="975" ht="15" customHeight="1">
      <x:c r="A975" s="22"/>
      <x:c r="B975" s="99"/>
      <x:c r="C975" s="99"/>
      <x:c r="D975" s="99"/>
      <x:c r="E975" s="101"/>
      <x:c r="F975" s="106"/>
      <x:c r="G975" s="106"/>
      <x:c r="H975" s="106"/>
      <x:c r="I975" s="106"/>
      <x:c r="J975" s="106"/>
      <x:c r="K975" s="106"/>
      <x:c r="L975" s="106"/>
      <x:c r="M975" s="106"/>
      <x:c r="N975" s="106"/>
      <x:c r="O975" s="106"/>
      <x:c r="P975" s="106"/>
      <x:c r="Q975" s="106"/>
      <x:c r="R975" s="99"/>
    </x:row>
    <x:row r="976" ht="15" customHeight="1">
      <x:c r="A976" s="22"/>
      <x:c r="B976" s="99"/>
      <x:c r="C976" s="99"/>
      <x:c r="D976" s="99"/>
      <x:c r="E976" s="101"/>
      <x:c r="F976" s="106"/>
      <x:c r="G976" s="106"/>
      <x:c r="H976" s="106"/>
      <x:c r="I976" s="106"/>
      <x:c r="J976" s="106"/>
      <x:c r="K976" s="106"/>
      <x:c r="L976" s="106"/>
      <x:c r="M976" s="106"/>
      <x:c r="N976" s="106"/>
      <x:c r="O976" s="106"/>
      <x:c r="P976" s="106"/>
      <x:c r="Q976" s="106"/>
      <x:c r="R976" s="99"/>
    </x:row>
    <x:row r="977" ht="15" customHeight="1">
      <x:c r="A977" s="94"/>
      <x:c r="B977" s="99"/>
      <x:c r="C977" s="99"/>
      <x:c r="D977" s="99"/>
      <x:c r="E977" s="101"/>
      <x:c r="F977" s="106"/>
      <x:c r="G977" s="106"/>
      <x:c r="H977" s="106"/>
      <x:c r="I977" s="106"/>
      <x:c r="J977" s="106"/>
      <x:c r="K977" s="106"/>
      <x:c r="L977" s="106"/>
      <x:c r="M977" s="111"/>
      <x:c r="N977" s="111"/>
      <x:c r="O977" s="111"/>
      <x:c r="P977" s="111"/>
      <x:c r="Q977" s="111"/>
      <x:c r="R977" s="99"/>
    </x:row>
    <x:row r="978" ht="15" customHeight="1">
      <x:c r="A978" s="22"/>
      <x:c r="B978" s="99"/>
      <x:c r="C978" s="99"/>
      <x:c r="D978" s="99"/>
      <x:c r="E978" s="101"/>
      <x:c r="F978" s="106"/>
      <x:c r="G978" s="106"/>
      <x:c r="H978" s="106"/>
      <x:c r="I978" s="106"/>
      <x:c r="J978" s="106"/>
      <x:c r="K978" s="106"/>
      <x:c r="L978" s="106"/>
      <x:c r="M978" s="106"/>
      <x:c r="N978" s="106"/>
      <x:c r="O978" s="106"/>
      <x:c r="P978" s="106"/>
      <x:c r="Q978" s="106"/>
      <x:c r="R978" s="99"/>
    </x:row>
    <x:row r="979" ht="15" customHeight="1">
      <x:c r="A979" s="22"/>
      <x:c r="B979" s="99"/>
      <x:c r="C979" s="99"/>
      <x:c r="D979" s="99"/>
      <x:c r="E979" s="101"/>
      <x:c r="F979" s="106"/>
      <x:c r="G979" s="106"/>
      <x:c r="H979" s="106"/>
      <x:c r="I979" s="106"/>
      <x:c r="J979" s="106"/>
      <x:c r="K979" s="106"/>
      <x:c r="L979" s="106"/>
      <x:c r="M979" s="106"/>
      <x:c r="N979" s="106"/>
      <x:c r="O979" s="106"/>
      <x:c r="P979" s="106"/>
      <x:c r="Q979" s="106"/>
      <x:c r="R979" s="99"/>
    </x:row>
    <x:row r="980" ht="15" customHeight="1">
      <x:c r="A980" s="22"/>
      <x:c r="B980" s="99"/>
      <x:c r="C980" s="99"/>
      <x:c r="D980" s="99"/>
      <x:c r="E980" s="101"/>
      <x:c r="F980" s="106"/>
      <x:c r="G980" s="106"/>
      <x:c r="H980" s="106"/>
      <x:c r="I980" s="106"/>
      <x:c r="J980" s="106"/>
      <x:c r="K980" s="106"/>
      <x:c r="L980" s="106"/>
      <x:c r="M980" s="106"/>
      <x:c r="N980" s="106"/>
      <x:c r="O980" s="106"/>
      <x:c r="P980" s="106"/>
      <x:c r="Q980" s="106"/>
      <x:c r="R980" s="99"/>
    </x:row>
    <x:row r="981" ht="15" customHeight="1">
      <x:c r="A981" s="94"/>
      <x:c r="B981" s="99"/>
      <x:c r="C981" s="99"/>
      <x:c r="D981" s="99"/>
      <x:c r="E981" s="101"/>
      <x:c r="F981" s="106"/>
      <x:c r="G981" s="106"/>
      <x:c r="H981" s="106"/>
      <x:c r="I981" s="106"/>
      <x:c r="J981" s="106"/>
      <x:c r="K981" s="106"/>
      <x:c r="L981" s="106"/>
      <x:c r="M981" s="111"/>
      <x:c r="N981" s="111"/>
      <x:c r="O981" s="111"/>
      <x:c r="P981" s="111"/>
      <x:c r="Q981" s="111"/>
      <x:c r="R981" s="99"/>
    </x:row>
    <x:row r="982" ht="15" customHeight="1">
      <x:c r="A982" s="22"/>
      <x:c r="B982" s="99"/>
      <x:c r="C982" s="99"/>
      <x:c r="D982" s="99"/>
      <x:c r="E982" s="101"/>
      <x:c r="F982" s="106"/>
      <x:c r="G982" s="106"/>
      <x:c r="H982" s="106"/>
      <x:c r="I982" s="106"/>
      <x:c r="J982" s="106"/>
      <x:c r="K982" s="106"/>
      <x:c r="L982" s="106"/>
      <x:c r="M982" s="106"/>
      <x:c r="N982" s="106"/>
      <x:c r="O982" s="106"/>
      <x:c r="P982" s="106"/>
      <x:c r="Q982" s="106"/>
      <x:c r="R982" s="99"/>
    </x:row>
    <x:row r="983" ht="15" customHeight="1">
      <x:c r="A983" s="22"/>
      <x:c r="B983" s="99"/>
      <x:c r="C983" s="99"/>
      <x:c r="D983" s="99"/>
      <x:c r="E983" s="101"/>
      <x:c r="F983" s="106"/>
      <x:c r="G983" s="106"/>
      <x:c r="H983" s="106"/>
      <x:c r="I983" s="106"/>
      <x:c r="J983" s="106"/>
      <x:c r="K983" s="106"/>
      <x:c r="L983" s="106"/>
      <x:c r="M983" s="106"/>
      <x:c r="N983" s="106"/>
      <x:c r="O983" s="106"/>
      <x:c r="P983" s="106"/>
      <x:c r="Q983" s="106"/>
      <x:c r="R983" s="99"/>
    </x:row>
    <x:row r="984" ht="15" customHeight="1">
      <x:c r="A984" s="22"/>
      <x:c r="B984" s="99"/>
      <x:c r="C984" s="99"/>
      <x:c r="D984" s="99"/>
      <x:c r="E984" s="101"/>
      <x:c r="F984" s="106"/>
      <x:c r="G984" s="106"/>
      <x:c r="H984" s="106"/>
      <x:c r="I984" s="106"/>
      <x:c r="J984" s="106"/>
      <x:c r="K984" s="106"/>
      <x:c r="L984" s="106"/>
      <x:c r="M984" s="106"/>
      <x:c r="N984" s="106"/>
      <x:c r="O984" s="106"/>
      <x:c r="P984" s="106"/>
      <x:c r="Q984" s="106"/>
      <x:c r="R984" s="99"/>
    </x:row>
    <x:row r="985" ht="15" customHeight="1">
      <x:c r="A985" s="94"/>
      <x:c r="B985" s="99"/>
      <x:c r="C985" s="99"/>
      <x:c r="D985" s="99"/>
      <x:c r="E985" s="101"/>
      <x:c r="F985" s="106"/>
      <x:c r="G985" s="106"/>
      <x:c r="H985" s="106"/>
      <x:c r="I985" s="106"/>
      <x:c r="J985" s="106"/>
      <x:c r="K985" s="106"/>
      <x:c r="L985" s="106"/>
      <x:c r="M985" s="111"/>
      <x:c r="N985" s="111"/>
      <x:c r="O985" s="111"/>
      <x:c r="P985" s="111"/>
      <x:c r="Q985" s="111"/>
      <x:c r="R985" s="99"/>
    </x:row>
    <x:row r="986" ht="15" customHeight="1">
      <x:c r="A986" s="22"/>
      <x:c r="B986" s="99"/>
      <x:c r="C986" s="99"/>
      <x:c r="D986" s="99"/>
      <x:c r="E986" s="101"/>
      <x:c r="F986" s="106"/>
      <x:c r="G986" s="106"/>
      <x:c r="H986" s="106"/>
      <x:c r="I986" s="106"/>
      <x:c r="J986" s="106"/>
      <x:c r="K986" s="106"/>
      <x:c r="L986" s="106"/>
      <x:c r="M986" s="106"/>
      <x:c r="N986" s="106"/>
      <x:c r="O986" s="106"/>
      <x:c r="P986" s="106"/>
      <x:c r="Q986" s="106"/>
      <x:c r="R986" s="99"/>
    </x:row>
    <x:row r="987" ht="15" customHeight="1">
      <x:c r="A987" s="22"/>
      <x:c r="B987" s="99"/>
      <x:c r="C987" s="99"/>
      <x:c r="D987" s="99"/>
      <x:c r="E987" s="101"/>
      <x:c r="F987" s="106"/>
      <x:c r="G987" s="106"/>
      <x:c r="H987" s="106"/>
      <x:c r="I987" s="106"/>
      <x:c r="J987" s="106"/>
      <x:c r="K987" s="106"/>
      <x:c r="L987" s="106"/>
      <x:c r="M987" s="106"/>
      <x:c r="N987" s="106"/>
      <x:c r="O987" s="106"/>
      <x:c r="P987" s="106"/>
      <x:c r="Q987" s="106"/>
      <x:c r="R987" s="99"/>
    </x:row>
    <x:row r="988" ht="15" customHeight="1">
      <x:c r="A988" s="22"/>
      <x:c r="B988" s="99"/>
      <x:c r="C988" s="99"/>
      <x:c r="D988" s="99"/>
      <x:c r="E988" s="101"/>
      <x:c r="F988" s="106"/>
      <x:c r="G988" s="106"/>
      <x:c r="H988" s="106"/>
      <x:c r="I988" s="106"/>
      <x:c r="J988" s="106"/>
      <x:c r="K988" s="106"/>
      <x:c r="L988" s="106"/>
      <x:c r="M988" s="106"/>
      <x:c r="N988" s="106"/>
      <x:c r="O988" s="106"/>
      <x:c r="P988" s="106"/>
      <x:c r="Q988" s="106"/>
      <x:c r="R988" s="99"/>
    </x:row>
    <x:row r="989" ht="15" customHeight="1">
      <x:c r="A989" s="94"/>
      <x:c r="B989" s="99"/>
      <x:c r="C989" s="99"/>
      <x:c r="D989" s="99"/>
      <x:c r="E989" s="101"/>
      <x:c r="F989" s="106"/>
      <x:c r="G989" s="106"/>
      <x:c r="H989" s="106"/>
      <x:c r="I989" s="106"/>
      <x:c r="J989" s="106"/>
      <x:c r="K989" s="106"/>
      <x:c r="L989" s="106"/>
      <x:c r="M989" s="111"/>
      <x:c r="N989" s="111"/>
      <x:c r="O989" s="111"/>
      <x:c r="P989" s="111"/>
      <x:c r="Q989" s="111"/>
      <x:c r="R989" s="99"/>
    </x:row>
    <x:row r="990" ht="15" customHeight="1">
      <x:c r="A990" s="22"/>
      <x:c r="B990" s="99"/>
      <x:c r="C990" s="99"/>
      <x:c r="D990" s="99"/>
      <x:c r="E990" s="101"/>
      <x:c r="F990" s="106"/>
      <x:c r="G990" s="106"/>
      <x:c r="H990" s="106"/>
      <x:c r="I990" s="106"/>
      <x:c r="J990" s="106"/>
      <x:c r="K990" s="106"/>
      <x:c r="L990" s="106"/>
      <x:c r="M990" s="106"/>
      <x:c r="N990" s="106"/>
      <x:c r="O990" s="106"/>
      <x:c r="P990" s="106"/>
      <x:c r="Q990" s="106"/>
      <x:c r="R990" s="99"/>
    </x:row>
    <x:row r="991" ht="15" customHeight="1">
      <x:c r="A991" s="22"/>
      <x:c r="B991" s="99"/>
      <x:c r="C991" s="99"/>
      <x:c r="D991" s="99"/>
      <x:c r="E991" s="101"/>
      <x:c r="F991" s="106"/>
      <x:c r="G991" s="106"/>
      <x:c r="H991" s="106"/>
      <x:c r="I991" s="106"/>
      <x:c r="J991" s="106"/>
      <x:c r="K991" s="106"/>
      <x:c r="L991" s="106"/>
      <x:c r="M991" s="106"/>
      <x:c r="N991" s="106"/>
      <x:c r="O991" s="106"/>
      <x:c r="P991" s="106"/>
      <x:c r="Q991" s="106"/>
      <x:c r="R991" s="99"/>
    </x:row>
    <x:row r="992" ht="15" customHeight="1">
      <x:c r="A992" s="22"/>
      <x:c r="B992" s="99"/>
      <x:c r="C992" s="99"/>
      <x:c r="D992" s="99"/>
      <x:c r="E992" s="101"/>
      <x:c r="F992" s="106"/>
      <x:c r="G992" s="106"/>
      <x:c r="H992" s="106"/>
      <x:c r="I992" s="106"/>
      <x:c r="J992" s="106"/>
      <x:c r="K992" s="106"/>
      <x:c r="L992" s="106"/>
      <x:c r="M992" s="106"/>
      <x:c r="N992" s="106"/>
      <x:c r="O992" s="106"/>
      <x:c r="P992" s="106"/>
      <x:c r="Q992" s="106"/>
      <x:c r="R992" s="99"/>
    </x:row>
    <x:row r="993" ht="15" customHeight="1">
      <x:c r="A993" s="94"/>
      <x:c r="B993" s="99"/>
      <x:c r="C993" s="99"/>
      <x:c r="D993" s="99"/>
      <x:c r="E993" s="101"/>
      <x:c r="F993" s="106"/>
      <x:c r="G993" s="106"/>
      <x:c r="H993" s="106"/>
      <x:c r="I993" s="106"/>
      <x:c r="J993" s="106"/>
      <x:c r="K993" s="106"/>
      <x:c r="L993" s="106"/>
      <x:c r="M993" s="111"/>
      <x:c r="N993" s="111"/>
      <x:c r="O993" s="111"/>
      <x:c r="P993" s="111"/>
      <x:c r="Q993" s="111"/>
      <x:c r="R993" s="99"/>
    </x:row>
    <x:row r="994" ht="15" customHeight="1">
      <x:c r="A994" s="22"/>
      <x:c r="B994" s="99"/>
      <x:c r="C994" s="99"/>
      <x:c r="D994" s="99"/>
      <x:c r="E994" s="101"/>
      <x:c r="F994" s="106"/>
      <x:c r="G994" s="106"/>
      <x:c r="H994" s="106"/>
      <x:c r="I994" s="106"/>
      <x:c r="J994" s="106"/>
      <x:c r="K994" s="106"/>
      <x:c r="L994" s="106"/>
      <x:c r="M994" s="106"/>
      <x:c r="N994" s="106"/>
      <x:c r="O994" s="106"/>
      <x:c r="P994" s="106"/>
      <x:c r="Q994" s="106"/>
      <x:c r="R994" s="99"/>
    </x:row>
    <x:row r="995" ht="15" customHeight="1">
      <x:c r="A995" s="22"/>
      <x:c r="B995" s="99"/>
      <x:c r="C995" s="99"/>
      <x:c r="D995" s="99"/>
      <x:c r="E995" s="101"/>
      <x:c r="F995" s="106"/>
      <x:c r="G995" s="106"/>
      <x:c r="H995" s="106"/>
      <x:c r="I995" s="106"/>
      <x:c r="J995" s="106"/>
      <x:c r="K995" s="106"/>
      <x:c r="L995" s="106"/>
      <x:c r="M995" s="106"/>
      <x:c r="N995" s="106"/>
      <x:c r="O995" s="106"/>
      <x:c r="P995" s="106"/>
      <x:c r="Q995" s="106"/>
      <x:c r="R995" s="99"/>
    </x:row>
    <x:row r="996" ht="15" customHeight="1">
      <x:c r="A996" s="22"/>
      <x:c r="B996" s="99"/>
      <x:c r="C996" s="99"/>
      <x:c r="D996" s="99"/>
      <x:c r="E996" s="101"/>
      <x:c r="F996" s="106"/>
      <x:c r="G996" s="106"/>
      <x:c r="H996" s="106"/>
      <x:c r="I996" s="106"/>
      <x:c r="J996" s="106"/>
      <x:c r="K996" s="106"/>
      <x:c r="L996" s="106"/>
      <x:c r="M996" s="106"/>
      <x:c r="N996" s="106"/>
      <x:c r="O996" s="106"/>
      <x:c r="P996" s="106"/>
      <x:c r="Q996" s="106"/>
      <x:c r="R996" s="99"/>
    </x:row>
    <x:row r="997" ht="15" customHeight="1">
      <x:c r="A997" s="94"/>
      <x:c r="B997" s="99"/>
      <x:c r="C997" s="99"/>
      <x:c r="D997" s="99"/>
      <x:c r="E997" s="101"/>
      <x:c r="F997" s="106"/>
      <x:c r="G997" s="106"/>
      <x:c r="H997" s="106"/>
      <x:c r="I997" s="106"/>
      <x:c r="J997" s="106"/>
      <x:c r="K997" s="106"/>
      <x:c r="L997" s="106"/>
      <x:c r="M997" s="111"/>
      <x:c r="N997" s="111"/>
      <x:c r="O997" s="111"/>
      <x:c r="P997" s="111"/>
      <x:c r="Q997" s="111"/>
      <x:c r="R997" s="99"/>
    </x:row>
    <x:row r="998" ht="15" customHeight="1">
      <x:c r="A998" s="22"/>
      <x:c r="B998" s="99"/>
      <x:c r="C998" s="99"/>
      <x:c r="D998" s="99"/>
      <x:c r="E998" s="101"/>
      <x:c r="F998" s="106"/>
      <x:c r="G998" s="106"/>
      <x:c r="H998" s="106"/>
      <x:c r="I998" s="106"/>
      <x:c r="J998" s="106"/>
      <x:c r="K998" s="106"/>
      <x:c r="L998" s="106"/>
      <x:c r="M998" s="106"/>
      <x:c r="N998" s="106"/>
      <x:c r="O998" s="106"/>
      <x:c r="P998" s="106"/>
      <x:c r="Q998" s="106"/>
      <x:c r="R998" s="99"/>
    </x:row>
    <x:row r="999" ht="15" customHeight="1">
      <x:c r="A999" s="22"/>
      <x:c r="B999" s="99"/>
      <x:c r="C999" s="99"/>
      <x:c r="D999" s="99"/>
      <x:c r="E999" s="101"/>
      <x:c r="F999" s="106"/>
      <x:c r="G999" s="106"/>
      <x:c r="H999" s="106"/>
      <x:c r="I999" s="106"/>
      <x:c r="J999" s="106"/>
      <x:c r="K999" s="106"/>
      <x:c r="L999" s="106"/>
      <x:c r="M999" s="106"/>
      <x:c r="N999" s="106"/>
      <x:c r="O999" s="106"/>
      <x:c r="P999" s="106"/>
      <x:c r="Q999" s="106"/>
      <x:c r="R999" s="99"/>
    </x:row>
    <x:row r="1000" ht="15" customHeight="1">
      <x:c r="A1000" s="22"/>
      <x:c r="B1000" s="99"/>
      <x:c r="C1000" s="99"/>
      <x:c r="D1000" s="99"/>
      <x:c r="E1000" s="101"/>
      <x:c r="F1000" s="106"/>
      <x:c r="G1000" s="106"/>
      <x:c r="H1000" s="106"/>
      <x:c r="I1000" s="106"/>
      <x:c r="J1000" s="106"/>
      <x:c r="K1000" s="106"/>
      <x:c r="L1000" s="106"/>
      <x:c r="M1000" s="106"/>
      <x:c r="N1000" s="106"/>
      <x:c r="O1000" s="106"/>
      <x:c r="P1000" s="106"/>
      <x:c r="Q1000" s="106"/>
      <x:c r="R1000" s="99"/>
    </x:row>
    <x:row r="1001" ht="15" customHeight="1">
      <x:c r="A1001" s="94"/>
      <x:c r="B1001" s="99"/>
      <x:c r="C1001" s="99"/>
      <x:c r="D1001" s="99"/>
      <x:c r="E1001" s="101"/>
      <x:c r="F1001" s="106"/>
      <x:c r="G1001" s="106"/>
      <x:c r="H1001" s="106"/>
      <x:c r="I1001" s="106"/>
      <x:c r="J1001" s="106"/>
      <x:c r="K1001" s="106"/>
      <x:c r="L1001" s="106"/>
      <x:c r="M1001" s="111"/>
      <x:c r="N1001" s="111"/>
      <x:c r="O1001" s="111"/>
      <x:c r="P1001" s="111"/>
      <x:c r="Q1001" s="111"/>
      <x:c r="R1001" s="99"/>
    </x:row>
    <x:row r="1002" ht="15" customHeight="1">
      <x:c r="A1002" s="22"/>
      <x:c r="B1002" s="99"/>
      <x:c r="C1002" s="99"/>
      <x:c r="D1002" s="99"/>
      <x:c r="E1002" s="101"/>
      <x:c r="F1002" s="106"/>
      <x:c r="G1002" s="106"/>
      <x:c r="H1002" s="106"/>
      <x:c r="I1002" s="106"/>
      <x:c r="J1002" s="106"/>
      <x:c r="K1002" s="106"/>
      <x:c r="L1002" s="106"/>
      <x:c r="M1002" s="106"/>
      <x:c r="N1002" s="106"/>
      <x:c r="O1002" s="106"/>
      <x:c r="P1002" s="106"/>
      <x:c r="Q1002" s="106"/>
      <x:c r="R1002" s="99"/>
    </x:row>
    <x:row r="1003" ht="15" customHeight="1">
      <x:c r="A1003" s="22"/>
      <x:c r="B1003" s="99"/>
      <x:c r="C1003" s="99"/>
      <x:c r="D1003" s="99"/>
      <x:c r="E1003" s="101"/>
      <x:c r="F1003" s="106"/>
      <x:c r="G1003" s="106"/>
      <x:c r="H1003" s="106"/>
      <x:c r="I1003" s="106"/>
      <x:c r="J1003" s="106"/>
      <x:c r="K1003" s="106"/>
      <x:c r="L1003" s="106"/>
      <x:c r="M1003" s="106"/>
      <x:c r="N1003" s="106"/>
      <x:c r="O1003" s="106"/>
      <x:c r="P1003" s="106"/>
      <x:c r="Q1003" s="106"/>
      <x:c r="R1003" s="99"/>
    </x:row>
    <x:row r="1004" ht="15" customHeight="1">
      <x:c r="A1004" s="22"/>
      <x:c r="B1004" s="99"/>
      <x:c r="C1004" s="99"/>
      <x:c r="D1004" s="99"/>
      <x:c r="E1004" s="101"/>
      <x:c r="F1004" s="106"/>
      <x:c r="G1004" s="106"/>
      <x:c r="H1004" s="106"/>
      <x:c r="I1004" s="106"/>
      <x:c r="J1004" s="106"/>
      <x:c r="K1004" s="106"/>
      <x:c r="L1004" s="106"/>
      <x:c r="M1004" s="106"/>
      <x:c r="N1004" s="106"/>
      <x:c r="O1004" s="106"/>
      <x:c r="P1004" s="106"/>
      <x:c r="Q1004" s="106"/>
      <x:c r="R1004" s="99"/>
    </x:row>
    <x:row r="1005" ht="15" customHeight="1">
      <x:c r="A1005" s="94"/>
      <x:c r="B1005" s="99"/>
      <x:c r="C1005" s="99"/>
      <x:c r="D1005" s="99"/>
      <x:c r="E1005" s="101"/>
      <x:c r="F1005" s="106"/>
      <x:c r="G1005" s="106"/>
      <x:c r="H1005" s="106"/>
      <x:c r="I1005" s="106"/>
      <x:c r="J1005" s="106"/>
      <x:c r="K1005" s="106"/>
      <x:c r="L1005" s="106"/>
      <x:c r="M1005" s="111"/>
      <x:c r="N1005" s="111"/>
      <x:c r="O1005" s="111"/>
      <x:c r="P1005" s="111"/>
      <x:c r="Q1005" s="111"/>
      <x:c r="R1005" s="99"/>
    </x:row>
    <x:row r="1006" ht="15" customHeight="1">
      <x:c r="A1006" s="22"/>
      <x:c r="B1006" s="99"/>
      <x:c r="C1006" s="99"/>
      <x:c r="D1006" s="99"/>
      <x:c r="E1006" s="101"/>
      <x:c r="F1006" s="106"/>
      <x:c r="G1006" s="106"/>
      <x:c r="H1006" s="106"/>
      <x:c r="I1006" s="106"/>
      <x:c r="J1006" s="106"/>
      <x:c r="K1006" s="106"/>
      <x:c r="L1006" s="106"/>
      <x:c r="M1006" s="106"/>
      <x:c r="N1006" s="106"/>
      <x:c r="O1006" s="106"/>
      <x:c r="P1006" s="106"/>
      <x:c r="Q1006" s="106"/>
      <x:c r="R1006" s="99"/>
    </x:row>
    <x:row r="1007" ht="15" customHeight="1">
      <x:c r="A1007" s="22"/>
      <x:c r="B1007" s="99"/>
      <x:c r="C1007" s="99"/>
      <x:c r="D1007" s="99"/>
      <x:c r="E1007" s="101"/>
      <x:c r="F1007" s="106"/>
      <x:c r="G1007" s="106"/>
      <x:c r="H1007" s="106"/>
      <x:c r="I1007" s="106"/>
      <x:c r="J1007" s="106"/>
      <x:c r="K1007" s="106"/>
      <x:c r="L1007" s="106"/>
      <x:c r="M1007" s="106"/>
      <x:c r="N1007" s="106"/>
      <x:c r="O1007" s="106"/>
      <x:c r="P1007" s="106"/>
      <x:c r="Q1007" s="106"/>
      <x:c r="R1007" s="99"/>
    </x:row>
    <x:row r="1008" ht="15" customHeight="1">
      <x:c r="A1008" s="22"/>
      <x:c r="B1008" s="99"/>
      <x:c r="C1008" s="99"/>
      <x:c r="D1008" s="99"/>
      <x:c r="E1008" s="101"/>
      <x:c r="F1008" s="106"/>
      <x:c r="G1008" s="106"/>
      <x:c r="H1008" s="106"/>
      <x:c r="I1008" s="106"/>
      <x:c r="J1008" s="106"/>
      <x:c r="K1008" s="106"/>
      <x:c r="L1008" s="106"/>
      <x:c r="M1008" s="106"/>
      <x:c r="N1008" s="106"/>
      <x:c r="O1008" s="106"/>
      <x:c r="P1008" s="106"/>
      <x:c r="Q1008" s="106"/>
      <x:c r="R1008" s="99"/>
    </x:row>
    <x:row r="1009" ht="15" customHeight="1">
      <x:c r="A1009" s="94"/>
      <x:c r="B1009" s="99"/>
      <x:c r="C1009" s="99"/>
      <x:c r="D1009" s="99"/>
      <x:c r="E1009" s="101"/>
      <x:c r="F1009" s="106"/>
      <x:c r="G1009" s="106"/>
      <x:c r="H1009" s="106"/>
      <x:c r="I1009" s="106"/>
      <x:c r="J1009" s="106"/>
      <x:c r="K1009" s="106"/>
      <x:c r="L1009" s="106"/>
      <x:c r="M1009" s="111"/>
      <x:c r="N1009" s="111"/>
      <x:c r="O1009" s="111"/>
      <x:c r="P1009" s="111"/>
      <x:c r="Q1009" s="111"/>
      <x:c r="R1009" s="99"/>
    </x:row>
    <x:row r="1010" ht="15" customHeight="1">
      <x:c r="A1010" s="22"/>
      <x:c r="B1010" s="99"/>
      <x:c r="C1010" s="99"/>
      <x:c r="D1010" s="99"/>
      <x:c r="E1010" s="101"/>
      <x:c r="F1010" s="106"/>
      <x:c r="G1010" s="106"/>
      <x:c r="H1010" s="106"/>
      <x:c r="I1010" s="106"/>
      <x:c r="J1010" s="106"/>
      <x:c r="K1010" s="106"/>
      <x:c r="L1010" s="106"/>
      <x:c r="M1010" s="106"/>
      <x:c r="N1010" s="106"/>
      <x:c r="O1010" s="106"/>
      <x:c r="P1010" s="106"/>
      <x:c r="Q1010" s="106"/>
      <x:c r="R1010" s="99"/>
    </x:row>
    <x:row r="1011" ht="15" customHeight="1">
      <x:c r="A1011" s="22"/>
      <x:c r="B1011" s="99"/>
      <x:c r="C1011" s="99"/>
      <x:c r="D1011" s="99"/>
      <x:c r="E1011" s="101"/>
      <x:c r="F1011" s="106"/>
      <x:c r="G1011" s="106"/>
      <x:c r="H1011" s="106"/>
      <x:c r="I1011" s="106"/>
      <x:c r="J1011" s="106"/>
      <x:c r="K1011" s="106"/>
      <x:c r="L1011" s="106"/>
      <x:c r="M1011" s="106"/>
      <x:c r="N1011" s="106"/>
      <x:c r="O1011" s="106"/>
      <x:c r="P1011" s="106"/>
      <x:c r="Q1011" s="106"/>
      <x:c r="R1011" s="99"/>
    </x:row>
    <x:row r="1012" ht="15" customHeight="1">
      <x:c r="A1012" s="22"/>
      <x:c r="B1012" s="99"/>
      <x:c r="C1012" s="99"/>
      <x:c r="D1012" s="99"/>
      <x:c r="E1012" s="101"/>
      <x:c r="F1012" s="106"/>
      <x:c r="G1012" s="106"/>
      <x:c r="H1012" s="106"/>
      <x:c r="I1012" s="106"/>
      <x:c r="J1012" s="106"/>
      <x:c r="K1012" s="106"/>
      <x:c r="L1012" s="106"/>
      <x:c r="M1012" s="106"/>
      <x:c r="N1012" s="106"/>
      <x:c r="O1012" s="106"/>
      <x:c r="P1012" s="106"/>
      <x:c r="Q1012" s="106"/>
      <x:c r="R1012" s="99"/>
    </x:row>
    <x:row r="1013" ht="15" customHeight="1">
      <x:c r="A1013" s="94"/>
      <x:c r="B1013" s="99"/>
      <x:c r="C1013" s="99"/>
      <x:c r="D1013" s="99"/>
      <x:c r="E1013" s="101"/>
      <x:c r="F1013" s="106"/>
      <x:c r="G1013" s="106"/>
      <x:c r="H1013" s="106"/>
      <x:c r="I1013" s="106"/>
      <x:c r="J1013" s="106"/>
      <x:c r="K1013" s="106"/>
      <x:c r="L1013" s="106"/>
      <x:c r="M1013" s="111"/>
      <x:c r="N1013" s="111"/>
      <x:c r="O1013" s="111"/>
      <x:c r="P1013" s="111"/>
      <x:c r="Q1013" s="111"/>
      <x:c r="R1013" s="99"/>
    </x:row>
    <x:row r="1014" ht="15" customHeight="1">
      <x:c r="A1014" s="22"/>
      <x:c r="B1014" s="99"/>
      <x:c r="C1014" s="99"/>
      <x:c r="D1014" s="99"/>
      <x:c r="E1014" s="101"/>
      <x:c r="F1014" s="106"/>
      <x:c r="G1014" s="106"/>
      <x:c r="H1014" s="106"/>
      <x:c r="I1014" s="106"/>
      <x:c r="J1014" s="106"/>
      <x:c r="K1014" s="106"/>
      <x:c r="L1014" s="106"/>
      <x:c r="M1014" s="106"/>
      <x:c r="N1014" s="106"/>
      <x:c r="O1014" s="106"/>
      <x:c r="P1014" s="106"/>
      <x:c r="Q1014" s="106"/>
      <x:c r="R1014" s="99"/>
    </x:row>
    <x:row r="1015" ht="15" customHeight="1">
      <x:c r="A1015" s="22"/>
      <x:c r="B1015" s="99"/>
      <x:c r="C1015" s="99"/>
      <x:c r="D1015" s="99"/>
      <x:c r="E1015" s="101"/>
      <x:c r="F1015" s="106"/>
      <x:c r="G1015" s="106"/>
      <x:c r="H1015" s="106"/>
      <x:c r="I1015" s="106"/>
      <x:c r="J1015" s="106"/>
      <x:c r="K1015" s="106"/>
      <x:c r="L1015" s="106"/>
      <x:c r="M1015" s="106"/>
      <x:c r="N1015" s="106"/>
      <x:c r="O1015" s="106"/>
      <x:c r="P1015" s="106"/>
      <x:c r="Q1015" s="106"/>
      <x:c r="R1015" s="99"/>
    </x:row>
    <x:row r="1016" ht="15" customHeight="1">
      <x:c r="A1016" s="22"/>
      <x:c r="B1016" s="99"/>
      <x:c r="C1016" s="99"/>
      <x:c r="D1016" s="99"/>
      <x:c r="E1016" s="101"/>
      <x:c r="F1016" s="106"/>
      <x:c r="G1016" s="106"/>
      <x:c r="H1016" s="106"/>
      <x:c r="I1016" s="106"/>
      <x:c r="J1016" s="106"/>
      <x:c r="K1016" s="106"/>
      <x:c r="L1016" s="106"/>
      <x:c r="M1016" s="106"/>
      <x:c r="N1016" s="106"/>
      <x:c r="O1016" s="106"/>
      <x:c r="P1016" s="106"/>
      <x:c r="Q1016" s="106"/>
      <x:c r="R1016" s="99"/>
    </x:row>
    <x:row r="1017" ht="15" customHeight="1">
      <x:c r="A1017" s="94"/>
      <x:c r="B1017" s="99"/>
      <x:c r="C1017" s="99"/>
      <x:c r="D1017" s="99"/>
      <x:c r="E1017" s="101"/>
      <x:c r="F1017" s="106"/>
      <x:c r="G1017" s="106"/>
      <x:c r="H1017" s="106"/>
      <x:c r="I1017" s="106"/>
      <x:c r="J1017" s="106"/>
      <x:c r="K1017" s="106"/>
      <x:c r="L1017" s="106"/>
      <x:c r="M1017" s="111"/>
      <x:c r="N1017" s="111"/>
      <x:c r="O1017" s="111"/>
      <x:c r="P1017" s="111"/>
      <x:c r="Q1017" s="111"/>
      <x:c r="R1017" s="99"/>
    </x:row>
    <x:row r="1018" ht="15" customHeight="1">
      <x:c r="A1018" s="22"/>
      <x:c r="B1018" s="99"/>
      <x:c r="C1018" s="99"/>
      <x:c r="D1018" s="99"/>
      <x:c r="E1018" s="101"/>
      <x:c r="F1018" s="106"/>
      <x:c r="G1018" s="106"/>
      <x:c r="H1018" s="106"/>
      <x:c r="I1018" s="106"/>
      <x:c r="J1018" s="106"/>
      <x:c r="K1018" s="106"/>
      <x:c r="L1018" s="106"/>
      <x:c r="M1018" s="106"/>
      <x:c r="N1018" s="106"/>
      <x:c r="O1018" s="106"/>
      <x:c r="P1018" s="106"/>
      <x:c r="Q1018" s="106"/>
      <x:c r="R1018" s="99"/>
    </x:row>
    <x:row r="1019" ht="15" customHeight="1">
      <x:c r="A1019" s="22"/>
      <x:c r="B1019" s="99"/>
      <x:c r="C1019" s="99"/>
      <x:c r="D1019" s="99"/>
      <x:c r="E1019" s="101"/>
      <x:c r="F1019" s="106"/>
      <x:c r="G1019" s="106"/>
      <x:c r="H1019" s="106"/>
      <x:c r="I1019" s="106"/>
      <x:c r="J1019" s="106"/>
      <x:c r="K1019" s="106"/>
      <x:c r="L1019" s="106"/>
      <x:c r="M1019" s="106"/>
      <x:c r="N1019" s="106"/>
      <x:c r="O1019" s="106"/>
      <x:c r="P1019" s="106"/>
      <x:c r="Q1019" s="106"/>
      <x:c r="R1019" s="99"/>
    </x:row>
    <x:row r="1020" ht="15" customHeight="1">
      <x:c r="A1020" s="22"/>
      <x:c r="B1020" s="99"/>
      <x:c r="C1020" s="99"/>
      <x:c r="D1020" s="99"/>
      <x:c r="E1020" s="101"/>
      <x:c r="F1020" s="106"/>
      <x:c r="G1020" s="106"/>
      <x:c r="H1020" s="106"/>
      <x:c r="I1020" s="106"/>
      <x:c r="J1020" s="106"/>
      <x:c r="K1020" s="106"/>
      <x:c r="L1020" s="106"/>
      <x:c r="M1020" s="106"/>
      <x:c r="N1020" s="106"/>
      <x:c r="O1020" s="106"/>
      <x:c r="P1020" s="106"/>
      <x:c r="Q1020" s="106"/>
      <x:c r="R1020" s="99"/>
    </x:row>
    <x:row r="1021" ht="15" customHeight="1">
      <x:c r="A1021" s="94"/>
      <x:c r="B1021" s="99"/>
      <x:c r="C1021" s="99"/>
      <x:c r="D1021" s="99"/>
      <x:c r="E1021" s="101"/>
      <x:c r="F1021" s="106"/>
      <x:c r="G1021" s="106"/>
      <x:c r="H1021" s="106"/>
      <x:c r="I1021" s="106"/>
      <x:c r="J1021" s="106"/>
      <x:c r="K1021" s="106"/>
      <x:c r="L1021" s="106"/>
      <x:c r="M1021" s="111"/>
      <x:c r="N1021" s="111"/>
      <x:c r="O1021" s="111"/>
      <x:c r="P1021" s="111"/>
      <x:c r="Q1021" s="111"/>
      <x:c r="R1021" s="99"/>
    </x:row>
    <x:row r="1022" ht="15" customHeight="1">
      <x:c r="A1022" s="22"/>
      <x:c r="B1022" s="99"/>
      <x:c r="C1022" s="99"/>
      <x:c r="D1022" s="99"/>
      <x:c r="E1022" s="101"/>
      <x:c r="F1022" s="106"/>
      <x:c r="G1022" s="106"/>
      <x:c r="H1022" s="106"/>
      <x:c r="I1022" s="106"/>
      <x:c r="J1022" s="106"/>
      <x:c r="K1022" s="106"/>
      <x:c r="L1022" s="106"/>
      <x:c r="M1022" s="106"/>
      <x:c r="N1022" s="106"/>
      <x:c r="O1022" s="106"/>
      <x:c r="P1022" s="106"/>
      <x:c r="Q1022" s="106"/>
      <x:c r="R1022" s="99"/>
    </x:row>
    <x:row r="1023" ht="15" customHeight="1">
      <x:c r="A1023" s="22"/>
      <x:c r="B1023" s="99"/>
      <x:c r="C1023" s="99"/>
      <x:c r="D1023" s="99"/>
      <x:c r="E1023" s="101"/>
      <x:c r="F1023" s="106"/>
      <x:c r="G1023" s="106"/>
      <x:c r="H1023" s="106"/>
      <x:c r="I1023" s="106"/>
      <x:c r="J1023" s="106"/>
      <x:c r="K1023" s="106"/>
      <x:c r="L1023" s="106"/>
      <x:c r="M1023" s="106"/>
      <x:c r="N1023" s="106"/>
      <x:c r="O1023" s="106"/>
      <x:c r="P1023" s="106"/>
      <x:c r="Q1023" s="106"/>
      <x:c r="R1023" s="99"/>
    </x:row>
    <x:row r="1024" ht="15" customHeight="1">
      <x:c r="A1024" s="22"/>
      <x:c r="B1024" s="99"/>
      <x:c r="C1024" s="99"/>
      <x:c r="D1024" s="99"/>
      <x:c r="E1024" s="101"/>
      <x:c r="F1024" s="106"/>
      <x:c r="G1024" s="106"/>
      <x:c r="H1024" s="106"/>
      <x:c r="I1024" s="106"/>
      <x:c r="J1024" s="106"/>
      <x:c r="K1024" s="106"/>
      <x:c r="L1024" s="106"/>
      <x:c r="M1024" s="106"/>
      <x:c r="N1024" s="106"/>
      <x:c r="O1024" s="106"/>
      <x:c r="P1024" s="106"/>
      <x:c r="Q1024" s="106"/>
      <x:c r="R1024" s="99"/>
    </x:row>
    <x:row r="1025" ht="15" customHeight="1">
      <x:c r="A1025" s="94"/>
      <x:c r="B1025" s="99"/>
      <x:c r="C1025" s="99"/>
      <x:c r="D1025" s="99"/>
      <x:c r="E1025" s="101"/>
      <x:c r="F1025" s="106"/>
      <x:c r="G1025" s="106"/>
      <x:c r="H1025" s="106"/>
      <x:c r="I1025" s="106"/>
      <x:c r="J1025" s="106"/>
      <x:c r="K1025" s="106"/>
      <x:c r="L1025" s="106"/>
      <x:c r="M1025" s="111"/>
      <x:c r="N1025" s="111"/>
      <x:c r="O1025" s="111"/>
      <x:c r="P1025" s="111"/>
      <x:c r="Q1025" s="111"/>
      <x:c r="R1025" s="99"/>
    </x:row>
    <x:row r="1026" ht="15" customHeight="1">
      <x:c r="A1026" s="22"/>
      <x:c r="B1026" s="99"/>
      <x:c r="C1026" s="99"/>
      <x:c r="D1026" s="99"/>
      <x:c r="E1026" s="101"/>
      <x:c r="F1026" s="106"/>
      <x:c r="G1026" s="106"/>
      <x:c r="H1026" s="106"/>
      <x:c r="I1026" s="106"/>
      <x:c r="J1026" s="106"/>
      <x:c r="K1026" s="106"/>
      <x:c r="L1026" s="106"/>
      <x:c r="M1026" s="106"/>
      <x:c r="N1026" s="106"/>
      <x:c r="O1026" s="106"/>
      <x:c r="P1026" s="106"/>
      <x:c r="Q1026" s="106"/>
      <x:c r="R1026" s="99"/>
    </x:row>
    <x:row r="1027" ht="15" customHeight="1">
      <x:c r="A1027" s="22"/>
      <x:c r="B1027" s="99"/>
      <x:c r="C1027" s="99"/>
      <x:c r="D1027" s="99"/>
      <x:c r="E1027" s="101"/>
      <x:c r="F1027" s="106"/>
      <x:c r="G1027" s="106"/>
      <x:c r="H1027" s="106"/>
      <x:c r="I1027" s="106"/>
      <x:c r="J1027" s="106"/>
      <x:c r="K1027" s="106"/>
      <x:c r="L1027" s="106"/>
      <x:c r="M1027" s="106"/>
      <x:c r="N1027" s="106"/>
      <x:c r="O1027" s="106"/>
      <x:c r="P1027" s="106"/>
      <x:c r="Q1027" s="106"/>
      <x:c r="R1027" s="99"/>
    </x:row>
    <x:row r="1028" ht="15" customHeight="1">
      <x:c r="A1028" s="22"/>
      <x:c r="B1028" s="99"/>
      <x:c r="C1028" s="99"/>
      <x:c r="D1028" s="99"/>
      <x:c r="E1028" s="101"/>
      <x:c r="F1028" s="106"/>
      <x:c r="G1028" s="106"/>
      <x:c r="H1028" s="106"/>
      <x:c r="I1028" s="106"/>
      <x:c r="J1028" s="106"/>
      <x:c r="K1028" s="106"/>
      <x:c r="L1028" s="106"/>
      <x:c r="M1028" s="106"/>
      <x:c r="N1028" s="106"/>
      <x:c r="O1028" s="106"/>
      <x:c r="P1028" s="106"/>
      <x:c r="Q1028" s="106"/>
      <x:c r="R1028" s="99"/>
    </x:row>
    <x:row r="1029" ht="15" customHeight="1">
      <x:c r="A1029" s="94"/>
      <x:c r="B1029" s="99"/>
      <x:c r="C1029" s="99"/>
      <x:c r="D1029" s="99"/>
      <x:c r="E1029" s="101"/>
      <x:c r="F1029" s="106"/>
      <x:c r="G1029" s="106"/>
      <x:c r="H1029" s="106"/>
      <x:c r="I1029" s="106"/>
      <x:c r="J1029" s="106"/>
      <x:c r="K1029" s="106"/>
      <x:c r="L1029" s="106"/>
      <x:c r="M1029" s="111"/>
      <x:c r="N1029" s="111"/>
      <x:c r="O1029" s="111"/>
      <x:c r="P1029" s="111"/>
      <x:c r="Q1029" s="111"/>
      <x:c r="R1029" s="99"/>
    </x:row>
    <x:row r="1030" ht="15" customHeight="1">
      <x:c r="A1030" s="22"/>
      <x:c r="B1030" s="99"/>
      <x:c r="C1030" s="99"/>
      <x:c r="D1030" s="99"/>
      <x:c r="E1030" s="101"/>
      <x:c r="F1030" s="106"/>
      <x:c r="G1030" s="106"/>
      <x:c r="H1030" s="106"/>
      <x:c r="I1030" s="106"/>
      <x:c r="J1030" s="106"/>
      <x:c r="K1030" s="106"/>
      <x:c r="L1030" s="106"/>
      <x:c r="M1030" s="106"/>
      <x:c r="N1030" s="106"/>
      <x:c r="O1030" s="106"/>
      <x:c r="P1030" s="106"/>
      <x:c r="Q1030" s="106"/>
      <x:c r="R1030" s="99"/>
    </x:row>
    <x:row r="1031" ht="15" customHeight="1">
      <x:c r="A1031" s="22"/>
      <x:c r="B1031" s="99"/>
      <x:c r="C1031" s="99"/>
      <x:c r="D1031" s="99"/>
      <x:c r="E1031" s="101"/>
      <x:c r="F1031" s="106"/>
      <x:c r="G1031" s="106"/>
      <x:c r="H1031" s="106"/>
      <x:c r="I1031" s="106"/>
      <x:c r="J1031" s="106"/>
      <x:c r="K1031" s="106"/>
      <x:c r="L1031" s="106"/>
      <x:c r="M1031" s="106"/>
      <x:c r="N1031" s="106"/>
      <x:c r="O1031" s="106"/>
      <x:c r="P1031" s="106"/>
      <x:c r="Q1031" s="106"/>
      <x:c r="R1031" s="99"/>
    </x:row>
    <x:row r="1032" ht="15" customHeight="1">
      <x:c r="A1032" s="22"/>
      <x:c r="B1032" s="99"/>
      <x:c r="C1032" s="99"/>
      <x:c r="D1032" s="99"/>
      <x:c r="E1032" s="101"/>
      <x:c r="F1032" s="106"/>
      <x:c r="G1032" s="106"/>
      <x:c r="H1032" s="106"/>
      <x:c r="I1032" s="106"/>
      <x:c r="J1032" s="106"/>
      <x:c r="K1032" s="106"/>
      <x:c r="L1032" s="106"/>
      <x:c r="M1032" s="106"/>
      <x:c r="N1032" s="106"/>
      <x:c r="O1032" s="106"/>
      <x:c r="P1032" s="106"/>
      <x:c r="Q1032" s="106"/>
      <x:c r="R1032" s="99"/>
    </x:row>
    <x:row r="1033" ht="15" customHeight="1">
      <x:c r="A1033" s="94"/>
      <x:c r="B1033" s="99"/>
      <x:c r="C1033" s="99"/>
      <x:c r="D1033" s="99"/>
      <x:c r="E1033" s="101"/>
      <x:c r="F1033" s="106"/>
      <x:c r="G1033" s="106"/>
      <x:c r="H1033" s="106"/>
      <x:c r="I1033" s="106"/>
      <x:c r="J1033" s="106"/>
      <x:c r="K1033" s="106"/>
      <x:c r="L1033" s="106"/>
      <x:c r="M1033" s="111"/>
      <x:c r="N1033" s="111"/>
      <x:c r="O1033" s="111"/>
      <x:c r="P1033" s="111"/>
      <x:c r="Q1033" s="111"/>
      <x:c r="R1033" s="99"/>
    </x:row>
    <x:row r="1034" ht="15" customHeight="1">
      <x:c r="A1034" s="22"/>
      <x:c r="B1034" s="99"/>
      <x:c r="C1034" s="99"/>
      <x:c r="D1034" s="99"/>
      <x:c r="E1034" s="101"/>
      <x:c r="F1034" s="106"/>
      <x:c r="G1034" s="106"/>
      <x:c r="H1034" s="106"/>
      <x:c r="I1034" s="106"/>
      <x:c r="J1034" s="106"/>
      <x:c r="K1034" s="106"/>
      <x:c r="L1034" s="106"/>
      <x:c r="M1034" s="106"/>
      <x:c r="N1034" s="106"/>
      <x:c r="O1034" s="106"/>
      <x:c r="P1034" s="106"/>
      <x:c r="Q1034" s="106"/>
      <x:c r="R1034" s="99"/>
    </x:row>
    <x:row r="1035" ht="15" customHeight="1">
      <x:c r="A1035" s="22"/>
      <x:c r="B1035" s="99"/>
      <x:c r="C1035" s="99"/>
      <x:c r="D1035" s="99"/>
      <x:c r="E1035" s="101"/>
      <x:c r="F1035" s="106"/>
      <x:c r="G1035" s="106"/>
      <x:c r="H1035" s="106"/>
      <x:c r="I1035" s="106"/>
      <x:c r="J1035" s="106"/>
      <x:c r="K1035" s="106"/>
      <x:c r="L1035" s="106"/>
      <x:c r="M1035" s="106"/>
      <x:c r="N1035" s="106"/>
      <x:c r="O1035" s="106"/>
      <x:c r="P1035" s="106"/>
      <x:c r="Q1035" s="106"/>
      <x:c r="R1035" s="99"/>
    </x:row>
    <x:row r="1036" ht="15" customHeight="1">
      <x:c r="A1036" s="22"/>
      <x:c r="B1036" s="99"/>
      <x:c r="C1036" s="99"/>
      <x:c r="D1036" s="99"/>
      <x:c r="E1036" s="101"/>
      <x:c r="F1036" s="106"/>
      <x:c r="G1036" s="106"/>
      <x:c r="H1036" s="106"/>
      <x:c r="I1036" s="106"/>
      <x:c r="J1036" s="106"/>
      <x:c r="K1036" s="106"/>
      <x:c r="L1036" s="106"/>
      <x:c r="M1036" s="106"/>
      <x:c r="N1036" s="106"/>
      <x:c r="O1036" s="106"/>
      <x:c r="P1036" s="106"/>
      <x:c r="Q1036" s="106"/>
      <x:c r="R1036" s="99"/>
    </x:row>
    <x:row r="1037" ht="15" customHeight="1">
      <x:c r="A1037" s="94"/>
      <x:c r="B1037" s="99"/>
      <x:c r="C1037" s="99"/>
      <x:c r="D1037" s="99"/>
      <x:c r="E1037" s="101"/>
      <x:c r="F1037" s="106"/>
      <x:c r="G1037" s="106"/>
      <x:c r="H1037" s="106"/>
      <x:c r="I1037" s="106"/>
      <x:c r="J1037" s="106"/>
      <x:c r="K1037" s="106"/>
      <x:c r="L1037" s="106"/>
      <x:c r="M1037" s="111"/>
      <x:c r="N1037" s="111"/>
      <x:c r="O1037" s="111"/>
      <x:c r="P1037" s="111"/>
      <x:c r="Q1037" s="111"/>
      <x:c r="R1037" s="99"/>
    </x:row>
    <x:row r="1038" ht="15" customHeight="1">
      <x:c r="A1038" s="22"/>
      <x:c r="B1038" s="99"/>
      <x:c r="C1038" s="99"/>
      <x:c r="D1038" s="99"/>
      <x:c r="E1038" s="101"/>
      <x:c r="F1038" s="106"/>
      <x:c r="G1038" s="106"/>
      <x:c r="H1038" s="106"/>
      <x:c r="I1038" s="106"/>
      <x:c r="J1038" s="106"/>
      <x:c r="K1038" s="106"/>
      <x:c r="L1038" s="106"/>
      <x:c r="M1038" s="106"/>
      <x:c r="N1038" s="106"/>
      <x:c r="O1038" s="106"/>
      <x:c r="P1038" s="106"/>
      <x:c r="Q1038" s="106"/>
      <x:c r="R1038" s="99"/>
    </x:row>
    <x:row r="1039" ht="15" customHeight="1">
      <x:c r="A1039" s="22"/>
      <x:c r="B1039" s="99"/>
      <x:c r="C1039" s="99"/>
      <x:c r="D1039" s="99"/>
      <x:c r="E1039" s="101"/>
      <x:c r="F1039" s="106"/>
      <x:c r="G1039" s="106"/>
      <x:c r="H1039" s="106"/>
      <x:c r="I1039" s="106"/>
      <x:c r="J1039" s="106"/>
      <x:c r="K1039" s="106"/>
      <x:c r="L1039" s="106"/>
      <x:c r="M1039" s="106"/>
      <x:c r="N1039" s="106"/>
      <x:c r="O1039" s="106"/>
      <x:c r="P1039" s="106"/>
      <x:c r="Q1039" s="106"/>
      <x:c r="R1039" s="99"/>
    </x:row>
    <x:row r="1040" ht="15" customHeight="1">
      <x:c r="A1040" s="22"/>
      <x:c r="B1040" s="99"/>
      <x:c r="C1040" s="99"/>
      <x:c r="D1040" s="99"/>
      <x:c r="E1040" s="101"/>
      <x:c r="F1040" s="106"/>
      <x:c r="G1040" s="106"/>
      <x:c r="H1040" s="106"/>
      <x:c r="I1040" s="106"/>
      <x:c r="J1040" s="106"/>
      <x:c r="K1040" s="106"/>
      <x:c r="L1040" s="106"/>
      <x:c r="M1040" s="106"/>
      <x:c r="N1040" s="106"/>
      <x:c r="O1040" s="106"/>
      <x:c r="P1040" s="106"/>
      <x:c r="Q1040" s="106"/>
      <x:c r="R1040" s="99"/>
    </x:row>
    <x:row r="1041" ht="15" customHeight="1">
      <x:c r="A1041" s="94"/>
      <x:c r="B1041" s="99"/>
      <x:c r="C1041" s="99"/>
      <x:c r="D1041" s="99"/>
      <x:c r="E1041" s="101"/>
      <x:c r="F1041" s="106"/>
      <x:c r="G1041" s="106"/>
      <x:c r="H1041" s="106"/>
      <x:c r="I1041" s="106"/>
      <x:c r="J1041" s="106"/>
      <x:c r="K1041" s="106"/>
      <x:c r="L1041" s="106"/>
      <x:c r="M1041" s="111"/>
      <x:c r="N1041" s="111"/>
      <x:c r="O1041" s="111"/>
      <x:c r="P1041" s="111"/>
      <x:c r="Q1041" s="111"/>
      <x:c r="R1041" s="99"/>
    </x:row>
    <x:row r="1042" ht="15" customHeight="1">
      <x:c r="A1042" s="22"/>
      <x:c r="B1042" s="99"/>
      <x:c r="C1042" s="99"/>
      <x:c r="D1042" s="99"/>
      <x:c r="E1042" s="101"/>
      <x:c r="F1042" s="106"/>
      <x:c r="G1042" s="106"/>
      <x:c r="H1042" s="106"/>
      <x:c r="I1042" s="106"/>
      <x:c r="J1042" s="106"/>
      <x:c r="K1042" s="106"/>
      <x:c r="L1042" s="106"/>
      <x:c r="M1042" s="106"/>
      <x:c r="N1042" s="106"/>
      <x:c r="O1042" s="106"/>
      <x:c r="P1042" s="106"/>
      <x:c r="Q1042" s="106"/>
      <x:c r="R1042" s="99"/>
    </x:row>
    <x:row r="1043" ht="15" customHeight="1">
      <x:c r="A1043" s="22"/>
      <x:c r="B1043" s="99"/>
      <x:c r="C1043" s="99"/>
      <x:c r="D1043" s="99"/>
      <x:c r="E1043" s="101"/>
      <x:c r="F1043" s="106"/>
      <x:c r="G1043" s="106"/>
      <x:c r="H1043" s="106"/>
      <x:c r="I1043" s="106"/>
      <x:c r="J1043" s="106"/>
      <x:c r="K1043" s="106"/>
      <x:c r="L1043" s="106"/>
      <x:c r="M1043" s="106"/>
      <x:c r="N1043" s="106"/>
      <x:c r="O1043" s="106"/>
      <x:c r="P1043" s="106"/>
      <x:c r="Q1043" s="106"/>
      <x:c r="R1043" s="99"/>
    </x:row>
    <x:row r="1044" ht="15" customHeight="1">
      <x:c r="A1044" s="22"/>
      <x:c r="B1044" s="99"/>
      <x:c r="C1044" s="99"/>
      <x:c r="D1044" s="99"/>
      <x:c r="E1044" s="101"/>
      <x:c r="F1044" s="106"/>
      <x:c r="G1044" s="106"/>
      <x:c r="H1044" s="106"/>
      <x:c r="I1044" s="106"/>
      <x:c r="J1044" s="106"/>
      <x:c r="K1044" s="106"/>
      <x:c r="L1044" s="106"/>
      <x:c r="M1044" s="106"/>
      <x:c r="N1044" s="106"/>
      <x:c r="O1044" s="106"/>
      <x:c r="P1044" s="106"/>
      <x:c r="Q1044" s="106"/>
      <x:c r="R1044" s="99"/>
    </x:row>
    <x:row r="1045" ht="15" customHeight="1">
      <x:c r="A1045" s="94"/>
      <x:c r="B1045" s="99"/>
      <x:c r="C1045" s="99"/>
      <x:c r="D1045" s="99"/>
      <x:c r="E1045" s="101"/>
      <x:c r="F1045" s="106"/>
      <x:c r="G1045" s="106"/>
      <x:c r="H1045" s="106"/>
      <x:c r="I1045" s="106"/>
      <x:c r="J1045" s="106"/>
      <x:c r="K1045" s="106"/>
      <x:c r="L1045" s="106"/>
      <x:c r="M1045" s="111"/>
      <x:c r="N1045" s="111"/>
      <x:c r="O1045" s="111"/>
      <x:c r="P1045" s="111"/>
      <x:c r="Q1045" s="111"/>
      <x:c r="R1045" s="99"/>
    </x:row>
    <x:row r="1046" ht="15" customHeight="1">
      <x:c r="A1046" s="22"/>
      <x:c r="B1046" s="99"/>
      <x:c r="C1046" s="99"/>
      <x:c r="D1046" s="99"/>
      <x:c r="E1046" s="101"/>
      <x:c r="F1046" s="106"/>
      <x:c r="G1046" s="106"/>
      <x:c r="H1046" s="106"/>
      <x:c r="I1046" s="106"/>
      <x:c r="J1046" s="106"/>
      <x:c r="K1046" s="106"/>
      <x:c r="L1046" s="106"/>
      <x:c r="M1046" s="106"/>
      <x:c r="N1046" s="106"/>
      <x:c r="O1046" s="106"/>
      <x:c r="P1046" s="106"/>
      <x:c r="Q1046" s="106"/>
      <x:c r="R1046" s="99"/>
    </x:row>
    <x:row r="1047" ht="15" customHeight="1">
      <x:c r="A1047" s="22"/>
      <x:c r="B1047" s="99"/>
      <x:c r="C1047" s="99"/>
      <x:c r="D1047" s="99"/>
      <x:c r="E1047" s="101"/>
      <x:c r="F1047" s="106"/>
      <x:c r="G1047" s="106"/>
      <x:c r="H1047" s="106"/>
      <x:c r="I1047" s="106"/>
      <x:c r="J1047" s="106"/>
      <x:c r="K1047" s="106"/>
      <x:c r="L1047" s="106"/>
      <x:c r="M1047" s="106"/>
      <x:c r="N1047" s="106"/>
      <x:c r="O1047" s="106"/>
      <x:c r="P1047" s="106"/>
      <x:c r="Q1047" s="106"/>
      <x:c r="R1047" s="99"/>
    </x:row>
    <x:row r="1048" ht="15" customHeight="1">
      <x:c r="A1048" s="22"/>
      <x:c r="B1048" s="99"/>
      <x:c r="C1048" s="99"/>
      <x:c r="D1048" s="99"/>
      <x:c r="E1048" s="101"/>
      <x:c r="F1048" s="106"/>
      <x:c r="G1048" s="106"/>
      <x:c r="H1048" s="106"/>
      <x:c r="I1048" s="106"/>
      <x:c r="J1048" s="106"/>
      <x:c r="K1048" s="106"/>
      <x:c r="L1048" s="106"/>
      <x:c r="M1048" s="106"/>
      <x:c r="N1048" s="106"/>
      <x:c r="O1048" s="106"/>
      <x:c r="P1048" s="106"/>
      <x:c r="Q1048" s="106"/>
      <x:c r="R1048" s="99"/>
    </x:row>
    <x:row r="1049" ht="15" customHeight="1">
      <x:c r="A1049" s="94"/>
      <x:c r="B1049" s="99"/>
      <x:c r="C1049" s="99"/>
      <x:c r="D1049" s="99"/>
      <x:c r="E1049" s="101"/>
      <x:c r="F1049" s="106"/>
      <x:c r="G1049" s="106"/>
      <x:c r="H1049" s="106"/>
      <x:c r="I1049" s="106"/>
      <x:c r="J1049" s="106"/>
      <x:c r="K1049" s="106"/>
      <x:c r="L1049" s="106"/>
      <x:c r="M1049" s="111"/>
      <x:c r="N1049" s="111"/>
      <x:c r="O1049" s="111"/>
      <x:c r="P1049" s="111"/>
      <x:c r="Q1049" s="111"/>
      <x:c r="R1049" s="99"/>
    </x:row>
    <x:row r="1050" ht="15" customHeight="1">
      <x:c r="A1050" s="22"/>
      <x:c r="B1050" s="99"/>
      <x:c r="C1050" s="99"/>
      <x:c r="D1050" s="99"/>
      <x:c r="E1050" s="101"/>
      <x:c r="F1050" s="106"/>
      <x:c r="G1050" s="106"/>
      <x:c r="H1050" s="106"/>
      <x:c r="I1050" s="106"/>
      <x:c r="J1050" s="106"/>
      <x:c r="K1050" s="106"/>
      <x:c r="L1050" s="106"/>
      <x:c r="M1050" s="106"/>
      <x:c r="N1050" s="106"/>
      <x:c r="O1050" s="106"/>
      <x:c r="P1050" s="106"/>
      <x:c r="Q1050" s="106"/>
      <x:c r="R1050" s="99"/>
    </x:row>
    <x:row r="1051" ht="15" customHeight="1">
      <x:c r="A1051" s="22"/>
      <x:c r="B1051" s="99"/>
      <x:c r="C1051" s="99"/>
      <x:c r="D1051" s="99"/>
      <x:c r="E1051" s="101"/>
      <x:c r="F1051" s="106"/>
      <x:c r="G1051" s="106"/>
      <x:c r="H1051" s="106"/>
      <x:c r="I1051" s="106"/>
      <x:c r="J1051" s="106"/>
      <x:c r="K1051" s="106"/>
      <x:c r="L1051" s="106"/>
      <x:c r="M1051" s="106"/>
      <x:c r="N1051" s="106"/>
      <x:c r="O1051" s="106"/>
      <x:c r="P1051" s="106"/>
      <x:c r="Q1051" s="106"/>
      <x:c r="R1051" s="99"/>
    </x:row>
    <x:row r="1052" ht="15" customHeight="1">
      <x:c r="A1052" s="22"/>
      <x:c r="B1052" s="99"/>
      <x:c r="C1052" s="99"/>
      <x:c r="D1052" s="99"/>
      <x:c r="E1052" s="101"/>
      <x:c r="F1052" s="106"/>
      <x:c r="G1052" s="106"/>
      <x:c r="H1052" s="106"/>
      <x:c r="I1052" s="106"/>
      <x:c r="J1052" s="106"/>
      <x:c r="K1052" s="106"/>
      <x:c r="L1052" s="106"/>
      <x:c r="M1052" s="106"/>
      <x:c r="N1052" s="106"/>
      <x:c r="O1052" s="106"/>
      <x:c r="P1052" s="106"/>
      <x:c r="Q1052" s="106"/>
      <x:c r="R1052" s="99"/>
    </x:row>
    <x:row r="1053" ht="15" customHeight="1">
      <x:c r="A1053" s="94"/>
      <x:c r="B1053" s="99"/>
      <x:c r="C1053" s="99"/>
      <x:c r="D1053" s="99"/>
      <x:c r="E1053" s="101"/>
      <x:c r="F1053" s="106"/>
      <x:c r="G1053" s="106"/>
      <x:c r="H1053" s="106"/>
      <x:c r="I1053" s="106"/>
      <x:c r="J1053" s="106"/>
      <x:c r="K1053" s="106"/>
      <x:c r="L1053" s="106"/>
      <x:c r="M1053" s="111"/>
      <x:c r="N1053" s="111"/>
      <x:c r="O1053" s="111"/>
      <x:c r="P1053" s="111"/>
      <x:c r="Q1053" s="111"/>
      <x:c r="R1053" s="99"/>
    </x:row>
    <x:row r="1054" ht="15" customHeight="1">
      <x:c r="A1054" s="22"/>
      <x:c r="B1054" s="99"/>
      <x:c r="C1054" s="99"/>
      <x:c r="D1054" s="99"/>
      <x:c r="E1054" s="101"/>
      <x:c r="F1054" s="106"/>
      <x:c r="G1054" s="106"/>
      <x:c r="H1054" s="106"/>
      <x:c r="I1054" s="106"/>
      <x:c r="J1054" s="106"/>
      <x:c r="K1054" s="106"/>
      <x:c r="L1054" s="106"/>
      <x:c r="M1054" s="106"/>
      <x:c r="N1054" s="106"/>
      <x:c r="O1054" s="106"/>
      <x:c r="P1054" s="106"/>
      <x:c r="Q1054" s="106"/>
      <x:c r="R1054" s="99"/>
    </x:row>
    <x:row r="1055" ht="15" customHeight="1">
      <x:c r="A1055" s="22"/>
      <x:c r="B1055" s="99"/>
      <x:c r="C1055" s="99"/>
      <x:c r="D1055" s="99"/>
      <x:c r="E1055" s="101"/>
      <x:c r="F1055" s="106"/>
      <x:c r="G1055" s="106"/>
      <x:c r="H1055" s="106"/>
      <x:c r="I1055" s="106"/>
      <x:c r="J1055" s="106"/>
      <x:c r="K1055" s="106"/>
      <x:c r="L1055" s="106"/>
      <x:c r="M1055" s="106"/>
      <x:c r="N1055" s="106"/>
      <x:c r="O1055" s="106"/>
      <x:c r="P1055" s="106"/>
      <x:c r="Q1055" s="106"/>
      <x:c r="R1055" s="99"/>
    </x:row>
    <x:row r="1056" ht="15" customHeight="1">
      <x:c r="A1056" s="22"/>
      <x:c r="B1056" s="99"/>
      <x:c r="C1056" s="99"/>
      <x:c r="D1056" s="99"/>
      <x:c r="E1056" s="101"/>
      <x:c r="F1056" s="106"/>
      <x:c r="G1056" s="106"/>
      <x:c r="H1056" s="106"/>
      <x:c r="I1056" s="106"/>
      <x:c r="J1056" s="106"/>
      <x:c r="K1056" s="106"/>
      <x:c r="L1056" s="106"/>
      <x:c r="M1056" s="106"/>
      <x:c r="N1056" s="106"/>
      <x:c r="O1056" s="106"/>
      <x:c r="P1056" s="106"/>
      <x:c r="Q1056" s="106"/>
      <x:c r="R1056" s="99"/>
    </x:row>
    <x:row r="1057" ht="15" customHeight="1">
      <x:c r="A1057" s="94"/>
      <x:c r="B1057" s="99"/>
      <x:c r="C1057" s="99"/>
      <x:c r="D1057" s="99"/>
      <x:c r="E1057" s="101"/>
      <x:c r="F1057" s="106"/>
      <x:c r="G1057" s="106"/>
      <x:c r="H1057" s="106"/>
      <x:c r="I1057" s="106"/>
      <x:c r="J1057" s="106"/>
      <x:c r="K1057" s="106"/>
      <x:c r="L1057" s="106"/>
      <x:c r="M1057" s="111"/>
      <x:c r="N1057" s="111"/>
      <x:c r="O1057" s="111"/>
      <x:c r="P1057" s="111"/>
      <x:c r="Q1057" s="111"/>
      <x:c r="R1057" s="99"/>
    </x:row>
    <x:row r="1058" ht="15" customHeight="1">
      <x:c r="A1058" s="22"/>
      <x:c r="B1058" s="99"/>
      <x:c r="C1058" s="99"/>
      <x:c r="D1058" s="99"/>
      <x:c r="E1058" s="101"/>
      <x:c r="F1058" s="106"/>
      <x:c r="G1058" s="106"/>
      <x:c r="H1058" s="106"/>
      <x:c r="I1058" s="106"/>
      <x:c r="J1058" s="106"/>
      <x:c r="K1058" s="106"/>
      <x:c r="L1058" s="106"/>
      <x:c r="M1058" s="106"/>
      <x:c r="N1058" s="106"/>
      <x:c r="O1058" s="106"/>
      <x:c r="P1058" s="106"/>
      <x:c r="Q1058" s="106"/>
      <x:c r="R1058" s="99"/>
    </x:row>
    <x:row r="1059" ht="15" customHeight="1">
      <x:c r="A1059" s="22"/>
      <x:c r="B1059" s="99"/>
      <x:c r="C1059" s="99"/>
      <x:c r="D1059" s="99"/>
      <x:c r="E1059" s="101"/>
      <x:c r="F1059" s="106"/>
      <x:c r="G1059" s="106"/>
      <x:c r="H1059" s="106"/>
      <x:c r="I1059" s="106"/>
      <x:c r="J1059" s="106"/>
      <x:c r="K1059" s="106"/>
      <x:c r="L1059" s="106"/>
      <x:c r="M1059" s="106"/>
      <x:c r="N1059" s="106"/>
      <x:c r="O1059" s="106"/>
      <x:c r="P1059" s="106"/>
      <x:c r="Q1059" s="106"/>
      <x:c r="R1059" s="99"/>
    </x:row>
    <x:row r="1060" ht="15" customHeight="1">
      <x:c r="A1060" s="22"/>
      <x:c r="B1060" s="99"/>
      <x:c r="C1060" s="99"/>
      <x:c r="D1060" s="99"/>
      <x:c r="E1060" s="101"/>
      <x:c r="F1060" s="106"/>
      <x:c r="G1060" s="106"/>
      <x:c r="H1060" s="106"/>
      <x:c r="I1060" s="106"/>
      <x:c r="J1060" s="106"/>
      <x:c r="K1060" s="106"/>
      <x:c r="L1060" s="106"/>
      <x:c r="M1060" s="106"/>
      <x:c r="N1060" s="106"/>
      <x:c r="O1060" s="106"/>
      <x:c r="P1060" s="106"/>
      <x:c r="Q1060" s="106"/>
      <x:c r="R1060" s="99"/>
    </x:row>
    <x:row r="1061" ht="15" customHeight="1">
      <x:c r="A1061" s="94"/>
      <x:c r="B1061" s="99"/>
      <x:c r="C1061" s="99"/>
      <x:c r="D1061" s="99"/>
      <x:c r="E1061" s="101"/>
      <x:c r="F1061" s="106"/>
      <x:c r="G1061" s="106"/>
      <x:c r="H1061" s="106"/>
      <x:c r="I1061" s="106"/>
      <x:c r="J1061" s="106"/>
      <x:c r="K1061" s="106"/>
      <x:c r="L1061" s="106"/>
      <x:c r="M1061" s="111"/>
      <x:c r="N1061" s="111"/>
      <x:c r="O1061" s="111"/>
      <x:c r="P1061" s="111"/>
      <x:c r="Q1061" s="111"/>
      <x:c r="R1061" s="99"/>
    </x:row>
    <x:row r="1062" ht="15" customHeight="1">
      <x:c r="A1062" s="22"/>
      <x:c r="B1062" s="99"/>
      <x:c r="C1062" s="99"/>
      <x:c r="D1062" s="99"/>
      <x:c r="E1062" s="101"/>
      <x:c r="F1062" s="106"/>
      <x:c r="G1062" s="106"/>
      <x:c r="H1062" s="106"/>
      <x:c r="I1062" s="106"/>
      <x:c r="J1062" s="106"/>
      <x:c r="K1062" s="106"/>
      <x:c r="L1062" s="106"/>
      <x:c r="M1062" s="106"/>
      <x:c r="N1062" s="106"/>
      <x:c r="O1062" s="106"/>
      <x:c r="P1062" s="106"/>
      <x:c r="Q1062" s="106"/>
      <x:c r="R1062" s="99"/>
    </x:row>
    <x:row r="1063" ht="15" customHeight="1">
      <x:c r="A1063" s="22"/>
      <x:c r="B1063" s="99"/>
      <x:c r="C1063" s="99"/>
      <x:c r="D1063" s="99"/>
      <x:c r="E1063" s="101"/>
      <x:c r="F1063" s="106"/>
      <x:c r="G1063" s="106"/>
      <x:c r="H1063" s="106"/>
      <x:c r="I1063" s="106"/>
      <x:c r="J1063" s="106"/>
      <x:c r="K1063" s="106"/>
      <x:c r="L1063" s="106"/>
      <x:c r="M1063" s="106"/>
      <x:c r="N1063" s="106"/>
      <x:c r="O1063" s="106"/>
      <x:c r="P1063" s="106"/>
      <x:c r="Q1063" s="106"/>
      <x:c r="R1063" s="99"/>
    </x:row>
    <x:row r="1064" ht="15" customHeight="1">
      <x:c r="A1064" s="22"/>
      <x:c r="B1064" s="99"/>
      <x:c r="C1064" s="99"/>
      <x:c r="D1064" s="99"/>
      <x:c r="E1064" s="101"/>
      <x:c r="F1064" s="106"/>
      <x:c r="G1064" s="106"/>
      <x:c r="H1064" s="106"/>
      <x:c r="I1064" s="106"/>
      <x:c r="J1064" s="106"/>
      <x:c r="K1064" s="106"/>
      <x:c r="L1064" s="106"/>
      <x:c r="M1064" s="106"/>
      <x:c r="N1064" s="106"/>
      <x:c r="O1064" s="106"/>
      <x:c r="P1064" s="106"/>
      <x:c r="Q1064" s="106"/>
      <x:c r="R1064" s="99"/>
    </x:row>
    <x:row r="1065" ht="15" customHeight="1">
      <x:c r="A1065" s="94"/>
      <x:c r="B1065" s="99"/>
      <x:c r="C1065" s="99"/>
      <x:c r="D1065" s="99"/>
      <x:c r="E1065" s="101"/>
      <x:c r="F1065" s="106"/>
      <x:c r="G1065" s="106"/>
      <x:c r="H1065" s="106"/>
      <x:c r="I1065" s="106"/>
      <x:c r="J1065" s="106"/>
      <x:c r="K1065" s="106"/>
      <x:c r="L1065" s="106"/>
      <x:c r="M1065" s="111"/>
      <x:c r="N1065" s="111"/>
      <x:c r="O1065" s="111"/>
      <x:c r="P1065" s="111"/>
      <x:c r="Q1065" s="111"/>
      <x:c r="R1065" s="99"/>
    </x:row>
    <x:row r="1066" ht="15" customHeight="1">
      <x:c r="A1066" s="22"/>
      <x:c r="B1066" s="99"/>
      <x:c r="C1066" s="99"/>
      <x:c r="D1066" s="99"/>
      <x:c r="E1066" s="101"/>
      <x:c r="F1066" s="106"/>
      <x:c r="G1066" s="106"/>
      <x:c r="H1066" s="106"/>
      <x:c r="I1066" s="106"/>
      <x:c r="J1066" s="106"/>
      <x:c r="K1066" s="106"/>
      <x:c r="L1066" s="106"/>
      <x:c r="M1066" s="106"/>
      <x:c r="N1066" s="106"/>
      <x:c r="O1066" s="106"/>
      <x:c r="P1066" s="106"/>
      <x:c r="Q1066" s="106"/>
      <x:c r="R1066" s="99"/>
    </x:row>
    <x:row r="1067" ht="15" customHeight="1">
      <x:c r="A1067" s="22"/>
      <x:c r="B1067" s="99"/>
      <x:c r="C1067" s="99"/>
      <x:c r="D1067" s="99"/>
      <x:c r="E1067" s="101"/>
      <x:c r="F1067" s="106"/>
      <x:c r="G1067" s="106"/>
      <x:c r="H1067" s="106"/>
      <x:c r="I1067" s="106"/>
      <x:c r="J1067" s="106"/>
      <x:c r="K1067" s="106"/>
      <x:c r="L1067" s="106"/>
      <x:c r="M1067" s="106"/>
      <x:c r="N1067" s="106"/>
      <x:c r="O1067" s="106"/>
      <x:c r="P1067" s="106"/>
      <x:c r="Q1067" s="106"/>
      <x:c r="R1067" s="99"/>
    </x:row>
    <x:row r="1068" ht="15" customHeight="1">
      <x:c r="A1068" s="22"/>
      <x:c r="B1068" s="99"/>
      <x:c r="C1068" s="99"/>
      <x:c r="D1068" s="99"/>
      <x:c r="E1068" s="101"/>
      <x:c r="F1068" s="106"/>
      <x:c r="G1068" s="106"/>
      <x:c r="H1068" s="106"/>
      <x:c r="I1068" s="106"/>
      <x:c r="J1068" s="106"/>
      <x:c r="K1068" s="106"/>
      <x:c r="L1068" s="106"/>
      <x:c r="M1068" s="106"/>
      <x:c r="N1068" s="106"/>
      <x:c r="O1068" s="106"/>
      <x:c r="P1068" s="106"/>
      <x:c r="Q1068" s="106"/>
      <x:c r="R1068" s="99"/>
    </x:row>
    <x:row r="1069" ht="15" customHeight="1">
      <x:c r="A1069" s="94"/>
      <x:c r="B1069" s="99"/>
      <x:c r="C1069" s="99"/>
      <x:c r="D1069" s="99"/>
      <x:c r="E1069" s="101"/>
      <x:c r="F1069" s="106"/>
      <x:c r="G1069" s="106"/>
      <x:c r="H1069" s="106"/>
      <x:c r="I1069" s="106"/>
      <x:c r="J1069" s="106"/>
      <x:c r="K1069" s="106"/>
      <x:c r="L1069" s="106"/>
      <x:c r="M1069" s="111"/>
      <x:c r="N1069" s="111"/>
      <x:c r="O1069" s="111"/>
      <x:c r="P1069" s="111"/>
      <x:c r="Q1069" s="111"/>
      <x:c r="R1069" s="99"/>
    </x:row>
    <x:row r="1070" ht="15" customHeight="1">
      <x:c r="A1070" s="22"/>
      <x:c r="B1070" s="99"/>
      <x:c r="C1070" s="99"/>
      <x:c r="D1070" s="99"/>
      <x:c r="E1070" s="101"/>
      <x:c r="F1070" s="106"/>
      <x:c r="G1070" s="106"/>
      <x:c r="H1070" s="106"/>
      <x:c r="I1070" s="106"/>
      <x:c r="J1070" s="106"/>
      <x:c r="K1070" s="106"/>
      <x:c r="L1070" s="106"/>
      <x:c r="M1070" s="106"/>
      <x:c r="N1070" s="106"/>
      <x:c r="O1070" s="106"/>
      <x:c r="P1070" s="106"/>
      <x:c r="Q1070" s="106"/>
      <x:c r="R1070" s="99"/>
    </x:row>
    <x:row r="1071" ht="15" customHeight="1">
      <x:c r="A1071" s="22"/>
      <x:c r="B1071" s="99"/>
      <x:c r="C1071" s="99"/>
      <x:c r="D1071" s="99"/>
      <x:c r="E1071" s="101"/>
      <x:c r="F1071" s="106"/>
      <x:c r="G1071" s="106"/>
      <x:c r="H1071" s="106"/>
      <x:c r="I1071" s="106"/>
      <x:c r="J1071" s="106"/>
      <x:c r="K1071" s="106"/>
      <x:c r="L1071" s="106"/>
      <x:c r="M1071" s="106"/>
      <x:c r="N1071" s="106"/>
      <x:c r="O1071" s="106"/>
      <x:c r="P1071" s="106"/>
      <x:c r="Q1071" s="106"/>
      <x:c r="R1071" s="99"/>
    </x:row>
    <x:row r="1072" ht="15" customHeight="1">
      <x:c r="A1072" s="22"/>
      <x:c r="B1072" s="99"/>
      <x:c r="C1072" s="99"/>
      <x:c r="D1072" s="99"/>
      <x:c r="E1072" s="101"/>
      <x:c r="F1072" s="106"/>
      <x:c r="G1072" s="106"/>
      <x:c r="H1072" s="106"/>
      <x:c r="I1072" s="106"/>
      <x:c r="J1072" s="106"/>
      <x:c r="K1072" s="106"/>
      <x:c r="L1072" s="106"/>
      <x:c r="M1072" s="106"/>
      <x:c r="N1072" s="106"/>
      <x:c r="O1072" s="106"/>
      <x:c r="P1072" s="106"/>
      <x:c r="Q1072" s="106"/>
      <x:c r="R1072" s="99"/>
    </x:row>
  </x:sheetData>
  <x:mergeCells>
    <x:mergeCell ref="A2:R2"/>
    <x:mergeCell ref="A1:R1"/>
  </x:mergeCells>
  <x:dataValidations count="1">
    <x:dataValidation type="list" sqref="F5:Q1072">
      <x:formula1>DCANameList</x:formula1>
    </x:dataValidation>
  </x:dataValidations>
  <x:pageMargins left="0.7" right="0.7" top="0.75" bottom="0.75" header="0.3" footer="0.3"/>
</x:worksheet>
</file>